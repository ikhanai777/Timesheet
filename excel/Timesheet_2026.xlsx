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drawing13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13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1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2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11.xml" ContentType="application/vnd.openxmlformats-officedocument.drawing+xml"/>
  <Override PartName="/xl/drawings/drawing2.xml" ContentType="application/vnd.openxmlformats-officedocument.drawing+xml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Guide" sheetId="1" state="visible" r:id="rId3"/>
    <sheet name="2026 Dashboard" sheetId="2" state="visible" r:id="rId4"/>
    <sheet name="January" sheetId="3" state="visible" r:id="rId5"/>
    <sheet name="February" sheetId="4" state="visible" r:id="rId6"/>
    <sheet name="March" sheetId="5" state="visible" r:id="rId7"/>
    <sheet name="April" sheetId="6" state="visible" r:id="rId8"/>
    <sheet name="May" sheetId="7" state="visible" r:id="rId9"/>
    <sheet name="June" sheetId="8" state="visible" r:id="rId10"/>
    <sheet name="July" sheetId="9" state="visible" r:id="rId11"/>
    <sheet name="August" sheetId="10" state="visible" r:id="rId12"/>
    <sheet name="September" sheetId="11" state="visible" r:id="rId13"/>
    <sheet name="October" sheetId="12" state="visible" r:id="rId14"/>
    <sheet name="November" sheetId="13" state="visible" r:id="rId15"/>
    <sheet name="December" sheetId="14" state="visible" r:id="rId16"/>
    <sheet name="Projects" sheetId="15" state="visible" r:id="rId17"/>
    <sheet name="Settings" sheetId="16" state="visible" r:id="rId18"/>
  </sheets>
  <definedNames>
    <definedName function="false" hidden="false" name="AllowOT" vbProcedure="false">Settings!$C$9</definedName>
    <definedName function="false" hidden="false" name="AvailHours" vbProcedure="false">Settings!$C$6</definedName>
    <definedName function="false" hidden="false" name="OHSystem" vbProcedure="false">Settings!$C$8</definedName>
    <definedName function="false" hidden="false" name="ProjCodes" vbProcedure="false">Projects!$D$5:$D$204</definedName>
    <definedName function="false" hidden="false" name="ProjNames" vbProcedure="false">Projects!$B$5:$B$204</definedName>
    <definedName function="false" hidden="false" name="ProjNumbers" vbProcedure="false">Projects!$C$5:$C$204</definedName>
    <definedName function="false" hidden="false" name="WeekStartNum" vbProcedure="false">Settings!$C$10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8" authorId="0">
      <text>
        <r>
          <rPr>
            <sz val="10"/>
            <rFont val="Arial"/>
            <family val="2"/>
          </rPr>
          <t xml:space="preserve">Available hours come from Settings. Type a number here to override a single day.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8" authorId="0">
      <text>
        <r>
          <rPr>
            <sz val="10"/>
            <rFont val="Arial"/>
            <family val="2"/>
          </rPr>
          <t xml:space="preserve">Available hours come from Settings. Type a number here to override a single day.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8" authorId="0">
      <text>
        <r>
          <rPr>
            <sz val="10"/>
            <rFont val="Arial"/>
            <family val="2"/>
          </rPr>
          <t xml:space="preserve">Available hours come from Settings. Type a number here to override a single day.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8" authorId="0">
      <text>
        <r>
          <rPr>
            <sz val="10"/>
            <rFont val="Arial"/>
            <family val="2"/>
          </rPr>
          <t xml:space="preserve">Available hours come from Settings. Type a number here to override a single day.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8" authorId="0">
      <text>
        <r>
          <rPr>
            <sz val="10"/>
            <rFont val="Arial"/>
            <family val="2"/>
          </rPr>
          <t xml:space="preserve">Available hours come from Settings. Type a number here to override a single day.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8" authorId="0">
      <text>
        <r>
          <rPr>
            <sz val="10"/>
            <rFont val="Arial"/>
            <family val="2"/>
          </rPr>
          <t xml:space="preserve">Available hours come from Settings. Type a number here to override a single day.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8" authorId="0">
      <text>
        <r>
          <rPr>
            <sz val="10"/>
            <rFont val="Arial"/>
            <family val="2"/>
          </rPr>
          <t xml:space="preserve">Available hours come from Settings. Type a number here to override a single day.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8" authorId="0">
      <text>
        <r>
          <rPr>
            <sz val="10"/>
            <rFont val="Arial"/>
            <family val="2"/>
          </rPr>
          <t xml:space="preserve">Available hours come from Settings. Type a number here to override a single day.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8" authorId="0">
      <text>
        <r>
          <rPr>
            <sz val="10"/>
            <rFont val="Arial"/>
            <family val="2"/>
          </rPr>
          <t xml:space="preserve">Available hours come from Settings. Type a number here to override a single day.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8" authorId="0">
      <text>
        <r>
          <rPr>
            <sz val="10"/>
            <rFont val="Arial"/>
            <family val="2"/>
          </rPr>
          <t xml:space="preserve">Available hours come from Settings. Type a number here to override a single day.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8" authorId="0">
      <text>
        <r>
          <rPr>
            <sz val="10"/>
            <rFont val="Arial"/>
            <family val="2"/>
          </rPr>
          <t xml:space="preserve">Available hours come from Settings. Type a number here to override a single day.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58" authorId="0">
      <text>
        <r>
          <rPr>
            <sz val="10"/>
            <rFont val="Arial"/>
            <family val="2"/>
          </rPr>
          <t xml:space="preserve">Available hours come from Settings. Type a number here to override a single day.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Example project - overwrite it with your own.</t>
        </r>
      </text>
    </comment>
  </commentList>
</comments>
</file>

<file path=xl/sharedStrings.xml><?xml version="1.0" encoding="utf-8"?>
<sst xmlns="http://schemas.openxmlformats.org/spreadsheetml/2006/main" count="1170" uniqueCount="130">
  <si>
    <t xml:space="preserve">Timesheet 2026</t>
  </si>
  <si>
    <t xml:space="preserve">Log daily project hours against NTIME or P6. Unbooked hours become Overhead (Department Hours) automatically.</t>
  </si>
  <si>
    <t xml:space="preserve">How to use</t>
  </si>
  <si>
    <t xml:space="preserve">1.</t>
  </si>
  <si>
    <t xml:space="preserve">Settings: check available hours per day (default 8), week start day, where overhead is booked, and overtime.</t>
  </si>
  <si>
    <t xml:space="preserve">2.</t>
  </si>
  <si>
    <t xml:space="preserve">Projects: enter each project once (name, project number, Oracle code). They then appear in the dropdowns.</t>
  </si>
  <si>
    <t xml:space="preserve">3.</t>
  </si>
  <si>
    <t xml:space="preserve">Month sheets: add one row per task in the Entry log - date, project (dropdown), task description, NTIME/P6, hours.</t>
  </si>
  <si>
    <t xml:space="preserve">Project number and Oracle code fill in automatically. The Check column flags anything missing or a day over its hours.</t>
  </si>
  <si>
    <t xml:space="preserve">4.</t>
  </si>
  <si>
    <t xml:space="preserve">Daily summary (bottom right of each month): change Day type for leave, public holidays, or a day of only overhead.</t>
  </si>
  <si>
    <t xml:space="preserve">5.</t>
  </si>
  <si>
    <t xml:space="preserve">Everything else is calculated: month KPIs, weekly summary and chart, projects this month, and the year dashboard.</t>
  </si>
  <si>
    <t xml:space="preserve">Rules</t>
  </si>
  <si>
    <t xml:space="preserve">Overhead</t>
  </si>
  <si>
    <t xml:space="preserve">On a Working day with project hours: overhead = available hours - project hours (never below 0).</t>
  </si>
  <si>
    <t xml:space="preserve">Example: Project A 4 h in NTIME + Project B 3 h in P6 = 7 h, so 1 h goes to Overhead.</t>
  </si>
  <si>
    <t xml:space="preserve">Overhead only</t>
  </si>
  <si>
    <t xml:space="preserve">Set Day type to 'Overhead only' for a working day with no project work: the whole day is overhead.</t>
  </si>
  <si>
    <t xml:space="preserve">Not logged</t>
  </si>
  <si>
    <t xml:space="preserve">A Working day up to today with no entries is shown as 'Not logged' and counts 0 hours.</t>
  </si>
  <si>
    <t xml:space="preserve">Leave etc.</t>
  </si>
  <si>
    <t xml:space="preserve">Leave, Public Holiday and Weekend days count no overhead.</t>
  </si>
  <si>
    <t xml:space="preserve">Overtime</t>
  </si>
  <si>
    <t xml:space="preserve">If Allow overtime is No, a day over its available hours is flagged in red. Extra hours show as Overtime.</t>
  </si>
  <si>
    <t xml:space="preserve">Weeks</t>
  </si>
  <si>
    <t xml:space="preserve">Weeks start on the day chosen in Settings and are cut at the month's first and last day.</t>
  </si>
  <si>
    <t xml:space="preserve">Legend</t>
  </si>
  <si>
    <t xml:space="preserve">Yellow cells with blue text are inputs - type or pick from the dropdown.</t>
  </si>
  <si>
    <t xml:space="preserve">1.0</t>
  </si>
  <si>
    <t xml:space="preserve">White cells are formulas - don't type over them.</t>
  </si>
  <si>
    <t xml:space="preserve">Example entry row (format to follow)</t>
  </si>
  <si>
    <t xml:space="preserve">Date</t>
  </si>
  <si>
    <t xml:space="preserve">Day</t>
  </si>
  <si>
    <t xml:space="preserve">Project Name</t>
  </si>
  <si>
    <t xml:space="preserve">Project Number</t>
  </si>
  <si>
    <t xml:space="preserve">Oracle Code</t>
  </si>
  <si>
    <t xml:space="preserve">Task Description</t>
  </si>
  <si>
    <t xml:space="preserve">System</t>
  </si>
  <si>
    <t xml:space="preserve">Hours</t>
  </si>
  <si>
    <t xml:space="preserve">Mon</t>
  </si>
  <si>
    <t xml:space="preserve">Project A</t>
  </si>
  <si>
    <t xml:space="preserve">PRJ-2041</t>
  </si>
  <si>
    <t xml:space="preserve">4100.22.07</t>
  </si>
  <si>
    <t xml:space="preserve">Reviewed piping layout drawings</t>
  </si>
  <si>
    <t xml:space="preserve">NTIME</t>
  </si>
  <si>
    <t xml:space="preserve">2026 Dashboard</t>
  </si>
  <si>
    <t xml:space="preserve">Year totals from the month sheets. Nothing to enter here.</t>
  </si>
  <si>
    <t xml:space="preserve">YEAR SUMMARY</t>
  </si>
  <si>
    <t xml:space="preserve">Total hours</t>
  </si>
  <si>
    <t xml:space="preserve">Utilisation</t>
  </si>
  <si>
    <t xml:space="preserve">Days logged</t>
  </si>
  <si>
    <t xml:space="preserve">Days not logged</t>
  </si>
  <si>
    <t xml:space="preserve">MONTHLY SUMMARY</t>
  </si>
  <si>
    <t xml:space="preserve">Month</t>
  </si>
  <si>
    <t xml:space="preserve">P6</t>
  </si>
  <si>
    <t xml:space="preserve">Total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</si>
  <si>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</si>
  <si>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</si>
  <si>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</si>
  <si>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</si>
  <si>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</si>
  <si>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</si>
  <si>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</si>
  <si>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</si>
  <si>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</si>
  <si>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</si>
  <si>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</si>
  <si>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</si>
  <si>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Year total</t>
  </si>
  <si>
    <t xml:space="preserve">TOP PROJECTS 2026</t>
  </si>
  <si>
    <t xml:space="preserve">Project</t>
  </si>
  <si>
    <t xml:space="preserve">% of year</t>
  </si>
  <si>
    <t xml:space="preserve">January 2026</t>
  </si>
  <si>
    <t xml:space="preserve">Helpers</t>
  </si>
  <si>
    <t xml:space="preserve">Add one row per task in the Entry log. Everything on the right updates automatically.</t>
  </si>
  <si>
    <t xml:space="preserve">ENTRY LOG</t>
  </si>
  <si>
    <t xml:space="preserve">MONTH SUMMARY</t>
  </si>
  <si>
    <t xml:space="preserve">Check</t>
  </si>
  <si>
    <t xml:space="preserve">WEEKLY SUMMARY</t>
  </si>
  <si>
    <t xml:space="preserve">Week</t>
  </si>
  <si>
    <t xml:space="preserve">From</t>
  </si>
  <si>
    <t xml:space="preserve">To</t>
  </si>
  <si>
    <t xml:space="preserve">Month total</t>
  </si>
  <si>
    <t xml:space="preserve">PROJECTS THIS MONTH</t>
  </si>
  <si>
    <t xml:space="preserve">% of month</t>
  </si>
  <si>
    <t xml:space="preserve">Not in project list</t>
  </si>
  <si>
    <t xml:space="preserve">Department Hours</t>
  </si>
  <si>
    <t xml:space="preserve">DAILY SUMMARY</t>
  </si>
  <si>
    <t xml:space="preserve">Day Type</t>
  </si>
  <si>
    <t xml:space="preserve">Available</t>
  </si>
  <si>
    <t xml:space="preserve">Status</t>
  </si>
  <si>
    <t xml:space="preserve">Working</t>
  </si>
  <si>
    <t xml:space="preserve">Weekend</t>
  </si>
  <si>
    <t xml:space="preserve">February 2026</t>
  </si>
  <si>
    <t xml:space="preserve">March 2026</t>
  </si>
  <si>
    <t xml:space="preserve">April 2026</t>
  </si>
  <si>
    <t xml:space="preserve">May 2026</t>
  </si>
  <si>
    <t xml:space="preserve">June 2026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</si>
  <si>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</si>
  <si>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</si>
  <si>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</si>
  <si>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</si>
  <si>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</si>
  <si>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</si>
  <si>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Projects</t>
  </si>
  <si>
    <t xml:space="preserve">Enter each project once. Names must be unique - they are what you pick in the month sheets.</t>
  </si>
  <si>
    <t xml:space="preserve">NTIME 2026</t>
  </si>
  <si>
    <t xml:space="preserve">P6 2026</t>
  </si>
  <si>
    <t xml:space="preserve">Total 2026</t>
  </si>
  <si>
    <t xml:space="preserve">Settings</t>
  </si>
  <si>
    <t xml:space="preserve">Setting</t>
  </si>
  <si>
    <t xml:space="preserve">Value</t>
  </si>
  <si>
    <t xml:space="preserve">Notes</t>
  </si>
  <si>
    <t xml:space="preserve">Year</t>
  </si>
  <si>
    <t xml:space="preserve">Fixed for this workbook. Rebuild with excel/build_timesheet_xlsx.py for another year.</t>
  </si>
  <si>
    <t xml:space="preserve">Available hours per day</t>
  </si>
  <si>
    <t xml:space="preserve">Hours in a working day. Overhead = available hours - project hours. Can be overridden per day in each month's daily summary.</t>
  </si>
  <si>
    <t xml:space="preserve">Week starts on</t>
  </si>
  <si>
    <t xml:space="preserve">Monday</t>
  </si>
  <si>
    <t xml:space="preserve">Monday, Sunday or Saturday. Used by the weekly summaries.</t>
  </si>
  <si>
    <t xml:space="preserve">Overhead booked in</t>
  </si>
  <si>
    <t xml:space="preserve">None</t>
  </si>
  <si>
    <t xml:space="preserve">None keeps overhead separate. NTIME or P6 adds overhead to that system's totals.</t>
  </si>
  <si>
    <t xml:space="preserve">Allow overtime</t>
  </si>
  <si>
    <t xml:space="preserve">No</t>
  </si>
  <si>
    <t xml:space="preserve">No: a day over its available hours is flagged in red. Yes: extra hours are shown as Overtime.</t>
  </si>
  <si>
    <t xml:space="preserve">Week start (number)</t>
  </si>
  <si>
    <t xml:space="preserve">Calculated - used by the formulas.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</si>
</sst>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"/>
    <numFmt numFmtId="166" formatCode="0.0;\(0.0\);\-"/>
    <numFmt numFmtId="167" formatCode="0%;\(0%\);\-"/>
    <numFmt numFmtId="168" formatCode="0"/>
    <numFmt numFmtId="169" formatCode="0.0#"/>
    <numFmt numFmtId="170" formatCode="ddd\ dd\-mmm"/>
    <numFmt numFmtId="171" formatCode="dd\-mmm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8"/>
      <color rgb="FF1F4E8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4E8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6"/>
      <color rgb="FF1A1A1A"/>
      <name val="Arial"/>
      <family val="0"/>
      <charset val="1"/>
    </font>
    <font>
      <b val="true"/>
      <sz val="16"/>
      <color rgb="FF1F6FEB"/>
      <name val="Arial"/>
      <family val="0"/>
      <charset val="1"/>
    </font>
    <font>
      <b val="true"/>
      <sz val="16"/>
      <color rgb="FFD9730D"/>
      <name val="Arial"/>
      <family val="0"/>
      <charset val="1"/>
    </font>
    <font>
      <b val="true"/>
      <sz val="16"/>
      <color rgb="FF6E7781"/>
      <name val="Arial"/>
      <family val="0"/>
      <charset val="1"/>
    </font>
    <font>
      <u val="single"/>
      <sz val="10"/>
      <color rgb="FF1F4E8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1F4E8C"/>
        <bgColor rgb="FF003366"/>
      </patternFill>
    </fill>
    <fill>
      <patternFill patternType="solid">
        <fgColor rgb="FFEEF2F8"/>
        <bgColor rgb="FFF0F0F0"/>
      </patternFill>
    </fill>
    <fill>
      <patternFill patternType="solid">
        <fgColor rgb="FF1F6FEB"/>
        <bgColor rgb="FF0066CC"/>
      </patternFill>
    </fill>
    <fill>
      <patternFill patternType="solid">
        <fgColor rgb="FFD9730D"/>
        <bgColor rgb="FFFF9900"/>
      </patternFill>
    </fill>
    <fill>
      <patternFill patternType="solid">
        <fgColor rgb="FF8C959F"/>
        <bgColor rgb="FF878787"/>
      </patternFill>
    </fill>
    <fill>
      <patternFill patternType="solid">
        <fgColor rgb="FFDCE3EE"/>
        <bgColor rgb="FFD6E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8"/>
      </left>
      <right style="thin">
        <color rgb="FFC8CED8"/>
      </right>
      <top style="thin">
        <color rgb="FFC8CED8"/>
      </top>
      <bottom style="thin">
        <color rgb="FFC8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6FEB"/>
      </font>
    </dxf>
    <dxf>
      <font>
        <name val="Arial"/>
        <charset val="1"/>
        <family val="0"/>
        <b val="1"/>
        <color rgb="FFD9730D"/>
      </font>
    </dxf>
    <dxf>
      <font>
        <name val="Arial"/>
        <charset val="1"/>
        <family val="0"/>
        <b val="1"/>
        <color rgb="FFC00000"/>
        <sz val="16"/>
      </font>
    </dxf>
    <dxf>
      <font>
        <name val="Arial"/>
        <charset val="1"/>
        <family val="0"/>
        <b val="1"/>
        <color rgb="FFC00000"/>
      </font>
    </dxf>
    <dxf>
      <fill>
        <patternFill>
          <bgColor rgb="FFD6E3FF"/>
        </patternFill>
      </fill>
    </dxf>
    <dxf>
      <font>
        <name val="Arial"/>
        <charset val="1"/>
        <family val="0"/>
        <color rgb="FF808080"/>
      </font>
      <fill>
        <patternFill>
          <bgColor rgb="FFF0F0F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1A7F37"/>
      </font>
    </dxf>
    <dxf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7F37"/>
      <rgbColor rgb="FF000080"/>
      <rgbColor rgb="FF808000"/>
      <rgbColor rgb="FF800080"/>
      <rgbColor rgb="FF008080"/>
      <rgbColor rgb="FFD9D9D9"/>
      <rgbColor rgb="FF808080"/>
      <rgbColor rgb="FF878787"/>
      <rgbColor rgb="FF993366"/>
      <rgbColor rgb="FFFFF9DB"/>
      <rgbColor rgb="FFEEF2F8"/>
      <rgbColor rgb="FF660066"/>
      <rgbColor rgb="FFFF8080"/>
      <rgbColor rgb="FF0066CC"/>
      <rgbColor rgb="FFC8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3FF"/>
      <rgbColor rgb="FFF0F0F0"/>
      <rgbColor rgb="FFFFEB9C"/>
      <rgbColor rgb="FFDCE3EE"/>
      <rgbColor rgb="FFFDE2E1"/>
      <rgbColor rgb="FFCC99FF"/>
      <rgbColor rgb="FFF8D7DA"/>
      <rgbColor rgb="FF1F6FEB"/>
      <rgbColor rgb="FF33CCCC"/>
      <rgbColor rgb="FF99CC00"/>
      <rgbColor rgb="FFFFCC00"/>
      <rgbColor rgb="FFFF9900"/>
      <rgbColor rgb="FFD9730D"/>
      <rgbColor rgb="FF6E7781"/>
      <rgbColor rgb="FF8C959F"/>
      <rgbColor rgb="FF003366"/>
      <rgbColor rgb="FF339966"/>
      <rgbColor rgb="FF003300"/>
      <rgbColor rgb="FF555555"/>
      <rgbColor rgb="FF9C5700"/>
      <rgbColor rgb="FF993366"/>
      <rgbColor rgb="FF1F4E8C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month - 2026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'2026 Dashboard'!L8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 Dashboard'!$B$9:$B$20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'2026 Dashboard'!$L$9:$L$20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'2026 Dashboard'!M8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 Dashboard'!$B$9:$B$20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'2026 Dashboard'!$M$9:$M$20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'2026 Dashboard'!N8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 Dashboard'!$B$9:$B$20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'2026 Dashboard'!$N$9:$N$20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24657241"/>
        <c:axId val="38648137"/>
      </c:barChart>
      <c:catAx>
        <c:axId val="24657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48137"/>
        <c:crosses val="autoZero"/>
        <c:auto val="1"/>
        <c:lblAlgn val="ctr"/>
        <c:lblOffset val="100"/>
        <c:noMultiLvlLbl val="0"/>
      </c:catAx>
      <c:valAx>
        <c:axId val="3864813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572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week - January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January!AF9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January!$L$10:$L$15</c:f>
              <c:strCache>
                <c:ptCount val="6"/>
                <c:pt idx="0">
                  <c:v>Week 1 (1–4)</c:v>
                </c:pt>
                <c:pt idx="1">
                  <c:v>Week 2 (5–11)</c:v>
                </c:pt>
                <c:pt idx="2">
                  <c:v>Week 3 (12–18)</c:v>
                </c:pt>
                <c:pt idx="3">
                  <c:v>Week 4 (19–25)</c:v>
                </c:pt>
                <c:pt idx="4">
                  <c:v>Week 5 (26–31)</c:v>
                </c:pt>
                <c:pt idx="5">
                  <c:v>Week 6</c:v>
                </c:pt>
              </c:strCache>
            </c:strRef>
          </c:cat>
          <c:val>
            <c:numRef>
              <c:f>January!$AF$10:$AF$15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January!AG9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January!$L$10:$L$15</c:f>
              <c:strCache>
                <c:ptCount val="6"/>
                <c:pt idx="0">
                  <c:v>Week 1 (1–4)</c:v>
                </c:pt>
                <c:pt idx="1">
                  <c:v>Week 2 (5–11)</c:v>
                </c:pt>
                <c:pt idx="2">
                  <c:v>Week 3 (12–18)</c:v>
                </c:pt>
                <c:pt idx="3">
                  <c:v>Week 4 (19–25)</c:v>
                </c:pt>
                <c:pt idx="4">
                  <c:v>Week 5 (26–31)</c:v>
                </c:pt>
                <c:pt idx="5">
                  <c:v>Week 6</c:v>
                </c:pt>
              </c:strCache>
            </c:strRef>
          </c:cat>
          <c:val>
            <c:numRef>
              <c:f>January!$AG$10:$AG$15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January!AH9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January!$L$10:$L$15</c:f>
              <c:strCache>
                <c:ptCount val="6"/>
                <c:pt idx="0">
                  <c:v>Week 1 (1–4)</c:v>
                </c:pt>
                <c:pt idx="1">
                  <c:v>Week 2 (5–11)</c:v>
                </c:pt>
                <c:pt idx="2">
                  <c:v>Week 3 (12–18)</c:v>
                </c:pt>
                <c:pt idx="3">
                  <c:v>Week 4 (19–25)</c:v>
                </c:pt>
                <c:pt idx="4">
                  <c:v>Week 5 (26–31)</c:v>
                </c:pt>
                <c:pt idx="5">
                  <c:v>Week 6</c:v>
                </c:pt>
              </c:strCache>
            </c:strRef>
          </c:cat>
          <c:val>
            <c:numRef>
              <c:f>January!$AH$10:$AH$15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76558973"/>
        <c:axId val="38104491"/>
      </c:barChart>
      <c:catAx>
        <c:axId val="76558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04491"/>
        <c:crosses val="autoZero"/>
        <c:auto val="1"/>
        <c:lblAlgn val="ctr"/>
        <c:lblOffset val="100"/>
        <c:noMultiLvlLbl val="0"/>
      </c:catAx>
      <c:valAx>
        <c:axId val="3810449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589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week - February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February!AF9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February!$L$10:$L$15</c:f>
              <c:strCache>
                <c:ptCount val="6"/>
                <c:pt idx="0">
                  <c:v>Week 1 (1–1)</c:v>
                </c:pt>
                <c:pt idx="1">
                  <c:v>Week 2 (2–8)</c:v>
                </c:pt>
                <c:pt idx="2">
                  <c:v>Week 3 (9–15)</c:v>
                </c:pt>
                <c:pt idx="3">
                  <c:v>Week 4 (16–22)</c:v>
                </c:pt>
                <c:pt idx="4">
                  <c:v>Week 5 (23–28)</c:v>
                </c:pt>
                <c:pt idx="5">
                  <c:v>Week 6</c:v>
                </c:pt>
              </c:strCache>
            </c:strRef>
          </c:cat>
          <c:val>
            <c:numRef>
              <c:f>February!$AF$10:$AF$15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February!AG9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February!$L$10:$L$15</c:f>
              <c:strCache>
                <c:ptCount val="6"/>
                <c:pt idx="0">
                  <c:v>Week 1 (1–1)</c:v>
                </c:pt>
                <c:pt idx="1">
                  <c:v>Week 2 (2–8)</c:v>
                </c:pt>
                <c:pt idx="2">
                  <c:v>Week 3 (9–15)</c:v>
                </c:pt>
                <c:pt idx="3">
                  <c:v>Week 4 (16–22)</c:v>
                </c:pt>
                <c:pt idx="4">
                  <c:v>Week 5 (23–28)</c:v>
                </c:pt>
                <c:pt idx="5">
                  <c:v>Week 6</c:v>
                </c:pt>
              </c:strCache>
            </c:strRef>
          </c:cat>
          <c:val>
            <c:numRef>
              <c:f>February!$AG$10:$AG$15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February!AH9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February!$L$10:$L$15</c:f>
              <c:strCache>
                <c:ptCount val="6"/>
                <c:pt idx="0">
                  <c:v>Week 1 (1–1)</c:v>
                </c:pt>
                <c:pt idx="1">
                  <c:v>Week 2 (2–8)</c:v>
                </c:pt>
                <c:pt idx="2">
                  <c:v>Week 3 (9–15)</c:v>
                </c:pt>
                <c:pt idx="3">
                  <c:v>Week 4 (16–22)</c:v>
                </c:pt>
                <c:pt idx="4">
                  <c:v>Week 5 (23–28)</c:v>
                </c:pt>
                <c:pt idx="5">
                  <c:v>Week 6</c:v>
                </c:pt>
              </c:strCache>
            </c:strRef>
          </c:cat>
          <c:val>
            <c:numRef>
              <c:f>February!$AH$10:$AH$15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3402442"/>
        <c:axId val="88135969"/>
      </c:barChart>
      <c:catAx>
        <c:axId val="34024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35969"/>
        <c:crosses val="autoZero"/>
        <c:auto val="1"/>
        <c:lblAlgn val="ctr"/>
        <c:lblOffset val="100"/>
        <c:noMultiLvlLbl val="0"/>
      </c:catAx>
      <c:valAx>
        <c:axId val="8813596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24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week - March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March!AF9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March!$L$10:$L$15</c:f>
              <c:strCache>
                <c:ptCount val="6"/>
                <c:pt idx="0">
                  <c:v>Week 1 (1–1)</c:v>
                </c:pt>
                <c:pt idx="1">
                  <c:v>Week 2 (2–8)</c:v>
                </c:pt>
                <c:pt idx="2">
                  <c:v>Week 3 (9–15)</c:v>
                </c:pt>
                <c:pt idx="3">
                  <c:v>Week 4 (16–22)</c:v>
                </c:pt>
                <c:pt idx="4">
                  <c:v>Week 5 (23–29)</c:v>
                </c:pt>
                <c:pt idx="5">
                  <c:v>Week 6 (30–31)</c:v>
                </c:pt>
              </c:strCache>
            </c:strRef>
          </c:cat>
          <c:val>
            <c:numRef>
              <c:f>March!$AF$10:$AF$15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March!AG9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March!$L$10:$L$15</c:f>
              <c:strCache>
                <c:ptCount val="6"/>
                <c:pt idx="0">
                  <c:v>Week 1 (1–1)</c:v>
                </c:pt>
                <c:pt idx="1">
                  <c:v>Week 2 (2–8)</c:v>
                </c:pt>
                <c:pt idx="2">
                  <c:v>Week 3 (9–15)</c:v>
                </c:pt>
                <c:pt idx="3">
                  <c:v>Week 4 (16–22)</c:v>
                </c:pt>
                <c:pt idx="4">
                  <c:v>Week 5 (23–29)</c:v>
                </c:pt>
                <c:pt idx="5">
                  <c:v>Week 6 (30–31)</c:v>
                </c:pt>
              </c:strCache>
            </c:strRef>
          </c:cat>
          <c:val>
            <c:numRef>
              <c:f>March!$AG$10:$AG$15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March!AH9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March!$L$10:$L$15</c:f>
              <c:strCache>
                <c:ptCount val="6"/>
                <c:pt idx="0">
                  <c:v>Week 1 (1–1)</c:v>
                </c:pt>
                <c:pt idx="1">
                  <c:v>Week 2 (2–8)</c:v>
                </c:pt>
                <c:pt idx="2">
                  <c:v>Week 3 (9–15)</c:v>
                </c:pt>
                <c:pt idx="3">
                  <c:v>Week 4 (16–22)</c:v>
                </c:pt>
                <c:pt idx="4">
                  <c:v>Week 5 (23–29)</c:v>
                </c:pt>
                <c:pt idx="5">
                  <c:v>Week 6 (30–31)</c:v>
                </c:pt>
              </c:strCache>
            </c:strRef>
          </c:cat>
          <c:val>
            <c:numRef>
              <c:f>March!$AH$10:$AH$15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26246606"/>
        <c:axId val="74666709"/>
      </c:barChart>
      <c:catAx>
        <c:axId val="262466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66709"/>
        <c:crosses val="autoZero"/>
        <c:auto val="1"/>
        <c:lblAlgn val="ctr"/>
        <c:lblOffset val="100"/>
        <c:noMultiLvlLbl val="0"/>
      </c:catAx>
      <c:valAx>
        <c:axId val="7466670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466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week - April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April!AF9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April!$L$10:$L$15</c:f>
              <c:strCache>
                <c:ptCount val="6"/>
                <c:pt idx="0">
                  <c:v>Week 1 (1–5)</c:v>
                </c:pt>
                <c:pt idx="1">
                  <c:v>Week 2 (6–12)</c:v>
                </c:pt>
                <c:pt idx="2">
                  <c:v>Week 3 (13–19)</c:v>
                </c:pt>
                <c:pt idx="3">
                  <c:v>Week 4 (20–26)</c:v>
                </c:pt>
                <c:pt idx="4">
                  <c:v>Week 5 (27–30)</c:v>
                </c:pt>
                <c:pt idx="5">
                  <c:v>Week 6</c:v>
                </c:pt>
              </c:strCache>
            </c:strRef>
          </c:cat>
          <c:val>
            <c:numRef>
              <c:f>April!$AF$10:$AF$15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April!AG9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April!$L$10:$L$15</c:f>
              <c:strCache>
                <c:ptCount val="6"/>
                <c:pt idx="0">
                  <c:v>Week 1 (1–5)</c:v>
                </c:pt>
                <c:pt idx="1">
                  <c:v>Week 2 (6–12)</c:v>
                </c:pt>
                <c:pt idx="2">
                  <c:v>Week 3 (13–19)</c:v>
                </c:pt>
                <c:pt idx="3">
                  <c:v>Week 4 (20–26)</c:v>
                </c:pt>
                <c:pt idx="4">
                  <c:v>Week 5 (27–30)</c:v>
                </c:pt>
                <c:pt idx="5">
                  <c:v>Week 6</c:v>
                </c:pt>
              </c:strCache>
            </c:strRef>
          </c:cat>
          <c:val>
            <c:numRef>
              <c:f>April!$AG$10:$AG$15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April!AH9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April!$L$10:$L$15</c:f>
              <c:strCache>
                <c:ptCount val="6"/>
                <c:pt idx="0">
                  <c:v>Week 1 (1–5)</c:v>
                </c:pt>
                <c:pt idx="1">
                  <c:v>Week 2 (6–12)</c:v>
                </c:pt>
                <c:pt idx="2">
                  <c:v>Week 3 (13–19)</c:v>
                </c:pt>
                <c:pt idx="3">
                  <c:v>Week 4 (20–26)</c:v>
                </c:pt>
                <c:pt idx="4">
                  <c:v>Week 5 (27–30)</c:v>
                </c:pt>
                <c:pt idx="5">
                  <c:v>Week 6</c:v>
                </c:pt>
              </c:strCache>
            </c:strRef>
          </c:cat>
          <c:val>
            <c:numRef>
              <c:f>April!$AH$10:$AH$15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7929672"/>
        <c:axId val="75993639"/>
      </c:barChart>
      <c:catAx>
        <c:axId val="792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93639"/>
        <c:crosses val="autoZero"/>
        <c:auto val="1"/>
        <c:lblAlgn val="ctr"/>
        <c:lblOffset val="100"/>
        <c:noMultiLvlLbl val="0"/>
      </c:catAx>
      <c:valAx>
        <c:axId val="7599363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96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week - May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May!AF9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May!$L$10:$L$15</c:f>
              <c:strCache>
                <c:ptCount val="6"/>
                <c:pt idx="0">
                  <c:v>Week 1 (1–3)</c:v>
                </c:pt>
                <c:pt idx="1">
                  <c:v>Week 2 (4–10)</c:v>
                </c:pt>
                <c:pt idx="2">
                  <c:v>Week 3 (11–17)</c:v>
                </c:pt>
                <c:pt idx="3">
                  <c:v>Week 4 (18–24)</c:v>
                </c:pt>
                <c:pt idx="4">
                  <c:v>Week 5 (25–31)</c:v>
                </c:pt>
                <c:pt idx="5">
                  <c:v>Week 6</c:v>
                </c:pt>
              </c:strCache>
            </c:strRef>
          </c:cat>
          <c:val>
            <c:numRef>
              <c:f>May!$AF$10:$AF$15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May!AG9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May!$L$10:$L$15</c:f>
              <c:strCache>
                <c:ptCount val="6"/>
                <c:pt idx="0">
                  <c:v>Week 1 (1–3)</c:v>
                </c:pt>
                <c:pt idx="1">
                  <c:v>Week 2 (4–10)</c:v>
                </c:pt>
                <c:pt idx="2">
                  <c:v>Week 3 (11–17)</c:v>
                </c:pt>
                <c:pt idx="3">
                  <c:v>Week 4 (18–24)</c:v>
                </c:pt>
                <c:pt idx="4">
                  <c:v>Week 5 (25–31)</c:v>
                </c:pt>
                <c:pt idx="5">
                  <c:v>Week 6</c:v>
                </c:pt>
              </c:strCache>
            </c:strRef>
          </c:cat>
          <c:val>
            <c:numRef>
              <c:f>May!$AG$10:$AG$15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May!AH9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May!$L$10:$L$15</c:f>
              <c:strCache>
                <c:ptCount val="6"/>
                <c:pt idx="0">
                  <c:v>Week 1 (1–3)</c:v>
                </c:pt>
                <c:pt idx="1">
                  <c:v>Week 2 (4–10)</c:v>
                </c:pt>
                <c:pt idx="2">
                  <c:v>Week 3 (11–17)</c:v>
                </c:pt>
                <c:pt idx="3">
                  <c:v>Week 4 (18–24)</c:v>
                </c:pt>
                <c:pt idx="4">
                  <c:v>Week 5 (25–31)</c:v>
                </c:pt>
                <c:pt idx="5">
                  <c:v>Week 6</c:v>
                </c:pt>
              </c:strCache>
            </c:strRef>
          </c:cat>
          <c:val>
            <c:numRef>
              <c:f>May!$AH$10:$AH$15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38391157"/>
        <c:axId val="47557875"/>
      </c:barChart>
      <c:catAx>
        <c:axId val="383911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57875"/>
        <c:crosses val="autoZero"/>
        <c:auto val="1"/>
        <c:lblAlgn val="ctr"/>
        <c:lblOffset val="100"/>
        <c:noMultiLvlLbl val="0"/>
      </c:catAx>
      <c:valAx>
        <c:axId val="4755787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911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week - June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June!AF9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June!$L$10:$L$15</c:f>
              <c:strCache>
                <c:ptCount val="6"/>
                <c:pt idx="0">
                  <c:v>Week 1 (1–7)</c:v>
                </c:pt>
                <c:pt idx="1">
                  <c:v>Week 2 (8–14)</c:v>
                </c:pt>
                <c:pt idx="2">
                  <c:v>Week 3 (15–21)</c:v>
                </c:pt>
                <c:pt idx="3">
                  <c:v>Week 4 (22–28)</c:v>
                </c:pt>
                <c:pt idx="4">
                  <c:v>Week 5 (29–30)</c:v>
                </c:pt>
                <c:pt idx="5">
                  <c:v>Week 6</c:v>
                </c:pt>
              </c:strCache>
            </c:strRef>
          </c:cat>
          <c:val>
            <c:numRef>
              <c:f>June!$AF$10:$AF$15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June!AG9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June!$L$10:$L$15</c:f>
              <c:strCache>
                <c:ptCount val="6"/>
                <c:pt idx="0">
                  <c:v>Week 1 (1–7)</c:v>
                </c:pt>
                <c:pt idx="1">
                  <c:v>Week 2 (8–14)</c:v>
                </c:pt>
                <c:pt idx="2">
                  <c:v>Week 3 (15–21)</c:v>
                </c:pt>
                <c:pt idx="3">
                  <c:v>Week 4 (22–28)</c:v>
                </c:pt>
                <c:pt idx="4">
                  <c:v>Week 5 (29–30)</c:v>
                </c:pt>
                <c:pt idx="5">
                  <c:v>Week 6</c:v>
                </c:pt>
              </c:strCache>
            </c:strRef>
          </c:cat>
          <c:val>
            <c:numRef>
              <c:f>June!$AG$10:$AG$15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June!AH9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June!$L$10:$L$15</c:f>
              <c:strCache>
                <c:ptCount val="6"/>
                <c:pt idx="0">
                  <c:v>Week 1 (1–7)</c:v>
                </c:pt>
                <c:pt idx="1">
                  <c:v>Week 2 (8–14)</c:v>
                </c:pt>
                <c:pt idx="2">
                  <c:v>Week 3 (15–21)</c:v>
                </c:pt>
                <c:pt idx="3">
                  <c:v>Week 4 (22–28)</c:v>
                </c:pt>
                <c:pt idx="4">
                  <c:v>Week 5 (29–30)</c:v>
                </c:pt>
                <c:pt idx="5">
                  <c:v>Week 6</c:v>
                </c:pt>
              </c:strCache>
            </c:strRef>
          </c:cat>
          <c:val>
            <c:numRef>
              <c:f>June!$AH$10:$AH$15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66275164"/>
        <c:axId val="68982272"/>
      </c:barChart>
      <c:catAx>
        <c:axId val="662751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82272"/>
        <c:crosses val="autoZero"/>
        <c:auto val="1"/>
        <c:lblAlgn val="ctr"/>
        <c:lblOffset val="100"/>
        <c:noMultiLvlLbl val="0"/>
      </c:catAx>
      <c:valAx>
        <c:axId val="6898227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751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week - July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July!AF9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July!$L$10:$L$15</c:f>
              <c:strCache>
                <c:ptCount val="6"/>
                <c:pt idx="0">
                  <c:v>Week 1 (1–5)</c:v>
                </c:pt>
                <c:pt idx="1">
                  <c:v>Week 2 (6–12)</c:v>
                </c:pt>
                <c:pt idx="2">
                  <c:v>Week 3 (13–19)</c:v>
                </c:pt>
                <c:pt idx="3">
                  <c:v>Week 4 (20–26)</c:v>
                </c:pt>
                <c:pt idx="4">
                  <c:v>Week 5 (27–31)</c:v>
                </c:pt>
                <c:pt idx="5">
                  <c:v>Week 6</c:v>
                </c:pt>
              </c:strCache>
            </c:strRef>
          </c:cat>
          <c:val>
            <c:numRef>
              <c:f>July!$AF$10:$AF$15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July!AG9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July!$L$10:$L$15</c:f>
              <c:strCache>
                <c:ptCount val="6"/>
                <c:pt idx="0">
                  <c:v>Week 1 (1–5)</c:v>
                </c:pt>
                <c:pt idx="1">
                  <c:v>Week 2 (6–12)</c:v>
                </c:pt>
                <c:pt idx="2">
                  <c:v>Week 3 (13–19)</c:v>
                </c:pt>
                <c:pt idx="3">
                  <c:v>Week 4 (20–26)</c:v>
                </c:pt>
                <c:pt idx="4">
                  <c:v>Week 5 (27–31)</c:v>
                </c:pt>
                <c:pt idx="5">
                  <c:v>Week 6</c:v>
                </c:pt>
              </c:strCache>
            </c:strRef>
          </c:cat>
          <c:val>
            <c:numRef>
              <c:f>July!$AG$10:$AG$15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July!AH9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July!$L$10:$L$15</c:f>
              <c:strCache>
                <c:ptCount val="6"/>
                <c:pt idx="0">
                  <c:v>Week 1 (1–5)</c:v>
                </c:pt>
                <c:pt idx="1">
                  <c:v>Week 2 (6–12)</c:v>
                </c:pt>
                <c:pt idx="2">
                  <c:v>Week 3 (13–19)</c:v>
                </c:pt>
                <c:pt idx="3">
                  <c:v>Week 4 (20–26)</c:v>
                </c:pt>
                <c:pt idx="4">
                  <c:v>Week 5 (27–31)</c:v>
                </c:pt>
                <c:pt idx="5">
                  <c:v>Week 6</c:v>
                </c:pt>
              </c:strCache>
            </c:strRef>
          </c:cat>
          <c:val>
            <c:numRef>
              <c:f>July!$AH$10:$AH$15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70536420"/>
        <c:axId val="17476269"/>
      </c:barChart>
      <c:catAx>
        <c:axId val="705364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76269"/>
        <c:crosses val="autoZero"/>
        <c:auto val="1"/>
        <c:lblAlgn val="ctr"/>
        <c:lblOffset val="100"/>
        <c:noMultiLvlLbl val="0"/>
      </c:catAx>
      <c:valAx>
        <c:axId val="1747626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364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week - August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August!AF9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August!$L$10:$L$15</c:f>
              <c:strCache>
                <c:ptCount val="6"/>
                <c:pt idx="0">
                  <c:v>Week 1 (1–2)</c:v>
                </c:pt>
                <c:pt idx="1">
                  <c:v>Week 2 (3–9)</c:v>
                </c:pt>
                <c:pt idx="2">
                  <c:v>Week 3 (10–16)</c:v>
                </c:pt>
                <c:pt idx="3">
                  <c:v>Week 4 (17–23)</c:v>
                </c:pt>
                <c:pt idx="4">
                  <c:v>Week 5 (24–30)</c:v>
                </c:pt>
                <c:pt idx="5">
                  <c:v>Week 6 (31–31)</c:v>
                </c:pt>
              </c:strCache>
            </c:strRef>
          </c:cat>
          <c:val>
            <c:numRef>
              <c:f>August!$AF$10:$AF$15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August!AG9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August!$L$10:$L$15</c:f>
              <c:strCache>
                <c:ptCount val="6"/>
                <c:pt idx="0">
                  <c:v>Week 1 (1–2)</c:v>
                </c:pt>
                <c:pt idx="1">
                  <c:v>Week 2 (3–9)</c:v>
                </c:pt>
                <c:pt idx="2">
                  <c:v>Week 3 (10–16)</c:v>
                </c:pt>
                <c:pt idx="3">
                  <c:v>Week 4 (17–23)</c:v>
                </c:pt>
                <c:pt idx="4">
                  <c:v>Week 5 (24–30)</c:v>
                </c:pt>
                <c:pt idx="5">
                  <c:v>Week 6 (31–31)</c:v>
                </c:pt>
              </c:strCache>
            </c:strRef>
          </c:cat>
          <c:val>
            <c:numRef>
              <c:f>August!$AG$10:$AG$15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August!AH9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August!$L$10:$L$15</c:f>
              <c:strCache>
                <c:ptCount val="6"/>
                <c:pt idx="0">
                  <c:v>Week 1 (1–2)</c:v>
                </c:pt>
                <c:pt idx="1">
                  <c:v>Week 2 (3–9)</c:v>
                </c:pt>
                <c:pt idx="2">
                  <c:v>Week 3 (10–16)</c:v>
                </c:pt>
                <c:pt idx="3">
                  <c:v>Week 4 (17–23)</c:v>
                </c:pt>
                <c:pt idx="4">
                  <c:v>Week 5 (24–30)</c:v>
                </c:pt>
                <c:pt idx="5">
                  <c:v>Week 6 (31–31)</c:v>
                </c:pt>
              </c:strCache>
            </c:strRef>
          </c:cat>
          <c:val>
            <c:numRef>
              <c:f>August!$AH$10:$AH$15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21035469"/>
        <c:axId val="14809518"/>
      </c:barChart>
      <c:catAx>
        <c:axId val="210354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09518"/>
        <c:crosses val="autoZero"/>
        <c:auto val="1"/>
        <c:lblAlgn val="ctr"/>
        <c:lblOffset val="100"/>
        <c:noMultiLvlLbl val="0"/>
      </c:catAx>
      <c:valAx>
        <c:axId val="1480951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354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week - September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September!AF9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September!$L$10:$L$15</c:f>
              <c:strCache>
                <c:ptCount val="6"/>
                <c:pt idx="0">
                  <c:v>Week 1 (1–6)</c:v>
                </c:pt>
                <c:pt idx="1">
                  <c:v>Week 2 (7–13)</c:v>
                </c:pt>
                <c:pt idx="2">
                  <c:v>Week 3 (14–20)</c:v>
                </c:pt>
                <c:pt idx="3">
                  <c:v>Week 4 (21–27)</c:v>
                </c:pt>
                <c:pt idx="4">
                  <c:v>Week 5 (28–30)</c:v>
                </c:pt>
                <c:pt idx="5">
                  <c:v>Week 6</c:v>
                </c:pt>
              </c:strCache>
            </c:strRef>
          </c:cat>
          <c:val>
            <c:numRef>
              <c:f>September!$AF$10:$AF$15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September!AG9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September!$L$10:$L$15</c:f>
              <c:strCache>
                <c:ptCount val="6"/>
                <c:pt idx="0">
                  <c:v>Week 1 (1–6)</c:v>
                </c:pt>
                <c:pt idx="1">
                  <c:v>Week 2 (7–13)</c:v>
                </c:pt>
                <c:pt idx="2">
                  <c:v>Week 3 (14–20)</c:v>
                </c:pt>
                <c:pt idx="3">
                  <c:v>Week 4 (21–27)</c:v>
                </c:pt>
                <c:pt idx="4">
                  <c:v>Week 5 (28–30)</c:v>
                </c:pt>
                <c:pt idx="5">
                  <c:v>Week 6</c:v>
                </c:pt>
              </c:strCache>
            </c:strRef>
          </c:cat>
          <c:val>
            <c:numRef>
              <c:f>September!$AG$10:$AG$15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September!AH9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September!$L$10:$L$15</c:f>
              <c:strCache>
                <c:ptCount val="6"/>
                <c:pt idx="0">
                  <c:v>Week 1 (1–6)</c:v>
                </c:pt>
                <c:pt idx="1">
                  <c:v>Week 2 (7–13)</c:v>
                </c:pt>
                <c:pt idx="2">
                  <c:v>Week 3 (14–20)</c:v>
                </c:pt>
                <c:pt idx="3">
                  <c:v>Week 4 (21–27)</c:v>
                </c:pt>
                <c:pt idx="4">
                  <c:v>Week 5 (28–30)</c:v>
                </c:pt>
                <c:pt idx="5">
                  <c:v>Week 6</c:v>
                </c:pt>
              </c:strCache>
            </c:strRef>
          </c:cat>
          <c:val>
            <c:numRef>
              <c:f>September!$AH$10:$AH$15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92341697"/>
        <c:axId val="64862215"/>
      </c:barChart>
      <c:catAx>
        <c:axId val="923416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62215"/>
        <c:crosses val="autoZero"/>
        <c:auto val="1"/>
        <c:lblAlgn val="ctr"/>
        <c:lblOffset val="100"/>
        <c:noMultiLvlLbl val="0"/>
      </c:catAx>
      <c:valAx>
        <c:axId val="6486221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416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week - October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October!AF9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October!$L$10:$L$15</c:f>
              <c:strCache>
                <c:ptCount val="6"/>
                <c:pt idx="0">
                  <c:v>Week 1 (1–4)</c:v>
                </c:pt>
                <c:pt idx="1">
                  <c:v>Week 2 (5–11)</c:v>
                </c:pt>
                <c:pt idx="2">
                  <c:v>Week 3 (12–18)</c:v>
                </c:pt>
                <c:pt idx="3">
                  <c:v>Week 4 (19–25)</c:v>
                </c:pt>
                <c:pt idx="4">
                  <c:v>Week 5 (26–31)</c:v>
                </c:pt>
                <c:pt idx="5">
                  <c:v>Week 6</c:v>
                </c:pt>
              </c:strCache>
            </c:strRef>
          </c:cat>
          <c:val>
            <c:numRef>
              <c:f>October!$AF$10:$AF$15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October!AG9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October!$L$10:$L$15</c:f>
              <c:strCache>
                <c:ptCount val="6"/>
                <c:pt idx="0">
                  <c:v>Week 1 (1–4)</c:v>
                </c:pt>
                <c:pt idx="1">
                  <c:v>Week 2 (5–11)</c:v>
                </c:pt>
                <c:pt idx="2">
                  <c:v>Week 3 (12–18)</c:v>
                </c:pt>
                <c:pt idx="3">
                  <c:v>Week 4 (19–25)</c:v>
                </c:pt>
                <c:pt idx="4">
                  <c:v>Week 5 (26–31)</c:v>
                </c:pt>
                <c:pt idx="5">
                  <c:v>Week 6</c:v>
                </c:pt>
              </c:strCache>
            </c:strRef>
          </c:cat>
          <c:val>
            <c:numRef>
              <c:f>October!$AG$10:$AG$15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October!AH9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October!$L$10:$L$15</c:f>
              <c:strCache>
                <c:ptCount val="6"/>
                <c:pt idx="0">
                  <c:v>Week 1 (1–4)</c:v>
                </c:pt>
                <c:pt idx="1">
                  <c:v>Week 2 (5–11)</c:v>
                </c:pt>
                <c:pt idx="2">
                  <c:v>Week 3 (12–18)</c:v>
                </c:pt>
                <c:pt idx="3">
                  <c:v>Week 4 (19–25)</c:v>
                </c:pt>
                <c:pt idx="4">
                  <c:v>Week 5 (26–31)</c:v>
                </c:pt>
                <c:pt idx="5">
                  <c:v>Week 6</c:v>
                </c:pt>
              </c:strCache>
            </c:strRef>
          </c:cat>
          <c:val>
            <c:numRef>
              <c:f>October!$AH$10:$AH$15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49131508"/>
        <c:axId val="93518954"/>
      </c:barChart>
      <c:catAx>
        <c:axId val="491315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18954"/>
        <c:crosses val="autoZero"/>
        <c:auto val="1"/>
        <c:lblAlgn val="ctr"/>
        <c:lblOffset val="100"/>
        <c:noMultiLvlLbl val="0"/>
      </c:catAx>
      <c:valAx>
        <c:axId val="935189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315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week - November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November!AF9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November!$L$10:$L$15</c:f>
              <c:strCache>
                <c:ptCount val="6"/>
                <c:pt idx="0">
                  <c:v>Week 1 (1–1)</c:v>
                </c:pt>
                <c:pt idx="1">
                  <c:v>Week 2 (2–8)</c:v>
                </c:pt>
                <c:pt idx="2">
                  <c:v>Week 3 (9–15)</c:v>
                </c:pt>
                <c:pt idx="3">
                  <c:v>Week 4 (16–22)</c:v>
                </c:pt>
                <c:pt idx="4">
                  <c:v>Week 5 (23–29)</c:v>
                </c:pt>
                <c:pt idx="5">
                  <c:v>Week 6 (30–30)</c:v>
                </c:pt>
              </c:strCache>
            </c:strRef>
          </c:cat>
          <c:val>
            <c:numRef>
              <c:f>November!$AF$10:$AF$15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November!AG9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November!$L$10:$L$15</c:f>
              <c:strCache>
                <c:ptCount val="6"/>
                <c:pt idx="0">
                  <c:v>Week 1 (1–1)</c:v>
                </c:pt>
                <c:pt idx="1">
                  <c:v>Week 2 (2–8)</c:v>
                </c:pt>
                <c:pt idx="2">
                  <c:v>Week 3 (9–15)</c:v>
                </c:pt>
                <c:pt idx="3">
                  <c:v>Week 4 (16–22)</c:v>
                </c:pt>
                <c:pt idx="4">
                  <c:v>Week 5 (23–29)</c:v>
                </c:pt>
                <c:pt idx="5">
                  <c:v>Week 6 (30–30)</c:v>
                </c:pt>
              </c:strCache>
            </c:strRef>
          </c:cat>
          <c:val>
            <c:numRef>
              <c:f>November!$AG$10:$AG$15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November!AH9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November!$L$10:$L$15</c:f>
              <c:strCache>
                <c:ptCount val="6"/>
                <c:pt idx="0">
                  <c:v>Week 1 (1–1)</c:v>
                </c:pt>
                <c:pt idx="1">
                  <c:v>Week 2 (2–8)</c:v>
                </c:pt>
                <c:pt idx="2">
                  <c:v>Week 3 (9–15)</c:v>
                </c:pt>
                <c:pt idx="3">
                  <c:v>Week 4 (16–22)</c:v>
                </c:pt>
                <c:pt idx="4">
                  <c:v>Week 5 (23–29)</c:v>
                </c:pt>
                <c:pt idx="5">
                  <c:v>Week 6 (30–30)</c:v>
                </c:pt>
              </c:strCache>
            </c:strRef>
          </c:cat>
          <c:val>
            <c:numRef>
              <c:f>November!$AH$10:$AH$15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89521719"/>
        <c:axId val="38295178"/>
      </c:barChart>
      <c:catAx>
        <c:axId val="89521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95178"/>
        <c:crosses val="autoZero"/>
        <c:auto val="1"/>
        <c:lblAlgn val="ctr"/>
        <c:lblOffset val="100"/>
        <c:noMultiLvlLbl val="0"/>
      </c:catAx>
      <c:valAx>
        <c:axId val="3829517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217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Hours per week - December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December!AF9</c:f>
              <c:strCache>
                <c:ptCount val="1"/>
                <c:pt idx="0">
                  <c:v>NTIME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December!$L$10:$L$15</c:f>
              <c:strCache>
                <c:ptCount val="6"/>
                <c:pt idx="0">
                  <c:v>Week 1 (1–6)</c:v>
                </c:pt>
                <c:pt idx="1">
                  <c:v>Week 2 (7–13)</c:v>
                </c:pt>
                <c:pt idx="2">
                  <c:v>Week 3 (14–20)</c:v>
                </c:pt>
                <c:pt idx="3">
                  <c:v>Week 4 (21–27)</c:v>
                </c:pt>
                <c:pt idx="4">
                  <c:v>Week 5 (28–31)</c:v>
                </c:pt>
                <c:pt idx="5">
                  <c:v>Week 6</c:v>
                </c:pt>
              </c:strCache>
            </c:strRef>
          </c:cat>
          <c:val>
            <c:numRef>
              <c:f>December!$AF$10:$AF$15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December!AG9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d9730d"/>
            </a:solidFill>
            <a:ln w="0">
              <a:solidFill>
                <a:srgbClr val="d9730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December!$L$10:$L$15</c:f>
              <c:strCache>
                <c:ptCount val="6"/>
                <c:pt idx="0">
                  <c:v>Week 1 (1–6)</c:v>
                </c:pt>
                <c:pt idx="1">
                  <c:v>Week 2 (7–13)</c:v>
                </c:pt>
                <c:pt idx="2">
                  <c:v>Week 3 (14–20)</c:v>
                </c:pt>
                <c:pt idx="3">
                  <c:v>Week 4 (21–27)</c:v>
                </c:pt>
                <c:pt idx="4">
                  <c:v>Week 5 (28–31)</c:v>
                </c:pt>
                <c:pt idx="5">
                  <c:v>Week 6</c:v>
                </c:pt>
              </c:strCache>
            </c:strRef>
          </c:cat>
          <c:val>
            <c:numRef>
              <c:f>December!$AG$10:$AG$15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December!AH9</c:f>
              <c:strCache>
                <c:ptCount val="1"/>
                <c:pt idx="0">
                  <c:v>Overhead</c:v>
                </c:pt>
              </c:strCache>
            </c:strRef>
          </c:tx>
          <c:spPr>
            <a:solidFill>
              <a:srgbClr val="8c959f"/>
            </a:solidFill>
            <a:ln w="0">
              <a:solidFill>
                <a:srgbClr val="8c959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December!$L$10:$L$15</c:f>
              <c:strCache>
                <c:ptCount val="6"/>
                <c:pt idx="0">
                  <c:v>Week 1 (1–6)</c:v>
                </c:pt>
                <c:pt idx="1">
                  <c:v>Week 2 (7–13)</c:v>
                </c:pt>
                <c:pt idx="2">
                  <c:v>Week 3 (14–20)</c:v>
                </c:pt>
                <c:pt idx="3">
                  <c:v>Week 4 (21–27)</c:v>
                </c:pt>
                <c:pt idx="4">
                  <c:v>Week 5 (28–31)</c:v>
                </c:pt>
                <c:pt idx="5">
                  <c:v>Week 6</c:v>
                </c:pt>
              </c:strCache>
            </c:strRef>
          </c:cat>
          <c:val>
            <c:numRef>
              <c:f>December!$AH$10:$AH$15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91359238"/>
        <c:axId val="150151"/>
      </c:barChart>
      <c:catAx>
        <c:axId val="913592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151"/>
        <c:crosses val="autoZero"/>
        <c:auto val="1"/>
        <c:lblAlgn val="ctr"/>
        <c:lblOffset val="100"/>
        <c:noMultiLvlLbl val="0"/>
      </c:catAx>
      <c:valAx>
        <c:axId val="15015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592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178920</xdr:rowOff>
    </xdr:from>
    <xdr:to>
      <xdr:col>9</xdr:col>
      <xdr:colOff>463680</xdr:colOff>
      <xdr:row>36</xdr:row>
      <xdr:rowOff>10440</xdr:rowOff>
    </xdr:to>
    <xdr:graphicFrame>
      <xdr:nvGraphicFramePr>
        <xdr:cNvPr id="0" name="Chart 1"/>
        <xdr:cNvGraphicFramePr/>
      </xdr:nvGraphicFramePr>
      <xdr:xfrm>
        <a:off x="141120" y="451476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16</xdr:row>
      <xdr:rowOff>100800</xdr:rowOff>
    </xdr:from>
    <xdr:to>
      <xdr:col>19</xdr:col>
      <xdr:colOff>25200</xdr:colOff>
      <xdr:row>30</xdr:row>
      <xdr:rowOff>133560</xdr:rowOff>
    </xdr:to>
    <xdr:graphicFrame>
      <xdr:nvGraphicFramePr>
        <xdr:cNvPr id="1" name="Chart 1"/>
        <xdr:cNvGraphicFramePr/>
      </xdr:nvGraphicFramePr>
      <xdr:xfrm>
        <a:off x="10854720" y="35622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16</xdr:row>
      <xdr:rowOff>100800</xdr:rowOff>
    </xdr:from>
    <xdr:to>
      <xdr:col>19</xdr:col>
      <xdr:colOff>25200</xdr:colOff>
      <xdr:row>30</xdr:row>
      <xdr:rowOff>133560</xdr:rowOff>
    </xdr:to>
    <xdr:graphicFrame>
      <xdr:nvGraphicFramePr>
        <xdr:cNvPr id="2" name="Chart 1"/>
        <xdr:cNvGraphicFramePr/>
      </xdr:nvGraphicFramePr>
      <xdr:xfrm>
        <a:off x="10854720" y="35622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16</xdr:row>
      <xdr:rowOff>100800</xdr:rowOff>
    </xdr:from>
    <xdr:to>
      <xdr:col>19</xdr:col>
      <xdr:colOff>25200</xdr:colOff>
      <xdr:row>30</xdr:row>
      <xdr:rowOff>133560</xdr:rowOff>
    </xdr:to>
    <xdr:graphicFrame>
      <xdr:nvGraphicFramePr>
        <xdr:cNvPr id="3" name="Chart 1"/>
        <xdr:cNvGraphicFramePr/>
      </xdr:nvGraphicFramePr>
      <xdr:xfrm>
        <a:off x="10854720" y="35622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16</xdr:row>
      <xdr:rowOff>100800</xdr:rowOff>
    </xdr:from>
    <xdr:to>
      <xdr:col>19</xdr:col>
      <xdr:colOff>25200</xdr:colOff>
      <xdr:row>30</xdr:row>
      <xdr:rowOff>133560</xdr:rowOff>
    </xdr:to>
    <xdr:graphicFrame>
      <xdr:nvGraphicFramePr>
        <xdr:cNvPr id="4" name="Chart 1"/>
        <xdr:cNvGraphicFramePr/>
      </xdr:nvGraphicFramePr>
      <xdr:xfrm>
        <a:off x="10854720" y="35622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16</xdr:row>
      <xdr:rowOff>100800</xdr:rowOff>
    </xdr:from>
    <xdr:to>
      <xdr:col>19</xdr:col>
      <xdr:colOff>25200</xdr:colOff>
      <xdr:row>30</xdr:row>
      <xdr:rowOff>133560</xdr:rowOff>
    </xdr:to>
    <xdr:graphicFrame>
      <xdr:nvGraphicFramePr>
        <xdr:cNvPr id="5" name="Chart 1"/>
        <xdr:cNvGraphicFramePr/>
      </xdr:nvGraphicFramePr>
      <xdr:xfrm>
        <a:off x="10854720" y="35622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16</xdr:row>
      <xdr:rowOff>100800</xdr:rowOff>
    </xdr:from>
    <xdr:to>
      <xdr:col>19</xdr:col>
      <xdr:colOff>25200</xdr:colOff>
      <xdr:row>30</xdr:row>
      <xdr:rowOff>133560</xdr:rowOff>
    </xdr:to>
    <xdr:graphicFrame>
      <xdr:nvGraphicFramePr>
        <xdr:cNvPr id="6" name="Chart 1"/>
        <xdr:cNvGraphicFramePr/>
      </xdr:nvGraphicFramePr>
      <xdr:xfrm>
        <a:off x="10854720" y="35622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16</xdr:row>
      <xdr:rowOff>100800</xdr:rowOff>
    </xdr:from>
    <xdr:to>
      <xdr:col>19</xdr:col>
      <xdr:colOff>25200</xdr:colOff>
      <xdr:row>30</xdr:row>
      <xdr:rowOff>133560</xdr:rowOff>
    </xdr:to>
    <xdr:graphicFrame>
      <xdr:nvGraphicFramePr>
        <xdr:cNvPr id="7" name="Chart 1"/>
        <xdr:cNvGraphicFramePr/>
      </xdr:nvGraphicFramePr>
      <xdr:xfrm>
        <a:off x="10854720" y="35622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16</xdr:row>
      <xdr:rowOff>100800</xdr:rowOff>
    </xdr:from>
    <xdr:to>
      <xdr:col>19</xdr:col>
      <xdr:colOff>25200</xdr:colOff>
      <xdr:row>30</xdr:row>
      <xdr:rowOff>133560</xdr:rowOff>
    </xdr:to>
    <xdr:graphicFrame>
      <xdr:nvGraphicFramePr>
        <xdr:cNvPr id="8" name="Chart 1"/>
        <xdr:cNvGraphicFramePr/>
      </xdr:nvGraphicFramePr>
      <xdr:xfrm>
        <a:off x="10854720" y="35622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16</xdr:row>
      <xdr:rowOff>100800</xdr:rowOff>
    </xdr:from>
    <xdr:to>
      <xdr:col>19</xdr:col>
      <xdr:colOff>25200</xdr:colOff>
      <xdr:row>30</xdr:row>
      <xdr:rowOff>133560</xdr:rowOff>
    </xdr:to>
    <xdr:graphicFrame>
      <xdr:nvGraphicFramePr>
        <xdr:cNvPr id="9" name="Chart 1"/>
        <xdr:cNvGraphicFramePr/>
      </xdr:nvGraphicFramePr>
      <xdr:xfrm>
        <a:off x="10854720" y="35622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16</xdr:row>
      <xdr:rowOff>100800</xdr:rowOff>
    </xdr:from>
    <xdr:to>
      <xdr:col>19</xdr:col>
      <xdr:colOff>25200</xdr:colOff>
      <xdr:row>30</xdr:row>
      <xdr:rowOff>133560</xdr:rowOff>
    </xdr:to>
    <xdr:graphicFrame>
      <xdr:nvGraphicFramePr>
        <xdr:cNvPr id="10" name="Chart 1"/>
        <xdr:cNvGraphicFramePr/>
      </xdr:nvGraphicFramePr>
      <xdr:xfrm>
        <a:off x="10854720" y="35622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16</xdr:row>
      <xdr:rowOff>100800</xdr:rowOff>
    </xdr:from>
    <xdr:to>
      <xdr:col>19</xdr:col>
      <xdr:colOff>25200</xdr:colOff>
      <xdr:row>30</xdr:row>
      <xdr:rowOff>133560</xdr:rowOff>
    </xdr:to>
    <xdr:graphicFrame>
      <xdr:nvGraphicFramePr>
        <xdr:cNvPr id="11" name="Chart 1"/>
        <xdr:cNvGraphicFramePr/>
      </xdr:nvGraphicFramePr>
      <xdr:xfrm>
        <a:off x="10854720" y="35622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16</xdr:row>
      <xdr:rowOff>100800</xdr:rowOff>
    </xdr:from>
    <xdr:to>
      <xdr:col>19</xdr:col>
      <xdr:colOff>25200</xdr:colOff>
      <xdr:row>30</xdr:row>
      <xdr:rowOff>133560</xdr:rowOff>
    </xdr:to>
    <xdr:graphicFrame>
      <xdr:nvGraphicFramePr>
        <xdr:cNvPr id="12" name="Chart 1"/>
        <xdr:cNvGraphicFramePr/>
      </xdr:nvGraphicFramePr>
      <xdr:xfrm>
        <a:off x="10854720" y="35622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Timesheet_2026.xlsx" TargetMode="External"/><Relationship Id="rId2" Type="http://schemas.openxmlformats.org/officeDocument/2006/relationships/hyperlink" Target="Timesheet_2026.xlsx" TargetMode="External"/><Relationship Id="rId3" Type="http://schemas.openxmlformats.org/officeDocument/2006/relationships/hyperlink" Target="Timesheet_2026.xlsx" TargetMode="External"/><Relationship Id="rId4" Type="http://schemas.openxmlformats.org/officeDocument/2006/relationships/hyperlink" Target="Timesheet_2026.xlsx" TargetMode="External"/><Relationship Id="rId5" Type="http://schemas.openxmlformats.org/officeDocument/2006/relationships/hyperlink" Target="Timesheet_2026.xlsx" TargetMode="External"/><Relationship Id="rId6" Type="http://schemas.openxmlformats.org/officeDocument/2006/relationships/hyperlink" Target="Timesheet_2026.xlsx" TargetMode="External"/><Relationship Id="rId7" Type="http://schemas.openxmlformats.org/officeDocument/2006/relationships/hyperlink" Target="Timesheet_2026.xlsx" TargetMode="External"/><Relationship Id="rId8" Type="http://schemas.openxmlformats.org/officeDocument/2006/relationships/hyperlink" Target="Timesheet_2026.xlsx" TargetMode="External"/><Relationship Id="rId9" Type="http://schemas.openxmlformats.org/officeDocument/2006/relationships/hyperlink" Target="Timesheet_2026.xlsx" TargetMode="External"/><Relationship Id="rId10" Type="http://schemas.openxmlformats.org/officeDocument/2006/relationships/hyperlink" Target="Timesheet_2026.xlsx" TargetMode="External"/><Relationship Id="rId11" Type="http://schemas.openxmlformats.org/officeDocument/2006/relationships/hyperlink" Target="Timesheet_2026.xlsx" TargetMode="External"/><Relationship Id="rId12" Type="http://schemas.openxmlformats.org/officeDocument/2006/relationships/hyperlink" Target="Timesheet_2026.xlsx" TargetMode="External"/><Relationship Id="rId1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34"/>
    <col collapsed="false" customWidth="true" hidden="false" outlineLevel="0" max="8" min="8" style="0" width="9"/>
    <col collapsed="false" customWidth="true" hidden="false" outlineLevel="0" max="9" min="9" style="0" width="8"/>
  </cols>
  <sheetData>
    <row r="1" customFormat="false" ht="22.05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"/>
      <c r="B4" s="4" t="s">
        <v>2</v>
      </c>
      <c r="C4" s="1"/>
      <c r="D4" s="1"/>
      <c r="E4" s="1"/>
      <c r="F4" s="1"/>
      <c r="G4" s="1"/>
      <c r="H4" s="1"/>
      <c r="I4" s="1"/>
    </row>
    <row r="5" customFormat="false" ht="15" hidden="false" customHeight="false" outlineLevel="0" collapsed="false">
      <c r="A5" s="1"/>
      <c r="B5" s="5" t="s">
        <v>3</v>
      </c>
      <c r="C5" s="6" t="s">
        <v>4</v>
      </c>
      <c r="D5" s="1"/>
      <c r="E5" s="1"/>
      <c r="F5" s="1"/>
      <c r="G5" s="1"/>
      <c r="H5" s="1"/>
      <c r="I5" s="1"/>
    </row>
    <row r="6" customFormat="false" ht="15" hidden="false" customHeight="false" outlineLevel="0" collapsed="false">
      <c r="A6" s="1"/>
      <c r="B6" s="5" t="s">
        <v>5</v>
      </c>
      <c r="C6" s="6" t="s">
        <v>6</v>
      </c>
      <c r="D6" s="1"/>
      <c r="E6" s="1"/>
      <c r="F6" s="1"/>
      <c r="G6" s="1"/>
      <c r="H6" s="1"/>
      <c r="I6" s="1"/>
    </row>
    <row r="7" customFormat="false" ht="15" hidden="false" customHeight="false" outlineLevel="0" collapsed="false">
      <c r="A7" s="1"/>
      <c r="B7" s="5" t="s">
        <v>7</v>
      </c>
      <c r="C7" s="6" t="s">
        <v>8</v>
      </c>
      <c r="D7" s="1"/>
      <c r="E7" s="1"/>
      <c r="F7" s="1"/>
      <c r="G7" s="1"/>
      <c r="H7" s="1"/>
      <c r="I7" s="1"/>
    </row>
    <row r="8" customFormat="false" ht="15" hidden="false" customHeight="false" outlineLevel="0" collapsed="false">
      <c r="A8" s="1"/>
      <c r="B8" s="5"/>
      <c r="C8" s="6" t="s">
        <v>9</v>
      </c>
      <c r="D8" s="1"/>
      <c r="E8" s="1"/>
      <c r="F8" s="1"/>
      <c r="G8" s="1"/>
      <c r="H8" s="1"/>
      <c r="I8" s="1"/>
    </row>
    <row r="9" customFormat="false" ht="15" hidden="false" customHeight="false" outlineLevel="0" collapsed="false">
      <c r="A9" s="1"/>
      <c r="B9" s="5" t="s">
        <v>10</v>
      </c>
      <c r="C9" s="6" t="s">
        <v>11</v>
      </c>
      <c r="D9" s="1"/>
      <c r="E9" s="1"/>
      <c r="F9" s="1"/>
      <c r="G9" s="1"/>
      <c r="H9" s="1"/>
      <c r="I9" s="1"/>
    </row>
    <row r="10" customFormat="false" ht="15" hidden="false" customHeight="false" outlineLevel="0" collapsed="false">
      <c r="A10" s="1"/>
      <c r="B10" s="5" t="s">
        <v>12</v>
      </c>
      <c r="C10" s="6" t="s">
        <v>13</v>
      </c>
      <c r="D10" s="1"/>
      <c r="E10" s="1"/>
      <c r="F10" s="1"/>
      <c r="G10" s="1"/>
      <c r="H10" s="1"/>
      <c r="I10" s="1"/>
    </row>
    <row r="11" customFormat="false" ht="15" hidden="false" customHeight="false" outlineLevel="0" collapsed="false">
      <c r="A11" s="1"/>
      <c r="B11" s="5"/>
      <c r="C11" s="6"/>
      <c r="D11" s="1"/>
      <c r="E11" s="1"/>
      <c r="F11" s="1"/>
      <c r="G11" s="1"/>
      <c r="H11" s="1"/>
      <c r="I11" s="1"/>
    </row>
    <row r="12" customFormat="false" ht="15" hidden="false" customHeight="false" outlineLevel="0" collapsed="false">
      <c r="A12" s="1"/>
      <c r="B12" s="4" t="s">
        <v>14</v>
      </c>
      <c r="C12" s="1"/>
      <c r="D12" s="1"/>
      <c r="E12" s="1"/>
      <c r="F12" s="1"/>
      <c r="G12" s="1"/>
      <c r="H12" s="1"/>
      <c r="I12" s="1"/>
    </row>
    <row r="13" customFormat="false" ht="15" hidden="false" customHeight="false" outlineLevel="0" collapsed="false">
      <c r="A13" s="1"/>
      <c r="B13" s="5" t="s">
        <v>15</v>
      </c>
      <c r="C13" s="6" t="s">
        <v>16</v>
      </c>
      <c r="D13" s="1"/>
      <c r="E13" s="1"/>
      <c r="F13" s="1"/>
      <c r="G13" s="1"/>
      <c r="H13" s="1"/>
      <c r="I13" s="1"/>
    </row>
    <row r="14" customFormat="false" ht="15" hidden="false" customHeight="false" outlineLevel="0" collapsed="false">
      <c r="A14" s="1"/>
      <c r="B14" s="5"/>
      <c r="C14" s="6" t="s">
        <v>17</v>
      </c>
      <c r="D14" s="1"/>
      <c r="E14" s="1"/>
      <c r="F14" s="1"/>
      <c r="G14" s="1"/>
      <c r="H14" s="1"/>
      <c r="I14" s="1"/>
    </row>
    <row r="15" customFormat="false" ht="15" hidden="false" customHeight="false" outlineLevel="0" collapsed="false">
      <c r="A15" s="1"/>
      <c r="B15" s="5" t="s">
        <v>18</v>
      </c>
      <c r="C15" s="6" t="s">
        <v>19</v>
      </c>
      <c r="D15" s="1"/>
      <c r="E15" s="1"/>
      <c r="F15" s="1"/>
      <c r="G15" s="1"/>
      <c r="H15" s="1"/>
      <c r="I15" s="1"/>
    </row>
    <row r="16" customFormat="false" ht="15" hidden="false" customHeight="false" outlineLevel="0" collapsed="false">
      <c r="A16" s="1"/>
      <c r="B16" s="5" t="s">
        <v>20</v>
      </c>
      <c r="C16" s="6" t="s">
        <v>21</v>
      </c>
      <c r="D16" s="1"/>
      <c r="E16" s="1"/>
      <c r="F16" s="1"/>
      <c r="G16" s="1"/>
      <c r="H16" s="1"/>
      <c r="I16" s="1"/>
    </row>
    <row r="17" customFormat="false" ht="15" hidden="false" customHeight="false" outlineLevel="0" collapsed="false">
      <c r="A17" s="1"/>
      <c r="B17" s="5" t="s">
        <v>22</v>
      </c>
      <c r="C17" s="6" t="s">
        <v>23</v>
      </c>
      <c r="D17" s="1"/>
      <c r="E17" s="1"/>
      <c r="F17" s="1"/>
      <c r="G17" s="1"/>
      <c r="H17" s="1"/>
      <c r="I17" s="1"/>
    </row>
    <row r="18" customFormat="false" ht="15" hidden="false" customHeight="false" outlineLevel="0" collapsed="false">
      <c r="A18" s="1"/>
      <c r="B18" s="5" t="s">
        <v>24</v>
      </c>
      <c r="C18" s="6" t="s">
        <v>25</v>
      </c>
      <c r="D18" s="1"/>
      <c r="E18" s="1"/>
      <c r="F18" s="1"/>
      <c r="G18" s="1"/>
      <c r="H18" s="1"/>
      <c r="I18" s="1"/>
    </row>
    <row r="19" customFormat="false" ht="15" hidden="false" customHeight="false" outlineLevel="0" collapsed="false">
      <c r="A19" s="1"/>
      <c r="B19" s="5" t="s">
        <v>26</v>
      </c>
      <c r="C19" s="6" t="s">
        <v>27</v>
      </c>
      <c r="D19" s="1"/>
      <c r="E19" s="1"/>
      <c r="F19" s="1"/>
      <c r="G19" s="1"/>
      <c r="H19" s="1"/>
      <c r="I19" s="1"/>
    </row>
    <row r="20" customFormat="false" ht="15" hidden="false" customHeight="false" outlineLevel="0" collapsed="false">
      <c r="A20" s="1"/>
      <c r="B20" s="5"/>
      <c r="C20" s="6"/>
      <c r="D20" s="1"/>
      <c r="E20" s="1"/>
      <c r="F20" s="1"/>
      <c r="G20" s="1"/>
      <c r="H20" s="1"/>
      <c r="I20" s="1"/>
    </row>
    <row r="21" customFormat="false" ht="15" hidden="false" customHeight="false" outlineLevel="0" collapsed="false">
      <c r="A21" s="1"/>
      <c r="B21" s="4" t="s">
        <v>28</v>
      </c>
      <c r="C21" s="1"/>
      <c r="D21" s="1"/>
      <c r="E21" s="1"/>
      <c r="F21" s="1"/>
      <c r="G21" s="1"/>
      <c r="H21" s="1"/>
      <c r="I21" s="1"/>
    </row>
    <row r="22" customFormat="false" ht="15" hidden="false" customHeight="false" outlineLevel="0" collapsed="false">
      <c r="A22" s="1"/>
      <c r="B22" s="7"/>
      <c r="C22" s="6" t="s">
        <v>29</v>
      </c>
      <c r="D22" s="1"/>
      <c r="E22" s="1"/>
      <c r="F22" s="1"/>
      <c r="G22" s="1"/>
      <c r="H22" s="1"/>
      <c r="I22" s="1"/>
    </row>
    <row r="23" customFormat="false" ht="15" hidden="false" customHeight="false" outlineLevel="0" collapsed="false">
      <c r="A23" s="1"/>
      <c r="B23" s="8" t="s">
        <v>30</v>
      </c>
      <c r="C23" s="6" t="s">
        <v>31</v>
      </c>
      <c r="D23" s="1"/>
      <c r="E23" s="1"/>
      <c r="F23" s="1"/>
      <c r="G23" s="1"/>
      <c r="H23" s="1"/>
      <c r="I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5" hidden="false" customHeight="false" outlineLevel="0" collapsed="false">
      <c r="A25" s="1"/>
      <c r="B25" s="4" t="s">
        <v>32</v>
      </c>
      <c r="C25" s="1"/>
      <c r="D25" s="1"/>
      <c r="E25" s="1"/>
      <c r="F25" s="1"/>
      <c r="G25" s="1"/>
      <c r="H25" s="1"/>
      <c r="I25" s="1"/>
    </row>
    <row r="26" customFormat="false" ht="15" hidden="false" customHeight="false" outlineLevel="0" collapsed="false">
      <c r="A26" s="1"/>
      <c r="B26" s="9" t="s">
        <v>33</v>
      </c>
      <c r="C26" s="9" t="s">
        <v>34</v>
      </c>
      <c r="D26" s="9" t="s">
        <v>35</v>
      </c>
      <c r="E26" s="9" t="s">
        <v>36</v>
      </c>
      <c r="F26" s="9" t="s">
        <v>37</v>
      </c>
      <c r="G26" s="9" t="s">
        <v>38</v>
      </c>
      <c r="H26" s="9" t="s">
        <v>39</v>
      </c>
      <c r="I26" s="9" t="s">
        <v>40</v>
      </c>
    </row>
    <row r="27" customFormat="false" ht="15" hidden="false" customHeight="false" outlineLevel="0" collapsed="false">
      <c r="A27" s="1"/>
      <c r="B27" s="10" t="n">
        <v>46027</v>
      </c>
      <c r="C27" s="8" t="s">
        <v>41</v>
      </c>
      <c r="D27" s="11" t="s">
        <v>42</v>
      </c>
      <c r="E27" s="8" t="s">
        <v>43</v>
      </c>
      <c r="F27" s="8" t="s">
        <v>44</v>
      </c>
      <c r="G27" s="11" t="s">
        <v>45</v>
      </c>
      <c r="H27" s="11" t="s">
        <v>46</v>
      </c>
      <c r="I27" s="1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30D"/>
    <pageSetUpPr fitToPage="true"/>
  </sheetPr>
  <dimension ref="A1:P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9" min="6" style="0" width="12"/>
    <col collapsed="false" customWidth="true" hidden="false" outlineLevel="0" max="10" min="10" style="0" width="13"/>
    <col collapsed="false" customWidth="true" hidden="true" outlineLevel="0" max="14" min="12" style="0" width="13"/>
    <col collapsed="false" customWidth="true" hidden="true" outlineLevel="0" max="16" min="16" style="0" width="13"/>
  </cols>
  <sheetData>
    <row r="1" customFormat="false" ht="22.05" hidden="false" customHeight="false" outlineLevel="0" collapsed="false">
      <c r="A1" s="1"/>
      <c r="B1" s="2" t="s">
        <v>47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"/>
      <c r="B2" s="3" t="s">
        <v>48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1"/>
      <c r="B3" s="4" t="s">
        <v>49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25.5" hidden="false" customHeight="true" outlineLevel="0" collapsed="false">
      <c r="A4" s="1"/>
      <c r="B4" s="13" t="s">
        <v>50</v>
      </c>
      <c r="C4" s="13" t="str">
        <f aca="false">IF(OHSystem="NTIME","NTIME (incl. overhead)","NTIME")</f>
        <v>NTIME</v>
      </c>
      <c r="D4" s="13" t="str">
        <f aca="false">IF(OHSystem="P6","P6 (incl. overhead)","P6")</f>
        <v>P6</v>
      </c>
      <c r="E4" s="13" t="s">
        <v>15</v>
      </c>
      <c r="F4" s="13" t="s">
        <v>24</v>
      </c>
      <c r="G4" s="13" t="s">
        <v>51</v>
      </c>
      <c r="H4" s="13" t="s">
        <v>52</v>
      </c>
      <c r="I4" s="13" t="s">
        <v>53</v>
      </c>
      <c r="J4" s="1"/>
      <c r="K4" s="1"/>
      <c r="L4" s="1"/>
      <c r="M4" s="1"/>
      <c r="N4" s="1"/>
      <c r="O4" s="1"/>
      <c r="P4" s="1"/>
    </row>
    <row r="5" customFormat="false" ht="30" hidden="false" customHeight="true" outlineLevel="0" collapsed="false">
      <c r="A5" s="1"/>
      <c r="B5" s="14" t="n">
        <f aca="false">G21</f>
        <v>0</v>
      </c>
      <c r="C5" s="15" t="n">
        <f aca="false">C21</f>
        <v>0</v>
      </c>
      <c r="D5" s="16" t="n">
        <f aca="false">D21</f>
        <v>0</v>
      </c>
      <c r="E5" s="17" t="n">
        <f aca="false">E21</f>
        <v>0</v>
      </c>
      <c r="F5" s="14" t="n">
        <f aca="false">F21</f>
        <v>0</v>
      </c>
      <c r="G5" s="18" t="str">
        <f aca="false">H21</f>
        <v>-</v>
      </c>
      <c r="H5" s="19" t="n">
        <f aca="false">I21</f>
        <v>0</v>
      </c>
      <c r="I5" s="19" t="n">
        <f aca="false">J21</f>
        <v>207</v>
      </c>
      <c r="J5" s="1"/>
      <c r="K5" s="1"/>
      <c r="L5" s="1"/>
      <c r="M5" s="1"/>
      <c r="N5" s="1"/>
      <c r="O5" s="1"/>
      <c r="P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15" hidden="false" customHeight="false" outlineLevel="0" collapsed="false">
      <c r="A7" s="1"/>
      <c r="B7" s="4" t="s">
        <v>54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customFormat="false" ht="23.85" hidden="false" customHeight="false" outlineLevel="0" collapsed="false">
      <c r="A8" s="1"/>
      <c r="B8" s="9" t="s">
        <v>55</v>
      </c>
      <c r="C8" s="20" t="s">
        <v>46</v>
      </c>
      <c r="D8" s="21" t="s">
        <v>56</v>
      </c>
      <c r="E8" s="22" t="s">
        <v>15</v>
      </c>
      <c r="F8" s="9" t="s">
        <v>24</v>
      </c>
      <c r="G8" s="9" t="s">
        <v>57</v>
      </c>
      <c r="H8" s="9" t="s">
        <v>51</v>
      </c>
      <c r="I8" s="9" t="s">
        <v>52</v>
      </c>
      <c r="J8" s="9" t="s">
        <v>53</v>
      </c>
      <c r="K8" s="1"/>
      <c r="L8" s="1" t="s">
        <v>46</v>
      </c>
      <c r="M8" s="1" t="s">
        <v>56</v>
      </c>
      <c r="N8" s="1" t="s">
        <v>15</v>
      </c>
      <c r="O8" s="1"/>
      <c r="P8" s="1"/>
    </row>
    <row r="9" customFormat="false" ht="15" hidden="false" customHeight="false" outlineLevel="0" collapsed="false">
      <c r="A9" s="1"/>
      <c r="B9" s="23" t="s">
        <v>58</v>
      </c>
      <c r="C9" s="24" t="n">
        <f aca="false">January!M5</f>
        <v>0</v>
      </c>
      <c r="D9" s="24" t="n">
        <f aca="false">January!N5</f>
        <v>0</v>
      </c>
      <c r="E9" s="24" t="n">
        <f aca="false">January!O5</f>
        <v>0</v>
      </c>
      <c r="F9" s="24" t="n">
        <f aca="false">January!P5</f>
        <v>0</v>
      </c>
      <c r="G9" s="24" t="n">
        <f aca="false">January!L5</f>
        <v>0</v>
      </c>
      <c r="H9" s="25" t="str">
        <f aca="false">January!Q5</f>
        <v>-</v>
      </c>
      <c r="I9" s="26" t="n">
        <f aca="false">January!R5</f>
        <v>0</v>
      </c>
      <c r="J9" s="26" t="n">
        <f aca="false">January!S5</f>
        <v>22</v>
      </c>
      <c r="K9" s="1"/>
      <c r="L9" s="1" t="n">
        <f aca="false">January!AF16</f>
        <v>0</v>
      </c>
      <c r="M9" s="1" t="n">
        <f aca="false">January!AG16</f>
        <v>0</v>
      </c>
      <c r="N9" s="1" t="n">
        <f aca="false">January!AH16</f>
        <v>0</v>
      </c>
      <c r="O9" s="1"/>
      <c r="P9" s="1"/>
    </row>
    <row r="10" customFormat="false" ht="15" hidden="false" customHeight="false" outlineLevel="0" collapsed="false">
      <c r="A10" s="1"/>
      <c r="B10" s="23" t="s">
        <v>59</v>
      </c>
      <c r="C10" s="24" t="n">
        <f aca="false">February!M5</f>
        <v>0</v>
      </c>
      <c r="D10" s="24" t="n">
        <f aca="false">February!N5</f>
        <v>0</v>
      </c>
      <c r="E10" s="24" t="n">
        <f aca="false">February!O5</f>
        <v>0</v>
      </c>
      <c r="F10" s="24" t="n">
        <f aca="false">February!P5</f>
        <v>0</v>
      </c>
      <c r="G10" s="24" t="n">
        <f aca="false">February!L5</f>
        <v>0</v>
      </c>
      <c r="H10" s="25" t="str">
        <f aca="false">February!Q5</f>
        <v>-</v>
      </c>
      <c r="I10" s="26" t="n">
        <f aca="false">February!R5</f>
        <v>0</v>
      </c>
      <c r="J10" s="26" t="n">
        <f aca="false">February!S5</f>
        <v>20</v>
      </c>
      <c r="K10" s="1"/>
      <c r="L10" s="1" t="n">
        <f aca="false">February!AF16</f>
        <v>0</v>
      </c>
      <c r="M10" s="1" t="n">
        <f aca="false">February!AG16</f>
        <v>0</v>
      </c>
      <c r="N10" s="1" t="n">
        <f aca="false">February!AH16</f>
        <v>0</v>
      </c>
      <c r="O10" s="1"/>
      <c r="P10" s="1"/>
    </row>
    <row r="11" customFormat="false" ht="15" hidden="false" customHeight="false" outlineLevel="0" collapsed="false">
      <c r="A11" s="1"/>
      <c r="B11" s="23" t="s">
        <v>60</v>
      </c>
      <c r="C11" s="24" t="n">
        <f aca="false">March!M5</f>
        <v>0</v>
      </c>
      <c r="D11" s="24" t="n">
        <f aca="false">March!N5</f>
        <v>0</v>
      </c>
      <c r="E11" s="24" t="n">
        <f aca="false">March!O5</f>
        <v>0</v>
      </c>
      <c r="F11" s="24" t="n">
        <f aca="false">March!P5</f>
        <v>0</v>
      </c>
      <c r="G11" s="24" t="n">
        <f aca="false">March!L5</f>
        <v>0</v>
      </c>
      <c r="H11" s="25" t="str">
        <f aca="false">March!Q5</f>
        <v>-</v>
      </c>
      <c r="I11" s="26" t="n">
        <f aca="false">March!R5</f>
        <v>0</v>
      </c>
      <c r="J11" s="26" t="n">
        <f aca="false">March!S5</f>
        <v>22</v>
      </c>
      <c r="K11" s="1"/>
      <c r="L11" s="1" t="n">
        <f aca="false">March!AF16</f>
        <v>0</v>
      </c>
      <c r="M11" s="1" t="n">
        <f aca="false">March!AG16</f>
        <v>0</v>
      </c>
      <c r="N11" s="1" t="n">
        <f aca="false">March!AH16</f>
        <v>0</v>
      </c>
      <c r="O11" s="1"/>
      <c r="P11" s="1"/>
    </row>
    <row r="12" customFormat="false" ht="15" hidden="false" customHeight="false" outlineLevel="0" collapsed="false">
      <c r="A12" s="1"/>
      <c r="B12" s="23" t="s">
        <v>61</v>
      </c>
      <c r="C12" s="24" t="n">
        <f aca="false">April!M5</f>
        <v>0</v>
      </c>
      <c r="D12" s="24" t="n">
        <f aca="false">April!N5</f>
        <v>0</v>
      </c>
      <c r="E12" s="24" t="n">
        <f aca="false">April!O5</f>
        <v>0</v>
      </c>
      <c r="F12" s="24" t="n">
        <f aca="false">April!P5</f>
        <v>0</v>
      </c>
      <c r="G12" s="24" t="n">
        <f aca="false">April!L5</f>
        <v>0</v>
      </c>
      <c r="H12" s="25" t="str">
        <f aca="false">April!Q5</f>
        <v>-</v>
      </c>
      <c r="I12" s="26" t="n">
        <f aca="false">April!R5</f>
        <v>0</v>
      </c>
      <c r="J12" s="26" t="n">
        <f aca="false">April!S5</f>
        <v>22</v>
      </c>
      <c r="K12" s="1"/>
      <c r="L12" s="1" t="n">
        <f aca="false">April!AF16</f>
        <v>0</v>
      </c>
      <c r="M12" s="1" t="n">
        <f aca="false">April!AG16</f>
        <v>0</v>
      </c>
      <c r="N12" s="1" t="n">
        <f aca="false">April!AH16</f>
        <v>0</v>
      </c>
      <c r="O12" s="1"/>
      <c r="P12" s="1"/>
    </row>
    <row r="13" customFormat="false" ht="15" hidden="false" customHeight="false" outlineLevel="0" collapsed="false">
      <c r="A13" s="1"/>
      <c r="B13" s="23" t="s">
        <v>62</v>
      </c>
      <c r="C13" s="24" t="n">
        <f aca="false">May!M5</f>
        <v>0</v>
      </c>
      <c r="D13" s="24" t="n">
        <f aca="false">May!N5</f>
        <v>0</v>
      </c>
      <c r="E13" s="24" t="n">
        <f aca="false">May!O5</f>
        <v>0</v>
      </c>
      <c r="F13" s="24" t="n">
        <f aca="false">May!P5</f>
        <v>0</v>
      </c>
      <c r="G13" s="24" t="n">
        <f aca="false">May!L5</f>
        <v>0</v>
      </c>
      <c r="H13" s="25" t="str">
        <f aca="false">May!Q5</f>
        <v>-</v>
      </c>
      <c r="I13" s="26" t="n">
        <f aca="false">May!R5</f>
        <v>0</v>
      </c>
      <c r="J13" s="26" t="n">
        <f aca="false">May!S5</f>
        <v>21</v>
      </c>
      <c r="K13" s="1"/>
      <c r="L13" s="1" t="n">
        <f aca="false">May!AF16</f>
        <v>0</v>
      </c>
      <c r="M13" s="1" t="n">
        <f aca="false">May!AG16</f>
        <v>0</v>
      </c>
      <c r="N13" s="1" t="n">
        <f aca="false">May!AH16</f>
        <v>0</v>
      </c>
      <c r="O13" s="1"/>
      <c r="P13" s="1"/>
    </row>
    <row r="14" customFormat="false" ht="15" hidden="false" customHeight="false" outlineLevel="0" collapsed="false">
      <c r="A14" s="1"/>
      <c r="B14" s="23" t="s">
        <v>63</v>
      </c>
      <c r="C14" s="24" t="n">
        <f aca="false">June!M5</f>
        <v>0</v>
      </c>
      <c r="D14" s="24" t="n">
        <f aca="false">June!N5</f>
        <v>0</v>
      </c>
      <c r="E14" s="24" t="n">
        <f aca="false">June!O5</f>
        <v>0</v>
      </c>
      <c r="F14" s="24" t="n">
        <f aca="false">June!P5</f>
        <v>0</v>
      </c>
      <c r="G14" s="24" t="n">
        <f aca="false">June!L5</f>
        <v>0</v>
      </c>
      <c r="H14" s="25" t="str">
        <f aca="false">June!Q5</f>
        <v>-</v>
      </c>
      <c r="I14" s="26" t="n">
        <f aca="false">June!R5</f>
        <v>0</v>
      </c>
      <c r="J14" s="26" t="n">
        <f aca="false">June!S5</f>
        <v>22</v>
      </c>
      <c r="K14" s="1"/>
      <c r="L14" s="1" t="n">
        <f aca="false">June!AF16</f>
        <v>0</v>
      </c>
      <c r="M14" s="1" t="n">
        <f aca="false">June!AG16</f>
        <v>0</v>
      </c>
      <c r="N14" s="1" t="n">
        <f aca="false">June!AH16</f>
        <v>0</v>
      </c>
      <c r="O14" s="1"/>
      <c r="P14" s="1"/>
    </row>
    <row r="15" customFormat="false" ht="15" hidden="false" customHeight="false" outlineLevel="0" collapsed="false">
      <c r="A15" s="1"/>
      <c r="B15" s="23" t="s">
        <v>64</v>
      </c>
      <c r="C15" s="24" t="n">
        <f aca="false">July!M5</f>
        <v>0</v>
      </c>
      <c r="D15" s="24" t="n">
        <f aca="false">July!N5</f>
        <v>0</v>
      </c>
      <c r="E15" s="24" t="n">
        <f aca="false">July!O5</f>
        <v>0</v>
      </c>
      <c r="F15" s="24" t="n">
        <f aca="false">July!P5</f>
        <v>0</v>
      </c>
      <c r="G15" s="24" t="n">
        <f aca="false">July!L5</f>
        <v>0</v>
      </c>
      <c r="H15" s="25" t="str">
        <f aca="false">July!Q5</f>
        <v>-</v>
      </c>
      <c r="I15" s="26" t="n">
        <f aca="false">July!R5</f>
        <v>0</v>
      </c>
      <c r="J15" s="26" t="n">
        <f aca="false">July!S5</f>
        <v>23</v>
      </c>
      <c r="K15" s="1"/>
      <c r="L15" s="1" t="n">
        <f aca="false">July!AF16</f>
        <v>0</v>
      </c>
      <c r="M15" s="1" t="n">
        <f aca="false">July!AG16</f>
        <v>0</v>
      </c>
      <c r="N15" s="1" t="n">
        <f aca="false">July!AH16</f>
        <v>0</v>
      </c>
      <c r="O15" s="1"/>
      <c r="P15" s="1"/>
    </row>
    <row r="16" customFormat="false" ht="15" hidden="false" customHeight="false" outlineLevel="0" collapsed="false">
      <c r="A16" s="1"/>
      <c r="B16" s="23" t="s">
        <v>65</v>
      </c>
      <c r="C16" s="24" t="n">
        <f aca="false">August!M5</f>
        <v>0</v>
      </c>
      <c r="D16" s="24" t="n">
        <f aca="false">August!N5</f>
        <v>0</v>
      </c>
      <c r="E16" s="24" t="n">
        <f aca="false">August!O5</f>
        <v>0</v>
      </c>
      <c r="F16" s="24" t="n">
        <f aca="false">August!P5</f>
        <v>0</v>
      </c>
      <c r="G16" s="24" t="n">
        <f aca="false">August!L5</f>
        <v>0</v>
      </c>
      <c r="H16" s="25" t="str">
        <f aca="false">August!Q5</f>
        <v>-</v>
      </c>
      <c r="I16" s="26" t="n">
        <f aca="false">August!R5</f>
        <v>0</v>
      </c>
      <c r="J16" s="26" t="n">
        <f aca="false">August!S5</f>
        <v>21</v>
      </c>
      <c r="K16" s="1"/>
      <c r="L16" s="1" t="n">
        <f aca="false">August!AF16</f>
        <v>0</v>
      </c>
      <c r="M16" s="1" t="n">
        <f aca="false">August!AG16</f>
        <v>0</v>
      </c>
      <c r="N16" s="1" t="n">
        <f aca="false">August!AH16</f>
        <v>0</v>
      </c>
      <c r="O16" s="1"/>
      <c r="P16" s="1"/>
    </row>
    <row r="17" customFormat="false" ht="15" hidden="false" customHeight="false" outlineLevel="0" collapsed="false">
      <c r="A17" s="1"/>
      <c r="B17" s="23" t="s">
        <v>66</v>
      </c>
      <c r="C17" s="24" t="n">
        <f aca="false">September!M5</f>
        <v>0</v>
      </c>
      <c r="D17" s="24" t="n">
        <f aca="false">September!N5</f>
        <v>0</v>
      </c>
      <c r="E17" s="24" t="n">
        <f aca="false">September!O5</f>
        <v>0</v>
      </c>
      <c r="F17" s="24" t="n">
        <f aca="false">September!P5</f>
        <v>0</v>
      </c>
      <c r="G17" s="24" t="n">
        <f aca="false">September!L5</f>
        <v>0</v>
      </c>
      <c r="H17" s="25" t="str">
        <f aca="false">September!Q5</f>
        <v>-</v>
      </c>
      <c r="I17" s="26" t="n">
        <f aca="false">September!R5</f>
        <v>0</v>
      </c>
      <c r="J17" s="26" t="n">
        <f aca="false">September!S5</f>
        <v>22</v>
      </c>
      <c r="K17" s="1"/>
      <c r="L17" s="1" t="n">
        <f aca="false">September!AF16</f>
        <v>0</v>
      </c>
      <c r="M17" s="1" t="n">
        <f aca="false">September!AG16</f>
        <v>0</v>
      </c>
      <c r="N17" s="1" t="n">
        <f aca="false">September!AH16</f>
        <v>0</v>
      </c>
      <c r="O17" s="1"/>
      <c r="P17" s="1"/>
    </row>
    <row r="18" customFormat="false" ht="15" hidden="false" customHeight="false" outlineLevel="0" collapsed="false">
      <c r="A18" s="1"/>
      <c r="B18" s="23" t="s">
        <v>67</v>
      </c>
      <c r="C18" s="24" t="n">
        <f aca="false">October!M5</f>
        <v>0</v>
      </c>
      <c r="D18" s="24" t="n">
        <f aca="false">October!N5</f>
        <v>0</v>
      </c>
      <c r="E18" s="24" t="n">
        <f aca="false">October!O5</f>
        <v>0</v>
      </c>
      <c r="F18" s="24" t="n">
        <f aca="false">October!P5</f>
        <v>0</v>
      </c>
      <c r="G18" s="24" t="n">
        <f aca="false">October!L5</f>
        <v>0</v>
      </c>
      <c r="H18" s="25" t="str">
        <f aca="false">October!Q5</f>
        <v>-</v>
      </c>
      <c r="I18" s="26" t="n">
        <f aca="false">October!R5</f>
        <v>0</v>
      </c>
      <c r="J18" s="26" t="n">
        <f aca="false">October!S5</f>
        <v>12</v>
      </c>
      <c r="K18" s="1"/>
      <c r="L18" s="1" t="n">
        <f aca="false">October!AF16</f>
        <v>0</v>
      </c>
      <c r="M18" s="1" t="n">
        <f aca="false">October!AG16</f>
        <v>0</v>
      </c>
      <c r="N18" s="1" t="n">
        <f aca="false">October!AH16</f>
        <v>0</v>
      </c>
      <c r="O18" s="1"/>
      <c r="P18" s="1"/>
    </row>
    <row r="19" customFormat="false" ht="15" hidden="false" customHeight="false" outlineLevel="0" collapsed="false">
      <c r="A19" s="1"/>
      <c r="B19" s="23" t="s">
        <v>68</v>
      </c>
      <c r="C19" s="24" t="n">
        <f aca="false">November!M5</f>
        <v>0</v>
      </c>
      <c r="D19" s="24" t="n">
        <f aca="false">November!N5</f>
        <v>0</v>
      </c>
      <c r="E19" s="24" t="n">
        <f aca="false">November!O5</f>
        <v>0</v>
      </c>
      <c r="F19" s="24" t="n">
        <f aca="false">November!P5</f>
        <v>0</v>
      </c>
      <c r="G19" s="24" t="n">
        <f aca="false">November!L5</f>
        <v>0</v>
      </c>
      <c r="H19" s="25" t="str">
        <f aca="false">November!Q5</f>
        <v>-</v>
      </c>
      <c r="I19" s="26" t="n">
        <f aca="false">November!R5</f>
        <v>0</v>
      </c>
      <c r="J19" s="26" t="n">
        <f aca="false">November!S5</f>
        <v>0</v>
      </c>
      <c r="K19" s="1"/>
      <c r="L19" s="1" t="n">
        <f aca="false">November!AF16</f>
        <v>0</v>
      </c>
      <c r="M19" s="1" t="n">
        <f aca="false">November!AG16</f>
        <v>0</v>
      </c>
      <c r="N19" s="1" t="n">
        <f aca="false">November!AH16</f>
        <v>0</v>
      </c>
      <c r="O19" s="1"/>
      <c r="P19" s="1"/>
    </row>
    <row r="20" customFormat="false" ht="15" hidden="false" customHeight="false" outlineLevel="0" collapsed="false">
      <c r="A20" s="1"/>
      <c r="B20" s="23" t="s">
        <v>69</v>
      </c>
      <c r="C20" s="24" t="n">
        <f aca="false">December!M5</f>
        <v>0</v>
      </c>
      <c r="D20" s="24" t="n">
        <f aca="false">December!N5</f>
        <v>0</v>
      </c>
      <c r="E20" s="24" t="n">
        <f aca="false">December!O5</f>
        <v>0</v>
      </c>
      <c r="F20" s="24" t="n">
        <f aca="false">December!P5</f>
        <v>0</v>
      </c>
      <c r="G20" s="24" t="n">
        <f aca="false">December!L5</f>
        <v>0</v>
      </c>
      <c r="H20" s="25" t="str">
        <f aca="false">December!Q5</f>
        <v>-</v>
      </c>
      <c r="I20" s="26" t="n">
        <f aca="false">December!R5</f>
        <v>0</v>
      </c>
      <c r="J20" s="26" t="n">
        <f aca="false">December!S5</f>
        <v>0</v>
      </c>
      <c r="K20" s="1"/>
      <c r="L20" s="1" t="n">
        <f aca="false">December!AF16</f>
        <v>0</v>
      </c>
      <c r="M20" s="1" t="n">
        <f aca="false">December!AG16</f>
        <v>0</v>
      </c>
      <c r="N20" s="1" t="n">
        <f aca="false">December!AH16</f>
        <v>0</v>
      </c>
      <c r="O20" s="1"/>
      <c r="P20" s="1"/>
    </row>
    <row r="21" customFormat="false" ht="15" hidden="false" customHeight="false" outlineLevel="0" collapsed="false">
      <c r="A21" s="1"/>
      <c r="B21" s="27" t="s">
        <v>70</v>
      </c>
      <c r="C21" s="27" t="n">
        <f aca="false">SUM(C9:C20)</f>
        <v>0</v>
      </c>
      <c r="D21" s="27" t="n">
        <f aca="false">SUM(D9:D20)</f>
        <v>0</v>
      </c>
      <c r="E21" s="27" t="n">
        <f aca="false">SUM(E9:E20)</f>
        <v>0</v>
      </c>
      <c r="F21" s="27" t="n">
        <f aca="false">SUM(F9:F20)</f>
        <v>0</v>
      </c>
      <c r="G21" s="27" t="n">
        <f aca="false">SUM(G9:G20)</f>
        <v>0</v>
      </c>
      <c r="H21" s="28" t="str">
        <f aca="false">IF(G21=0,"-",(SUM(L9:L20)+SUM(M9:M20))/G21)</f>
        <v>-</v>
      </c>
      <c r="I21" s="29" t="n">
        <f aca="false">SUM(I9:I20)</f>
        <v>0</v>
      </c>
      <c r="J21" s="29" t="n">
        <f aca="false">SUM(J9:J20)</f>
        <v>207</v>
      </c>
      <c r="K21" s="1"/>
      <c r="L21" s="1"/>
      <c r="M21" s="1"/>
      <c r="N21" s="1"/>
      <c r="O21" s="1"/>
      <c r="P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4" t="s">
        <v>71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9" t="s">
        <v>72</v>
      </c>
      <c r="C42" s="9" t="s">
        <v>36</v>
      </c>
      <c r="D42" s="9" t="s">
        <v>37</v>
      </c>
      <c r="E42" s="20" t="s">
        <v>46</v>
      </c>
      <c r="F42" s="21" t="s">
        <v>56</v>
      </c>
      <c r="G42" s="9" t="s">
        <v>57</v>
      </c>
      <c r="H42" s="9" t="s">
        <v>73</v>
      </c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24" t="str">
        <f aca="false">IF($P43=0,"",INDEX(Projects!$B$5:$B$204,$P43))</f>
        <v/>
      </c>
      <c r="C43" s="24" t="str">
        <f aca="false">IF($P43=0,"",INDEX(Projects!$C$5:$C$204,$P43))</f>
        <v/>
      </c>
      <c r="D43" s="24" t="str">
        <f aca="false">IF($P43=0,"",INDEX(Projects!$D$5:$D$204,$P43))</f>
        <v/>
      </c>
      <c r="E43" s="24" t="str">
        <f aca="false">IF($P43=0,"",INDEX(Projects!$E$5:$E$204,$P43))</f>
        <v/>
      </c>
      <c r="F43" s="24" t="str">
        <f aca="false">IF($P43=0,"",INDEX(Projects!$F$5:$F$204,$P43))</f>
        <v/>
      </c>
      <c r="G43" s="24" t="str">
        <f aca="false">IF($P43=0,"",INDEX(Projects!$G$5:$G$204,$P43))</f>
        <v/>
      </c>
      <c r="H43" s="25" t="str">
        <f aca="false">IF(OR($P43=0,$G$21=0),"",G43/$G$21)</f>
        <v/>
      </c>
      <c r="I43" s="1"/>
      <c r="J43" s="1"/>
      <c r="K43" s="1"/>
      <c r="L43" s="1"/>
      <c r="M43" s="1"/>
      <c r="N43" s="1"/>
      <c r="O43" s="1"/>
      <c r="P43" s="1" t="n">
        <f aca="false">IF(LARGE(Projects!$I$5:$I$204,1)&lt;=0,0,MATCH(LARGE(Projects!$I$5:$I$204,1),Projects!$I$5:$I$204,0))</f>
        <v>0</v>
      </c>
    </row>
    <row r="44" customFormat="false" ht="15" hidden="false" customHeight="false" outlineLevel="0" collapsed="false">
      <c r="A44" s="1"/>
      <c r="B44" s="24" t="str">
        <f aca="false">IF($P44=0,"",INDEX(Projects!$B$5:$B$204,$P44))</f>
        <v/>
      </c>
      <c r="C44" s="24" t="str">
        <f aca="false">IF($P44=0,"",INDEX(Projects!$C$5:$C$204,$P44))</f>
        <v/>
      </c>
      <c r="D44" s="24" t="str">
        <f aca="false">IF($P44=0,"",INDEX(Projects!$D$5:$D$204,$P44))</f>
        <v/>
      </c>
      <c r="E44" s="24" t="str">
        <f aca="false">IF($P44=0,"",INDEX(Projects!$E$5:$E$204,$P44))</f>
        <v/>
      </c>
      <c r="F44" s="24" t="str">
        <f aca="false">IF($P44=0,"",INDEX(Projects!$F$5:$F$204,$P44))</f>
        <v/>
      </c>
      <c r="G44" s="24" t="str">
        <f aca="false">IF($P44=0,"",INDEX(Projects!$G$5:$G$204,$P44))</f>
        <v/>
      </c>
      <c r="H44" s="25" t="str">
        <f aca="false">IF(OR($P44=0,$G$21=0),"",G44/$G$21)</f>
        <v/>
      </c>
      <c r="I44" s="1"/>
      <c r="J44" s="1"/>
      <c r="K44" s="1"/>
      <c r="L44" s="1"/>
      <c r="M44" s="1"/>
      <c r="N44" s="1"/>
      <c r="O44" s="1"/>
      <c r="P44" s="1" t="n">
        <f aca="false">IF(LARGE(Projects!$I$5:$I$204,2)&lt;=0,0,MATCH(LARGE(Projects!$I$5:$I$204,2),Projects!$I$5:$I$204,0))</f>
        <v>0</v>
      </c>
    </row>
    <row r="45" customFormat="false" ht="15" hidden="false" customHeight="false" outlineLevel="0" collapsed="false">
      <c r="A45" s="1"/>
      <c r="B45" s="24" t="str">
        <f aca="false">IF($P45=0,"",INDEX(Projects!$B$5:$B$204,$P45))</f>
        <v/>
      </c>
      <c r="C45" s="24" t="str">
        <f aca="false">IF($P45=0,"",INDEX(Projects!$C$5:$C$204,$P45))</f>
        <v/>
      </c>
      <c r="D45" s="24" t="str">
        <f aca="false">IF($P45=0,"",INDEX(Projects!$D$5:$D$204,$P45))</f>
        <v/>
      </c>
      <c r="E45" s="24" t="str">
        <f aca="false">IF($P45=0,"",INDEX(Projects!$E$5:$E$204,$P45))</f>
        <v/>
      </c>
      <c r="F45" s="24" t="str">
        <f aca="false">IF($P45=0,"",INDEX(Projects!$F$5:$F$204,$P45))</f>
        <v/>
      </c>
      <c r="G45" s="24" t="str">
        <f aca="false">IF($P45=0,"",INDEX(Projects!$G$5:$G$204,$P45))</f>
        <v/>
      </c>
      <c r="H45" s="25" t="str">
        <f aca="false">IF(OR($P45=0,$G$21=0),"",G45/$G$21)</f>
        <v/>
      </c>
      <c r="I45" s="1"/>
      <c r="J45" s="1"/>
      <c r="K45" s="1"/>
      <c r="L45" s="1"/>
      <c r="M45" s="1"/>
      <c r="N45" s="1"/>
      <c r="O45" s="1"/>
      <c r="P45" s="1" t="n">
        <f aca="false">IF(LARGE(Projects!$I$5:$I$204,3)&lt;=0,0,MATCH(LARGE(Projects!$I$5:$I$204,3),Projects!$I$5:$I$204,0))</f>
        <v>0</v>
      </c>
    </row>
    <row r="46" customFormat="false" ht="15" hidden="false" customHeight="false" outlineLevel="0" collapsed="false">
      <c r="A46" s="1"/>
      <c r="B46" s="24" t="str">
        <f aca="false">IF($P46=0,"",INDEX(Projects!$B$5:$B$204,$P46))</f>
        <v/>
      </c>
      <c r="C46" s="24" t="str">
        <f aca="false">IF($P46=0,"",INDEX(Projects!$C$5:$C$204,$P46))</f>
        <v/>
      </c>
      <c r="D46" s="24" t="str">
        <f aca="false">IF($P46=0,"",INDEX(Projects!$D$5:$D$204,$P46))</f>
        <v/>
      </c>
      <c r="E46" s="24" t="str">
        <f aca="false">IF($P46=0,"",INDEX(Projects!$E$5:$E$204,$P46))</f>
        <v/>
      </c>
      <c r="F46" s="24" t="str">
        <f aca="false">IF($P46=0,"",INDEX(Projects!$F$5:$F$204,$P46))</f>
        <v/>
      </c>
      <c r="G46" s="24" t="str">
        <f aca="false">IF($P46=0,"",INDEX(Projects!$G$5:$G$204,$P46))</f>
        <v/>
      </c>
      <c r="H46" s="25" t="str">
        <f aca="false">IF(OR($P46=0,$G$21=0),"",G46/$G$21)</f>
        <v/>
      </c>
      <c r="I46" s="1"/>
      <c r="J46" s="1"/>
      <c r="K46" s="1"/>
      <c r="L46" s="1"/>
      <c r="M46" s="1"/>
      <c r="N46" s="1"/>
      <c r="O46" s="1"/>
      <c r="P46" s="1" t="n">
        <f aca="false">IF(LARGE(Projects!$I$5:$I$204,4)&lt;=0,0,MATCH(LARGE(Projects!$I$5:$I$204,4),Projects!$I$5:$I$204,0))</f>
        <v>0</v>
      </c>
    </row>
    <row r="47" customFormat="false" ht="15" hidden="false" customHeight="false" outlineLevel="0" collapsed="false">
      <c r="A47" s="1"/>
      <c r="B47" s="24" t="str">
        <f aca="false">IF($P47=0,"",INDEX(Projects!$B$5:$B$204,$P47))</f>
        <v/>
      </c>
      <c r="C47" s="24" t="str">
        <f aca="false">IF($P47=0,"",INDEX(Projects!$C$5:$C$204,$P47))</f>
        <v/>
      </c>
      <c r="D47" s="24" t="str">
        <f aca="false">IF($P47=0,"",INDEX(Projects!$D$5:$D$204,$P47))</f>
        <v/>
      </c>
      <c r="E47" s="24" t="str">
        <f aca="false">IF($P47=0,"",INDEX(Projects!$E$5:$E$204,$P47))</f>
        <v/>
      </c>
      <c r="F47" s="24" t="str">
        <f aca="false">IF($P47=0,"",INDEX(Projects!$F$5:$F$204,$P47))</f>
        <v/>
      </c>
      <c r="G47" s="24" t="str">
        <f aca="false">IF($P47=0,"",INDEX(Projects!$G$5:$G$204,$P47))</f>
        <v/>
      </c>
      <c r="H47" s="25" t="str">
        <f aca="false">IF(OR($P47=0,$G$21=0),"",G47/$G$21)</f>
        <v/>
      </c>
      <c r="I47" s="1"/>
      <c r="J47" s="1"/>
      <c r="K47" s="1"/>
      <c r="L47" s="1"/>
      <c r="M47" s="1"/>
      <c r="N47" s="1"/>
      <c r="O47" s="1"/>
      <c r="P47" s="1" t="n">
        <f aca="false">IF(LARGE(Projects!$I$5:$I$204,5)&lt;=0,0,MATCH(LARGE(Projects!$I$5:$I$204,5),Projects!$I$5:$I$204,0))</f>
        <v>0</v>
      </c>
    </row>
    <row r="48" customFormat="false" ht="15" hidden="false" customHeight="false" outlineLevel="0" collapsed="false">
      <c r="A48" s="1"/>
      <c r="B48" s="24" t="str">
        <f aca="false">IF($P48=0,"",INDEX(Projects!$B$5:$B$204,$P48))</f>
        <v/>
      </c>
      <c r="C48" s="24" t="str">
        <f aca="false">IF($P48=0,"",INDEX(Projects!$C$5:$C$204,$P48))</f>
        <v/>
      </c>
      <c r="D48" s="24" t="str">
        <f aca="false">IF($P48=0,"",INDEX(Projects!$D$5:$D$204,$P48))</f>
        <v/>
      </c>
      <c r="E48" s="24" t="str">
        <f aca="false">IF($P48=0,"",INDEX(Projects!$E$5:$E$204,$P48))</f>
        <v/>
      </c>
      <c r="F48" s="24" t="str">
        <f aca="false">IF($P48=0,"",INDEX(Projects!$F$5:$F$204,$P48))</f>
        <v/>
      </c>
      <c r="G48" s="24" t="str">
        <f aca="false">IF($P48=0,"",INDEX(Projects!$G$5:$G$204,$P48))</f>
        <v/>
      </c>
      <c r="H48" s="25" t="str">
        <f aca="false">IF(OR($P48=0,$G$21=0),"",G48/$G$21)</f>
        <v/>
      </c>
      <c r="I48" s="1"/>
      <c r="J48" s="1"/>
      <c r="K48" s="1"/>
      <c r="L48" s="1"/>
      <c r="M48" s="1"/>
      <c r="N48" s="1"/>
      <c r="O48" s="1"/>
      <c r="P48" s="1" t="n">
        <f aca="false">IF(LARGE(Projects!$I$5:$I$204,6)&lt;=0,0,MATCH(LARGE(Projects!$I$5:$I$204,6),Projects!$I$5:$I$204,0))</f>
        <v>0</v>
      </c>
    </row>
    <row r="49" customFormat="false" ht="15" hidden="false" customHeight="false" outlineLevel="0" collapsed="false">
      <c r="A49" s="1"/>
      <c r="B49" s="24" t="str">
        <f aca="false">IF($P49=0,"",INDEX(Projects!$B$5:$B$204,$P49))</f>
        <v/>
      </c>
      <c r="C49" s="24" t="str">
        <f aca="false">IF($P49=0,"",INDEX(Projects!$C$5:$C$204,$P49))</f>
        <v/>
      </c>
      <c r="D49" s="24" t="str">
        <f aca="false">IF($P49=0,"",INDEX(Projects!$D$5:$D$204,$P49))</f>
        <v/>
      </c>
      <c r="E49" s="24" t="str">
        <f aca="false">IF($P49=0,"",INDEX(Projects!$E$5:$E$204,$P49))</f>
        <v/>
      </c>
      <c r="F49" s="24" t="str">
        <f aca="false">IF($P49=0,"",INDEX(Projects!$F$5:$F$204,$P49))</f>
        <v/>
      </c>
      <c r="G49" s="24" t="str">
        <f aca="false">IF($P49=0,"",INDEX(Projects!$G$5:$G$204,$P49))</f>
        <v/>
      </c>
      <c r="H49" s="25" t="str">
        <f aca="false">IF(OR($P49=0,$G$21=0),"",G49/$G$21)</f>
        <v/>
      </c>
      <c r="I49" s="1"/>
      <c r="J49" s="1"/>
      <c r="K49" s="1"/>
      <c r="L49" s="1"/>
      <c r="M49" s="1"/>
      <c r="N49" s="1"/>
      <c r="O49" s="1"/>
      <c r="P49" s="1" t="n">
        <f aca="false">IF(LARGE(Projects!$I$5:$I$204,7)&lt;=0,0,MATCH(LARGE(Projects!$I$5:$I$204,7),Projects!$I$5:$I$204,0))</f>
        <v>0</v>
      </c>
    </row>
    <row r="50" customFormat="false" ht="15" hidden="false" customHeight="false" outlineLevel="0" collapsed="false">
      <c r="A50" s="1"/>
      <c r="B50" s="24" t="str">
        <f aca="false">IF($P50=0,"",INDEX(Projects!$B$5:$B$204,$P50))</f>
        <v/>
      </c>
      <c r="C50" s="24" t="str">
        <f aca="false">IF($P50=0,"",INDEX(Projects!$C$5:$C$204,$P50))</f>
        <v/>
      </c>
      <c r="D50" s="24" t="str">
        <f aca="false">IF($P50=0,"",INDEX(Projects!$D$5:$D$204,$P50))</f>
        <v/>
      </c>
      <c r="E50" s="24" t="str">
        <f aca="false">IF($P50=0,"",INDEX(Projects!$E$5:$E$204,$P50))</f>
        <v/>
      </c>
      <c r="F50" s="24" t="str">
        <f aca="false">IF($P50=0,"",INDEX(Projects!$F$5:$F$204,$P50))</f>
        <v/>
      </c>
      <c r="G50" s="24" t="str">
        <f aca="false">IF($P50=0,"",INDEX(Projects!$G$5:$G$204,$P50))</f>
        <v/>
      </c>
      <c r="H50" s="25" t="str">
        <f aca="false">IF(OR($P50=0,$G$21=0),"",G50/$G$21)</f>
        <v/>
      </c>
      <c r="I50" s="1"/>
      <c r="J50" s="1"/>
      <c r="K50" s="1"/>
      <c r="L50" s="1"/>
      <c r="M50" s="1"/>
      <c r="N50" s="1"/>
      <c r="O50" s="1"/>
      <c r="P50" s="1" t="n">
        <f aca="false">IF(LARGE(Projects!$I$5:$I$204,8)&lt;=0,0,MATCH(LARGE(Projects!$I$5:$I$204,8),Projects!$I$5:$I$204,0))</f>
        <v>0</v>
      </c>
    </row>
    <row r="51" customFormat="false" ht="15" hidden="false" customHeight="false" outlineLevel="0" collapsed="false">
      <c r="A51" s="1"/>
      <c r="B51" s="24" t="str">
        <f aca="false">IF($P51=0,"",INDEX(Projects!$B$5:$B$204,$P51))</f>
        <v/>
      </c>
      <c r="C51" s="24" t="str">
        <f aca="false">IF($P51=0,"",INDEX(Projects!$C$5:$C$204,$P51))</f>
        <v/>
      </c>
      <c r="D51" s="24" t="str">
        <f aca="false">IF($P51=0,"",INDEX(Projects!$D$5:$D$204,$P51))</f>
        <v/>
      </c>
      <c r="E51" s="24" t="str">
        <f aca="false">IF($P51=0,"",INDEX(Projects!$E$5:$E$204,$P51))</f>
        <v/>
      </c>
      <c r="F51" s="24" t="str">
        <f aca="false">IF($P51=0,"",INDEX(Projects!$F$5:$F$204,$P51))</f>
        <v/>
      </c>
      <c r="G51" s="24" t="str">
        <f aca="false">IF($P51=0,"",INDEX(Projects!$G$5:$G$204,$P51))</f>
        <v/>
      </c>
      <c r="H51" s="25" t="str">
        <f aca="false">IF(OR($P51=0,$G$21=0),"",G51/$G$21)</f>
        <v/>
      </c>
      <c r="I51" s="1"/>
      <c r="J51" s="1"/>
      <c r="K51" s="1"/>
      <c r="L51" s="1"/>
      <c r="M51" s="1"/>
      <c r="N51" s="1"/>
      <c r="O51" s="1"/>
      <c r="P51" s="1" t="n">
        <f aca="false">IF(LARGE(Projects!$I$5:$I$204,9)&lt;=0,0,MATCH(LARGE(Projects!$I$5:$I$204,9),Projects!$I$5:$I$204,0))</f>
        <v>0</v>
      </c>
    </row>
    <row r="52" customFormat="false" ht="15" hidden="false" customHeight="false" outlineLevel="0" collapsed="false">
      <c r="A52" s="1"/>
      <c r="B52" s="24" t="str">
        <f aca="false">IF($P52=0,"",INDEX(Projects!$B$5:$B$204,$P52))</f>
        <v/>
      </c>
      <c r="C52" s="24" t="str">
        <f aca="false">IF($P52=0,"",INDEX(Projects!$C$5:$C$204,$P52))</f>
        <v/>
      </c>
      <c r="D52" s="24" t="str">
        <f aca="false">IF($P52=0,"",INDEX(Projects!$D$5:$D$204,$P52))</f>
        <v/>
      </c>
      <c r="E52" s="24" t="str">
        <f aca="false">IF($P52=0,"",INDEX(Projects!$E$5:$E$204,$P52))</f>
        <v/>
      </c>
      <c r="F52" s="24" t="str">
        <f aca="false">IF($P52=0,"",INDEX(Projects!$F$5:$F$204,$P52))</f>
        <v/>
      </c>
      <c r="G52" s="24" t="str">
        <f aca="false">IF($P52=0,"",INDEX(Projects!$G$5:$G$204,$P52))</f>
        <v/>
      </c>
      <c r="H52" s="25" t="str">
        <f aca="false">IF(OR($P52=0,$G$21=0),"",G52/$G$21)</f>
        <v/>
      </c>
      <c r="I52" s="1"/>
      <c r="J52" s="1"/>
      <c r="K52" s="1"/>
      <c r="L52" s="1"/>
      <c r="M52" s="1"/>
      <c r="N52" s="1"/>
      <c r="O52" s="1"/>
      <c r="P52" s="1" t="n">
        <f aca="false">IF(LARGE(Projects!$I$5:$I$204,10)&lt;=0,0,MATCH(LARGE(Projects!$I$5:$I$204,10),Projects!$I$5:$I$204,0))</f>
        <v>0</v>
      </c>
    </row>
    <row r="53" customFormat="false" ht="15" hidden="false" customHeight="false" outlineLevel="0" collapsed="false">
      <c r="A53" s="1"/>
      <c r="B53" s="24" t="str">
        <f aca="false">IF($P53=0,"",INDEX(Projects!$B$5:$B$204,$P53))</f>
        <v/>
      </c>
      <c r="C53" s="24" t="str">
        <f aca="false">IF($P53=0,"",INDEX(Projects!$C$5:$C$204,$P53))</f>
        <v/>
      </c>
      <c r="D53" s="24" t="str">
        <f aca="false">IF($P53=0,"",INDEX(Projects!$D$5:$D$204,$P53))</f>
        <v/>
      </c>
      <c r="E53" s="24" t="str">
        <f aca="false">IF($P53=0,"",INDEX(Projects!$E$5:$E$204,$P53))</f>
        <v/>
      </c>
      <c r="F53" s="24" t="str">
        <f aca="false">IF($P53=0,"",INDEX(Projects!$F$5:$F$204,$P53))</f>
        <v/>
      </c>
      <c r="G53" s="24" t="str">
        <f aca="false">IF($P53=0,"",INDEX(Projects!$G$5:$G$204,$P53))</f>
        <v/>
      </c>
      <c r="H53" s="25" t="str">
        <f aca="false">IF(OR($P53=0,$G$21=0),"",G53/$G$21)</f>
        <v/>
      </c>
      <c r="I53" s="1"/>
      <c r="J53" s="1"/>
      <c r="K53" s="1"/>
      <c r="L53" s="1"/>
      <c r="M53" s="1"/>
      <c r="N53" s="1"/>
      <c r="O53" s="1"/>
      <c r="P53" s="1" t="n">
        <f aca="false">IF(LARGE(Projects!$I$5:$I$204,11)&lt;=0,0,MATCH(LARGE(Projects!$I$5:$I$204,11),Projects!$I$5:$I$204,0))</f>
        <v>0</v>
      </c>
    </row>
    <row r="54" customFormat="false" ht="15" hidden="false" customHeight="false" outlineLevel="0" collapsed="false">
      <c r="A54" s="1"/>
      <c r="B54" s="24" t="str">
        <f aca="false">IF($P54=0,"",INDEX(Projects!$B$5:$B$204,$P54))</f>
        <v/>
      </c>
      <c r="C54" s="24" t="str">
        <f aca="false">IF($P54=0,"",INDEX(Projects!$C$5:$C$204,$P54))</f>
        <v/>
      </c>
      <c r="D54" s="24" t="str">
        <f aca="false">IF($P54=0,"",INDEX(Projects!$D$5:$D$204,$P54))</f>
        <v/>
      </c>
      <c r="E54" s="24" t="str">
        <f aca="false">IF($P54=0,"",INDEX(Projects!$E$5:$E$204,$P54))</f>
        <v/>
      </c>
      <c r="F54" s="24" t="str">
        <f aca="false">IF($P54=0,"",INDEX(Projects!$F$5:$F$204,$P54))</f>
        <v/>
      </c>
      <c r="G54" s="24" t="str">
        <f aca="false">IF($P54=0,"",INDEX(Projects!$G$5:$G$204,$P54))</f>
        <v/>
      </c>
      <c r="H54" s="25" t="str">
        <f aca="false">IF(OR($P54=0,$G$21=0),"",G54/$G$21)</f>
        <v/>
      </c>
      <c r="I54" s="1"/>
      <c r="J54" s="1"/>
      <c r="K54" s="1"/>
      <c r="L54" s="1"/>
      <c r="M54" s="1"/>
      <c r="N54" s="1"/>
      <c r="O54" s="1"/>
      <c r="P54" s="1" t="n">
        <f aca="false">IF(LARGE(Projects!$I$5:$I$204,12)&lt;=0,0,MATCH(LARGE(Projects!$I$5:$I$204,12),Projects!$I$5:$I$204,0))</f>
        <v>0</v>
      </c>
    </row>
    <row r="55" customFormat="false" ht="15" hidden="false" customHeight="false" outlineLevel="0" collapsed="false">
      <c r="A55" s="1"/>
      <c r="B55" s="24" t="str">
        <f aca="false">IF($P55=0,"",INDEX(Projects!$B$5:$B$204,$P55))</f>
        <v/>
      </c>
      <c r="C55" s="24" t="str">
        <f aca="false">IF($P55=0,"",INDEX(Projects!$C$5:$C$204,$P55))</f>
        <v/>
      </c>
      <c r="D55" s="24" t="str">
        <f aca="false">IF($P55=0,"",INDEX(Projects!$D$5:$D$204,$P55))</f>
        <v/>
      </c>
      <c r="E55" s="24" t="str">
        <f aca="false">IF($P55=0,"",INDEX(Projects!$E$5:$E$204,$P55))</f>
        <v/>
      </c>
      <c r="F55" s="24" t="str">
        <f aca="false">IF($P55=0,"",INDEX(Projects!$F$5:$F$204,$P55))</f>
        <v/>
      </c>
      <c r="G55" s="24" t="str">
        <f aca="false">IF($P55=0,"",INDEX(Projects!$G$5:$G$204,$P55))</f>
        <v/>
      </c>
      <c r="H55" s="25" t="str">
        <f aca="false">IF(OR($P55=0,$G$21=0),"",G55/$G$21)</f>
        <v/>
      </c>
      <c r="I55" s="1"/>
      <c r="J55" s="1"/>
      <c r="K55" s="1"/>
      <c r="L55" s="1"/>
      <c r="M55" s="1"/>
      <c r="N55" s="1"/>
      <c r="O55" s="1"/>
      <c r="P55" s="1" t="n">
        <f aca="false">IF(LARGE(Projects!$I$5:$I$204,13)&lt;=0,0,MATCH(LARGE(Projects!$I$5:$I$204,13),Projects!$I$5:$I$204,0))</f>
        <v>0</v>
      </c>
    </row>
    <row r="56" customFormat="false" ht="15" hidden="false" customHeight="false" outlineLevel="0" collapsed="false">
      <c r="A56" s="1"/>
      <c r="B56" s="24" t="str">
        <f aca="false">IF($P56=0,"",INDEX(Projects!$B$5:$B$204,$P56))</f>
        <v/>
      </c>
      <c r="C56" s="24" t="str">
        <f aca="false">IF($P56=0,"",INDEX(Projects!$C$5:$C$204,$P56))</f>
        <v/>
      </c>
      <c r="D56" s="24" t="str">
        <f aca="false">IF($P56=0,"",INDEX(Projects!$D$5:$D$204,$P56))</f>
        <v/>
      </c>
      <c r="E56" s="24" t="str">
        <f aca="false">IF($P56=0,"",INDEX(Projects!$E$5:$E$204,$P56))</f>
        <v/>
      </c>
      <c r="F56" s="24" t="str">
        <f aca="false">IF($P56=0,"",INDEX(Projects!$F$5:$F$204,$P56))</f>
        <v/>
      </c>
      <c r="G56" s="24" t="str">
        <f aca="false">IF($P56=0,"",INDEX(Projects!$G$5:$G$204,$P56))</f>
        <v/>
      </c>
      <c r="H56" s="25" t="str">
        <f aca="false">IF(OR($P56=0,$G$21=0),"",G56/$G$21)</f>
        <v/>
      </c>
      <c r="I56" s="1"/>
      <c r="J56" s="1"/>
      <c r="K56" s="1"/>
      <c r="L56" s="1"/>
      <c r="M56" s="1"/>
      <c r="N56" s="1"/>
      <c r="O56" s="1"/>
      <c r="P56" s="1" t="n">
        <f aca="false">IF(LARGE(Projects!$I$5:$I$204,14)&lt;=0,0,MATCH(LARGE(Projects!$I$5:$I$204,14),Projects!$I$5:$I$204,0))</f>
        <v>0</v>
      </c>
    </row>
    <row r="57" customFormat="false" ht="15" hidden="false" customHeight="false" outlineLevel="0" collapsed="false">
      <c r="A57" s="1"/>
      <c r="B57" s="24" t="str">
        <f aca="false">IF($P57=0,"",INDEX(Projects!$B$5:$B$204,$P57))</f>
        <v/>
      </c>
      <c r="C57" s="24" t="str">
        <f aca="false">IF($P57=0,"",INDEX(Projects!$C$5:$C$204,$P57))</f>
        <v/>
      </c>
      <c r="D57" s="24" t="str">
        <f aca="false">IF($P57=0,"",INDEX(Projects!$D$5:$D$204,$P57))</f>
        <v/>
      </c>
      <c r="E57" s="24" t="str">
        <f aca="false">IF($P57=0,"",INDEX(Projects!$E$5:$E$204,$P57))</f>
        <v/>
      </c>
      <c r="F57" s="24" t="str">
        <f aca="false">IF($P57=0,"",INDEX(Projects!$F$5:$F$204,$P57))</f>
        <v/>
      </c>
      <c r="G57" s="24" t="str">
        <f aca="false">IF($P57=0,"",INDEX(Projects!$G$5:$G$204,$P57))</f>
        <v/>
      </c>
      <c r="H57" s="25" t="str">
        <f aca="false">IF(OR($P57=0,$G$21=0),"",G57/$G$21)</f>
        <v/>
      </c>
      <c r="I57" s="1"/>
      <c r="J57" s="1"/>
      <c r="K57" s="1"/>
      <c r="L57" s="1"/>
      <c r="M57" s="1"/>
      <c r="N57" s="1"/>
      <c r="O57" s="1"/>
      <c r="P57" s="1" t="n">
        <f aca="false">IF(LARGE(Projects!$I$5:$I$204,15)&lt;=0,0,MATCH(LARGE(Projects!$I$5:$I$204,15),Projects!$I$5:$I$204,0))</f>
        <v>0</v>
      </c>
    </row>
    <row r="58" customFormat="false" ht="15" hidden="false" customHeight="false" outlineLevel="0" collapsed="false">
      <c r="A58" s="1"/>
      <c r="B58" s="24" t="str">
        <f aca="false">IF($P58=0,"",INDEX(Projects!$B$5:$B$204,$P58))</f>
        <v/>
      </c>
      <c r="C58" s="24" t="str">
        <f aca="false">IF($P58=0,"",INDEX(Projects!$C$5:$C$204,$P58))</f>
        <v/>
      </c>
      <c r="D58" s="24" t="str">
        <f aca="false">IF($P58=0,"",INDEX(Projects!$D$5:$D$204,$P58))</f>
        <v/>
      </c>
      <c r="E58" s="24" t="str">
        <f aca="false">IF($P58=0,"",INDEX(Projects!$E$5:$E$204,$P58))</f>
        <v/>
      </c>
      <c r="F58" s="24" t="str">
        <f aca="false">IF($P58=0,"",INDEX(Projects!$F$5:$F$204,$P58))</f>
        <v/>
      </c>
      <c r="G58" s="24" t="str">
        <f aca="false">IF($P58=0,"",INDEX(Projects!$G$5:$G$204,$P58))</f>
        <v/>
      </c>
      <c r="H58" s="25" t="str">
        <f aca="false">IF(OR($P58=0,$G$21=0),"",G58/$G$21)</f>
        <v/>
      </c>
      <c r="I58" s="1"/>
      <c r="J58" s="1"/>
      <c r="K58" s="1"/>
      <c r="L58" s="1"/>
      <c r="M58" s="1"/>
      <c r="N58" s="1"/>
      <c r="O58" s="1"/>
      <c r="P58" s="1" t="n">
        <f aca="false">IF(LARGE(Projects!$I$5:$I$204,16)&lt;=0,0,MATCH(LARGE(Projects!$I$5:$I$204,16),Projects!$I$5:$I$204,0))</f>
        <v>0</v>
      </c>
    </row>
    <row r="59" customFormat="false" ht="15" hidden="false" customHeight="false" outlineLevel="0" collapsed="false">
      <c r="A59" s="1"/>
      <c r="B59" s="24" t="str">
        <f aca="false">IF($P59=0,"",INDEX(Projects!$B$5:$B$204,$P59))</f>
        <v/>
      </c>
      <c r="C59" s="24" t="str">
        <f aca="false">IF($P59=0,"",INDEX(Projects!$C$5:$C$204,$P59))</f>
        <v/>
      </c>
      <c r="D59" s="24" t="str">
        <f aca="false">IF($P59=0,"",INDEX(Projects!$D$5:$D$204,$P59))</f>
        <v/>
      </c>
      <c r="E59" s="24" t="str">
        <f aca="false">IF($P59=0,"",INDEX(Projects!$E$5:$E$204,$P59))</f>
        <v/>
      </c>
      <c r="F59" s="24" t="str">
        <f aca="false">IF($P59=0,"",INDEX(Projects!$F$5:$F$204,$P59))</f>
        <v/>
      </c>
      <c r="G59" s="24" t="str">
        <f aca="false">IF($P59=0,"",INDEX(Projects!$G$5:$G$204,$P59))</f>
        <v/>
      </c>
      <c r="H59" s="25" t="str">
        <f aca="false">IF(OR($P59=0,$G$21=0),"",G59/$G$21)</f>
        <v/>
      </c>
      <c r="I59" s="1"/>
      <c r="J59" s="1"/>
      <c r="K59" s="1"/>
      <c r="L59" s="1"/>
      <c r="M59" s="1"/>
      <c r="N59" s="1"/>
      <c r="O59" s="1"/>
      <c r="P59" s="1" t="n">
        <f aca="false">IF(LARGE(Projects!$I$5:$I$204,17)&lt;=0,0,MATCH(LARGE(Projects!$I$5:$I$204,17),Projects!$I$5:$I$204,0))</f>
        <v>0</v>
      </c>
    </row>
    <row r="60" customFormat="false" ht="15" hidden="false" customHeight="false" outlineLevel="0" collapsed="false">
      <c r="A60" s="1"/>
      <c r="B60" s="24" t="str">
        <f aca="false">IF($P60=0,"",INDEX(Projects!$B$5:$B$204,$P60))</f>
        <v/>
      </c>
      <c r="C60" s="24" t="str">
        <f aca="false">IF($P60=0,"",INDEX(Projects!$C$5:$C$204,$P60))</f>
        <v/>
      </c>
      <c r="D60" s="24" t="str">
        <f aca="false">IF($P60=0,"",INDEX(Projects!$D$5:$D$204,$P60))</f>
        <v/>
      </c>
      <c r="E60" s="24" t="str">
        <f aca="false">IF($P60=0,"",INDEX(Projects!$E$5:$E$204,$P60))</f>
        <v/>
      </c>
      <c r="F60" s="24" t="str">
        <f aca="false">IF($P60=0,"",INDEX(Projects!$F$5:$F$204,$P60))</f>
        <v/>
      </c>
      <c r="G60" s="24" t="str">
        <f aca="false">IF($P60=0,"",INDEX(Projects!$G$5:$G$204,$P60))</f>
        <v/>
      </c>
      <c r="H60" s="25" t="str">
        <f aca="false">IF(OR($P60=0,$G$21=0),"",G60/$G$21)</f>
        <v/>
      </c>
      <c r="I60" s="1"/>
      <c r="J60" s="1"/>
      <c r="K60" s="1"/>
      <c r="L60" s="1"/>
      <c r="M60" s="1"/>
      <c r="N60" s="1"/>
      <c r="O60" s="1"/>
      <c r="P60" s="1" t="n">
        <f aca="false">IF(LARGE(Projects!$I$5:$I$204,18)&lt;=0,0,MATCH(LARGE(Projects!$I$5:$I$204,18),Projects!$I$5:$I$204,0))</f>
        <v>0</v>
      </c>
    </row>
    <row r="61" customFormat="false" ht="15" hidden="false" customHeight="false" outlineLevel="0" collapsed="false">
      <c r="A61" s="1"/>
      <c r="B61" s="24" t="str">
        <f aca="false">IF($P61=0,"",INDEX(Projects!$B$5:$B$204,$P61))</f>
        <v/>
      </c>
      <c r="C61" s="24" t="str">
        <f aca="false">IF($P61=0,"",INDEX(Projects!$C$5:$C$204,$P61))</f>
        <v/>
      </c>
      <c r="D61" s="24" t="str">
        <f aca="false">IF($P61=0,"",INDEX(Projects!$D$5:$D$204,$P61))</f>
        <v/>
      </c>
      <c r="E61" s="24" t="str">
        <f aca="false">IF($P61=0,"",INDEX(Projects!$E$5:$E$204,$P61))</f>
        <v/>
      </c>
      <c r="F61" s="24" t="str">
        <f aca="false">IF($P61=0,"",INDEX(Projects!$F$5:$F$204,$P61))</f>
        <v/>
      </c>
      <c r="G61" s="24" t="str">
        <f aca="false">IF($P61=0,"",INDEX(Projects!$G$5:$G$204,$P61))</f>
        <v/>
      </c>
      <c r="H61" s="25" t="str">
        <f aca="false">IF(OR($P61=0,$G$21=0),"",G61/$G$21)</f>
        <v/>
      </c>
      <c r="I61" s="1"/>
      <c r="J61" s="1"/>
      <c r="K61" s="1"/>
      <c r="L61" s="1"/>
      <c r="M61" s="1"/>
      <c r="N61" s="1"/>
      <c r="O61" s="1"/>
      <c r="P61" s="1" t="n">
        <f aca="false">IF(LARGE(Projects!$I$5:$I$204,19)&lt;=0,0,MATCH(LARGE(Projects!$I$5:$I$204,19),Projects!$I$5:$I$204,0))</f>
        <v>0</v>
      </c>
    </row>
    <row r="62" customFormat="false" ht="15" hidden="false" customHeight="false" outlineLevel="0" collapsed="false">
      <c r="A62" s="1"/>
      <c r="B62" s="24" t="str">
        <f aca="false">IF($P62=0,"",INDEX(Projects!$B$5:$B$204,$P62))</f>
        <v/>
      </c>
      <c r="C62" s="24" t="str">
        <f aca="false">IF($P62=0,"",INDEX(Projects!$C$5:$C$204,$P62))</f>
        <v/>
      </c>
      <c r="D62" s="24" t="str">
        <f aca="false">IF($P62=0,"",INDEX(Projects!$D$5:$D$204,$P62))</f>
        <v/>
      </c>
      <c r="E62" s="24" t="str">
        <f aca="false">IF($P62=0,"",INDEX(Projects!$E$5:$E$204,$P62))</f>
        <v/>
      </c>
      <c r="F62" s="24" t="str">
        <f aca="false">IF($P62=0,"",INDEX(Projects!$F$5:$F$204,$P62))</f>
        <v/>
      </c>
      <c r="G62" s="24" t="str">
        <f aca="false">IF($P62=0,"",INDEX(Projects!$G$5:$G$204,$P62))</f>
        <v/>
      </c>
      <c r="H62" s="25" t="str">
        <f aca="false">IF(OR($P62=0,$G$21=0),"",G62/$G$21)</f>
        <v/>
      </c>
      <c r="I62" s="1"/>
      <c r="J62" s="1"/>
      <c r="K62" s="1"/>
      <c r="L62" s="1"/>
      <c r="M62" s="1"/>
      <c r="N62" s="1"/>
      <c r="O62" s="1"/>
      <c r="P62" s="1" t="n">
        <f aca="false">IF(LARGE(Projects!$I$5:$I$204,20)&lt;=0,0,MATCH(LARGE(Projects!$I$5:$I$204,20),Projects!$I$5:$I$204,0))</f>
        <v>0</v>
      </c>
    </row>
  </sheetData>
  <hyperlinks>
    <hyperlink ref="B9" r:id="rId1" location="'January'!A1" display="January"/>
    <hyperlink ref="B10" r:id="rId2" location="'February'!A1" display="February"/>
    <hyperlink ref="B11" r:id="rId3" location="'March'!A1" display="March"/>
    <hyperlink ref="B12" r:id="rId4" location="'April'!A1" display="April"/>
    <hyperlink ref="B13" r:id="rId5" location="'May'!A1" display="May"/>
    <hyperlink ref="B14" r:id="rId6" location="'June'!A1" display="June"/>
    <hyperlink ref="B15" r:id="rId7" location="'July'!A1" display="July"/>
    <hyperlink ref="B16" r:id="rId8" location="'August'!A1" display="August"/>
    <hyperlink ref="B17" r:id="rId9" location="'September'!A1" display="September"/>
    <hyperlink ref="B18" r:id="rId10" location="'October'!A1" display="October"/>
    <hyperlink ref="B19" r:id="rId11" location="'November'!A1" display="November"/>
    <hyperlink ref="B20" r:id="rId12" location="'December'!A1" display="Decemb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true"/>
  </sheetPr>
  <dimension ref="A1:AH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9" min="15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true" outlineLevel="0" max="34" min="23" style="0" width="13"/>
  </cols>
  <sheetData>
    <row r="1" customFormat="false" ht="22.05" hidden="false" customHeight="false" outlineLevel="0" collapsed="false">
      <c r="A1" s="1"/>
      <c r="B1" s="2" t="s">
        <v>74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75</v>
      </c>
      <c r="AD1" s="1"/>
      <c r="AE1" s="1"/>
      <c r="AF1" s="1"/>
      <c r="AG1" s="1"/>
      <c r="AH1" s="1"/>
    </row>
    <row r="2" customFormat="false" ht="15" hidden="false" customHeight="false" outlineLevel="0" collapsed="false">
      <c r="A2" s="1"/>
      <c r="B2" s="3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0" t="n">
        <v>46023</v>
      </c>
      <c r="AD2" s="1"/>
      <c r="AE2" s="1"/>
      <c r="AF2" s="1"/>
      <c r="AG2" s="1"/>
      <c r="AH2" s="1"/>
    </row>
    <row r="3" customFormat="false" ht="15" hidden="false" customHeight="false" outlineLevel="0" collapsed="false">
      <c r="A3" s="1"/>
      <c r="B3" s="4" t="s">
        <v>77</v>
      </c>
      <c r="C3" s="1"/>
      <c r="D3" s="1"/>
      <c r="E3" s="1"/>
      <c r="F3" s="1"/>
      <c r="G3" s="1"/>
      <c r="H3" s="1"/>
      <c r="I3" s="1"/>
      <c r="J3" s="1"/>
      <c r="K3" s="1"/>
      <c r="L3" s="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0" t="n">
        <v>46053</v>
      </c>
      <c r="AD3" s="1"/>
      <c r="AE3" s="1"/>
      <c r="AF3" s="1"/>
      <c r="AG3" s="1"/>
      <c r="AH3" s="1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3" t="s">
        <v>50</v>
      </c>
      <c r="M4" s="13" t="str">
        <f aca="false">IF(OHSystem="NTIME","NTIME (incl. overhead)","NTIME")</f>
        <v>NTIME</v>
      </c>
      <c r="N4" s="13" t="str">
        <f aca="false">IF(OHSystem="P6","P6 (incl. overhead)","P6")</f>
        <v>P6</v>
      </c>
      <c r="O4" s="13" t="s">
        <v>15</v>
      </c>
      <c r="P4" s="13" t="s">
        <v>24</v>
      </c>
      <c r="Q4" s="13" t="s">
        <v>51</v>
      </c>
      <c r="R4" s="13" t="s">
        <v>52</v>
      </c>
      <c r="S4" s="13" t="s">
        <v>53</v>
      </c>
      <c r="T4" s="1"/>
      <c r="U4" s="1"/>
      <c r="V4" s="1"/>
      <c r="W4" s="1"/>
      <c r="X4" s="1"/>
      <c r="Y4" s="1"/>
      <c r="Z4" s="1"/>
      <c r="AA4" s="1"/>
      <c r="AB4" s="1"/>
      <c r="AC4" s="30" t="n">
        <f aca="false">AC2-MOD(WEEKDAY(AC2,2)-WeekStartNum,7)</f>
        <v>46020</v>
      </c>
      <c r="AD4" s="1"/>
      <c r="AE4" s="1"/>
      <c r="AF4" s="1"/>
      <c r="AG4" s="1"/>
      <c r="AH4" s="1"/>
    </row>
    <row r="5" customFormat="false" ht="30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 t="n">
        <f aca="false">SUM($T$58:$T$88)</f>
        <v>0</v>
      </c>
      <c r="M5" s="15" t="n">
        <f aca="false">SUM($P$58:$P$88)+IF(OHSystem="NTIME",SUM($R$58:$R$88),0)</f>
        <v>0</v>
      </c>
      <c r="N5" s="16" t="n">
        <f aca="false">SUM($Q$58:$Q$88)+IF(OHSystem="P6",SUM($R$58:$R$88),0)</f>
        <v>0</v>
      </c>
      <c r="O5" s="17" t="n">
        <f aca="false">SUM($R$58:$R$88)</f>
        <v>0</v>
      </c>
      <c r="P5" s="14" t="n">
        <f aca="false">SUM($S$58:$S$88)</f>
        <v>0</v>
      </c>
      <c r="Q5" s="18" t="str">
        <f aca="false">IF(L5=0,"-",(SUM($P$58:$P$88)+SUM($Q$58:$Q$88))/L5)</f>
        <v>-</v>
      </c>
      <c r="R5" s="19" t="n">
        <f aca="false">SUMPRODUCT(($N$58:$N$88="Working")*(($P$58:$P$88+$Q$58:$Q$88)&gt;0))+COUNTIF($N$58:$N$88,"Overhead only")</f>
        <v>0</v>
      </c>
      <c r="S5" s="19" t="n">
        <f aca="false">COUNTIF($U$58:$U$88,"Not logged")</f>
        <v>22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5" hidden="false" customHeight="false" outlineLevel="0" collapsed="false">
      <c r="A6" s="1"/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5" hidden="false" customHeight="false" outlineLevel="0" collapsed="false">
      <c r="A7" s="1"/>
      <c r="B7" s="10"/>
      <c r="C7" s="31" t="str">
        <f aca="false">IF(B7="","",TEXT(B7,"ddd"))</f>
        <v/>
      </c>
      <c r="D7" s="11"/>
      <c r="E7" s="8" t="str">
        <f aca="false">IF(D7="","",IFERROR(INDEX(ProjNumbers,MATCH(D7,ProjNames,0)),""))</f>
        <v/>
      </c>
      <c r="F7" s="8" t="str">
        <f aca="false">IF(D7="","",IFERROR(INDEX(ProjCodes,MATCH(D7,ProjNames,0)),""))</f>
        <v/>
      </c>
      <c r="G7" s="32"/>
      <c r="H7" s="11"/>
      <c r="I7" s="33"/>
      <c r="J7" s="8" t="str">
        <f aca="false">IF(COUNTA(B7,D7,G7,H7,I7)=0,"",IF(B7="","Enter date",IF(OR(B7&lt;$AC$2,B7&gt;$AC$3),"Date not in January",IF(D7="","Pick project",IF(ISNA(MATCH(D7,ProjNames,0)),"Project not in list",IF(G7="","Add task description",IF(H7="","Pick NTIME or P6",IF(N(I7)&lt;=0,"Enter hours",IF(AND(AllowOT&lt;&gt;"Yes",SUMIF($B$7:$B$256,B7,$I$7:$I$256)&gt;INDEX($O$58:$O$88,DAY(B7))),"Day over "&amp;INDEX($O$58:$O$88,DAY(B7))&amp;" h","✓")))))))))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tr">
        <f aca="false">IF(Projects!B5="","",Projects!B5)</f>
        <v>Project A</v>
      </c>
      <c r="X7" s="1" t="n">
        <f aca="false">IF(W7="",0,SUMIFS($I$7:$I$256,$D$7:$D$256,W7,$H$7:$H$256,"NTIME"))</f>
        <v>0</v>
      </c>
      <c r="Y7" s="1" t="n">
        <f aca="false">IF(W7="",0,SUMIFS($I$7:$I$256,$D$7:$D$256,W7,$H$7:$H$256,"P6"))</f>
        <v>0</v>
      </c>
      <c r="Z7" s="1" t="n">
        <f aca="false">X7+Y7</f>
        <v>0</v>
      </c>
      <c r="AA7" s="1" t="n">
        <f aca="false">IF(Z7&gt;0,Z7+(201-1)/10^6,0)</f>
        <v>0</v>
      </c>
      <c r="AB7" s="1"/>
      <c r="AC7" s="1"/>
      <c r="AD7" s="1"/>
      <c r="AE7" s="1"/>
      <c r="AF7" s="1"/>
      <c r="AG7" s="1"/>
      <c r="AH7" s="1"/>
    </row>
    <row r="8" customFormat="false" ht="15" hidden="false" customHeight="false" outlineLevel="0" collapsed="false">
      <c r="A8" s="1"/>
      <c r="B8" s="10"/>
      <c r="C8" s="31" t="str">
        <f aca="false">IF(B8="","",TEXT(B8,"ddd"))</f>
        <v/>
      </c>
      <c r="D8" s="11"/>
      <c r="E8" s="8" t="str">
        <f aca="false">IF(D8="","",IFERROR(INDEX(ProjNumbers,MATCH(D8,ProjNames,0)),""))</f>
        <v/>
      </c>
      <c r="F8" s="8" t="str">
        <f aca="false">IF(D8="","",IFERROR(INDEX(ProjCodes,MATCH(D8,ProjNames,0)),""))</f>
        <v/>
      </c>
      <c r="G8" s="32"/>
      <c r="H8" s="11"/>
      <c r="I8" s="33"/>
      <c r="J8" s="8" t="str">
        <f aca="false">IF(COUNTA(B8,D8,G8,H8,I8)=0,"",IF(B8="","Enter date",IF(OR(B8&lt;$AC$2,B8&gt;$AC$3),"Date not in January",IF(D8="","Pick project",IF(ISNA(MATCH(D8,ProjNames,0)),"Project not in list",IF(G8="","Add task description",IF(H8="","Pick NTIME or P6",IF(N(I8)&lt;=0,"Enter hours",IF(AND(AllowOT&lt;&gt;"Yes",SUMIF($B$7:$B$256,B8,$I$7:$I$256)&gt;INDEX($O$58:$O$88,DAY(B8))),"Day over "&amp;INDEX($O$58:$O$88,DAY(B8))&amp;" h","✓")))))))))</f>
        <v/>
      </c>
      <c r="K8" s="1"/>
      <c r="L8" s="4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f aca="false">IF(Projects!B6="","",Projects!B6)</f>
        <v/>
      </c>
      <c r="X8" s="1" t="n">
        <f aca="false">IF(W8="",0,SUMIFS($I$7:$I$256,$D$7:$D$256,W8,$H$7:$H$256,"NTIME"))</f>
        <v>0</v>
      </c>
      <c r="Y8" s="1" t="n">
        <f aca="false">IF(W8="",0,SUMIFS($I$7:$I$256,$D$7:$D$256,W8,$H$7:$H$256,"P6"))</f>
        <v>0</v>
      </c>
      <c r="Z8" s="1" t="n">
        <f aca="false">X8+Y8</f>
        <v>0</v>
      </c>
      <c r="AA8" s="1" t="n">
        <f aca="false">IF(Z8&gt;0,Z8+(201-2)/10^6,0)</f>
        <v>0</v>
      </c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/>
      <c r="B9" s="10"/>
      <c r="C9" s="31" t="str">
        <f aca="false">IF(B9="","",TEXT(B9,"ddd"))</f>
        <v/>
      </c>
      <c r="D9" s="11"/>
      <c r="E9" s="8" t="str">
        <f aca="false">IF(D9="","",IFERROR(INDEX(ProjNumbers,MATCH(D9,ProjNames,0)),""))</f>
        <v/>
      </c>
      <c r="F9" s="8" t="str">
        <f aca="false">IF(D9="","",IFERROR(INDEX(ProjCodes,MATCH(D9,ProjNames,0)),""))</f>
        <v/>
      </c>
      <c r="G9" s="32"/>
      <c r="H9" s="11"/>
      <c r="I9" s="33"/>
      <c r="J9" s="8" t="str">
        <f aca="false">IF(COUNTA(B9,D9,G9,H9,I9)=0,"",IF(B9="","Enter date",IF(OR(B9&lt;$AC$2,B9&gt;$AC$3),"Date not in January",IF(D9="","Pick project",IF(ISNA(MATCH(D9,ProjNames,0)),"Project not in list",IF(G9="","Add task description",IF(H9="","Pick NTIME or P6",IF(N(I9)&lt;=0,"Enter hours",IF(AND(AllowOT&lt;&gt;"Yes",SUMIF($B$7:$B$256,B9,$I$7:$I$256)&gt;INDEX($O$58:$O$88,DAY(B9))),"Day over "&amp;INDEX($O$58:$O$88,DAY(B9))&amp;" h","✓")))))))))</f>
        <v/>
      </c>
      <c r="K9" s="1"/>
      <c r="L9" s="9" t="s">
        <v>81</v>
      </c>
      <c r="M9" s="9" t="s">
        <v>82</v>
      </c>
      <c r="N9" s="9" t="s">
        <v>83</v>
      </c>
      <c r="O9" s="20" t="s">
        <v>46</v>
      </c>
      <c r="P9" s="21" t="s">
        <v>56</v>
      </c>
      <c r="Q9" s="22" t="s">
        <v>15</v>
      </c>
      <c r="R9" s="9" t="s">
        <v>24</v>
      </c>
      <c r="S9" s="9" t="s">
        <v>57</v>
      </c>
      <c r="T9" s="1"/>
      <c r="U9" s="1"/>
      <c r="V9" s="1"/>
      <c r="W9" s="1" t="str">
        <f aca="false">IF(Projects!B7="","",Projects!B7)</f>
        <v/>
      </c>
      <c r="X9" s="1" t="n">
        <f aca="false">IF(W9="",0,SUMIFS($I$7:$I$256,$D$7:$D$256,W9,$H$7:$H$256,"NTIME"))</f>
        <v>0</v>
      </c>
      <c r="Y9" s="1" t="n">
        <f aca="false">IF(W9="",0,SUMIFS($I$7:$I$256,$D$7:$D$256,W9,$H$7:$H$256,"P6"))</f>
        <v>0</v>
      </c>
      <c r="Z9" s="1" t="n">
        <f aca="false">X9+Y9</f>
        <v>0</v>
      </c>
      <c r="AA9" s="1" t="n">
        <f aca="false">IF(Z9&gt;0,Z9+(201-3)/10^6,0)</f>
        <v>0</v>
      </c>
      <c r="AB9" s="1"/>
      <c r="AC9" s="1"/>
      <c r="AD9" s="1"/>
      <c r="AE9" s="1"/>
      <c r="AF9" s="1" t="s">
        <v>46</v>
      </c>
      <c r="AG9" s="1" t="s">
        <v>56</v>
      </c>
      <c r="AH9" s="1" t="s">
        <v>15</v>
      </c>
    </row>
    <row r="10" customFormat="false" ht="15" hidden="false" customHeight="false" outlineLevel="0" collapsed="false">
      <c r="A10" s="1"/>
      <c r="B10" s="10"/>
      <c r="C10" s="31" t="str">
        <f aca="false">IF(B10="","",TEXT(B10,"ddd"))</f>
        <v/>
      </c>
      <c r="D10" s="11"/>
      <c r="E10" s="8" t="str">
        <f aca="false">IF(D10="","",IFERROR(INDEX(ProjNumbers,MATCH(D10,ProjNames,0)),""))</f>
        <v/>
      </c>
      <c r="F10" s="8" t="str">
        <f aca="false">IF(D10="","",IFERROR(INDEX(ProjCodes,MATCH(D10,ProjNames,0)),""))</f>
        <v/>
      </c>
      <c r="G10" s="32"/>
      <c r="H10" s="11"/>
      <c r="I10" s="33"/>
      <c r="J10" s="8" t="str">
        <f aca="false">IF(COUNTA(B10,D10,G10,H10,I10)=0,"",IF(B10="","Enter date",IF(OR(B10&lt;$AC$2,B10&gt;$AC$3),"Date not in January",IF(D10="","Pick project",IF(ISNA(MATCH(D10,ProjNames,0)),"Project not in list",IF(G10="","Add task description",IF(H10="","Pick NTIME or P6",IF(N(I10)&lt;=0,"Enter hours",IF(AND(AllowOT&lt;&gt;"Yes",SUMIF($B$7:$B$256,B10,$I$7:$I$256)&gt;INDEX($O$58:$O$88,DAY(B10))),"Day over "&amp;INDEX($O$58:$O$88,DAY(B10))&amp;" h","✓")))))))))</f>
        <v/>
      </c>
      <c r="K10" s="1"/>
      <c r="L10" s="24" t="str">
        <f aca="false">"Week 1"&amp;IF(M10="",""," ("&amp;DAY(M10)&amp;"–"&amp;DAY(N10)&amp;")")</f>
        <v>Week 1 (1–4)</v>
      </c>
      <c r="M10" s="34" t="n">
        <f aca="false">IF($AC$4+7*0&gt;$AC$3,"",MAX($AC$2,$AC$4+7*0))</f>
        <v>46023</v>
      </c>
      <c r="N10" s="34" t="n">
        <f aca="false">IF(M10="","",MIN($AC$3,$AC$4+7*1-1))</f>
        <v>46026</v>
      </c>
      <c r="O10" s="24" t="n">
        <f aca="false">IF($M10="","",AF10+IF(OHSystem="NTIME",AH10,0))</f>
        <v>0</v>
      </c>
      <c r="P10" s="24" t="n">
        <f aca="false">IF($M10="","",AG10+IF(OHSystem="P6",AH10,0))</f>
        <v>0</v>
      </c>
      <c r="Q10" s="24" t="n">
        <f aca="false">IF($M10="","",AH10)</f>
        <v>0</v>
      </c>
      <c r="R10" s="24" t="n">
        <f aca="false">IF($M10="","",SUMIFS($S$58:$S$88,$L$58:$L$88,"&gt;="&amp;$M10,$L$58:$L$88,"&lt;="&amp;$N10))</f>
        <v>0</v>
      </c>
      <c r="S10" s="24" t="n">
        <f aca="false">IF($M10="","",SUMIFS($T$58:$T$88,$L$58:$L$88,"&gt;="&amp;$M10,$L$58:$L$88,"&lt;="&amp;$N10))</f>
        <v>0</v>
      </c>
      <c r="T10" s="1"/>
      <c r="U10" s="1"/>
      <c r="V10" s="1"/>
      <c r="W10" s="1" t="str">
        <f aca="false">IF(Projects!B8="","",Projects!B8)</f>
        <v/>
      </c>
      <c r="X10" s="1" t="n">
        <f aca="false">IF(W10="",0,SUMIFS($I$7:$I$256,$D$7:$D$256,W10,$H$7:$H$256,"NTIME"))</f>
        <v>0</v>
      </c>
      <c r="Y10" s="1" t="n">
        <f aca="false">IF(W10="",0,SUMIFS($I$7:$I$256,$D$7:$D$256,W10,$H$7:$H$256,"P6"))</f>
        <v>0</v>
      </c>
      <c r="Z10" s="1" t="n">
        <f aca="false">X10+Y10</f>
        <v>0</v>
      </c>
      <c r="AA10" s="1" t="n">
        <f aca="false">IF(Z10&gt;0,Z10+(201-4)/10^6,0)</f>
        <v>0</v>
      </c>
      <c r="AB10" s="1"/>
      <c r="AC10" s="1"/>
      <c r="AD10" s="1"/>
      <c r="AE10" s="1"/>
      <c r="AF10" s="1" t="n">
        <f aca="false">IF($M10="",0,SUMIFS($P$58:$P$88,$L$58:$L$88,"&gt;="&amp;$M10,$L$58:$L$88,"&lt;="&amp;$N10))</f>
        <v>0</v>
      </c>
      <c r="AG10" s="1" t="n">
        <f aca="false">IF($M10="",0,SUMIFS($Q$58:$Q$88,$L$58:$L$88,"&gt;="&amp;$M10,$L$58:$L$88,"&lt;="&amp;$N10))</f>
        <v>0</v>
      </c>
      <c r="AH10" s="1" t="n">
        <f aca="false">IF($M10="",0,SUMIFS($R$58:$R$88,$L$58:$L$88,"&gt;="&amp;$M10,$L$58:$L$88,"&lt;="&amp;$N10))</f>
        <v>0</v>
      </c>
    </row>
    <row r="11" customFormat="false" ht="15" hidden="false" customHeight="false" outlineLevel="0" collapsed="false">
      <c r="A11" s="1"/>
      <c r="B11" s="10"/>
      <c r="C11" s="31" t="str">
        <f aca="false">IF(B11="","",TEXT(B11,"ddd"))</f>
        <v/>
      </c>
      <c r="D11" s="11"/>
      <c r="E11" s="8" t="str">
        <f aca="false">IF(D11="","",IFERROR(INDEX(ProjNumbers,MATCH(D11,ProjNames,0)),""))</f>
        <v/>
      </c>
      <c r="F11" s="8" t="str">
        <f aca="false">IF(D11="","",IFERROR(INDEX(ProjCodes,MATCH(D11,ProjNames,0)),""))</f>
        <v/>
      </c>
      <c r="G11" s="32"/>
      <c r="H11" s="11"/>
      <c r="I11" s="33"/>
      <c r="J11" s="8" t="str">
        <f aca="false">IF(COUNTA(B11,D11,G11,H11,I11)=0,"",IF(B11="","Enter date",IF(OR(B11&lt;$AC$2,B11&gt;$AC$3),"Date not in January",IF(D11="","Pick project",IF(ISNA(MATCH(D11,ProjNames,0)),"Project not in list",IF(G11="","Add task description",IF(H11="","Pick NTIME or P6",IF(N(I11)&lt;=0,"Enter hours",IF(AND(AllowOT&lt;&gt;"Yes",SUMIF($B$7:$B$256,B11,$I$7:$I$256)&gt;INDEX($O$58:$O$88,DAY(B11))),"Day over "&amp;INDEX($O$58:$O$88,DAY(B11))&amp;" h","✓")))))))))</f>
        <v/>
      </c>
      <c r="K11" s="1"/>
      <c r="L11" s="24" t="str">
        <f aca="false">"Week 2"&amp;IF(M11="",""," ("&amp;DAY(M11)&amp;"–"&amp;DAY(N11)&amp;")")</f>
        <v>Week 2 (5–11)</v>
      </c>
      <c r="M11" s="34" t="n">
        <f aca="false">IF($AC$4+7*1&gt;$AC$3,"",MAX($AC$2,$AC$4+7*1))</f>
        <v>46027</v>
      </c>
      <c r="N11" s="34" t="n">
        <f aca="false">IF(M11="","",MIN($AC$3,$AC$4+7*2-1))</f>
        <v>46033</v>
      </c>
      <c r="O11" s="24" t="n">
        <f aca="false">IF($M11="","",AF11+IF(OHSystem="NTIME",AH11,0))</f>
        <v>0</v>
      </c>
      <c r="P11" s="24" t="n">
        <f aca="false">IF($M11="","",AG11+IF(OHSystem="P6",AH11,0))</f>
        <v>0</v>
      </c>
      <c r="Q11" s="24" t="n">
        <f aca="false">IF($M11="","",AH11)</f>
        <v>0</v>
      </c>
      <c r="R11" s="24" t="n">
        <f aca="false">IF($M11="","",SUMIFS($S$58:$S$88,$L$58:$L$88,"&gt;="&amp;$M11,$L$58:$L$88,"&lt;="&amp;$N11))</f>
        <v>0</v>
      </c>
      <c r="S11" s="24" t="n">
        <f aca="false">IF($M11="","",SUMIFS($T$58:$T$88,$L$58:$L$88,"&gt;="&amp;$M11,$L$58:$L$88,"&lt;="&amp;$N11))</f>
        <v>0</v>
      </c>
      <c r="T11" s="1"/>
      <c r="U11" s="1"/>
      <c r="V11" s="1"/>
      <c r="W11" s="1" t="str">
        <f aca="false">IF(Projects!B9="","",Projects!B9)</f>
        <v/>
      </c>
      <c r="X11" s="1" t="n">
        <f aca="false">IF(W11="",0,SUMIFS($I$7:$I$256,$D$7:$D$256,W11,$H$7:$H$256,"NTIME"))</f>
        <v>0</v>
      </c>
      <c r="Y11" s="1" t="n">
        <f aca="false">IF(W11="",0,SUMIFS($I$7:$I$256,$D$7:$D$256,W11,$H$7:$H$256,"P6"))</f>
        <v>0</v>
      </c>
      <c r="Z11" s="1" t="n">
        <f aca="false">X11+Y11</f>
        <v>0</v>
      </c>
      <c r="AA11" s="1" t="n">
        <f aca="false">IF(Z11&gt;0,Z11+(201-5)/10^6,0)</f>
        <v>0</v>
      </c>
      <c r="AB11" s="1"/>
      <c r="AC11" s="1"/>
      <c r="AD11" s="1"/>
      <c r="AE11" s="1"/>
      <c r="AF11" s="1" t="n">
        <f aca="false">IF($M11="",0,SUMIFS($P$58:$P$88,$L$58:$L$88,"&gt;="&amp;$M11,$L$58:$L$88,"&lt;="&amp;$N11))</f>
        <v>0</v>
      </c>
      <c r="AG11" s="1" t="n">
        <f aca="false">IF($M11="",0,SUMIFS($Q$58:$Q$88,$L$58:$L$88,"&gt;="&amp;$M11,$L$58:$L$88,"&lt;="&amp;$N11))</f>
        <v>0</v>
      </c>
      <c r="AH11" s="1" t="n">
        <f aca="false">IF($M11="",0,SUMIFS($R$58:$R$88,$L$58:$L$88,"&gt;="&amp;$M11,$L$58:$L$88,"&lt;="&amp;$N11))</f>
        <v>0</v>
      </c>
    </row>
    <row r="12" customFormat="false" ht="15" hidden="false" customHeight="false" outlineLevel="0" collapsed="false">
      <c r="A12" s="1"/>
      <c r="B12" s="10"/>
      <c r="C12" s="31" t="str">
        <f aca="false">IF(B12="","",TEXT(B12,"ddd"))</f>
        <v/>
      </c>
      <c r="D12" s="11"/>
      <c r="E12" s="8" t="str">
        <f aca="false">IF(D12="","",IFERROR(INDEX(ProjNumbers,MATCH(D12,ProjNames,0)),""))</f>
        <v/>
      </c>
      <c r="F12" s="8" t="str">
        <f aca="false">IF(D12="","",IFERROR(INDEX(ProjCodes,MATCH(D12,ProjNames,0)),""))</f>
        <v/>
      </c>
      <c r="G12" s="32"/>
      <c r="H12" s="11"/>
      <c r="I12" s="33"/>
      <c r="J12" s="8" t="str">
        <f aca="false">IF(COUNTA(B12,D12,G12,H12,I12)=0,"",IF(B12="","Enter date",IF(OR(B12&lt;$AC$2,B12&gt;$AC$3),"Date not in January",IF(D12="","Pick project",IF(ISNA(MATCH(D12,ProjNames,0)),"Project not in list",IF(G12="","Add task description",IF(H12="","Pick NTIME or P6",IF(N(I12)&lt;=0,"Enter hours",IF(AND(AllowOT&lt;&gt;"Yes",SUMIF($B$7:$B$256,B12,$I$7:$I$256)&gt;INDEX($O$58:$O$88,DAY(B12))),"Day over "&amp;INDEX($O$58:$O$88,DAY(B12))&amp;" h","✓")))))))))</f>
        <v/>
      </c>
      <c r="K12" s="1"/>
      <c r="L12" s="24" t="str">
        <f aca="false">"Week 3"&amp;IF(M12="",""," ("&amp;DAY(M12)&amp;"–"&amp;DAY(N12)&amp;")")</f>
        <v>Week 3 (12–18)</v>
      </c>
      <c r="M12" s="34" t="n">
        <f aca="false">IF($AC$4+7*2&gt;$AC$3,"",MAX($AC$2,$AC$4+7*2))</f>
        <v>46034</v>
      </c>
      <c r="N12" s="34" t="n">
        <f aca="false">IF(M12="","",MIN($AC$3,$AC$4+7*3-1))</f>
        <v>46040</v>
      </c>
      <c r="O12" s="24" t="n">
        <f aca="false">IF($M12="","",AF12+IF(OHSystem="NTIME",AH12,0))</f>
        <v>0</v>
      </c>
      <c r="P12" s="24" t="n">
        <f aca="false">IF($M12="","",AG12+IF(OHSystem="P6",AH12,0))</f>
        <v>0</v>
      </c>
      <c r="Q12" s="24" t="n">
        <f aca="false">IF($M12="","",AH12)</f>
        <v>0</v>
      </c>
      <c r="R12" s="24" t="n">
        <f aca="false">IF($M12="","",SUMIFS($S$58:$S$88,$L$58:$L$88,"&gt;="&amp;$M12,$L$58:$L$88,"&lt;="&amp;$N12))</f>
        <v>0</v>
      </c>
      <c r="S12" s="24" t="n">
        <f aca="false">IF($M12="","",SUMIFS($T$58:$T$88,$L$58:$L$88,"&gt;="&amp;$M12,$L$58:$L$88,"&lt;="&amp;$N12))</f>
        <v>0</v>
      </c>
      <c r="T12" s="1"/>
      <c r="U12" s="1"/>
      <c r="V12" s="1"/>
      <c r="W12" s="1" t="str">
        <f aca="false">IF(Projects!B10="","",Projects!B10)</f>
        <v/>
      </c>
      <c r="X12" s="1" t="n">
        <f aca="false">IF(W12="",0,SUMIFS($I$7:$I$256,$D$7:$D$256,W12,$H$7:$H$256,"NTIME"))</f>
        <v>0</v>
      </c>
      <c r="Y12" s="1" t="n">
        <f aca="false">IF(W12="",0,SUMIFS($I$7:$I$256,$D$7:$D$256,W12,$H$7:$H$256,"P6"))</f>
        <v>0</v>
      </c>
      <c r="Z12" s="1" t="n">
        <f aca="false">X12+Y12</f>
        <v>0</v>
      </c>
      <c r="AA12" s="1" t="n">
        <f aca="false">IF(Z12&gt;0,Z12+(201-6)/10^6,0)</f>
        <v>0</v>
      </c>
      <c r="AB12" s="1"/>
      <c r="AC12" s="1"/>
      <c r="AD12" s="1"/>
      <c r="AE12" s="1"/>
      <c r="AF12" s="1" t="n">
        <f aca="false">IF($M12="",0,SUMIFS($P$58:$P$88,$L$58:$L$88,"&gt;="&amp;$M12,$L$58:$L$88,"&lt;="&amp;$N12))</f>
        <v>0</v>
      </c>
      <c r="AG12" s="1" t="n">
        <f aca="false">IF($M12="",0,SUMIFS($Q$58:$Q$88,$L$58:$L$88,"&gt;="&amp;$M12,$L$58:$L$88,"&lt;="&amp;$N12))</f>
        <v>0</v>
      </c>
      <c r="AH12" s="1" t="n">
        <f aca="false">IF($M12="",0,SUMIFS($R$58:$R$88,$L$58:$L$88,"&gt;="&amp;$M12,$L$58:$L$88,"&lt;="&amp;$N12))</f>
        <v>0</v>
      </c>
    </row>
    <row r="13" customFormat="false" ht="15" hidden="false" customHeight="false" outlineLevel="0" collapsed="false">
      <c r="A13" s="1"/>
      <c r="B13" s="10"/>
      <c r="C13" s="31" t="str">
        <f aca="false">IF(B13="","",TEXT(B13,"ddd"))</f>
        <v/>
      </c>
      <c r="D13" s="11"/>
      <c r="E13" s="8" t="str">
        <f aca="false">IF(D13="","",IFERROR(INDEX(ProjNumbers,MATCH(D13,ProjNames,0)),""))</f>
        <v/>
      </c>
      <c r="F13" s="8" t="str">
        <f aca="false">IF(D13="","",IFERROR(INDEX(ProjCodes,MATCH(D13,ProjNames,0)),""))</f>
        <v/>
      </c>
      <c r="G13" s="32"/>
      <c r="H13" s="11"/>
      <c r="I13" s="33"/>
      <c r="J13" s="8" t="str">
        <f aca="false">IF(COUNTA(B13,D13,G13,H13,I13)=0,"",IF(B13="","Enter date",IF(OR(B13&lt;$AC$2,B13&gt;$AC$3),"Date not in January",IF(D13="","Pick project",IF(ISNA(MATCH(D13,ProjNames,0)),"Project not in list",IF(G13="","Add task description",IF(H13="","Pick NTIME or P6",IF(N(I13)&lt;=0,"Enter hours",IF(AND(AllowOT&lt;&gt;"Yes",SUMIF($B$7:$B$256,B13,$I$7:$I$256)&gt;INDEX($O$58:$O$88,DAY(B13))),"Day over "&amp;INDEX($O$58:$O$88,DAY(B13))&amp;" h","✓")))))))))</f>
        <v/>
      </c>
      <c r="K13" s="1"/>
      <c r="L13" s="24" t="str">
        <f aca="false">"Week 4"&amp;IF(M13="",""," ("&amp;DAY(M13)&amp;"–"&amp;DAY(N13)&amp;")")</f>
        <v>Week 4 (19–25)</v>
      </c>
      <c r="M13" s="34" t="n">
        <f aca="false">IF($AC$4+7*3&gt;$AC$3,"",MAX($AC$2,$AC$4+7*3))</f>
        <v>46041</v>
      </c>
      <c r="N13" s="34" t="n">
        <f aca="false">IF(M13="","",MIN($AC$3,$AC$4+7*4-1))</f>
        <v>46047</v>
      </c>
      <c r="O13" s="24" t="n">
        <f aca="false">IF($M13="","",AF13+IF(OHSystem="NTIME",AH13,0))</f>
        <v>0</v>
      </c>
      <c r="P13" s="24" t="n">
        <f aca="false">IF($M13="","",AG13+IF(OHSystem="P6",AH13,0))</f>
        <v>0</v>
      </c>
      <c r="Q13" s="24" t="n">
        <f aca="false">IF($M13="","",AH13)</f>
        <v>0</v>
      </c>
      <c r="R13" s="24" t="n">
        <f aca="false">IF($M13="","",SUMIFS($S$58:$S$88,$L$58:$L$88,"&gt;="&amp;$M13,$L$58:$L$88,"&lt;="&amp;$N13))</f>
        <v>0</v>
      </c>
      <c r="S13" s="24" t="n">
        <f aca="false">IF($M13="","",SUMIFS($T$58:$T$88,$L$58:$L$88,"&gt;="&amp;$M13,$L$58:$L$88,"&lt;="&amp;$N13))</f>
        <v>0</v>
      </c>
      <c r="T13" s="1"/>
      <c r="U13" s="1"/>
      <c r="V13" s="1"/>
      <c r="W13" s="1" t="str">
        <f aca="false">IF(Projects!B11="","",Projects!B11)</f>
        <v/>
      </c>
      <c r="X13" s="1" t="n">
        <f aca="false">IF(W13="",0,SUMIFS($I$7:$I$256,$D$7:$D$256,W13,$H$7:$H$256,"NTIME"))</f>
        <v>0</v>
      </c>
      <c r="Y13" s="1" t="n">
        <f aca="false">IF(W13="",0,SUMIFS($I$7:$I$256,$D$7:$D$256,W13,$H$7:$H$256,"P6"))</f>
        <v>0</v>
      </c>
      <c r="Z13" s="1" t="n">
        <f aca="false">X13+Y13</f>
        <v>0</v>
      </c>
      <c r="AA13" s="1" t="n">
        <f aca="false">IF(Z13&gt;0,Z13+(201-7)/10^6,0)</f>
        <v>0</v>
      </c>
      <c r="AB13" s="1"/>
      <c r="AC13" s="1"/>
      <c r="AD13" s="1"/>
      <c r="AE13" s="1"/>
      <c r="AF13" s="1" t="n">
        <f aca="false">IF($M13="",0,SUMIFS($P$58:$P$88,$L$58:$L$88,"&gt;="&amp;$M13,$L$58:$L$88,"&lt;="&amp;$N13))</f>
        <v>0</v>
      </c>
      <c r="AG13" s="1" t="n">
        <f aca="false">IF($M13="",0,SUMIFS($Q$58:$Q$88,$L$58:$L$88,"&gt;="&amp;$M13,$L$58:$L$88,"&lt;="&amp;$N13))</f>
        <v>0</v>
      </c>
      <c r="AH13" s="1" t="n">
        <f aca="false">IF($M13="",0,SUMIFS($R$58:$R$88,$L$58:$L$88,"&gt;="&amp;$M13,$L$58:$L$88,"&lt;="&amp;$N13))</f>
        <v>0</v>
      </c>
    </row>
    <row r="14" customFormat="false" ht="15" hidden="false" customHeight="false" outlineLevel="0" collapsed="false">
      <c r="A14" s="1"/>
      <c r="B14" s="10"/>
      <c r="C14" s="31" t="str">
        <f aca="false">IF(B14="","",TEXT(B14,"ddd"))</f>
        <v/>
      </c>
      <c r="D14" s="11"/>
      <c r="E14" s="8" t="str">
        <f aca="false">IF(D14="","",IFERROR(INDEX(ProjNumbers,MATCH(D14,ProjNames,0)),""))</f>
        <v/>
      </c>
      <c r="F14" s="8" t="str">
        <f aca="false">IF(D14="","",IFERROR(INDEX(ProjCodes,MATCH(D14,ProjNames,0)),""))</f>
        <v/>
      </c>
      <c r="G14" s="32"/>
      <c r="H14" s="11"/>
      <c r="I14" s="33"/>
      <c r="J14" s="8" t="str">
        <f aca="false">IF(COUNTA(B14,D14,G14,H14,I14)=0,"",IF(B14="","Enter date",IF(OR(B14&lt;$AC$2,B14&gt;$AC$3),"Date not in January",IF(D14="","Pick project",IF(ISNA(MATCH(D14,ProjNames,0)),"Project not in list",IF(G14="","Add task description",IF(H14="","Pick NTIME or P6",IF(N(I14)&lt;=0,"Enter hours",IF(AND(AllowOT&lt;&gt;"Yes",SUMIF($B$7:$B$256,B14,$I$7:$I$256)&gt;INDEX($O$58:$O$88,DAY(B14))),"Day over "&amp;INDEX($O$58:$O$88,DAY(B14))&amp;" h","✓")))))))))</f>
        <v/>
      </c>
      <c r="K14" s="1"/>
      <c r="L14" s="24" t="str">
        <f aca="false">"Week 5"&amp;IF(M14="",""," ("&amp;DAY(M14)&amp;"–"&amp;DAY(N14)&amp;")")</f>
        <v>Week 5 (26–31)</v>
      </c>
      <c r="M14" s="34" t="n">
        <f aca="false">IF($AC$4+7*4&gt;$AC$3,"",MAX($AC$2,$AC$4+7*4))</f>
        <v>46048</v>
      </c>
      <c r="N14" s="34" t="n">
        <f aca="false">IF(M14="","",MIN($AC$3,$AC$4+7*5-1))</f>
        <v>46053</v>
      </c>
      <c r="O14" s="24" t="n">
        <f aca="false">IF($M14="","",AF14+IF(OHSystem="NTIME",AH14,0))</f>
        <v>0</v>
      </c>
      <c r="P14" s="24" t="n">
        <f aca="false">IF($M14="","",AG14+IF(OHSystem="P6",AH14,0))</f>
        <v>0</v>
      </c>
      <c r="Q14" s="24" t="n">
        <f aca="false">IF($M14="","",AH14)</f>
        <v>0</v>
      </c>
      <c r="R14" s="24" t="n">
        <f aca="false">IF($M14="","",SUMIFS($S$58:$S$88,$L$58:$L$88,"&gt;="&amp;$M14,$L$58:$L$88,"&lt;="&amp;$N14))</f>
        <v>0</v>
      </c>
      <c r="S14" s="24" t="n">
        <f aca="false">IF($M14="","",SUMIFS($T$58:$T$88,$L$58:$L$88,"&gt;="&amp;$M14,$L$58:$L$88,"&lt;="&amp;$N14))</f>
        <v>0</v>
      </c>
      <c r="T14" s="1"/>
      <c r="U14" s="1"/>
      <c r="V14" s="1"/>
      <c r="W14" s="1" t="str">
        <f aca="false">IF(Projects!B12="","",Projects!B12)</f>
        <v/>
      </c>
      <c r="X14" s="1" t="n">
        <f aca="false">IF(W14="",0,SUMIFS($I$7:$I$256,$D$7:$D$256,W14,$H$7:$H$256,"NTIME"))</f>
        <v>0</v>
      </c>
      <c r="Y14" s="1" t="n">
        <f aca="false">IF(W14="",0,SUMIFS($I$7:$I$256,$D$7:$D$256,W14,$H$7:$H$256,"P6"))</f>
        <v>0</v>
      </c>
      <c r="Z14" s="1" t="n">
        <f aca="false">X14+Y14</f>
        <v>0</v>
      </c>
      <c r="AA14" s="1" t="n">
        <f aca="false">IF(Z14&gt;0,Z14+(201-8)/10^6,0)</f>
        <v>0</v>
      </c>
      <c r="AB14" s="1"/>
      <c r="AC14" s="1"/>
      <c r="AD14" s="1"/>
      <c r="AE14" s="1"/>
      <c r="AF14" s="1" t="n">
        <f aca="false">IF($M14="",0,SUMIFS($P$58:$P$88,$L$58:$L$88,"&gt;="&amp;$M14,$L$58:$L$88,"&lt;="&amp;$N14))</f>
        <v>0</v>
      </c>
      <c r="AG14" s="1" t="n">
        <f aca="false">IF($M14="",0,SUMIFS($Q$58:$Q$88,$L$58:$L$88,"&gt;="&amp;$M14,$L$58:$L$88,"&lt;="&amp;$N14))</f>
        <v>0</v>
      </c>
      <c r="AH14" s="1" t="n">
        <f aca="false">IF($M14="",0,SUMIFS($R$58:$R$88,$L$58:$L$88,"&gt;="&amp;$M14,$L$58:$L$88,"&lt;="&amp;$N14))</f>
        <v>0</v>
      </c>
    </row>
    <row r="15" customFormat="false" ht="15" hidden="false" customHeight="false" outlineLevel="0" collapsed="false">
      <c r="A15" s="1"/>
      <c r="B15" s="10"/>
      <c r="C15" s="31" t="str">
        <f aca="false">IF(B15="","",TEXT(B15,"ddd"))</f>
        <v/>
      </c>
      <c r="D15" s="11"/>
      <c r="E15" s="8" t="str">
        <f aca="false">IF(D15="","",IFERROR(INDEX(ProjNumbers,MATCH(D15,ProjNames,0)),""))</f>
        <v/>
      </c>
      <c r="F15" s="8" t="str">
        <f aca="false">IF(D15="","",IFERROR(INDEX(ProjCodes,MATCH(D15,ProjNames,0)),""))</f>
        <v/>
      </c>
      <c r="G15" s="32"/>
      <c r="H15" s="11"/>
      <c r="I15" s="33"/>
      <c r="J15" s="8" t="str">
        <f aca="false">IF(COUNTA(B15,D15,G15,H15,I15)=0,"",IF(B15="","Enter date",IF(OR(B15&lt;$AC$2,B15&gt;$AC$3),"Date not in January",IF(D15="","Pick project",IF(ISNA(MATCH(D15,ProjNames,0)),"Project not in list",IF(G15="","Add task description",IF(H15="","Pick NTIME or P6",IF(N(I15)&lt;=0,"Enter hours",IF(AND(AllowOT&lt;&gt;"Yes",SUMIF($B$7:$B$256,B15,$I$7:$I$256)&gt;INDEX($O$58:$O$88,DAY(B15))),"Day over "&amp;INDEX($O$58:$O$88,DAY(B15))&amp;" h","✓")))))))))</f>
        <v/>
      </c>
      <c r="K15" s="1"/>
      <c r="L15" s="24" t="str">
        <f aca="false">"Week 6"&amp;IF(M15="",""," ("&amp;DAY(M15)&amp;"–"&amp;DAY(N15)&amp;")")</f>
        <v>Week 6</v>
      </c>
      <c r="M15" s="34" t="str">
        <f aca="false">IF($AC$4+7*5&gt;$AC$3,"",MAX($AC$2,$AC$4+7*5))</f>
        <v/>
      </c>
      <c r="N15" s="34" t="str">
        <f aca="false">IF(M15="","",MIN($AC$3,$AC$4+7*6-1))</f>
        <v/>
      </c>
      <c r="O15" s="24" t="str">
        <f aca="false">IF($M15="","",AF15+IF(OHSystem="NTIME",AH15,0))</f>
        <v/>
      </c>
      <c r="P15" s="24" t="str">
        <f aca="false">IF($M15="","",AG15+IF(OHSystem="P6",AH15,0))</f>
        <v/>
      </c>
      <c r="Q15" s="24" t="str">
        <f aca="false">IF($M15="","",AH15)</f>
        <v/>
      </c>
      <c r="R15" s="24" t="str">
        <f aca="false">IF($M15="","",SUMIFS($S$58:$S$88,$L$58:$L$88,"&gt;="&amp;$M15,$L$58:$L$88,"&lt;="&amp;$N15))</f>
        <v/>
      </c>
      <c r="S15" s="24" t="str">
        <f aca="false">IF($M15="","",SUMIFS($T$58:$T$88,$L$58:$L$88,"&gt;="&amp;$M15,$L$58:$L$88,"&lt;="&amp;$N15))</f>
        <v/>
      </c>
      <c r="T15" s="1"/>
      <c r="U15" s="1"/>
      <c r="V15" s="1"/>
      <c r="W15" s="1" t="str">
        <f aca="false">IF(Projects!B13="","",Projects!B13)</f>
        <v/>
      </c>
      <c r="X15" s="1" t="n">
        <f aca="false">IF(W15="",0,SUMIFS($I$7:$I$256,$D$7:$D$256,W15,$H$7:$H$256,"NTIME"))</f>
        <v>0</v>
      </c>
      <c r="Y15" s="1" t="n">
        <f aca="false">IF(W15="",0,SUMIFS($I$7:$I$256,$D$7:$D$256,W15,$H$7:$H$256,"P6"))</f>
        <v>0</v>
      </c>
      <c r="Z15" s="1" t="n">
        <f aca="false">X15+Y15</f>
        <v>0</v>
      </c>
      <c r="AA15" s="1" t="n">
        <f aca="false">IF(Z15&gt;0,Z15+(201-9)/10^6,0)</f>
        <v>0</v>
      </c>
      <c r="AB15" s="1"/>
      <c r="AC15" s="1"/>
      <c r="AD15" s="1"/>
      <c r="AE15" s="1"/>
      <c r="AF15" s="1" t="n">
        <f aca="false">IF($M15="",0,SUMIFS($P$58:$P$88,$L$58:$L$88,"&gt;="&amp;$M15,$L$58:$L$88,"&lt;="&amp;$N15))</f>
        <v>0</v>
      </c>
      <c r="AG15" s="1" t="n">
        <f aca="false">IF($M15="",0,SUMIFS($Q$58:$Q$88,$L$58:$L$88,"&gt;="&amp;$M15,$L$58:$L$88,"&lt;="&amp;$N15))</f>
        <v>0</v>
      </c>
      <c r="AH15" s="1" t="n">
        <f aca="false">IF($M15="",0,SUMIFS($R$58:$R$88,$L$58:$L$88,"&gt;="&amp;$M15,$L$58:$L$88,"&lt;="&amp;$N15))</f>
        <v>0</v>
      </c>
    </row>
    <row r="16" customFormat="false" ht="15" hidden="false" customHeight="false" outlineLevel="0" collapsed="false">
      <c r="A16" s="1"/>
      <c r="B16" s="10"/>
      <c r="C16" s="31" t="str">
        <f aca="false">IF(B16="","",TEXT(B16,"ddd"))</f>
        <v/>
      </c>
      <c r="D16" s="11"/>
      <c r="E16" s="8" t="str">
        <f aca="false">IF(D16="","",IFERROR(INDEX(ProjNumbers,MATCH(D16,ProjNames,0)),""))</f>
        <v/>
      </c>
      <c r="F16" s="8" t="str">
        <f aca="false">IF(D16="","",IFERROR(INDEX(ProjCodes,MATCH(D16,ProjNames,0)),""))</f>
        <v/>
      </c>
      <c r="G16" s="32"/>
      <c r="H16" s="11"/>
      <c r="I16" s="33"/>
      <c r="J16" s="8" t="str">
        <f aca="false">IF(COUNTA(B16,D16,G16,H16,I16)=0,"",IF(B16="","Enter date",IF(OR(B16&lt;$AC$2,B16&gt;$AC$3),"Date not in January",IF(D16="","Pick project",IF(ISNA(MATCH(D16,ProjNames,0)),"Project not in list",IF(G16="","Add task description",IF(H16="","Pick NTIME or P6",IF(N(I16)&lt;=0,"Enter hours",IF(AND(AllowOT&lt;&gt;"Yes",SUMIF($B$7:$B$256,B16,$I$7:$I$256)&gt;INDEX($O$58:$O$88,DAY(B16))),"Day over "&amp;INDEX($O$58:$O$88,DAY(B16))&amp;" h","✓")))))))))</f>
        <v/>
      </c>
      <c r="K16" s="1"/>
      <c r="L16" s="27" t="s">
        <v>84</v>
      </c>
      <c r="M16" s="27"/>
      <c r="N16" s="27"/>
      <c r="O16" s="27" t="n">
        <f aca="false">SUM(O10:O15)</f>
        <v>0</v>
      </c>
      <c r="P16" s="27" t="n">
        <f aca="false">SUM(P10:P15)</f>
        <v>0</v>
      </c>
      <c r="Q16" s="27" t="n">
        <f aca="false">SUM(Q10:Q15)</f>
        <v>0</v>
      </c>
      <c r="R16" s="27" t="n">
        <f aca="false">SUM(R10:R15)</f>
        <v>0</v>
      </c>
      <c r="S16" s="27" t="n">
        <f aca="false">SUM(S10:S15)</f>
        <v>0</v>
      </c>
      <c r="T16" s="1"/>
      <c r="U16" s="1"/>
      <c r="V16" s="1"/>
      <c r="W16" s="1" t="str">
        <f aca="false">IF(Projects!B14="","",Projects!B14)</f>
        <v/>
      </c>
      <c r="X16" s="1" t="n">
        <f aca="false">IF(W16="",0,SUMIFS($I$7:$I$256,$D$7:$D$256,W16,$H$7:$H$256,"NTIME"))</f>
        <v>0</v>
      </c>
      <c r="Y16" s="1" t="n">
        <f aca="false">IF(W16="",0,SUMIFS($I$7:$I$256,$D$7:$D$256,W16,$H$7:$H$256,"P6"))</f>
        <v>0</v>
      </c>
      <c r="Z16" s="1" t="n">
        <f aca="false">X16+Y16</f>
        <v>0</v>
      </c>
      <c r="AA16" s="1" t="n">
        <f aca="false">IF(Z16&gt;0,Z16+(201-10)/10^6,0)</f>
        <v>0</v>
      </c>
      <c r="AB16" s="1"/>
      <c r="AC16" s="1"/>
      <c r="AD16" s="1"/>
      <c r="AE16" s="1"/>
      <c r="AF16" s="1" t="n">
        <f aca="false">SUM(AF10:AF15)</f>
        <v>0</v>
      </c>
      <c r="AG16" s="1" t="n">
        <f aca="false">SUM(AG10:AG15)</f>
        <v>0</v>
      </c>
      <c r="AH16" s="1" t="n">
        <f aca="false">SUM(AH10:AH15)</f>
        <v>0</v>
      </c>
    </row>
    <row r="17" customFormat="false" ht="15" hidden="false" customHeight="false" outlineLevel="0" collapsed="false">
      <c r="A17" s="1"/>
      <c r="B17" s="10"/>
      <c r="C17" s="31" t="str">
        <f aca="false">IF(B17="","",TEXT(B17,"ddd"))</f>
        <v/>
      </c>
      <c r="D17" s="11"/>
      <c r="E17" s="8" t="str">
        <f aca="false">IF(D17="","",IFERROR(INDEX(ProjNumbers,MATCH(D17,ProjNames,0)),""))</f>
        <v/>
      </c>
      <c r="F17" s="8" t="str">
        <f aca="false">IF(D17="","",IFERROR(INDEX(ProjCodes,MATCH(D17,ProjNames,0)),""))</f>
        <v/>
      </c>
      <c r="G17" s="32"/>
      <c r="H17" s="11"/>
      <c r="I17" s="33"/>
      <c r="J17" s="8" t="str">
        <f aca="false">IF(COUNTA(B17,D17,G17,H17,I17)=0,"",IF(B17="","Enter date",IF(OR(B17&lt;$AC$2,B17&gt;$AC$3),"Date not in January",IF(D17="","Pick project",IF(ISNA(MATCH(D17,ProjNames,0)),"Project not in list",IF(G17="","Add task description",IF(H17="","Pick NTIME or P6",IF(N(I17)&lt;=0,"Enter hours",IF(AND(AllowOT&lt;&gt;"Yes",SUMIF($B$7:$B$256,B17,$I$7:$I$256)&gt;INDEX($O$58:$O$88,DAY(B17))),"Day over "&amp;INDEX($O$58:$O$88,DAY(B17))&amp;" h","✓")))))))))</f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tr">
        <f aca="false">IF(Projects!B15="","",Projects!B15)</f>
        <v/>
      </c>
      <c r="X17" s="1" t="n">
        <f aca="false">IF(W17="",0,SUMIFS($I$7:$I$256,$D$7:$D$256,W17,$H$7:$H$256,"NTIME"))</f>
        <v>0</v>
      </c>
      <c r="Y17" s="1" t="n">
        <f aca="false">IF(W17="",0,SUMIFS($I$7:$I$256,$D$7:$D$256,W17,$H$7:$H$256,"P6"))</f>
        <v>0</v>
      </c>
      <c r="Z17" s="1" t="n">
        <f aca="false">X17+Y17</f>
        <v>0</v>
      </c>
      <c r="AA17" s="1" t="n">
        <f aca="false">IF(Z17&gt;0,Z17+(201-11)/10^6,0)</f>
        <v>0</v>
      </c>
      <c r="AB17" s="1"/>
      <c r="AC17" s="1"/>
      <c r="AD17" s="1"/>
      <c r="AE17" s="1"/>
      <c r="AF17" s="1"/>
      <c r="AG17" s="1"/>
      <c r="AH17" s="1"/>
    </row>
    <row r="18" customFormat="false" ht="15" hidden="false" customHeight="false" outlineLevel="0" collapsed="false">
      <c r="A18" s="1"/>
      <c r="B18" s="10"/>
      <c r="C18" s="31" t="str">
        <f aca="false">IF(B18="","",TEXT(B18,"ddd"))</f>
        <v/>
      </c>
      <c r="D18" s="11"/>
      <c r="E18" s="8" t="str">
        <f aca="false">IF(D18="","",IFERROR(INDEX(ProjNumbers,MATCH(D18,ProjNames,0)),""))</f>
        <v/>
      </c>
      <c r="F18" s="8" t="str">
        <f aca="false">IF(D18="","",IFERROR(INDEX(ProjCodes,MATCH(D18,ProjNames,0)),""))</f>
        <v/>
      </c>
      <c r="G18" s="32"/>
      <c r="H18" s="11"/>
      <c r="I18" s="33"/>
      <c r="J18" s="8" t="str">
        <f aca="false">IF(COUNTA(B18,D18,G18,H18,I18)=0,"",IF(B18="","Enter date",IF(OR(B18&lt;$AC$2,B18&gt;$AC$3),"Date not in January",IF(D18="","Pick project",IF(ISNA(MATCH(D18,ProjNames,0)),"Project not in list",IF(G18="","Add task description",IF(H18="","Pick NTIME or P6",IF(N(I18)&lt;=0,"Enter hours",IF(AND(AllowOT&lt;&gt;"Yes",SUMIF($B$7:$B$256,B18,$I$7:$I$256)&gt;INDEX($O$58:$O$88,DAY(B18))),"Day over "&amp;INDEX($O$58:$O$88,DAY(B18))&amp;" h","✓")))))))))</f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 aca="false">IF(Projects!B16="","",Projects!B16)</f>
        <v/>
      </c>
      <c r="X18" s="1" t="n">
        <f aca="false">IF(W18="",0,SUMIFS($I$7:$I$256,$D$7:$D$256,W18,$H$7:$H$256,"NTIME"))</f>
        <v>0</v>
      </c>
      <c r="Y18" s="1" t="n">
        <f aca="false">IF(W18="",0,SUMIFS($I$7:$I$256,$D$7:$D$256,W18,$H$7:$H$256,"P6"))</f>
        <v>0</v>
      </c>
      <c r="Z18" s="1" t="n">
        <f aca="false">X18+Y18</f>
        <v>0</v>
      </c>
      <c r="AA18" s="1" t="n">
        <f aca="false">IF(Z18&gt;0,Z18+(201-12)/10^6,0)</f>
        <v>0</v>
      </c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/>
      <c r="B19" s="10"/>
      <c r="C19" s="31" t="str">
        <f aca="false">IF(B19="","",TEXT(B19,"ddd"))</f>
        <v/>
      </c>
      <c r="D19" s="11"/>
      <c r="E19" s="8" t="str">
        <f aca="false">IF(D19="","",IFERROR(INDEX(ProjNumbers,MATCH(D19,ProjNames,0)),""))</f>
        <v/>
      </c>
      <c r="F19" s="8" t="str">
        <f aca="false">IF(D19="","",IFERROR(INDEX(ProjCodes,MATCH(D19,ProjNames,0)),""))</f>
        <v/>
      </c>
      <c r="G19" s="32"/>
      <c r="H19" s="11"/>
      <c r="I19" s="33"/>
      <c r="J19" s="8" t="str">
        <f aca="false">IF(COUNTA(B19,D19,G19,H19,I19)=0,"",IF(B19="","Enter date",IF(OR(B19&lt;$AC$2,B19&gt;$AC$3),"Date not in January",IF(D19="","Pick project",IF(ISNA(MATCH(D19,ProjNames,0)),"Project not in list",IF(G19="","Add task description",IF(H19="","Pick NTIME or P6",IF(N(I19)&lt;=0,"Enter hours",IF(AND(AllowOT&lt;&gt;"Yes",SUMIF($B$7:$B$256,B19,$I$7:$I$256)&gt;INDEX($O$58:$O$88,DAY(B19))),"Day over "&amp;INDEX($O$58:$O$88,DAY(B19))&amp;" h","✓")))))))))</f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tr">
        <f aca="false">IF(Projects!B17="","",Projects!B17)</f>
        <v/>
      </c>
      <c r="X19" s="1" t="n">
        <f aca="false">IF(W19="",0,SUMIFS($I$7:$I$256,$D$7:$D$256,W19,$H$7:$H$256,"NTIME"))</f>
        <v>0</v>
      </c>
      <c r="Y19" s="1" t="n">
        <f aca="false">IF(W19="",0,SUMIFS($I$7:$I$256,$D$7:$D$256,W19,$H$7:$H$256,"P6"))</f>
        <v>0</v>
      </c>
      <c r="Z19" s="1" t="n">
        <f aca="false">X19+Y19</f>
        <v>0</v>
      </c>
      <c r="AA19" s="1" t="n">
        <f aca="false">IF(Z19&gt;0,Z19+(201-13)/10^6,0)</f>
        <v>0</v>
      </c>
      <c r="AB19" s="1"/>
      <c r="AC19" s="1"/>
      <c r="AD19" s="1"/>
      <c r="AE19" s="1"/>
      <c r="AF19" s="1"/>
      <c r="AG19" s="1"/>
      <c r="AH19" s="1"/>
    </row>
    <row r="20" customFormat="false" ht="15" hidden="false" customHeight="false" outlineLevel="0" collapsed="false">
      <c r="A20" s="1"/>
      <c r="B20" s="10"/>
      <c r="C20" s="31" t="str">
        <f aca="false">IF(B20="","",TEXT(B20,"ddd"))</f>
        <v/>
      </c>
      <c r="D20" s="11"/>
      <c r="E20" s="8" t="str">
        <f aca="false">IF(D20="","",IFERROR(INDEX(ProjNumbers,MATCH(D20,ProjNames,0)),""))</f>
        <v/>
      </c>
      <c r="F20" s="8" t="str">
        <f aca="false">IF(D20="","",IFERROR(INDEX(ProjCodes,MATCH(D20,ProjNames,0)),""))</f>
        <v/>
      </c>
      <c r="G20" s="32"/>
      <c r="H20" s="11"/>
      <c r="I20" s="33"/>
      <c r="J20" s="8" t="str">
        <f aca="false">IF(COUNTA(B20,D20,G20,H20,I20)=0,"",IF(B20="","Enter date",IF(OR(B20&lt;$AC$2,B20&gt;$AC$3),"Date not in January",IF(D20="","Pick project",IF(ISNA(MATCH(D20,ProjNames,0)),"Project not in list",IF(G20="","Add task description",IF(H20="","Pick NTIME or P6",IF(N(I20)&lt;=0,"Enter hours",IF(AND(AllowOT&lt;&gt;"Yes",SUMIF($B$7:$B$256,B20,$I$7:$I$256)&gt;INDEX($O$58:$O$88,DAY(B20))),"Day over "&amp;INDEX($O$58:$O$88,DAY(B20))&amp;" h","✓")))))))))</f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tr">
        <f aca="false">IF(Projects!B18="","",Projects!B18)</f>
        <v/>
      </c>
      <c r="X20" s="1" t="n">
        <f aca="false">IF(W20="",0,SUMIFS($I$7:$I$256,$D$7:$D$256,W20,$H$7:$H$256,"NTIME"))</f>
        <v>0</v>
      </c>
      <c r="Y20" s="1" t="n">
        <f aca="false">IF(W20="",0,SUMIFS($I$7:$I$256,$D$7:$D$256,W20,$H$7:$H$256,"P6"))</f>
        <v>0</v>
      </c>
      <c r="Z20" s="1" t="n">
        <f aca="false">X20+Y20</f>
        <v>0</v>
      </c>
      <c r="AA20" s="1" t="n">
        <f aca="false">IF(Z20&gt;0,Z20+(201-14)/10^6,0)</f>
        <v>0</v>
      </c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/>
      <c r="B21" s="10"/>
      <c r="C21" s="31" t="str">
        <f aca="false">IF(B21="","",TEXT(B21,"ddd"))</f>
        <v/>
      </c>
      <c r="D21" s="11"/>
      <c r="E21" s="8" t="str">
        <f aca="false">IF(D21="","",IFERROR(INDEX(ProjNumbers,MATCH(D21,ProjNames,0)),""))</f>
        <v/>
      </c>
      <c r="F21" s="8" t="str">
        <f aca="false">IF(D21="","",IFERROR(INDEX(ProjCodes,MATCH(D21,ProjNames,0)),""))</f>
        <v/>
      </c>
      <c r="G21" s="32"/>
      <c r="H21" s="11"/>
      <c r="I21" s="33"/>
      <c r="J21" s="8" t="str">
        <f aca="false">IF(COUNTA(B21,D21,G21,H21,I21)=0,"",IF(B21="","Enter date",IF(OR(B21&lt;$AC$2,B21&gt;$AC$3),"Date not in January",IF(D21="","Pick project",IF(ISNA(MATCH(D21,ProjNames,0)),"Project not in list",IF(G21="","Add task description",IF(H21="","Pick NTIME or P6",IF(N(I21)&lt;=0,"Enter hours",IF(AND(AllowOT&lt;&gt;"Yes",SUMIF($B$7:$B$256,B21,$I$7:$I$256)&gt;INDEX($O$58:$O$88,DAY(B21))),"Day over "&amp;INDEX($O$58:$O$88,DAY(B21))&amp;" h","✓")))))))))</f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tr">
        <f aca="false">IF(Projects!B19="","",Projects!B19)</f>
        <v/>
      </c>
      <c r="X21" s="1" t="n">
        <f aca="false">IF(W21="",0,SUMIFS($I$7:$I$256,$D$7:$D$256,W21,$H$7:$H$256,"NTIME"))</f>
        <v>0</v>
      </c>
      <c r="Y21" s="1" t="n">
        <f aca="false">IF(W21="",0,SUMIFS($I$7:$I$256,$D$7:$D$256,W21,$H$7:$H$256,"P6"))</f>
        <v>0</v>
      </c>
      <c r="Z21" s="1" t="n">
        <f aca="false">X21+Y21</f>
        <v>0</v>
      </c>
      <c r="AA21" s="1" t="n">
        <f aca="false">IF(Z21&gt;0,Z21+(201-15)/10^6,0)</f>
        <v>0</v>
      </c>
      <c r="AB21" s="1"/>
      <c r="AC21" s="1"/>
      <c r="AD21" s="1"/>
      <c r="AE21" s="1"/>
      <c r="AF21" s="1"/>
      <c r="AG21" s="1"/>
      <c r="AH21" s="1"/>
    </row>
    <row r="22" customFormat="false" ht="15" hidden="false" customHeight="false" outlineLevel="0" collapsed="false">
      <c r="A22" s="1"/>
      <c r="B22" s="10"/>
      <c r="C22" s="31" t="str">
        <f aca="false">IF(B22="","",TEXT(B22,"ddd"))</f>
        <v/>
      </c>
      <c r="D22" s="11"/>
      <c r="E22" s="8" t="str">
        <f aca="false">IF(D22="","",IFERROR(INDEX(ProjNumbers,MATCH(D22,ProjNames,0)),""))</f>
        <v/>
      </c>
      <c r="F22" s="8" t="str">
        <f aca="false">IF(D22="","",IFERROR(INDEX(ProjCodes,MATCH(D22,ProjNames,0)),""))</f>
        <v/>
      </c>
      <c r="G22" s="32"/>
      <c r="H22" s="11"/>
      <c r="I22" s="33"/>
      <c r="J22" s="8" t="str">
        <f aca="false">IF(COUNTA(B22,D22,G22,H22,I22)=0,"",IF(B22="","Enter date",IF(OR(B22&lt;$AC$2,B22&gt;$AC$3),"Date not in January",IF(D22="","Pick project",IF(ISNA(MATCH(D22,ProjNames,0)),"Project not in list",IF(G22="","Add task description",IF(H22="","Pick NTIME or P6",IF(N(I22)&lt;=0,"Enter hours",IF(AND(AllowOT&lt;&gt;"Yes",SUMIF($B$7:$B$256,B22,$I$7:$I$256)&gt;INDEX($O$58:$O$88,DAY(B22))),"Day over "&amp;INDEX($O$58:$O$88,DAY(B22))&amp;" h","✓")))))))))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tr">
        <f aca="false">IF(Projects!B20="","",Projects!B20)</f>
        <v/>
      </c>
      <c r="X22" s="1" t="n">
        <f aca="false">IF(W22="",0,SUMIFS($I$7:$I$256,$D$7:$D$256,W22,$H$7:$H$256,"NTIME"))</f>
        <v>0</v>
      </c>
      <c r="Y22" s="1" t="n">
        <f aca="false">IF(W22="",0,SUMIFS($I$7:$I$256,$D$7:$D$256,W22,$H$7:$H$256,"P6"))</f>
        <v>0</v>
      </c>
      <c r="Z22" s="1" t="n">
        <f aca="false">X22+Y22</f>
        <v>0</v>
      </c>
      <c r="AA22" s="1" t="n">
        <f aca="false">IF(Z22&gt;0,Z22+(201-16)/10^6,0)</f>
        <v>0</v>
      </c>
      <c r="AB22" s="1"/>
      <c r="AC22" s="1"/>
      <c r="AD22" s="1"/>
      <c r="AE22" s="1"/>
      <c r="AF22" s="1"/>
      <c r="AG22" s="1"/>
      <c r="AH22" s="1"/>
    </row>
    <row r="23" customFormat="false" ht="15" hidden="false" customHeight="false" outlineLevel="0" collapsed="false">
      <c r="A23" s="1"/>
      <c r="B23" s="10"/>
      <c r="C23" s="31" t="str">
        <f aca="false">IF(B23="","",TEXT(B23,"ddd"))</f>
        <v/>
      </c>
      <c r="D23" s="11"/>
      <c r="E23" s="8" t="str">
        <f aca="false">IF(D23="","",IFERROR(INDEX(ProjNumbers,MATCH(D23,ProjNames,0)),""))</f>
        <v/>
      </c>
      <c r="F23" s="8" t="str">
        <f aca="false">IF(D23="","",IFERROR(INDEX(ProjCodes,MATCH(D23,ProjNames,0)),""))</f>
        <v/>
      </c>
      <c r="G23" s="32"/>
      <c r="H23" s="11"/>
      <c r="I23" s="33"/>
      <c r="J23" s="8" t="str">
        <f aca="false">IF(COUNTA(B23,D23,G23,H23,I23)=0,"",IF(B23="","Enter date",IF(OR(B23&lt;$AC$2,B23&gt;$AC$3),"Date not in January",IF(D23="","Pick project",IF(ISNA(MATCH(D23,ProjNames,0)),"Project not in list",IF(G23="","Add task description",IF(H23="","Pick NTIME or P6",IF(N(I23)&lt;=0,"Enter hours",IF(AND(AllowOT&lt;&gt;"Yes",SUMIF($B$7:$B$256,B23,$I$7:$I$256)&gt;INDEX($O$58:$O$88,DAY(B23))),"Day over "&amp;INDEX($O$58:$O$88,DAY(B23))&amp;" h","✓")))))))))</f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tr">
        <f aca="false">IF(Projects!B21="","",Projects!B21)</f>
        <v/>
      </c>
      <c r="X23" s="1" t="n">
        <f aca="false">IF(W23="",0,SUMIFS($I$7:$I$256,$D$7:$D$256,W23,$H$7:$H$256,"NTIME"))</f>
        <v>0</v>
      </c>
      <c r="Y23" s="1" t="n">
        <f aca="false">IF(W23="",0,SUMIFS($I$7:$I$256,$D$7:$D$256,W23,$H$7:$H$256,"P6"))</f>
        <v>0</v>
      </c>
      <c r="Z23" s="1" t="n">
        <f aca="false">X23+Y23</f>
        <v>0</v>
      </c>
      <c r="AA23" s="1" t="n">
        <f aca="false">IF(Z23&gt;0,Z23+(201-17)/10^6,0)</f>
        <v>0</v>
      </c>
      <c r="AB23" s="1"/>
      <c r="AC23" s="1"/>
      <c r="AD23" s="1"/>
      <c r="AE23" s="1"/>
      <c r="AF23" s="1"/>
      <c r="AG23" s="1"/>
      <c r="AH23" s="1"/>
    </row>
    <row r="24" customFormat="false" ht="15" hidden="false" customHeight="false" outlineLevel="0" collapsed="false">
      <c r="A24" s="1"/>
      <c r="B24" s="10"/>
      <c r="C24" s="31" t="str">
        <f aca="false">IF(B24="","",TEXT(B24,"ddd"))</f>
        <v/>
      </c>
      <c r="D24" s="11"/>
      <c r="E24" s="8" t="str">
        <f aca="false">IF(D24="","",IFERROR(INDEX(ProjNumbers,MATCH(D24,ProjNames,0)),""))</f>
        <v/>
      </c>
      <c r="F24" s="8" t="str">
        <f aca="false">IF(D24="","",IFERROR(INDEX(ProjCodes,MATCH(D24,ProjNames,0)),""))</f>
        <v/>
      </c>
      <c r="G24" s="32"/>
      <c r="H24" s="11"/>
      <c r="I24" s="33"/>
      <c r="J24" s="8" t="str">
        <f aca="false">IF(COUNTA(B24,D24,G24,H24,I24)=0,"",IF(B24="","Enter date",IF(OR(B24&lt;$AC$2,B24&gt;$AC$3),"Date not in January",IF(D24="","Pick project",IF(ISNA(MATCH(D24,ProjNames,0)),"Project not in list",IF(G24="","Add task description",IF(H24="","Pick NTIME or P6",IF(N(I24)&lt;=0,"Enter hours",IF(AND(AllowOT&lt;&gt;"Yes",SUMIF($B$7:$B$256,B24,$I$7:$I$256)&gt;INDEX($O$58:$O$88,DAY(B24))),"Day over "&amp;INDEX($O$58:$O$88,DAY(B24))&amp;" h","✓")))))))))</f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tr">
        <f aca="false">IF(Projects!B22="","",Projects!B22)</f>
        <v/>
      </c>
      <c r="X24" s="1" t="n">
        <f aca="false">IF(W24="",0,SUMIFS($I$7:$I$256,$D$7:$D$256,W24,$H$7:$H$256,"NTIME"))</f>
        <v>0</v>
      </c>
      <c r="Y24" s="1" t="n">
        <f aca="false">IF(W24="",0,SUMIFS($I$7:$I$256,$D$7:$D$256,W24,$H$7:$H$256,"P6"))</f>
        <v>0</v>
      </c>
      <c r="Z24" s="1" t="n">
        <f aca="false">X24+Y24</f>
        <v>0</v>
      </c>
      <c r="AA24" s="1" t="n">
        <f aca="false">IF(Z24&gt;0,Z24+(201-18)/10^6,0)</f>
        <v>0</v>
      </c>
      <c r="AB24" s="1"/>
      <c r="AC24" s="1"/>
      <c r="AD24" s="1"/>
      <c r="AE24" s="1"/>
      <c r="AF24" s="1"/>
      <c r="AG24" s="1"/>
      <c r="AH24" s="1"/>
    </row>
    <row r="25" customFormat="false" ht="15" hidden="false" customHeight="false" outlineLevel="0" collapsed="false">
      <c r="A25" s="1"/>
      <c r="B25" s="10"/>
      <c r="C25" s="31" t="str">
        <f aca="false">IF(B25="","",TEXT(B25,"ddd"))</f>
        <v/>
      </c>
      <c r="D25" s="11"/>
      <c r="E25" s="8" t="str">
        <f aca="false">IF(D25="","",IFERROR(INDEX(ProjNumbers,MATCH(D25,ProjNames,0)),""))</f>
        <v/>
      </c>
      <c r="F25" s="8" t="str">
        <f aca="false">IF(D25="","",IFERROR(INDEX(ProjCodes,MATCH(D25,ProjNames,0)),""))</f>
        <v/>
      </c>
      <c r="G25" s="32"/>
      <c r="H25" s="11"/>
      <c r="I25" s="33"/>
      <c r="J25" s="8" t="str">
        <f aca="false">IF(COUNTA(B25,D25,G25,H25,I25)=0,"",IF(B25="","Enter date",IF(OR(B25&lt;$AC$2,B25&gt;$AC$3),"Date not in January",IF(D25="","Pick project",IF(ISNA(MATCH(D25,ProjNames,0)),"Project not in list",IF(G25="","Add task description",IF(H25="","Pick NTIME or P6",IF(N(I25)&lt;=0,"Enter hours",IF(AND(AllowOT&lt;&gt;"Yes",SUMIF($B$7:$B$256,B25,$I$7:$I$256)&gt;INDEX($O$58:$O$88,DAY(B25))),"Day over "&amp;INDEX($O$58:$O$88,DAY(B25))&amp;" h","✓")))))))))</f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tr">
        <f aca="false">IF(Projects!B23="","",Projects!B23)</f>
        <v/>
      </c>
      <c r="X25" s="1" t="n">
        <f aca="false">IF(W25="",0,SUMIFS($I$7:$I$256,$D$7:$D$256,W25,$H$7:$H$256,"NTIME"))</f>
        <v>0</v>
      </c>
      <c r="Y25" s="1" t="n">
        <f aca="false">IF(W25="",0,SUMIFS($I$7:$I$256,$D$7:$D$256,W25,$H$7:$H$256,"P6"))</f>
        <v>0</v>
      </c>
      <c r="Z25" s="1" t="n">
        <f aca="false">X25+Y25</f>
        <v>0</v>
      </c>
      <c r="AA25" s="1" t="n">
        <f aca="false">IF(Z25&gt;0,Z25+(201-19)/10^6,0)</f>
        <v>0</v>
      </c>
      <c r="AB25" s="1"/>
      <c r="AC25" s="1"/>
      <c r="AD25" s="1"/>
      <c r="AE25" s="1"/>
      <c r="AF25" s="1"/>
      <c r="AG25" s="1"/>
      <c r="AH25" s="1"/>
    </row>
    <row r="26" customFormat="false" ht="15" hidden="false" customHeight="false" outlineLevel="0" collapsed="false">
      <c r="A26" s="1"/>
      <c r="B26" s="10"/>
      <c r="C26" s="31" t="str">
        <f aca="false">IF(B26="","",TEXT(B26,"ddd"))</f>
        <v/>
      </c>
      <c r="D26" s="11"/>
      <c r="E26" s="8" t="str">
        <f aca="false">IF(D26="","",IFERROR(INDEX(ProjNumbers,MATCH(D26,ProjNames,0)),""))</f>
        <v/>
      </c>
      <c r="F26" s="8" t="str">
        <f aca="false">IF(D26="","",IFERROR(INDEX(ProjCodes,MATCH(D26,ProjNames,0)),""))</f>
        <v/>
      </c>
      <c r="G26" s="32"/>
      <c r="H26" s="11"/>
      <c r="I26" s="33"/>
      <c r="J26" s="8" t="str">
        <f aca="false">IF(COUNTA(B26,D26,G26,H26,I26)=0,"",IF(B26="","Enter date",IF(OR(B26&lt;$AC$2,B26&gt;$AC$3),"Date not in January",IF(D26="","Pick project",IF(ISNA(MATCH(D26,ProjNames,0)),"Project not in list",IF(G26="","Add task description",IF(H26="","Pick NTIME or P6",IF(N(I26)&lt;=0,"Enter hours",IF(AND(AllowOT&lt;&gt;"Yes",SUMIF($B$7:$B$256,B26,$I$7:$I$256)&gt;INDEX($O$58:$O$88,DAY(B26))),"Day over "&amp;INDEX($O$58:$O$88,DAY(B26))&amp;" h","✓")))))))))</f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tr">
        <f aca="false">IF(Projects!B24="","",Projects!B24)</f>
        <v/>
      </c>
      <c r="X26" s="1" t="n">
        <f aca="false">IF(W26="",0,SUMIFS($I$7:$I$256,$D$7:$D$256,W26,$H$7:$H$256,"NTIME"))</f>
        <v>0</v>
      </c>
      <c r="Y26" s="1" t="n">
        <f aca="false">IF(W26="",0,SUMIFS($I$7:$I$256,$D$7:$D$256,W26,$H$7:$H$256,"P6"))</f>
        <v>0</v>
      </c>
      <c r="Z26" s="1" t="n">
        <f aca="false">X26+Y26</f>
        <v>0</v>
      </c>
      <c r="AA26" s="1" t="n">
        <f aca="false">IF(Z26&gt;0,Z26+(201-20)/10^6,0)</f>
        <v>0</v>
      </c>
      <c r="AB26" s="1"/>
      <c r="AC26" s="1"/>
      <c r="AD26" s="1"/>
      <c r="AE26" s="1"/>
      <c r="AF26" s="1"/>
      <c r="AG26" s="1"/>
      <c r="AH26" s="1"/>
    </row>
    <row r="27" customFormat="false" ht="15" hidden="false" customHeight="false" outlineLevel="0" collapsed="false">
      <c r="A27" s="1"/>
      <c r="B27" s="10"/>
      <c r="C27" s="31" t="str">
        <f aca="false">IF(B27="","",TEXT(B27,"ddd"))</f>
        <v/>
      </c>
      <c r="D27" s="11"/>
      <c r="E27" s="8" t="str">
        <f aca="false">IF(D27="","",IFERROR(INDEX(ProjNumbers,MATCH(D27,ProjNames,0)),""))</f>
        <v/>
      </c>
      <c r="F27" s="8" t="str">
        <f aca="false">IF(D27="","",IFERROR(INDEX(ProjCodes,MATCH(D27,ProjNames,0)),""))</f>
        <v/>
      </c>
      <c r="G27" s="32"/>
      <c r="H27" s="11"/>
      <c r="I27" s="33"/>
      <c r="J27" s="8" t="str">
        <f aca="false">IF(COUNTA(B27,D27,G27,H27,I27)=0,"",IF(B27="","Enter date",IF(OR(B27&lt;$AC$2,B27&gt;$AC$3),"Date not in January",IF(D27="","Pick project",IF(ISNA(MATCH(D27,ProjNames,0)),"Project not in list",IF(G27="","Add task description",IF(H27="","Pick NTIME or P6",IF(N(I27)&lt;=0,"Enter hours",IF(AND(AllowOT&lt;&gt;"Yes",SUMIF($B$7:$B$256,B27,$I$7:$I$256)&gt;INDEX($O$58:$O$88,DAY(B27))),"Day over "&amp;INDEX($O$58:$O$88,DAY(B27))&amp;" h","✓")))))))))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aca="false">IF(Projects!B25="","",Projects!B25)</f>
        <v/>
      </c>
      <c r="X27" s="1" t="n">
        <f aca="false">IF(W27="",0,SUMIFS($I$7:$I$256,$D$7:$D$256,W27,$H$7:$H$256,"NTIME"))</f>
        <v>0</v>
      </c>
      <c r="Y27" s="1" t="n">
        <f aca="false">IF(W27="",0,SUMIFS($I$7:$I$256,$D$7:$D$256,W27,$H$7:$H$256,"P6"))</f>
        <v>0</v>
      </c>
      <c r="Z27" s="1" t="n">
        <f aca="false">X27+Y27</f>
        <v>0</v>
      </c>
      <c r="AA27" s="1" t="n">
        <f aca="false">IF(Z27&gt;0,Z27+(201-21)/10^6,0)</f>
        <v>0</v>
      </c>
      <c r="AB27" s="1"/>
      <c r="AC27" s="1"/>
      <c r="AD27" s="1"/>
      <c r="AE27" s="1"/>
      <c r="AF27" s="1"/>
      <c r="AG27" s="1"/>
      <c r="AH27" s="1"/>
    </row>
    <row r="28" customFormat="false" ht="15" hidden="false" customHeight="false" outlineLevel="0" collapsed="false">
      <c r="A28" s="1"/>
      <c r="B28" s="10"/>
      <c r="C28" s="31" t="str">
        <f aca="false">IF(B28="","",TEXT(B28,"ddd"))</f>
        <v/>
      </c>
      <c r="D28" s="11"/>
      <c r="E28" s="8" t="str">
        <f aca="false">IF(D28="","",IFERROR(INDEX(ProjNumbers,MATCH(D28,ProjNames,0)),""))</f>
        <v/>
      </c>
      <c r="F28" s="8" t="str">
        <f aca="false">IF(D28="","",IFERROR(INDEX(ProjCodes,MATCH(D28,ProjNames,0)),""))</f>
        <v/>
      </c>
      <c r="G28" s="32"/>
      <c r="H28" s="11"/>
      <c r="I28" s="33"/>
      <c r="J28" s="8" t="str">
        <f aca="false">IF(COUNTA(B28,D28,G28,H28,I28)=0,"",IF(B28="","Enter date",IF(OR(B28&lt;$AC$2,B28&gt;$AC$3),"Date not in January",IF(D28="","Pick project",IF(ISNA(MATCH(D28,ProjNames,0)),"Project not in list",IF(G28="","Add task description",IF(H28="","Pick NTIME or P6",IF(N(I28)&lt;=0,"Enter hours",IF(AND(AllowOT&lt;&gt;"Yes",SUMIF($B$7:$B$256,B28,$I$7:$I$256)&gt;INDEX($O$58:$O$88,DAY(B28))),"Day over "&amp;INDEX($O$58:$O$88,DAY(B28))&amp;" h","✓")))))))))</f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tr">
        <f aca="false">IF(Projects!B26="","",Projects!B26)</f>
        <v/>
      </c>
      <c r="X28" s="1" t="n">
        <f aca="false">IF(W28="",0,SUMIFS($I$7:$I$256,$D$7:$D$256,W28,$H$7:$H$256,"NTIME"))</f>
        <v>0</v>
      </c>
      <c r="Y28" s="1" t="n">
        <f aca="false">IF(W28="",0,SUMIFS($I$7:$I$256,$D$7:$D$256,W28,$H$7:$H$256,"P6"))</f>
        <v>0</v>
      </c>
      <c r="Z28" s="1" t="n">
        <f aca="false">X28+Y28</f>
        <v>0</v>
      </c>
      <c r="AA28" s="1" t="n">
        <f aca="false">IF(Z28&gt;0,Z28+(201-22)/10^6,0)</f>
        <v>0</v>
      </c>
      <c r="AB28" s="1"/>
      <c r="AC28" s="1"/>
      <c r="AD28" s="1"/>
      <c r="AE28" s="1"/>
      <c r="AF28" s="1"/>
      <c r="AG28" s="1"/>
      <c r="AH28" s="1"/>
    </row>
    <row r="29" customFormat="false" ht="15" hidden="false" customHeight="false" outlineLevel="0" collapsed="false">
      <c r="A29" s="1"/>
      <c r="B29" s="10"/>
      <c r="C29" s="31" t="str">
        <f aca="false">IF(B29="","",TEXT(B29,"ddd"))</f>
        <v/>
      </c>
      <c r="D29" s="11"/>
      <c r="E29" s="8" t="str">
        <f aca="false">IF(D29="","",IFERROR(INDEX(ProjNumbers,MATCH(D29,ProjNames,0)),""))</f>
        <v/>
      </c>
      <c r="F29" s="8" t="str">
        <f aca="false">IF(D29="","",IFERROR(INDEX(ProjCodes,MATCH(D29,ProjNames,0)),""))</f>
        <v/>
      </c>
      <c r="G29" s="32"/>
      <c r="H29" s="11"/>
      <c r="I29" s="33"/>
      <c r="J29" s="8" t="str">
        <f aca="false">IF(COUNTA(B29,D29,G29,H29,I29)=0,"",IF(B29="","Enter date",IF(OR(B29&lt;$AC$2,B29&gt;$AC$3),"Date not in January",IF(D29="","Pick project",IF(ISNA(MATCH(D29,ProjNames,0)),"Project not in list",IF(G29="","Add task description",IF(H29="","Pick NTIME or P6",IF(N(I29)&lt;=0,"Enter hours",IF(AND(AllowOT&lt;&gt;"Yes",SUMIF($B$7:$B$256,B29,$I$7:$I$256)&gt;INDEX($O$58:$O$88,DAY(B29))),"Day over "&amp;INDEX($O$58:$O$88,DAY(B29))&amp;" h","✓")))))))))</f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tr">
        <f aca="false">IF(Projects!B27="","",Projects!B27)</f>
        <v/>
      </c>
      <c r="X29" s="1" t="n">
        <f aca="false">IF(W29="",0,SUMIFS($I$7:$I$256,$D$7:$D$256,W29,$H$7:$H$256,"NTIME"))</f>
        <v>0</v>
      </c>
      <c r="Y29" s="1" t="n">
        <f aca="false">IF(W29="",0,SUMIFS($I$7:$I$256,$D$7:$D$256,W29,$H$7:$H$256,"P6"))</f>
        <v>0</v>
      </c>
      <c r="Z29" s="1" t="n">
        <f aca="false">X29+Y29</f>
        <v>0</v>
      </c>
      <c r="AA29" s="1" t="n">
        <f aca="false">IF(Z29&gt;0,Z29+(201-23)/10^6,0)</f>
        <v>0</v>
      </c>
      <c r="AB29" s="1"/>
      <c r="AC29" s="1"/>
      <c r="AD29" s="1"/>
      <c r="AE29" s="1"/>
      <c r="AF29" s="1"/>
      <c r="AG29" s="1"/>
      <c r="AH29" s="1"/>
    </row>
    <row r="30" customFormat="false" ht="15" hidden="false" customHeight="false" outlineLevel="0" collapsed="false">
      <c r="A30" s="1"/>
      <c r="B30" s="10"/>
      <c r="C30" s="31" t="str">
        <f aca="false">IF(B30="","",TEXT(B30,"ddd"))</f>
        <v/>
      </c>
      <c r="D30" s="11"/>
      <c r="E30" s="8" t="str">
        <f aca="false">IF(D30="","",IFERROR(INDEX(ProjNumbers,MATCH(D30,ProjNames,0)),""))</f>
        <v/>
      </c>
      <c r="F30" s="8" t="str">
        <f aca="false">IF(D30="","",IFERROR(INDEX(ProjCodes,MATCH(D30,ProjNames,0)),""))</f>
        <v/>
      </c>
      <c r="G30" s="32"/>
      <c r="H30" s="11"/>
      <c r="I30" s="33"/>
      <c r="J30" s="8" t="str">
        <f aca="false">IF(COUNTA(B30,D30,G30,H30,I30)=0,"",IF(B30="","Enter date",IF(OR(B30&lt;$AC$2,B30&gt;$AC$3),"Date not in January",IF(D30="","Pick project",IF(ISNA(MATCH(D30,ProjNames,0)),"Project not in list",IF(G30="","Add task description",IF(H30="","Pick NTIME or P6",IF(N(I30)&lt;=0,"Enter hours",IF(AND(AllowOT&lt;&gt;"Yes",SUMIF($B$7:$B$256,B30,$I$7:$I$256)&gt;INDEX($O$58:$O$88,DAY(B30))),"Day over "&amp;INDEX($O$58:$O$88,DAY(B30))&amp;" h","✓")))))))))</f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tr">
        <f aca="false">IF(Projects!B28="","",Projects!B28)</f>
        <v/>
      </c>
      <c r="X30" s="1" t="n">
        <f aca="false">IF(W30="",0,SUMIFS($I$7:$I$256,$D$7:$D$256,W30,$H$7:$H$256,"NTIME"))</f>
        <v>0</v>
      </c>
      <c r="Y30" s="1" t="n">
        <f aca="false">IF(W30="",0,SUMIFS($I$7:$I$256,$D$7:$D$256,W30,$H$7:$H$256,"P6"))</f>
        <v>0</v>
      </c>
      <c r="Z30" s="1" t="n">
        <f aca="false">X30+Y30</f>
        <v>0</v>
      </c>
      <c r="AA30" s="1" t="n">
        <f aca="false">IF(Z30&gt;0,Z30+(201-24)/10^6,0)</f>
        <v>0</v>
      </c>
      <c r="AB30" s="1"/>
      <c r="AC30" s="1"/>
      <c r="AD30" s="1"/>
      <c r="AE30" s="1"/>
      <c r="AF30" s="1"/>
      <c r="AG30" s="1"/>
      <c r="AH30" s="1"/>
    </row>
    <row r="31" customFormat="false" ht="15" hidden="false" customHeight="false" outlineLevel="0" collapsed="false">
      <c r="A31" s="1"/>
      <c r="B31" s="10"/>
      <c r="C31" s="31" t="str">
        <f aca="false">IF(B31="","",TEXT(B31,"ddd"))</f>
        <v/>
      </c>
      <c r="D31" s="11"/>
      <c r="E31" s="8" t="str">
        <f aca="false">IF(D31="","",IFERROR(INDEX(ProjNumbers,MATCH(D31,ProjNames,0)),""))</f>
        <v/>
      </c>
      <c r="F31" s="8" t="str">
        <f aca="false">IF(D31="","",IFERROR(INDEX(ProjCodes,MATCH(D31,ProjNames,0)),""))</f>
        <v/>
      </c>
      <c r="G31" s="32"/>
      <c r="H31" s="11"/>
      <c r="I31" s="33"/>
      <c r="J31" s="8" t="str">
        <f aca="false">IF(COUNTA(B31,D31,G31,H31,I31)=0,"",IF(B31="","Enter date",IF(OR(B31&lt;$AC$2,B31&gt;$AC$3),"Date not in January",IF(D31="","Pick project",IF(ISNA(MATCH(D31,ProjNames,0)),"Project not in list",IF(G31="","Add task description",IF(H31="","Pick NTIME or P6",IF(N(I31)&lt;=0,"Enter hours",IF(AND(AllowOT&lt;&gt;"Yes",SUMIF($B$7:$B$256,B31,$I$7:$I$256)&gt;INDEX($O$58:$O$88,DAY(B31))),"Day over "&amp;INDEX($O$58:$O$88,DAY(B31))&amp;" h","✓")))))))))</f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tr">
        <f aca="false">IF(Projects!B29="","",Projects!B29)</f>
        <v/>
      </c>
      <c r="X31" s="1" t="n">
        <f aca="false">IF(W31="",0,SUMIFS($I$7:$I$256,$D$7:$D$256,W31,$H$7:$H$256,"NTIME"))</f>
        <v>0</v>
      </c>
      <c r="Y31" s="1" t="n">
        <f aca="false">IF(W31="",0,SUMIFS($I$7:$I$256,$D$7:$D$256,W31,$H$7:$H$256,"P6"))</f>
        <v>0</v>
      </c>
      <c r="Z31" s="1" t="n">
        <f aca="false">X31+Y31</f>
        <v>0</v>
      </c>
      <c r="AA31" s="1" t="n">
        <f aca="false">IF(Z31&gt;0,Z31+(201-25)/10^6,0)</f>
        <v>0</v>
      </c>
      <c r="AB31" s="1"/>
      <c r="AC31" s="1"/>
      <c r="AD31" s="1"/>
      <c r="AE31" s="1"/>
      <c r="AF31" s="1"/>
      <c r="AG31" s="1"/>
      <c r="AH31" s="1"/>
    </row>
    <row r="32" customFormat="false" ht="15" hidden="false" customHeight="false" outlineLevel="0" collapsed="false">
      <c r="A32" s="1"/>
      <c r="B32" s="10"/>
      <c r="C32" s="31" t="str">
        <f aca="false">IF(B32="","",TEXT(B32,"ddd"))</f>
        <v/>
      </c>
      <c r="D32" s="11"/>
      <c r="E32" s="8" t="str">
        <f aca="false">IF(D32="","",IFERROR(INDEX(ProjNumbers,MATCH(D32,ProjNames,0)),""))</f>
        <v/>
      </c>
      <c r="F32" s="8" t="str">
        <f aca="false">IF(D32="","",IFERROR(INDEX(ProjCodes,MATCH(D32,ProjNames,0)),""))</f>
        <v/>
      </c>
      <c r="G32" s="32"/>
      <c r="H32" s="11"/>
      <c r="I32" s="33"/>
      <c r="J32" s="8" t="str">
        <f aca="false">IF(COUNTA(B32,D32,G32,H32,I32)=0,"",IF(B32="","Enter date",IF(OR(B32&lt;$AC$2,B32&gt;$AC$3),"Date not in January",IF(D32="","Pick project",IF(ISNA(MATCH(D32,ProjNames,0)),"Project not in list",IF(G32="","Add task description",IF(H32="","Pick NTIME or P6",IF(N(I32)&lt;=0,"Enter hours",IF(AND(AllowOT&lt;&gt;"Yes",SUMIF($B$7:$B$256,B32,$I$7:$I$256)&gt;INDEX($O$58:$O$88,DAY(B32))),"Day over "&amp;INDEX($O$58:$O$88,DAY(B32))&amp;" h","✓")))))))))</f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tr">
        <f aca="false">IF(Projects!B30="","",Projects!B30)</f>
        <v/>
      </c>
      <c r="X32" s="1" t="n">
        <f aca="false">IF(W32="",0,SUMIFS($I$7:$I$256,$D$7:$D$256,W32,$H$7:$H$256,"NTIME"))</f>
        <v>0</v>
      </c>
      <c r="Y32" s="1" t="n">
        <f aca="false">IF(W32="",0,SUMIFS($I$7:$I$256,$D$7:$D$256,W32,$H$7:$H$256,"P6"))</f>
        <v>0</v>
      </c>
      <c r="Z32" s="1" t="n">
        <f aca="false">X32+Y32</f>
        <v>0</v>
      </c>
      <c r="AA32" s="1" t="n">
        <f aca="false">IF(Z32&gt;0,Z32+(201-26)/10^6,0)</f>
        <v>0</v>
      </c>
      <c r="AB32" s="1"/>
      <c r="AC32" s="1"/>
      <c r="AD32" s="1"/>
      <c r="AE32" s="1"/>
      <c r="AF32" s="1"/>
      <c r="AG32" s="1"/>
      <c r="AH32" s="1"/>
    </row>
    <row r="33" customFormat="false" ht="15" hidden="false" customHeight="false" outlineLevel="0" collapsed="false">
      <c r="A33" s="1"/>
      <c r="B33" s="10"/>
      <c r="C33" s="31" t="str">
        <f aca="false">IF(B33="","",TEXT(B33,"ddd"))</f>
        <v/>
      </c>
      <c r="D33" s="11"/>
      <c r="E33" s="8" t="str">
        <f aca="false">IF(D33="","",IFERROR(INDEX(ProjNumbers,MATCH(D33,ProjNames,0)),""))</f>
        <v/>
      </c>
      <c r="F33" s="8" t="str">
        <f aca="false">IF(D33="","",IFERROR(INDEX(ProjCodes,MATCH(D33,ProjNames,0)),""))</f>
        <v/>
      </c>
      <c r="G33" s="32"/>
      <c r="H33" s="11"/>
      <c r="I33" s="33"/>
      <c r="J33" s="8" t="str">
        <f aca="false">IF(COUNTA(B33,D33,G33,H33,I33)=0,"",IF(B33="","Enter date",IF(OR(B33&lt;$AC$2,B33&gt;$AC$3),"Date not in January",IF(D33="","Pick project",IF(ISNA(MATCH(D33,ProjNames,0)),"Project not in list",IF(G33="","Add task description",IF(H33="","Pick NTIME or P6",IF(N(I33)&lt;=0,"Enter hours",IF(AND(AllowOT&lt;&gt;"Yes",SUMIF($B$7:$B$256,B33,$I$7:$I$256)&gt;INDEX($O$58:$O$88,DAY(B33))),"Day over "&amp;INDEX($O$58:$O$88,DAY(B33))&amp;" h","✓")))))))))</f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tr">
        <f aca="false">IF(Projects!B31="","",Projects!B31)</f>
        <v/>
      </c>
      <c r="X33" s="1" t="n">
        <f aca="false">IF(W33="",0,SUMIFS($I$7:$I$256,$D$7:$D$256,W33,$H$7:$H$256,"NTIME"))</f>
        <v>0</v>
      </c>
      <c r="Y33" s="1" t="n">
        <f aca="false">IF(W33="",0,SUMIFS($I$7:$I$256,$D$7:$D$256,W33,$H$7:$H$256,"P6"))</f>
        <v>0</v>
      </c>
      <c r="Z33" s="1" t="n">
        <f aca="false">X33+Y33</f>
        <v>0</v>
      </c>
      <c r="AA33" s="1" t="n">
        <f aca="false">IF(Z33&gt;0,Z33+(201-27)/10^6,0)</f>
        <v>0</v>
      </c>
      <c r="AB33" s="1"/>
      <c r="AC33" s="1"/>
      <c r="AD33" s="1"/>
      <c r="AE33" s="1"/>
      <c r="AF33" s="1"/>
      <c r="AG33" s="1"/>
      <c r="AH33" s="1"/>
    </row>
    <row r="34" customFormat="false" ht="15" hidden="false" customHeight="false" outlineLevel="0" collapsed="false">
      <c r="A34" s="1"/>
      <c r="B34" s="10"/>
      <c r="C34" s="31" t="str">
        <f aca="false">IF(B34="","",TEXT(B34,"ddd"))</f>
        <v/>
      </c>
      <c r="D34" s="11"/>
      <c r="E34" s="8" t="str">
        <f aca="false">IF(D34="","",IFERROR(INDEX(ProjNumbers,MATCH(D34,ProjNames,0)),""))</f>
        <v/>
      </c>
      <c r="F34" s="8" t="str">
        <f aca="false">IF(D34="","",IFERROR(INDEX(ProjCodes,MATCH(D34,ProjNames,0)),""))</f>
        <v/>
      </c>
      <c r="G34" s="32"/>
      <c r="H34" s="11"/>
      <c r="I34" s="33"/>
      <c r="J34" s="8" t="str">
        <f aca="false">IF(COUNTA(B34,D34,G34,H34,I34)=0,"",IF(B34="","Enter date",IF(OR(B34&lt;$AC$2,B34&gt;$AC$3),"Date not in January",IF(D34="","Pick project",IF(ISNA(MATCH(D34,ProjNames,0)),"Project not in list",IF(G34="","Add task description",IF(H34="","Pick NTIME or P6",IF(N(I34)&lt;=0,"Enter hours",IF(AND(AllowOT&lt;&gt;"Yes",SUMIF($B$7:$B$256,B34,$I$7:$I$256)&gt;INDEX($O$58:$O$88,DAY(B34))),"Day over "&amp;INDEX($O$58:$O$88,DAY(B34))&amp;" h","✓")))))))))</f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tr">
        <f aca="false">IF(Projects!B32="","",Projects!B32)</f>
        <v/>
      </c>
      <c r="X34" s="1" t="n">
        <f aca="false">IF(W34="",0,SUMIFS($I$7:$I$256,$D$7:$D$256,W34,$H$7:$H$256,"NTIME"))</f>
        <v>0</v>
      </c>
      <c r="Y34" s="1" t="n">
        <f aca="false">IF(W34="",0,SUMIFS($I$7:$I$256,$D$7:$D$256,W34,$H$7:$H$256,"P6"))</f>
        <v>0</v>
      </c>
      <c r="Z34" s="1" t="n">
        <f aca="false">X34+Y34</f>
        <v>0</v>
      </c>
      <c r="AA34" s="1" t="n">
        <f aca="false">IF(Z34&gt;0,Z34+(201-28)/10^6,0)</f>
        <v>0</v>
      </c>
      <c r="AB34" s="1"/>
      <c r="AC34" s="1"/>
      <c r="AD34" s="1"/>
      <c r="AE34" s="1"/>
      <c r="AF34" s="1"/>
      <c r="AG34" s="1"/>
      <c r="AH34" s="1"/>
    </row>
    <row r="35" customFormat="false" ht="15" hidden="false" customHeight="false" outlineLevel="0" collapsed="false">
      <c r="A35" s="1"/>
      <c r="B35" s="10"/>
      <c r="C35" s="31" t="str">
        <f aca="false">IF(B35="","",TEXT(B35,"ddd"))</f>
        <v/>
      </c>
      <c r="D35" s="11"/>
      <c r="E35" s="8" t="str">
        <f aca="false">IF(D35="","",IFERROR(INDEX(ProjNumbers,MATCH(D35,ProjNames,0)),""))</f>
        <v/>
      </c>
      <c r="F35" s="8" t="str">
        <f aca="false">IF(D35="","",IFERROR(INDEX(ProjCodes,MATCH(D35,ProjNames,0)),""))</f>
        <v/>
      </c>
      <c r="G35" s="32"/>
      <c r="H35" s="11"/>
      <c r="I35" s="33"/>
      <c r="J35" s="8" t="str">
        <f aca="false">IF(COUNTA(B35,D35,G35,H35,I35)=0,"",IF(B35="","Enter date",IF(OR(B35&lt;$AC$2,B35&gt;$AC$3),"Date not in January",IF(D35="","Pick project",IF(ISNA(MATCH(D35,ProjNames,0)),"Project not in list",IF(G35="","Add task description",IF(H35="","Pick NTIME or P6",IF(N(I35)&lt;=0,"Enter hours",IF(AND(AllowOT&lt;&gt;"Yes",SUMIF($B$7:$B$256,B35,$I$7:$I$256)&gt;INDEX($O$58:$O$88,DAY(B35))),"Day over "&amp;INDEX($O$58:$O$88,DAY(B35))&amp;" h","✓")))))))))</f>
        <v/>
      </c>
      <c r="K35" s="1"/>
      <c r="L35" s="4" t="s">
        <v>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 t="str">
        <f aca="false">IF(Projects!B33="","",Projects!B33)</f>
        <v/>
      </c>
      <c r="X35" s="1" t="n">
        <f aca="false">IF(W35="",0,SUMIFS($I$7:$I$256,$D$7:$D$256,W35,$H$7:$H$256,"NTIME"))</f>
        <v>0</v>
      </c>
      <c r="Y35" s="1" t="n">
        <f aca="false">IF(W35="",0,SUMIFS($I$7:$I$256,$D$7:$D$256,W35,$H$7:$H$256,"P6"))</f>
        <v>0</v>
      </c>
      <c r="Z35" s="1" t="n">
        <f aca="false">X35+Y35</f>
        <v>0</v>
      </c>
      <c r="AA35" s="1" t="n">
        <f aca="false">IF(Z35&gt;0,Z35+(201-29)/10^6,0)</f>
        <v>0</v>
      </c>
      <c r="AB35" s="1"/>
      <c r="AC35" s="1"/>
      <c r="AD35" s="1"/>
      <c r="AE35" s="1"/>
      <c r="AF35" s="1"/>
      <c r="AG35" s="1"/>
      <c r="AH35" s="1"/>
    </row>
    <row r="36" customFormat="false" ht="23.85" hidden="false" customHeight="false" outlineLevel="0" collapsed="false">
      <c r="A36" s="1"/>
      <c r="B36" s="10"/>
      <c r="C36" s="31" t="str">
        <f aca="false">IF(B36="","",TEXT(B36,"ddd"))</f>
        <v/>
      </c>
      <c r="D36" s="11"/>
      <c r="E36" s="8" t="str">
        <f aca="false">IF(D36="","",IFERROR(INDEX(ProjNumbers,MATCH(D36,ProjNames,0)),""))</f>
        <v/>
      </c>
      <c r="F36" s="8" t="str">
        <f aca="false">IF(D36="","",IFERROR(INDEX(ProjCodes,MATCH(D36,ProjNames,0)),""))</f>
        <v/>
      </c>
      <c r="G36" s="32"/>
      <c r="H36" s="11"/>
      <c r="I36" s="33"/>
      <c r="J36" s="8" t="str">
        <f aca="false">IF(COUNTA(B36,D36,G36,H36,I36)=0,"",IF(B36="","Enter date",IF(OR(B36&lt;$AC$2,B36&gt;$AC$3),"Date not in January",IF(D36="","Pick project",IF(ISNA(MATCH(D36,ProjNames,0)),"Project not in list",IF(G36="","Add task description",IF(H36="","Pick NTIME or P6",IF(N(I36)&lt;=0,"Enter hours",IF(AND(AllowOT&lt;&gt;"Yes",SUMIF($B$7:$B$256,B36,$I$7:$I$256)&gt;INDEX($O$58:$O$88,DAY(B36))),"Day over "&amp;INDEX($O$58:$O$88,DAY(B36))&amp;" h","✓")))))))))</f>
        <v/>
      </c>
      <c r="K36" s="1"/>
      <c r="L36" s="9" t="s">
        <v>72</v>
      </c>
      <c r="M36" s="9" t="s">
        <v>36</v>
      </c>
      <c r="N36" s="9" t="s">
        <v>37</v>
      </c>
      <c r="O36" s="20" t="s">
        <v>46</v>
      </c>
      <c r="P36" s="21" t="s">
        <v>56</v>
      </c>
      <c r="Q36" s="9" t="s">
        <v>57</v>
      </c>
      <c r="R36" s="9" t="s">
        <v>86</v>
      </c>
      <c r="S36" s="1"/>
      <c r="T36" s="1"/>
      <c r="U36" s="1"/>
      <c r="V36" s="1"/>
      <c r="W36" s="1" t="str">
        <f aca="false">IF(Projects!B34="","",Projects!B34)</f>
        <v/>
      </c>
      <c r="X36" s="1" t="n">
        <f aca="false">IF(W36="",0,SUMIFS($I$7:$I$256,$D$7:$D$256,W36,$H$7:$H$256,"NTIME"))</f>
        <v>0</v>
      </c>
      <c r="Y36" s="1" t="n">
        <f aca="false">IF(W36="",0,SUMIFS($I$7:$I$256,$D$7:$D$256,W36,$H$7:$H$256,"P6"))</f>
        <v>0</v>
      </c>
      <c r="Z36" s="1" t="n">
        <f aca="false">X36+Y36</f>
        <v>0</v>
      </c>
      <c r="AA36" s="1" t="n">
        <f aca="false">IF(Z36&gt;0,Z36+(201-30)/10^6,0)</f>
        <v>0</v>
      </c>
      <c r="AB36" s="1"/>
      <c r="AC36" s="1"/>
      <c r="AD36" s="1"/>
      <c r="AE36" s="1"/>
      <c r="AF36" s="1"/>
      <c r="AG36" s="1"/>
      <c r="AH36" s="1"/>
    </row>
    <row r="37" customFormat="false" ht="15" hidden="false" customHeight="false" outlineLevel="0" collapsed="false">
      <c r="A37" s="1"/>
      <c r="B37" s="10"/>
      <c r="C37" s="31" t="str">
        <f aca="false">IF(B37="","",TEXT(B37,"ddd"))</f>
        <v/>
      </c>
      <c r="D37" s="11"/>
      <c r="E37" s="8" t="str">
        <f aca="false">IF(D37="","",IFERROR(INDEX(ProjNumbers,MATCH(D37,ProjNames,0)),""))</f>
        <v/>
      </c>
      <c r="F37" s="8" t="str">
        <f aca="false">IF(D37="","",IFERROR(INDEX(ProjCodes,MATCH(D37,ProjNames,0)),""))</f>
        <v/>
      </c>
      <c r="G37" s="32"/>
      <c r="H37" s="11"/>
      <c r="I37" s="33"/>
      <c r="J37" s="8" t="str">
        <f aca="false">IF(COUNTA(B37,D37,G37,H37,I37)=0,"",IF(B37="","Enter date",IF(OR(B37&lt;$AC$2,B37&gt;$AC$3),"Date not in January",IF(D37="","Pick project",IF(ISNA(MATCH(D37,ProjNames,0)),"Project not in list",IF(G37="","Add task description",IF(H37="","Pick NTIME or P6",IF(N(I37)&lt;=0,"Enter hours",IF(AND(AllowOT&lt;&gt;"Yes",SUMIF($B$7:$B$256,B37,$I$7:$I$256)&gt;INDEX($O$58:$O$88,DAY(B37))),"Day over "&amp;INDEX($O$58:$O$88,DAY(B37))&amp;" h","✓")))))))))</f>
        <v/>
      </c>
      <c r="K37" s="1"/>
      <c r="L37" s="24" t="str">
        <f aca="false">IF($AD37=0,"",INDEX($W$7:$W$206,$AD37))</f>
        <v/>
      </c>
      <c r="M37" s="24" t="str">
        <f aca="false">IF($AD37=0,"",INDEX(ProjNumbers,$AD37))</f>
        <v/>
      </c>
      <c r="N37" s="24" t="str">
        <f aca="false">IF($AD37=0,"",INDEX(ProjCodes,$AD37))</f>
        <v/>
      </c>
      <c r="O37" s="24" t="str">
        <f aca="false">IF($AD37=0,"",INDEX($X$7:$X$206,$AD37))</f>
        <v/>
      </c>
      <c r="P37" s="24" t="str">
        <f aca="false">IF($AD37=0,"",INDEX($Y$7:$Y$206,$AD37))</f>
        <v/>
      </c>
      <c r="Q37" s="24" t="str">
        <f aca="false">IF($AD37=0,"",INDEX($Z$7:$Z$206,$AD37))</f>
        <v/>
      </c>
      <c r="R37" s="25" t="str">
        <f aca="false">IF(OR($AD37=0,$L$5=0),"",Q37/$L$5)</f>
        <v/>
      </c>
      <c r="S37" s="1"/>
      <c r="T37" s="1"/>
      <c r="U37" s="1"/>
      <c r="V37" s="1"/>
      <c r="W37" s="1" t="str">
        <f aca="false">IF(Projects!B35="","",Projects!B35)</f>
        <v/>
      </c>
      <c r="X37" s="1" t="n">
        <f aca="false">IF(W37="",0,SUMIFS($I$7:$I$256,$D$7:$D$256,W37,$H$7:$H$256,"NTIME"))</f>
        <v>0</v>
      </c>
      <c r="Y37" s="1" t="n">
        <f aca="false">IF(W37="",0,SUMIFS($I$7:$I$256,$D$7:$D$256,W37,$H$7:$H$256,"P6"))</f>
        <v>0</v>
      </c>
      <c r="Z37" s="1" t="n">
        <f aca="false">X37+Y37</f>
        <v>0</v>
      </c>
      <c r="AA37" s="1" t="n">
        <f aca="false">IF(Z37&gt;0,Z37+(201-31)/10^6,0)</f>
        <v>0</v>
      </c>
      <c r="AB37" s="1"/>
      <c r="AC37" s="1"/>
      <c r="AD37" s="1" t="n">
        <f aca="false">IF(LARGE($AA$7:$AA$206,1)&lt;=0,0,MATCH(LARGE($AA$7:$AA$206,1),$AA$7:$AA$206,0))</f>
        <v>0</v>
      </c>
      <c r="AE37" s="1"/>
      <c r="AF37" s="1"/>
      <c r="AG37" s="1"/>
      <c r="AH37" s="1"/>
    </row>
    <row r="38" customFormat="false" ht="15" hidden="false" customHeight="false" outlineLevel="0" collapsed="false">
      <c r="A38" s="1"/>
      <c r="B38" s="10"/>
      <c r="C38" s="31" t="str">
        <f aca="false">IF(B38="","",TEXT(B38,"ddd"))</f>
        <v/>
      </c>
      <c r="D38" s="11"/>
      <c r="E38" s="8" t="str">
        <f aca="false">IF(D38="","",IFERROR(INDEX(ProjNumbers,MATCH(D38,ProjNames,0)),""))</f>
        <v/>
      </c>
      <c r="F38" s="8" t="str">
        <f aca="false">IF(D38="","",IFERROR(INDEX(ProjCodes,MATCH(D38,ProjNames,0)),""))</f>
        <v/>
      </c>
      <c r="G38" s="32"/>
      <c r="H38" s="11"/>
      <c r="I38" s="33"/>
      <c r="J38" s="8" t="str">
        <f aca="false">IF(COUNTA(B38,D38,G38,H38,I38)=0,"",IF(B38="","Enter date",IF(OR(B38&lt;$AC$2,B38&gt;$AC$3),"Date not in January",IF(D38="","Pick project",IF(ISNA(MATCH(D38,ProjNames,0)),"Project not in list",IF(G38="","Add task description",IF(H38="","Pick NTIME or P6",IF(N(I38)&lt;=0,"Enter hours",IF(AND(AllowOT&lt;&gt;"Yes",SUMIF($B$7:$B$256,B38,$I$7:$I$256)&gt;INDEX($O$58:$O$88,DAY(B38))),"Day over "&amp;INDEX($O$58:$O$88,DAY(B38))&amp;" h","✓")))))))))</f>
        <v/>
      </c>
      <c r="K38" s="1"/>
      <c r="L38" s="24" t="str">
        <f aca="false">IF($AD38=0,"",INDEX($W$7:$W$206,$AD38))</f>
        <v/>
      </c>
      <c r="M38" s="24" t="str">
        <f aca="false">IF($AD38=0,"",INDEX(ProjNumbers,$AD38))</f>
        <v/>
      </c>
      <c r="N38" s="24" t="str">
        <f aca="false">IF($AD38=0,"",INDEX(ProjCodes,$AD38))</f>
        <v/>
      </c>
      <c r="O38" s="24" t="str">
        <f aca="false">IF($AD38=0,"",INDEX($X$7:$X$206,$AD38))</f>
        <v/>
      </c>
      <c r="P38" s="24" t="str">
        <f aca="false">IF($AD38=0,"",INDEX($Y$7:$Y$206,$AD38))</f>
        <v/>
      </c>
      <c r="Q38" s="24" t="str">
        <f aca="false">IF($AD38=0,"",INDEX($Z$7:$Z$206,$AD38))</f>
        <v/>
      </c>
      <c r="R38" s="25" t="str">
        <f aca="false">IF(OR($AD38=0,$L$5=0),"",Q38/$L$5)</f>
        <v/>
      </c>
      <c r="S38" s="1"/>
      <c r="T38" s="1"/>
      <c r="U38" s="1"/>
      <c r="V38" s="1"/>
      <c r="W38" s="1" t="str">
        <f aca="false">IF(Projects!B36="","",Projects!B36)</f>
        <v/>
      </c>
      <c r="X38" s="1" t="n">
        <f aca="false">IF(W38="",0,SUMIFS($I$7:$I$256,$D$7:$D$256,W38,$H$7:$H$256,"NTIME"))</f>
        <v>0</v>
      </c>
      <c r="Y38" s="1" t="n">
        <f aca="false">IF(W38="",0,SUMIFS($I$7:$I$256,$D$7:$D$256,W38,$H$7:$H$256,"P6"))</f>
        <v>0</v>
      </c>
      <c r="Z38" s="1" t="n">
        <f aca="false">X38+Y38</f>
        <v>0</v>
      </c>
      <c r="AA38" s="1" t="n">
        <f aca="false">IF(Z38&gt;0,Z38+(201-32)/10^6,0)</f>
        <v>0</v>
      </c>
      <c r="AB38" s="1"/>
      <c r="AC38" s="1"/>
      <c r="AD38" s="1" t="n">
        <f aca="false">IF(LARGE($AA$7:$AA$206,2)&lt;=0,0,MATCH(LARGE($AA$7:$AA$206,2),$AA$7:$AA$206,0))</f>
        <v>0</v>
      </c>
      <c r="AE38" s="1"/>
      <c r="AF38" s="1"/>
      <c r="AG38" s="1"/>
      <c r="AH38" s="1"/>
    </row>
    <row r="39" customFormat="false" ht="15" hidden="false" customHeight="false" outlineLevel="0" collapsed="false">
      <c r="A39" s="1"/>
      <c r="B39" s="10"/>
      <c r="C39" s="31" t="str">
        <f aca="false">IF(B39="","",TEXT(B39,"ddd"))</f>
        <v/>
      </c>
      <c r="D39" s="11"/>
      <c r="E39" s="8" t="str">
        <f aca="false">IF(D39="","",IFERROR(INDEX(ProjNumbers,MATCH(D39,ProjNames,0)),""))</f>
        <v/>
      </c>
      <c r="F39" s="8" t="str">
        <f aca="false">IF(D39="","",IFERROR(INDEX(ProjCodes,MATCH(D39,ProjNames,0)),""))</f>
        <v/>
      </c>
      <c r="G39" s="32"/>
      <c r="H39" s="11"/>
      <c r="I39" s="33"/>
      <c r="J39" s="8" t="str">
        <f aca="false">IF(COUNTA(B39,D39,G39,H39,I39)=0,"",IF(B39="","Enter date",IF(OR(B39&lt;$AC$2,B39&gt;$AC$3),"Date not in January",IF(D39="","Pick project",IF(ISNA(MATCH(D39,ProjNames,0)),"Project not in list",IF(G39="","Add task description",IF(H39="","Pick NTIME or P6",IF(N(I39)&lt;=0,"Enter hours",IF(AND(AllowOT&lt;&gt;"Yes",SUMIF($B$7:$B$256,B39,$I$7:$I$256)&gt;INDEX($O$58:$O$88,DAY(B39))),"Day over "&amp;INDEX($O$58:$O$88,DAY(B39))&amp;" h","✓")))))))))</f>
        <v/>
      </c>
      <c r="K39" s="1"/>
      <c r="L39" s="24" t="str">
        <f aca="false">IF($AD39=0,"",INDEX($W$7:$W$206,$AD39))</f>
        <v/>
      </c>
      <c r="M39" s="24" t="str">
        <f aca="false">IF($AD39=0,"",INDEX(ProjNumbers,$AD39))</f>
        <v/>
      </c>
      <c r="N39" s="24" t="str">
        <f aca="false">IF($AD39=0,"",INDEX(ProjCodes,$AD39))</f>
        <v/>
      </c>
      <c r="O39" s="24" t="str">
        <f aca="false">IF($AD39=0,"",INDEX($X$7:$X$206,$AD39))</f>
        <v/>
      </c>
      <c r="P39" s="24" t="str">
        <f aca="false">IF($AD39=0,"",INDEX($Y$7:$Y$206,$AD39))</f>
        <v/>
      </c>
      <c r="Q39" s="24" t="str">
        <f aca="false">IF($AD39=0,"",INDEX($Z$7:$Z$206,$AD39))</f>
        <v/>
      </c>
      <c r="R39" s="25" t="str">
        <f aca="false">IF(OR($AD39=0,$L$5=0),"",Q39/$L$5)</f>
        <v/>
      </c>
      <c r="S39" s="1"/>
      <c r="T39" s="1"/>
      <c r="U39" s="1"/>
      <c r="V39" s="1"/>
      <c r="W39" s="1" t="str">
        <f aca="false">IF(Projects!B37="","",Projects!B37)</f>
        <v/>
      </c>
      <c r="X39" s="1" t="n">
        <f aca="false">IF(W39="",0,SUMIFS($I$7:$I$256,$D$7:$D$256,W39,$H$7:$H$256,"NTIME"))</f>
        <v>0</v>
      </c>
      <c r="Y39" s="1" t="n">
        <f aca="false">IF(W39="",0,SUMIFS($I$7:$I$256,$D$7:$D$256,W39,$H$7:$H$256,"P6"))</f>
        <v>0</v>
      </c>
      <c r="Z39" s="1" t="n">
        <f aca="false">X39+Y39</f>
        <v>0</v>
      </c>
      <c r="AA39" s="1" t="n">
        <f aca="false">IF(Z39&gt;0,Z39+(201-33)/10^6,0)</f>
        <v>0</v>
      </c>
      <c r="AB39" s="1"/>
      <c r="AC39" s="1"/>
      <c r="AD39" s="1" t="n">
        <f aca="false">IF(LARGE($AA$7:$AA$206,3)&lt;=0,0,MATCH(LARGE($AA$7:$AA$206,3),$AA$7:$AA$206,0))</f>
        <v>0</v>
      </c>
      <c r="AE39" s="1"/>
      <c r="AF39" s="1"/>
      <c r="AG39" s="1"/>
      <c r="AH39" s="1"/>
    </row>
    <row r="40" customFormat="false" ht="15" hidden="false" customHeight="false" outlineLevel="0" collapsed="false">
      <c r="A40" s="1"/>
      <c r="B40" s="10"/>
      <c r="C40" s="31" t="str">
        <f aca="false">IF(B40="","",TEXT(B40,"ddd"))</f>
        <v/>
      </c>
      <c r="D40" s="11"/>
      <c r="E40" s="8" t="str">
        <f aca="false">IF(D40="","",IFERROR(INDEX(ProjNumbers,MATCH(D40,ProjNames,0)),""))</f>
        <v/>
      </c>
      <c r="F40" s="8" t="str">
        <f aca="false">IF(D40="","",IFERROR(INDEX(ProjCodes,MATCH(D40,ProjNames,0)),""))</f>
        <v/>
      </c>
      <c r="G40" s="32"/>
      <c r="H40" s="11"/>
      <c r="I40" s="33"/>
      <c r="J40" s="8" t="str">
        <f aca="false">IF(COUNTA(B40,D40,G40,H40,I40)=0,"",IF(B40="","Enter date",IF(OR(B40&lt;$AC$2,B40&gt;$AC$3),"Date not in January",IF(D40="","Pick project",IF(ISNA(MATCH(D40,ProjNames,0)),"Project not in list",IF(G40="","Add task description",IF(H40="","Pick NTIME or P6",IF(N(I40)&lt;=0,"Enter hours",IF(AND(AllowOT&lt;&gt;"Yes",SUMIF($B$7:$B$256,B40,$I$7:$I$256)&gt;INDEX($O$58:$O$88,DAY(B40))),"Day over "&amp;INDEX($O$58:$O$88,DAY(B40))&amp;" h","✓")))))))))</f>
        <v/>
      </c>
      <c r="K40" s="1"/>
      <c r="L40" s="24" t="str">
        <f aca="false">IF($AD40=0,"",INDEX($W$7:$W$206,$AD40))</f>
        <v/>
      </c>
      <c r="M40" s="24" t="str">
        <f aca="false">IF($AD40=0,"",INDEX(ProjNumbers,$AD40))</f>
        <v/>
      </c>
      <c r="N40" s="24" t="str">
        <f aca="false">IF($AD40=0,"",INDEX(ProjCodes,$AD40))</f>
        <v/>
      </c>
      <c r="O40" s="24" t="str">
        <f aca="false">IF($AD40=0,"",INDEX($X$7:$X$206,$AD40))</f>
        <v/>
      </c>
      <c r="P40" s="24" t="str">
        <f aca="false">IF($AD40=0,"",INDEX($Y$7:$Y$206,$AD40))</f>
        <v/>
      </c>
      <c r="Q40" s="24" t="str">
        <f aca="false">IF($AD40=0,"",INDEX($Z$7:$Z$206,$AD40))</f>
        <v/>
      </c>
      <c r="R40" s="25" t="str">
        <f aca="false">IF(OR($AD40=0,$L$5=0),"",Q40/$L$5)</f>
        <v/>
      </c>
      <c r="S40" s="1"/>
      <c r="T40" s="1"/>
      <c r="U40" s="1"/>
      <c r="V40" s="1"/>
      <c r="W40" s="1" t="str">
        <f aca="false">IF(Projects!B38="","",Projects!B38)</f>
        <v/>
      </c>
      <c r="X40" s="1" t="n">
        <f aca="false">IF(W40="",0,SUMIFS($I$7:$I$256,$D$7:$D$256,W40,$H$7:$H$256,"NTIME"))</f>
        <v>0</v>
      </c>
      <c r="Y40" s="1" t="n">
        <f aca="false">IF(W40="",0,SUMIFS($I$7:$I$256,$D$7:$D$256,W40,$H$7:$H$256,"P6"))</f>
        <v>0</v>
      </c>
      <c r="Z40" s="1" t="n">
        <f aca="false">X40+Y40</f>
        <v>0</v>
      </c>
      <c r="AA40" s="1" t="n">
        <f aca="false">IF(Z40&gt;0,Z40+(201-34)/10^6,0)</f>
        <v>0</v>
      </c>
      <c r="AB40" s="1"/>
      <c r="AC40" s="1"/>
      <c r="AD40" s="1" t="n">
        <f aca="false">IF(LARGE($AA$7:$AA$206,4)&lt;=0,0,MATCH(LARGE($AA$7:$AA$206,4),$AA$7:$AA$206,0))</f>
        <v>0</v>
      </c>
      <c r="AE40" s="1"/>
      <c r="AF40" s="1"/>
      <c r="AG40" s="1"/>
      <c r="AH40" s="1"/>
    </row>
    <row r="41" customFormat="false" ht="15" hidden="false" customHeight="false" outlineLevel="0" collapsed="false">
      <c r="A41" s="1"/>
      <c r="B41" s="10"/>
      <c r="C41" s="31" t="str">
        <f aca="false">IF(B41="","",TEXT(B41,"ddd"))</f>
        <v/>
      </c>
      <c r="D41" s="11"/>
      <c r="E41" s="8" t="str">
        <f aca="false">IF(D41="","",IFERROR(INDEX(ProjNumbers,MATCH(D41,ProjNames,0)),""))</f>
        <v/>
      </c>
      <c r="F41" s="8" t="str">
        <f aca="false">IF(D41="","",IFERROR(INDEX(ProjCodes,MATCH(D41,ProjNames,0)),""))</f>
        <v/>
      </c>
      <c r="G41" s="32"/>
      <c r="H41" s="11"/>
      <c r="I41" s="33"/>
      <c r="J41" s="8" t="str">
        <f aca="false">IF(COUNTA(B41,D41,G41,H41,I41)=0,"",IF(B41="","Enter date",IF(OR(B41&lt;$AC$2,B41&gt;$AC$3),"Date not in January",IF(D41="","Pick project",IF(ISNA(MATCH(D41,ProjNames,0)),"Project not in list",IF(G41="","Add task description",IF(H41="","Pick NTIME or P6",IF(N(I41)&lt;=0,"Enter hours",IF(AND(AllowOT&lt;&gt;"Yes",SUMIF($B$7:$B$256,B41,$I$7:$I$256)&gt;INDEX($O$58:$O$88,DAY(B41))),"Day over "&amp;INDEX($O$58:$O$88,DAY(B41))&amp;" h","✓")))))))))</f>
        <v/>
      </c>
      <c r="K41" s="1"/>
      <c r="L41" s="24" t="str">
        <f aca="false">IF($AD41=0,"",INDEX($W$7:$W$206,$AD41))</f>
        <v/>
      </c>
      <c r="M41" s="24" t="str">
        <f aca="false">IF($AD41=0,"",INDEX(ProjNumbers,$AD41))</f>
        <v/>
      </c>
      <c r="N41" s="24" t="str">
        <f aca="false">IF($AD41=0,"",INDEX(ProjCodes,$AD41))</f>
        <v/>
      </c>
      <c r="O41" s="24" t="str">
        <f aca="false">IF($AD41=0,"",INDEX($X$7:$X$206,$AD41))</f>
        <v/>
      </c>
      <c r="P41" s="24" t="str">
        <f aca="false">IF($AD41=0,"",INDEX($Y$7:$Y$206,$AD41))</f>
        <v/>
      </c>
      <c r="Q41" s="24" t="str">
        <f aca="false">IF($AD41=0,"",INDEX($Z$7:$Z$206,$AD41))</f>
        <v/>
      </c>
      <c r="R41" s="25" t="str">
        <f aca="false">IF(OR($AD41=0,$L$5=0),"",Q41/$L$5)</f>
        <v/>
      </c>
      <c r="S41" s="1"/>
      <c r="T41" s="1"/>
      <c r="U41" s="1"/>
      <c r="V41" s="1"/>
      <c r="W41" s="1" t="str">
        <f aca="false">IF(Projects!B39="","",Projects!B39)</f>
        <v/>
      </c>
      <c r="X41" s="1" t="n">
        <f aca="false">IF(W41="",0,SUMIFS($I$7:$I$256,$D$7:$D$256,W41,$H$7:$H$256,"NTIME"))</f>
        <v>0</v>
      </c>
      <c r="Y41" s="1" t="n">
        <f aca="false">IF(W41="",0,SUMIFS($I$7:$I$256,$D$7:$D$256,W41,$H$7:$H$256,"P6"))</f>
        <v>0</v>
      </c>
      <c r="Z41" s="1" t="n">
        <f aca="false">X41+Y41</f>
        <v>0</v>
      </c>
      <c r="AA41" s="1" t="n">
        <f aca="false">IF(Z41&gt;0,Z41+(201-35)/10^6,0)</f>
        <v>0</v>
      </c>
      <c r="AB41" s="1"/>
      <c r="AC41" s="1"/>
      <c r="AD41" s="1" t="n">
        <f aca="false">IF(LARGE($AA$7:$AA$206,5)&lt;=0,0,MATCH(LARGE($AA$7:$AA$206,5),$AA$7:$AA$206,0))</f>
        <v>0</v>
      </c>
      <c r="AE41" s="1"/>
      <c r="AF41" s="1"/>
      <c r="AG41" s="1"/>
      <c r="AH41" s="1"/>
    </row>
    <row r="42" customFormat="false" ht="15" hidden="false" customHeight="false" outlineLevel="0" collapsed="false">
      <c r="A42" s="1"/>
      <c r="B42" s="10"/>
      <c r="C42" s="31" t="str">
        <f aca="false">IF(B42="","",TEXT(B42,"ddd"))</f>
        <v/>
      </c>
      <c r="D42" s="11"/>
      <c r="E42" s="8" t="str">
        <f aca="false">IF(D42="","",IFERROR(INDEX(ProjNumbers,MATCH(D42,ProjNames,0)),""))</f>
        <v/>
      </c>
      <c r="F42" s="8" t="str">
        <f aca="false">IF(D42="","",IFERROR(INDEX(ProjCodes,MATCH(D42,ProjNames,0)),""))</f>
        <v/>
      </c>
      <c r="G42" s="32"/>
      <c r="H42" s="11"/>
      <c r="I42" s="33"/>
      <c r="J42" s="8" t="str">
        <f aca="false">IF(COUNTA(B42,D42,G42,H42,I42)=0,"",IF(B42="","Enter date",IF(OR(B42&lt;$AC$2,B42&gt;$AC$3),"Date not in January",IF(D42="","Pick project",IF(ISNA(MATCH(D42,ProjNames,0)),"Project not in list",IF(G42="","Add task description",IF(H42="","Pick NTIME or P6",IF(N(I42)&lt;=0,"Enter hours",IF(AND(AllowOT&lt;&gt;"Yes",SUMIF($B$7:$B$256,B42,$I$7:$I$256)&gt;INDEX($O$58:$O$88,DAY(B42))),"Day over "&amp;INDEX($O$58:$O$88,DAY(B42))&amp;" h","✓")))))))))</f>
        <v/>
      </c>
      <c r="K42" s="1"/>
      <c r="L42" s="24" t="str">
        <f aca="false">IF($AD42=0,"",INDEX($W$7:$W$206,$AD42))</f>
        <v/>
      </c>
      <c r="M42" s="24" t="str">
        <f aca="false">IF($AD42=0,"",INDEX(ProjNumbers,$AD42))</f>
        <v/>
      </c>
      <c r="N42" s="24" t="str">
        <f aca="false">IF($AD42=0,"",INDEX(ProjCodes,$AD42))</f>
        <v/>
      </c>
      <c r="O42" s="24" t="str">
        <f aca="false">IF($AD42=0,"",INDEX($X$7:$X$206,$AD42))</f>
        <v/>
      </c>
      <c r="P42" s="24" t="str">
        <f aca="false">IF($AD42=0,"",INDEX($Y$7:$Y$206,$AD42))</f>
        <v/>
      </c>
      <c r="Q42" s="24" t="str">
        <f aca="false">IF($AD42=0,"",INDEX($Z$7:$Z$206,$AD42))</f>
        <v/>
      </c>
      <c r="R42" s="25" t="str">
        <f aca="false">IF(OR($AD42=0,$L$5=0),"",Q42/$L$5)</f>
        <v/>
      </c>
      <c r="S42" s="1"/>
      <c r="T42" s="1"/>
      <c r="U42" s="1"/>
      <c r="V42" s="1"/>
      <c r="W42" s="1" t="str">
        <f aca="false">IF(Projects!B40="","",Projects!B40)</f>
        <v/>
      </c>
      <c r="X42" s="1" t="n">
        <f aca="false">IF(W42="",0,SUMIFS($I$7:$I$256,$D$7:$D$256,W42,$H$7:$H$256,"NTIME"))</f>
        <v>0</v>
      </c>
      <c r="Y42" s="1" t="n">
        <f aca="false">IF(W42="",0,SUMIFS($I$7:$I$256,$D$7:$D$256,W42,$H$7:$H$256,"P6"))</f>
        <v>0</v>
      </c>
      <c r="Z42" s="1" t="n">
        <f aca="false">X42+Y42</f>
        <v>0</v>
      </c>
      <c r="AA42" s="1" t="n">
        <f aca="false">IF(Z42&gt;0,Z42+(201-36)/10^6,0)</f>
        <v>0</v>
      </c>
      <c r="AB42" s="1"/>
      <c r="AC42" s="1"/>
      <c r="AD42" s="1" t="n">
        <f aca="false">IF(LARGE($AA$7:$AA$206,6)&lt;=0,0,MATCH(LARGE($AA$7:$AA$206,6),$AA$7:$AA$206,0))</f>
        <v>0</v>
      </c>
      <c r="AE42" s="1"/>
      <c r="AF42" s="1"/>
      <c r="AG42" s="1"/>
      <c r="AH42" s="1"/>
    </row>
    <row r="43" customFormat="false" ht="15" hidden="false" customHeight="false" outlineLevel="0" collapsed="false">
      <c r="A43" s="1"/>
      <c r="B43" s="10"/>
      <c r="C43" s="31" t="str">
        <f aca="false">IF(B43="","",TEXT(B43,"ddd"))</f>
        <v/>
      </c>
      <c r="D43" s="11"/>
      <c r="E43" s="8" t="str">
        <f aca="false">IF(D43="","",IFERROR(INDEX(ProjNumbers,MATCH(D43,ProjNames,0)),""))</f>
        <v/>
      </c>
      <c r="F43" s="8" t="str">
        <f aca="false">IF(D43="","",IFERROR(INDEX(ProjCodes,MATCH(D43,ProjNames,0)),""))</f>
        <v/>
      </c>
      <c r="G43" s="32"/>
      <c r="H43" s="11"/>
      <c r="I43" s="33"/>
      <c r="J43" s="8" t="str">
        <f aca="false">IF(COUNTA(B43,D43,G43,H43,I43)=0,"",IF(B43="","Enter date",IF(OR(B43&lt;$AC$2,B43&gt;$AC$3),"Date not in January",IF(D43="","Pick project",IF(ISNA(MATCH(D43,ProjNames,0)),"Project not in list",IF(G43="","Add task description",IF(H43="","Pick NTIME or P6",IF(N(I43)&lt;=0,"Enter hours",IF(AND(AllowOT&lt;&gt;"Yes",SUMIF($B$7:$B$256,B43,$I$7:$I$256)&gt;INDEX($O$58:$O$88,DAY(B43))),"Day over "&amp;INDEX($O$58:$O$88,DAY(B43))&amp;" h","✓")))))))))</f>
        <v/>
      </c>
      <c r="K43" s="1"/>
      <c r="L43" s="24" t="str">
        <f aca="false">IF($AD43=0,"",INDEX($W$7:$W$206,$AD43))</f>
        <v/>
      </c>
      <c r="M43" s="24" t="str">
        <f aca="false">IF($AD43=0,"",INDEX(ProjNumbers,$AD43))</f>
        <v/>
      </c>
      <c r="N43" s="24" t="str">
        <f aca="false">IF($AD43=0,"",INDEX(ProjCodes,$AD43))</f>
        <v/>
      </c>
      <c r="O43" s="24" t="str">
        <f aca="false">IF($AD43=0,"",INDEX($X$7:$X$206,$AD43))</f>
        <v/>
      </c>
      <c r="P43" s="24" t="str">
        <f aca="false">IF($AD43=0,"",INDEX($Y$7:$Y$206,$AD43))</f>
        <v/>
      </c>
      <c r="Q43" s="24" t="str">
        <f aca="false">IF($AD43=0,"",INDEX($Z$7:$Z$206,$AD43))</f>
        <v/>
      </c>
      <c r="R43" s="25" t="str">
        <f aca="false">IF(OR($AD43=0,$L$5=0),"",Q43/$L$5)</f>
        <v/>
      </c>
      <c r="S43" s="1"/>
      <c r="T43" s="1"/>
      <c r="U43" s="1"/>
      <c r="V43" s="1"/>
      <c r="W43" s="1" t="str">
        <f aca="false">IF(Projects!B41="","",Projects!B41)</f>
        <v/>
      </c>
      <c r="X43" s="1" t="n">
        <f aca="false">IF(W43="",0,SUMIFS($I$7:$I$256,$D$7:$D$256,W43,$H$7:$H$256,"NTIME"))</f>
        <v>0</v>
      </c>
      <c r="Y43" s="1" t="n">
        <f aca="false">IF(W43="",0,SUMIFS($I$7:$I$256,$D$7:$D$256,W43,$H$7:$H$256,"P6"))</f>
        <v>0</v>
      </c>
      <c r="Z43" s="1" t="n">
        <f aca="false">X43+Y43</f>
        <v>0</v>
      </c>
      <c r="AA43" s="1" t="n">
        <f aca="false">IF(Z43&gt;0,Z43+(201-37)/10^6,0)</f>
        <v>0</v>
      </c>
      <c r="AB43" s="1"/>
      <c r="AC43" s="1"/>
      <c r="AD43" s="1" t="n">
        <f aca="false">IF(LARGE($AA$7:$AA$206,7)&lt;=0,0,MATCH(LARGE($AA$7:$AA$206,7),$AA$7:$AA$206,0))</f>
        <v>0</v>
      </c>
      <c r="AE43" s="1"/>
      <c r="AF43" s="1"/>
      <c r="AG43" s="1"/>
      <c r="AH43" s="1"/>
    </row>
    <row r="44" customFormat="false" ht="15" hidden="false" customHeight="false" outlineLevel="0" collapsed="false">
      <c r="A44" s="1"/>
      <c r="B44" s="10"/>
      <c r="C44" s="31" t="str">
        <f aca="false">IF(B44="","",TEXT(B44,"ddd"))</f>
        <v/>
      </c>
      <c r="D44" s="11"/>
      <c r="E44" s="8" t="str">
        <f aca="false">IF(D44="","",IFERROR(INDEX(ProjNumbers,MATCH(D44,ProjNames,0)),""))</f>
        <v/>
      </c>
      <c r="F44" s="8" t="str">
        <f aca="false">IF(D44="","",IFERROR(INDEX(ProjCodes,MATCH(D44,ProjNames,0)),""))</f>
        <v/>
      </c>
      <c r="G44" s="32"/>
      <c r="H44" s="11"/>
      <c r="I44" s="33"/>
      <c r="J44" s="8" t="str">
        <f aca="false">IF(COUNTA(B44,D44,G44,H44,I44)=0,"",IF(B44="","Enter date",IF(OR(B44&lt;$AC$2,B44&gt;$AC$3),"Date not in January",IF(D44="","Pick project",IF(ISNA(MATCH(D44,ProjNames,0)),"Project not in list",IF(G44="","Add task description",IF(H44="","Pick NTIME or P6",IF(N(I44)&lt;=0,"Enter hours",IF(AND(AllowOT&lt;&gt;"Yes",SUMIF($B$7:$B$256,B44,$I$7:$I$256)&gt;INDEX($O$58:$O$88,DAY(B44))),"Day over "&amp;INDEX($O$58:$O$88,DAY(B44))&amp;" h","✓")))))))))</f>
        <v/>
      </c>
      <c r="K44" s="1"/>
      <c r="L44" s="24" t="str">
        <f aca="false">IF($AD44=0,"",INDEX($W$7:$W$206,$AD44))</f>
        <v/>
      </c>
      <c r="M44" s="24" t="str">
        <f aca="false">IF($AD44=0,"",INDEX(ProjNumbers,$AD44))</f>
        <v/>
      </c>
      <c r="N44" s="24" t="str">
        <f aca="false">IF($AD44=0,"",INDEX(ProjCodes,$AD44))</f>
        <v/>
      </c>
      <c r="O44" s="24" t="str">
        <f aca="false">IF($AD44=0,"",INDEX($X$7:$X$206,$AD44))</f>
        <v/>
      </c>
      <c r="P44" s="24" t="str">
        <f aca="false">IF($AD44=0,"",INDEX($Y$7:$Y$206,$AD44))</f>
        <v/>
      </c>
      <c r="Q44" s="24" t="str">
        <f aca="false">IF($AD44=0,"",INDEX($Z$7:$Z$206,$AD44))</f>
        <v/>
      </c>
      <c r="R44" s="25" t="str">
        <f aca="false">IF(OR($AD44=0,$L$5=0),"",Q44/$L$5)</f>
        <v/>
      </c>
      <c r="S44" s="1"/>
      <c r="T44" s="1"/>
      <c r="U44" s="1"/>
      <c r="V44" s="1"/>
      <c r="W44" s="1" t="str">
        <f aca="false">IF(Projects!B42="","",Projects!B42)</f>
        <v/>
      </c>
      <c r="X44" s="1" t="n">
        <f aca="false">IF(W44="",0,SUMIFS($I$7:$I$256,$D$7:$D$256,W44,$H$7:$H$256,"NTIME"))</f>
        <v>0</v>
      </c>
      <c r="Y44" s="1" t="n">
        <f aca="false">IF(W44="",0,SUMIFS($I$7:$I$256,$D$7:$D$256,W44,$H$7:$H$256,"P6"))</f>
        <v>0</v>
      </c>
      <c r="Z44" s="1" t="n">
        <f aca="false">X44+Y44</f>
        <v>0</v>
      </c>
      <c r="AA44" s="1" t="n">
        <f aca="false">IF(Z44&gt;0,Z44+(201-38)/10^6,0)</f>
        <v>0</v>
      </c>
      <c r="AB44" s="1"/>
      <c r="AC44" s="1"/>
      <c r="AD44" s="1" t="n">
        <f aca="false">IF(LARGE($AA$7:$AA$206,8)&lt;=0,0,MATCH(LARGE($AA$7:$AA$206,8),$AA$7:$AA$206,0))</f>
        <v>0</v>
      </c>
      <c r="AE44" s="1"/>
      <c r="AF44" s="1"/>
      <c r="AG44" s="1"/>
      <c r="AH44" s="1"/>
    </row>
    <row r="45" customFormat="false" ht="15" hidden="false" customHeight="false" outlineLevel="0" collapsed="false">
      <c r="A45" s="1"/>
      <c r="B45" s="10"/>
      <c r="C45" s="31" t="str">
        <f aca="false">IF(B45="","",TEXT(B45,"ddd"))</f>
        <v/>
      </c>
      <c r="D45" s="11"/>
      <c r="E45" s="8" t="str">
        <f aca="false">IF(D45="","",IFERROR(INDEX(ProjNumbers,MATCH(D45,ProjNames,0)),""))</f>
        <v/>
      </c>
      <c r="F45" s="8" t="str">
        <f aca="false">IF(D45="","",IFERROR(INDEX(ProjCodes,MATCH(D45,ProjNames,0)),""))</f>
        <v/>
      </c>
      <c r="G45" s="32"/>
      <c r="H45" s="11"/>
      <c r="I45" s="33"/>
      <c r="J45" s="8" t="str">
        <f aca="false">IF(COUNTA(B45,D45,G45,H45,I45)=0,"",IF(B45="","Enter date",IF(OR(B45&lt;$AC$2,B45&gt;$AC$3),"Date not in January",IF(D45="","Pick project",IF(ISNA(MATCH(D45,ProjNames,0)),"Project not in list",IF(G45="","Add task description",IF(H45="","Pick NTIME or P6",IF(N(I45)&lt;=0,"Enter hours",IF(AND(AllowOT&lt;&gt;"Yes",SUMIF($B$7:$B$256,B45,$I$7:$I$256)&gt;INDEX($O$58:$O$88,DAY(B45))),"Day over "&amp;INDEX($O$58:$O$88,DAY(B45))&amp;" h","✓")))))))))</f>
        <v/>
      </c>
      <c r="K45" s="1"/>
      <c r="L45" s="24" t="str">
        <f aca="false">IF($AD45=0,"",INDEX($W$7:$W$206,$AD45))</f>
        <v/>
      </c>
      <c r="M45" s="24" t="str">
        <f aca="false">IF($AD45=0,"",INDEX(ProjNumbers,$AD45))</f>
        <v/>
      </c>
      <c r="N45" s="24" t="str">
        <f aca="false">IF($AD45=0,"",INDEX(ProjCodes,$AD45))</f>
        <v/>
      </c>
      <c r="O45" s="24" t="str">
        <f aca="false">IF($AD45=0,"",INDEX($X$7:$X$206,$AD45))</f>
        <v/>
      </c>
      <c r="P45" s="24" t="str">
        <f aca="false">IF($AD45=0,"",INDEX($Y$7:$Y$206,$AD45))</f>
        <v/>
      </c>
      <c r="Q45" s="24" t="str">
        <f aca="false">IF($AD45=0,"",INDEX($Z$7:$Z$206,$AD45))</f>
        <v/>
      </c>
      <c r="R45" s="25" t="str">
        <f aca="false">IF(OR($AD45=0,$L$5=0),"",Q45/$L$5)</f>
        <v/>
      </c>
      <c r="S45" s="1"/>
      <c r="T45" s="1"/>
      <c r="U45" s="1"/>
      <c r="V45" s="1"/>
      <c r="W45" s="1" t="str">
        <f aca="false">IF(Projects!B43="","",Projects!B43)</f>
        <v/>
      </c>
      <c r="X45" s="1" t="n">
        <f aca="false">IF(W45="",0,SUMIFS($I$7:$I$256,$D$7:$D$256,W45,$H$7:$H$256,"NTIME"))</f>
        <v>0</v>
      </c>
      <c r="Y45" s="1" t="n">
        <f aca="false">IF(W45="",0,SUMIFS($I$7:$I$256,$D$7:$D$256,W45,$H$7:$H$256,"P6"))</f>
        <v>0</v>
      </c>
      <c r="Z45" s="1" t="n">
        <f aca="false">X45+Y45</f>
        <v>0</v>
      </c>
      <c r="AA45" s="1" t="n">
        <f aca="false">IF(Z45&gt;0,Z45+(201-39)/10^6,0)</f>
        <v>0</v>
      </c>
      <c r="AB45" s="1"/>
      <c r="AC45" s="1"/>
      <c r="AD45" s="1" t="n">
        <f aca="false">IF(LARGE($AA$7:$AA$206,9)&lt;=0,0,MATCH(LARGE($AA$7:$AA$206,9),$AA$7:$AA$206,0))</f>
        <v>0</v>
      </c>
      <c r="AE45" s="1"/>
      <c r="AF45" s="1"/>
      <c r="AG45" s="1"/>
      <c r="AH45" s="1"/>
    </row>
    <row r="46" customFormat="false" ht="15" hidden="false" customHeight="false" outlineLevel="0" collapsed="false">
      <c r="A46" s="1"/>
      <c r="B46" s="10"/>
      <c r="C46" s="31" t="str">
        <f aca="false">IF(B46="","",TEXT(B46,"ddd"))</f>
        <v/>
      </c>
      <c r="D46" s="11"/>
      <c r="E46" s="8" t="str">
        <f aca="false">IF(D46="","",IFERROR(INDEX(ProjNumbers,MATCH(D46,ProjNames,0)),""))</f>
        <v/>
      </c>
      <c r="F46" s="8" t="str">
        <f aca="false">IF(D46="","",IFERROR(INDEX(ProjCodes,MATCH(D46,ProjNames,0)),""))</f>
        <v/>
      </c>
      <c r="G46" s="32"/>
      <c r="H46" s="11"/>
      <c r="I46" s="33"/>
      <c r="J46" s="8" t="str">
        <f aca="false">IF(COUNTA(B46,D46,G46,H46,I46)=0,"",IF(B46="","Enter date",IF(OR(B46&lt;$AC$2,B46&gt;$AC$3),"Date not in January",IF(D46="","Pick project",IF(ISNA(MATCH(D46,ProjNames,0)),"Project not in list",IF(G46="","Add task description",IF(H46="","Pick NTIME or P6",IF(N(I46)&lt;=0,"Enter hours",IF(AND(AllowOT&lt;&gt;"Yes",SUMIF($B$7:$B$256,B46,$I$7:$I$256)&gt;INDEX($O$58:$O$88,DAY(B46))),"Day over "&amp;INDEX($O$58:$O$88,DAY(B46))&amp;" h","✓")))))))))</f>
        <v/>
      </c>
      <c r="K46" s="1"/>
      <c r="L46" s="24" t="str">
        <f aca="false">IF($AD46=0,"",INDEX($W$7:$W$206,$AD46))</f>
        <v/>
      </c>
      <c r="M46" s="24" t="str">
        <f aca="false">IF($AD46=0,"",INDEX(ProjNumbers,$AD46))</f>
        <v/>
      </c>
      <c r="N46" s="24" t="str">
        <f aca="false">IF($AD46=0,"",INDEX(ProjCodes,$AD46))</f>
        <v/>
      </c>
      <c r="O46" s="24" t="str">
        <f aca="false">IF($AD46=0,"",INDEX($X$7:$X$206,$AD46))</f>
        <v/>
      </c>
      <c r="P46" s="24" t="str">
        <f aca="false">IF($AD46=0,"",INDEX($Y$7:$Y$206,$AD46))</f>
        <v/>
      </c>
      <c r="Q46" s="24" t="str">
        <f aca="false">IF($AD46=0,"",INDEX($Z$7:$Z$206,$AD46))</f>
        <v/>
      </c>
      <c r="R46" s="25" t="str">
        <f aca="false">IF(OR($AD46=0,$L$5=0),"",Q46/$L$5)</f>
        <v/>
      </c>
      <c r="S46" s="1"/>
      <c r="T46" s="1"/>
      <c r="U46" s="1"/>
      <c r="V46" s="1"/>
      <c r="W46" s="1" t="str">
        <f aca="false">IF(Projects!B44="","",Projects!B44)</f>
        <v/>
      </c>
      <c r="X46" s="1" t="n">
        <f aca="false">IF(W46="",0,SUMIFS($I$7:$I$256,$D$7:$D$256,W46,$H$7:$H$256,"NTIME"))</f>
        <v>0</v>
      </c>
      <c r="Y46" s="1" t="n">
        <f aca="false">IF(W46="",0,SUMIFS($I$7:$I$256,$D$7:$D$256,W46,$H$7:$H$256,"P6"))</f>
        <v>0</v>
      </c>
      <c r="Z46" s="1" t="n">
        <f aca="false">X46+Y46</f>
        <v>0</v>
      </c>
      <c r="AA46" s="1" t="n">
        <f aca="false">IF(Z46&gt;0,Z46+(201-40)/10^6,0)</f>
        <v>0</v>
      </c>
      <c r="AB46" s="1"/>
      <c r="AC46" s="1"/>
      <c r="AD46" s="1" t="n">
        <f aca="false">IF(LARGE($AA$7:$AA$206,10)&lt;=0,0,MATCH(LARGE($AA$7:$AA$206,10),$AA$7:$AA$206,0))</f>
        <v>0</v>
      </c>
      <c r="AE46" s="1"/>
      <c r="AF46" s="1"/>
      <c r="AG46" s="1"/>
      <c r="AH46" s="1"/>
    </row>
    <row r="47" customFormat="false" ht="15" hidden="false" customHeight="false" outlineLevel="0" collapsed="false">
      <c r="A47" s="1"/>
      <c r="B47" s="10"/>
      <c r="C47" s="31" t="str">
        <f aca="false">IF(B47="","",TEXT(B47,"ddd"))</f>
        <v/>
      </c>
      <c r="D47" s="11"/>
      <c r="E47" s="8" t="str">
        <f aca="false">IF(D47="","",IFERROR(INDEX(ProjNumbers,MATCH(D47,ProjNames,0)),""))</f>
        <v/>
      </c>
      <c r="F47" s="8" t="str">
        <f aca="false">IF(D47="","",IFERROR(INDEX(ProjCodes,MATCH(D47,ProjNames,0)),""))</f>
        <v/>
      </c>
      <c r="G47" s="32"/>
      <c r="H47" s="11"/>
      <c r="I47" s="33"/>
      <c r="J47" s="8" t="str">
        <f aca="false">IF(COUNTA(B47,D47,G47,H47,I47)=0,"",IF(B47="","Enter date",IF(OR(B47&lt;$AC$2,B47&gt;$AC$3),"Date not in January",IF(D47="","Pick project",IF(ISNA(MATCH(D47,ProjNames,0)),"Project not in list",IF(G47="","Add task description",IF(H47="","Pick NTIME or P6",IF(N(I47)&lt;=0,"Enter hours",IF(AND(AllowOT&lt;&gt;"Yes",SUMIF($B$7:$B$256,B47,$I$7:$I$256)&gt;INDEX($O$58:$O$88,DAY(B47))),"Day over "&amp;INDEX($O$58:$O$88,DAY(B47))&amp;" h","✓")))))))))</f>
        <v/>
      </c>
      <c r="K47" s="1"/>
      <c r="L47" s="24" t="str">
        <f aca="false">IF($AD47=0,"",INDEX($W$7:$W$206,$AD47))</f>
        <v/>
      </c>
      <c r="M47" s="24" t="str">
        <f aca="false">IF($AD47=0,"",INDEX(ProjNumbers,$AD47))</f>
        <v/>
      </c>
      <c r="N47" s="24" t="str">
        <f aca="false">IF($AD47=0,"",INDEX(ProjCodes,$AD47))</f>
        <v/>
      </c>
      <c r="O47" s="24" t="str">
        <f aca="false">IF($AD47=0,"",INDEX($X$7:$X$206,$AD47))</f>
        <v/>
      </c>
      <c r="P47" s="24" t="str">
        <f aca="false">IF($AD47=0,"",INDEX($Y$7:$Y$206,$AD47))</f>
        <v/>
      </c>
      <c r="Q47" s="24" t="str">
        <f aca="false">IF($AD47=0,"",INDEX($Z$7:$Z$206,$AD47))</f>
        <v/>
      </c>
      <c r="R47" s="25" t="str">
        <f aca="false">IF(OR($AD47=0,$L$5=0),"",Q47/$L$5)</f>
        <v/>
      </c>
      <c r="S47" s="1"/>
      <c r="T47" s="1"/>
      <c r="U47" s="1"/>
      <c r="V47" s="1"/>
      <c r="W47" s="1" t="str">
        <f aca="false">IF(Projects!B45="","",Projects!B45)</f>
        <v/>
      </c>
      <c r="X47" s="1" t="n">
        <f aca="false">IF(W47="",0,SUMIFS($I$7:$I$256,$D$7:$D$256,W47,$H$7:$H$256,"NTIME"))</f>
        <v>0</v>
      </c>
      <c r="Y47" s="1" t="n">
        <f aca="false">IF(W47="",0,SUMIFS($I$7:$I$256,$D$7:$D$256,W47,$H$7:$H$256,"P6"))</f>
        <v>0</v>
      </c>
      <c r="Z47" s="1" t="n">
        <f aca="false">X47+Y47</f>
        <v>0</v>
      </c>
      <c r="AA47" s="1" t="n">
        <f aca="false">IF(Z47&gt;0,Z47+(201-41)/10^6,0)</f>
        <v>0</v>
      </c>
      <c r="AB47" s="1"/>
      <c r="AC47" s="1"/>
      <c r="AD47" s="1" t="n">
        <f aca="false">IF(LARGE($AA$7:$AA$206,11)&lt;=0,0,MATCH(LARGE($AA$7:$AA$206,11),$AA$7:$AA$206,0))</f>
        <v>0</v>
      </c>
      <c r="AE47" s="1"/>
      <c r="AF47" s="1"/>
      <c r="AG47" s="1"/>
      <c r="AH47" s="1"/>
    </row>
    <row r="48" customFormat="false" ht="15" hidden="false" customHeight="false" outlineLevel="0" collapsed="false">
      <c r="A48" s="1"/>
      <c r="B48" s="10"/>
      <c r="C48" s="31" t="str">
        <f aca="false">IF(B48="","",TEXT(B48,"ddd"))</f>
        <v/>
      </c>
      <c r="D48" s="11"/>
      <c r="E48" s="8" t="str">
        <f aca="false">IF(D48="","",IFERROR(INDEX(ProjNumbers,MATCH(D48,ProjNames,0)),""))</f>
        <v/>
      </c>
      <c r="F48" s="8" t="str">
        <f aca="false">IF(D48="","",IFERROR(INDEX(ProjCodes,MATCH(D48,ProjNames,0)),""))</f>
        <v/>
      </c>
      <c r="G48" s="32"/>
      <c r="H48" s="11"/>
      <c r="I48" s="33"/>
      <c r="J48" s="8" t="str">
        <f aca="false">IF(COUNTA(B48,D48,G48,H48,I48)=0,"",IF(B48="","Enter date",IF(OR(B48&lt;$AC$2,B48&gt;$AC$3),"Date not in January",IF(D48="","Pick project",IF(ISNA(MATCH(D48,ProjNames,0)),"Project not in list",IF(G48="","Add task description",IF(H48="","Pick NTIME or P6",IF(N(I48)&lt;=0,"Enter hours",IF(AND(AllowOT&lt;&gt;"Yes",SUMIF($B$7:$B$256,B48,$I$7:$I$256)&gt;INDEX($O$58:$O$88,DAY(B48))),"Day over "&amp;INDEX($O$58:$O$88,DAY(B48))&amp;" h","✓")))))))))</f>
        <v/>
      </c>
      <c r="K48" s="1"/>
      <c r="L48" s="24" t="str">
        <f aca="false">IF($AD48=0,"",INDEX($W$7:$W$206,$AD48))</f>
        <v/>
      </c>
      <c r="M48" s="24" t="str">
        <f aca="false">IF($AD48=0,"",INDEX(ProjNumbers,$AD48))</f>
        <v/>
      </c>
      <c r="N48" s="24" t="str">
        <f aca="false">IF($AD48=0,"",INDEX(ProjCodes,$AD48))</f>
        <v/>
      </c>
      <c r="O48" s="24" t="str">
        <f aca="false">IF($AD48=0,"",INDEX($X$7:$X$206,$AD48))</f>
        <v/>
      </c>
      <c r="P48" s="24" t="str">
        <f aca="false">IF($AD48=0,"",INDEX($Y$7:$Y$206,$AD48))</f>
        <v/>
      </c>
      <c r="Q48" s="24" t="str">
        <f aca="false">IF($AD48=0,"",INDEX($Z$7:$Z$206,$AD48))</f>
        <v/>
      </c>
      <c r="R48" s="25" t="str">
        <f aca="false">IF(OR($AD48=0,$L$5=0),"",Q48/$L$5)</f>
        <v/>
      </c>
      <c r="S48" s="1"/>
      <c r="T48" s="1"/>
      <c r="U48" s="1"/>
      <c r="V48" s="1"/>
      <c r="W48" s="1" t="str">
        <f aca="false">IF(Projects!B46="","",Projects!B46)</f>
        <v/>
      </c>
      <c r="X48" s="1" t="n">
        <f aca="false">IF(W48="",0,SUMIFS($I$7:$I$256,$D$7:$D$256,W48,$H$7:$H$256,"NTIME"))</f>
        <v>0</v>
      </c>
      <c r="Y48" s="1" t="n">
        <f aca="false">IF(W48="",0,SUMIFS($I$7:$I$256,$D$7:$D$256,W48,$H$7:$H$256,"P6"))</f>
        <v>0</v>
      </c>
      <c r="Z48" s="1" t="n">
        <f aca="false">X48+Y48</f>
        <v>0</v>
      </c>
      <c r="AA48" s="1" t="n">
        <f aca="false">IF(Z48&gt;0,Z48+(201-42)/10^6,0)</f>
        <v>0</v>
      </c>
      <c r="AB48" s="1"/>
      <c r="AC48" s="1"/>
      <c r="AD48" s="1" t="n">
        <f aca="false">IF(LARGE($AA$7:$AA$206,12)&lt;=0,0,MATCH(LARGE($AA$7:$AA$206,12),$AA$7:$AA$206,0))</f>
        <v>0</v>
      </c>
      <c r="AE48" s="1"/>
      <c r="AF48" s="1"/>
      <c r="AG48" s="1"/>
      <c r="AH48" s="1"/>
    </row>
    <row r="49" customFormat="false" ht="15" hidden="false" customHeight="false" outlineLevel="0" collapsed="false">
      <c r="A49" s="1"/>
      <c r="B49" s="10"/>
      <c r="C49" s="31" t="str">
        <f aca="false">IF(B49="","",TEXT(B49,"ddd"))</f>
        <v/>
      </c>
      <c r="D49" s="11"/>
      <c r="E49" s="8" t="str">
        <f aca="false">IF(D49="","",IFERROR(INDEX(ProjNumbers,MATCH(D49,ProjNames,0)),""))</f>
        <v/>
      </c>
      <c r="F49" s="8" t="str">
        <f aca="false">IF(D49="","",IFERROR(INDEX(ProjCodes,MATCH(D49,ProjNames,0)),""))</f>
        <v/>
      </c>
      <c r="G49" s="32"/>
      <c r="H49" s="11"/>
      <c r="I49" s="33"/>
      <c r="J49" s="8" t="str">
        <f aca="false">IF(COUNTA(B49,D49,G49,H49,I49)=0,"",IF(B49="","Enter date",IF(OR(B49&lt;$AC$2,B49&gt;$AC$3),"Date not in January",IF(D49="","Pick project",IF(ISNA(MATCH(D49,ProjNames,0)),"Project not in list",IF(G49="","Add task description",IF(H49="","Pick NTIME or P6",IF(N(I49)&lt;=0,"Enter hours",IF(AND(AllowOT&lt;&gt;"Yes",SUMIF($B$7:$B$256,B49,$I$7:$I$256)&gt;INDEX($O$58:$O$88,DAY(B49))),"Day over "&amp;INDEX($O$58:$O$88,DAY(B49))&amp;" h","✓")))))))))</f>
        <v/>
      </c>
      <c r="K49" s="1"/>
      <c r="L49" s="24" t="str">
        <f aca="false">IF($AD49=0,"",INDEX($W$7:$W$206,$AD49))</f>
        <v/>
      </c>
      <c r="M49" s="24" t="str">
        <f aca="false">IF($AD49=0,"",INDEX(ProjNumbers,$AD49))</f>
        <v/>
      </c>
      <c r="N49" s="24" t="str">
        <f aca="false">IF($AD49=0,"",INDEX(ProjCodes,$AD49))</f>
        <v/>
      </c>
      <c r="O49" s="24" t="str">
        <f aca="false">IF($AD49=0,"",INDEX($X$7:$X$206,$AD49))</f>
        <v/>
      </c>
      <c r="P49" s="24" t="str">
        <f aca="false">IF($AD49=0,"",INDEX($Y$7:$Y$206,$AD49))</f>
        <v/>
      </c>
      <c r="Q49" s="24" t="str">
        <f aca="false">IF($AD49=0,"",INDEX($Z$7:$Z$206,$AD49))</f>
        <v/>
      </c>
      <c r="R49" s="25" t="str">
        <f aca="false">IF(OR($AD49=0,$L$5=0),"",Q49/$L$5)</f>
        <v/>
      </c>
      <c r="S49" s="1"/>
      <c r="T49" s="1"/>
      <c r="U49" s="1"/>
      <c r="V49" s="1"/>
      <c r="W49" s="1" t="str">
        <f aca="false">IF(Projects!B47="","",Projects!B47)</f>
        <v/>
      </c>
      <c r="X49" s="1" t="n">
        <f aca="false">IF(W49="",0,SUMIFS($I$7:$I$256,$D$7:$D$256,W49,$H$7:$H$256,"NTIME"))</f>
        <v>0</v>
      </c>
      <c r="Y49" s="1" t="n">
        <f aca="false">IF(W49="",0,SUMIFS($I$7:$I$256,$D$7:$D$256,W49,$H$7:$H$256,"P6"))</f>
        <v>0</v>
      </c>
      <c r="Z49" s="1" t="n">
        <f aca="false">X49+Y49</f>
        <v>0</v>
      </c>
      <c r="AA49" s="1" t="n">
        <f aca="false">IF(Z49&gt;0,Z49+(201-43)/10^6,0)</f>
        <v>0</v>
      </c>
      <c r="AB49" s="1"/>
      <c r="AC49" s="1"/>
      <c r="AD49" s="1" t="n">
        <f aca="false">IF(LARGE($AA$7:$AA$206,13)&lt;=0,0,MATCH(LARGE($AA$7:$AA$206,13),$AA$7:$AA$206,0))</f>
        <v>0</v>
      </c>
      <c r="AE49" s="1"/>
      <c r="AF49" s="1"/>
      <c r="AG49" s="1"/>
      <c r="AH49" s="1"/>
    </row>
    <row r="50" customFormat="false" ht="15" hidden="false" customHeight="false" outlineLevel="0" collapsed="false">
      <c r="A50" s="1"/>
      <c r="B50" s="10"/>
      <c r="C50" s="31" t="str">
        <f aca="false">IF(B50="","",TEXT(B50,"ddd"))</f>
        <v/>
      </c>
      <c r="D50" s="11"/>
      <c r="E50" s="8" t="str">
        <f aca="false">IF(D50="","",IFERROR(INDEX(ProjNumbers,MATCH(D50,ProjNames,0)),""))</f>
        <v/>
      </c>
      <c r="F50" s="8" t="str">
        <f aca="false">IF(D50="","",IFERROR(INDEX(ProjCodes,MATCH(D50,ProjNames,0)),""))</f>
        <v/>
      </c>
      <c r="G50" s="32"/>
      <c r="H50" s="11"/>
      <c r="I50" s="33"/>
      <c r="J50" s="8" t="str">
        <f aca="false">IF(COUNTA(B50,D50,G50,H50,I50)=0,"",IF(B50="","Enter date",IF(OR(B50&lt;$AC$2,B50&gt;$AC$3),"Date not in January",IF(D50="","Pick project",IF(ISNA(MATCH(D50,ProjNames,0)),"Project not in list",IF(G50="","Add task description",IF(H50="","Pick NTIME or P6",IF(N(I50)&lt;=0,"Enter hours",IF(AND(AllowOT&lt;&gt;"Yes",SUMIF($B$7:$B$256,B50,$I$7:$I$256)&gt;INDEX($O$58:$O$88,DAY(B50))),"Day over "&amp;INDEX($O$58:$O$88,DAY(B50))&amp;" h","✓")))))))))</f>
        <v/>
      </c>
      <c r="K50" s="1"/>
      <c r="L50" s="24" t="str">
        <f aca="false">IF($AD50=0,"",INDEX($W$7:$W$206,$AD50))</f>
        <v/>
      </c>
      <c r="M50" s="24" t="str">
        <f aca="false">IF($AD50=0,"",INDEX(ProjNumbers,$AD50))</f>
        <v/>
      </c>
      <c r="N50" s="24" t="str">
        <f aca="false">IF($AD50=0,"",INDEX(ProjCodes,$AD50))</f>
        <v/>
      </c>
      <c r="O50" s="24" t="str">
        <f aca="false">IF($AD50=0,"",INDEX($X$7:$X$206,$AD50))</f>
        <v/>
      </c>
      <c r="P50" s="24" t="str">
        <f aca="false">IF($AD50=0,"",INDEX($Y$7:$Y$206,$AD50))</f>
        <v/>
      </c>
      <c r="Q50" s="24" t="str">
        <f aca="false">IF($AD50=0,"",INDEX($Z$7:$Z$206,$AD50))</f>
        <v/>
      </c>
      <c r="R50" s="25" t="str">
        <f aca="false">IF(OR($AD50=0,$L$5=0),"",Q50/$L$5)</f>
        <v/>
      </c>
      <c r="S50" s="1"/>
      <c r="T50" s="1"/>
      <c r="U50" s="1"/>
      <c r="V50" s="1"/>
      <c r="W50" s="1" t="str">
        <f aca="false">IF(Projects!B48="","",Projects!B48)</f>
        <v/>
      </c>
      <c r="X50" s="1" t="n">
        <f aca="false">IF(W50="",0,SUMIFS($I$7:$I$256,$D$7:$D$256,W50,$H$7:$H$256,"NTIME"))</f>
        <v>0</v>
      </c>
      <c r="Y50" s="1" t="n">
        <f aca="false">IF(W50="",0,SUMIFS($I$7:$I$256,$D$7:$D$256,W50,$H$7:$H$256,"P6"))</f>
        <v>0</v>
      </c>
      <c r="Z50" s="1" t="n">
        <f aca="false">X50+Y50</f>
        <v>0</v>
      </c>
      <c r="AA50" s="1" t="n">
        <f aca="false">IF(Z50&gt;0,Z50+(201-44)/10^6,0)</f>
        <v>0</v>
      </c>
      <c r="AB50" s="1"/>
      <c r="AC50" s="1"/>
      <c r="AD50" s="1" t="n">
        <f aca="false">IF(LARGE($AA$7:$AA$206,14)&lt;=0,0,MATCH(LARGE($AA$7:$AA$206,14),$AA$7:$AA$206,0))</f>
        <v>0</v>
      </c>
      <c r="AE50" s="1"/>
      <c r="AF50" s="1"/>
      <c r="AG50" s="1"/>
      <c r="AH50" s="1"/>
    </row>
    <row r="51" customFormat="false" ht="15" hidden="false" customHeight="false" outlineLevel="0" collapsed="false">
      <c r="A51" s="1"/>
      <c r="B51" s="10"/>
      <c r="C51" s="31" t="str">
        <f aca="false">IF(B51="","",TEXT(B51,"ddd"))</f>
        <v/>
      </c>
      <c r="D51" s="11"/>
      <c r="E51" s="8" t="str">
        <f aca="false">IF(D51="","",IFERROR(INDEX(ProjNumbers,MATCH(D51,ProjNames,0)),""))</f>
        <v/>
      </c>
      <c r="F51" s="8" t="str">
        <f aca="false">IF(D51="","",IFERROR(INDEX(ProjCodes,MATCH(D51,ProjNames,0)),""))</f>
        <v/>
      </c>
      <c r="G51" s="32"/>
      <c r="H51" s="11"/>
      <c r="I51" s="33"/>
      <c r="J51" s="8" t="str">
        <f aca="false">IF(COUNTA(B51,D51,G51,H51,I51)=0,"",IF(B51="","Enter date",IF(OR(B51&lt;$AC$2,B51&gt;$AC$3),"Date not in January",IF(D51="","Pick project",IF(ISNA(MATCH(D51,ProjNames,0)),"Project not in list",IF(G51="","Add task description",IF(H51="","Pick NTIME or P6",IF(N(I51)&lt;=0,"Enter hours",IF(AND(AllowOT&lt;&gt;"Yes",SUMIF($B$7:$B$256,B51,$I$7:$I$256)&gt;INDEX($O$58:$O$88,DAY(B51))),"Day over "&amp;INDEX($O$58:$O$88,DAY(B51))&amp;" h","✓")))))))))</f>
        <v/>
      </c>
      <c r="K51" s="1"/>
      <c r="L51" s="24" t="str">
        <f aca="false">IF($AD51=0,"",INDEX($W$7:$W$206,$AD51))</f>
        <v/>
      </c>
      <c r="M51" s="24" t="str">
        <f aca="false">IF($AD51=0,"",INDEX(ProjNumbers,$AD51))</f>
        <v/>
      </c>
      <c r="N51" s="24" t="str">
        <f aca="false">IF($AD51=0,"",INDEX(ProjCodes,$AD51))</f>
        <v/>
      </c>
      <c r="O51" s="24" t="str">
        <f aca="false">IF($AD51=0,"",INDEX($X$7:$X$206,$AD51))</f>
        <v/>
      </c>
      <c r="P51" s="24" t="str">
        <f aca="false">IF($AD51=0,"",INDEX($Y$7:$Y$206,$AD51))</f>
        <v/>
      </c>
      <c r="Q51" s="24" t="str">
        <f aca="false">IF($AD51=0,"",INDEX($Z$7:$Z$206,$AD51))</f>
        <v/>
      </c>
      <c r="R51" s="25" t="str">
        <f aca="false">IF(OR($AD51=0,$L$5=0),"",Q51/$L$5)</f>
        <v/>
      </c>
      <c r="S51" s="1"/>
      <c r="T51" s="1"/>
      <c r="U51" s="1"/>
      <c r="V51" s="1"/>
      <c r="W51" s="1" t="str">
        <f aca="false">IF(Projects!B49="","",Projects!B49)</f>
        <v/>
      </c>
      <c r="X51" s="1" t="n">
        <f aca="false">IF(W51="",0,SUMIFS($I$7:$I$256,$D$7:$D$256,W51,$H$7:$H$256,"NTIME"))</f>
        <v>0</v>
      </c>
      <c r="Y51" s="1" t="n">
        <f aca="false">IF(W51="",0,SUMIFS($I$7:$I$256,$D$7:$D$256,W51,$H$7:$H$256,"P6"))</f>
        <v>0</v>
      </c>
      <c r="Z51" s="1" t="n">
        <f aca="false">X51+Y51</f>
        <v>0</v>
      </c>
      <c r="AA51" s="1" t="n">
        <f aca="false">IF(Z51&gt;0,Z51+(201-45)/10^6,0)</f>
        <v>0</v>
      </c>
      <c r="AB51" s="1"/>
      <c r="AC51" s="1"/>
      <c r="AD51" s="1" t="n">
        <f aca="false">IF(LARGE($AA$7:$AA$206,15)&lt;=0,0,MATCH(LARGE($AA$7:$AA$206,15),$AA$7:$AA$206,0))</f>
        <v>0</v>
      </c>
      <c r="AE51" s="1"/>
      <c r="AF51" s="1"/>
      <c r="AG51" s="1"/>
      <c r="AH51" s="1"/>
    </row>
    <row r="52" customFormat="false" ht="15" hidden="false" customHeight="false" outlineLevel="0" collapsed="false">
      <c r="A52" s="1"/>
      <c r="B52" s="10"/>
      <c r="C52" s="31" t="str">
        <f aca="false">IF(B52="","",TEXT(B52,"ddd"))</f>
        <v/>
      </c>
      <c r="D52" s="11"/>
      <c r="E52" s="8" t="str">
        <f aca="false">IF(D52="","",IFERROR(INDEX(ProjNumbers,MATCH(D52,ProjNames,0)),""))</f>
        <v/>
      </c>
      <c r="F52" s="8" t="str">
        <f aca="false">IF(D52="","",IFERROR(INDEX(ProjCodes,MATCH(D52,ProjNames,0)),""))</f>
        <v/>
      </c>
      <c r="G52" s="32"/>
      <c r="H52" s="11"/>
      <c r="I52" s="33"/>
      <c r="J52" s="8" t="str">
        <f aca="false">IF(COUNTA(B52,D52,G52,H52,I52)=0,"",IF(B52="","Enter date",IF(OR(B52&lt;$AC$2,B52&gt;$AC$3),"Date not in January",IF(D52="","Pick project",IF(ISNA(MATCH(D52,ProjNames,0)),"Project not in list",IF(G52="","Add task description",IF(H52="","Pick NTIME or P6",IF(N(I52)&lt;=0,"Enter hours",IF(AND(AllowOT&lt;&gt;"Yes",SUMIF($B$7:$B$256,B52,$I$7:$I$256)&gt;INDEX($O$58:$O$88,DAY(B52))),"Day over "&amp;INDEX($O$58:$O$88,DAY(B52))&amp;" h","✓")))))))))</f>
        <v/>
      </c>
      <c r="K52" s="1"/>
      <c r="L52" s="24" t="s">
        <v>87</v>
      </c>
      <c r="M52" s="24"/>
      <c r="N52" s="24"/>
      <c r="O52" s="24" t="n">
        <f aca="false">SUM($P$58:$P$88)-SUM($X$7:$X$206)</f>
        <v>0</v>
      </c>
      <c r="P52" s="24" t="n">
        <f aca="false">SUM($Q$58:$Q$88)-SUM($Y$7:$Y$206)</f>
        <v>0</v>
      </c>
      <c r="Q52" s="24" t="n">
        <f aca="false">O52+P52</f>
        <v>0</v>
      </c>
      <c r="R52" s="25" t="str">
        <f aca="false">IF($L$5=0,"",Q52/$L$5)</f>
        <v/>
      </c>
      <c r="S52" s="1"/>
      <c r="T52" s="1"/>
      <c r="U52" s="1"/>
      <c r="V52" s="1"/>
      <c r="W52" s="1" t="str">
        <f aca="false">IF(Projects!B50="","",Projects!B50)</f>
        <v/>
      </c>
      <c r="X52" s="1" t="n">
        <f aca="false">IF(W52="",0,SUMIFS($I$7:$I$256,$D$7:$D$256,W52,$H$7:$H$256,"NTIME"))</f>
        <v>0</v>
      </c>
      <c r="Y52" s="1" t="n">
        <f aca="false">IF(W52="",0,SUMIFS($I$7:$I$256,$D$7:$D$256,W52,$H$7:$H$256,"P6"))</f>
        <v>0</v>
      </c>
      <c r="Z52" s="1" t="n">
        <f aca="false">X52+Y52</f>
        <v>0</v>
      </c>
      <c r="AA52" s="1" t="n">
        <f aca="false">IF(Z52&gt;0,Z52+(201-46)/10^6,0)</f>
        <v>0</v>
      </c>
      <c r="AB52" s="1"/>
      <c r="AC52" s="1"/>
      <c r="AD52" s="1"/>
      <c r="AE52" s="1"/>
      <c r="AF52" s="1"/>
      <c r="AG52" s="1"/>
      <c r="AH52" s="1"/>
    </row>
    <row r="53" customFormat="false" ht="15" hidden="false" customHeight="false" outlineLevel="0" collapsed="false">
      <c r="A53" s="1"/>
      <c r="B53" s="10"/>
      <c r="C53" s="31" t="str">
        <f aca="false">IF(B53="","",TEXT(B53,"ddd"))</f>
        <v/>
      </c>
      <c r="D53" s="11"/>
      <c r="E53" s="8" t="str">
        <f aca="false">IF(D53="","",IFERROR(INDEX(ProjNumbers,MATCH(D53,ProjNames,0)),""))</f>
        <v/>
      </c>
      <c r="F53" s="8" t="str">
        <f aca="false">IF(D53="","",IFERROR(INDEX(ProjCodes,MATCH(D53,ProjNames,0)),""))</f>
        <v/>
      </c>
      <c r="G53" s="32"/>
      <c r="H53" s="11"/>
      <c r="I53" s="33"/>
      <c r="J53" s="8" t="str">
        <f aca="false">IF(COUNTA(B53,D53,G53,H53,I53)=0,"",IF(B53="","Enter date",IF(OR(B53&lt;$AC$2,B53&gt;$AC$3),"Date not in January",IF(D53="","Pick project",IF(ISNA(MATCH(D53,ProjNames,0)),"Project not in list",IF(G53="","Add task description",IF(H53="","Pick NTIME or P6",IF(N(I53)&lt;=0,"Enter hours",IF(AND(AllowOT&lt;&gt;"Yes",SUMIF($B$7:$B$256,B53,$I$7:$I$256)&gt;INDEX($O$58:$O$88,DAY(B53))),"Day over "&amp;INDEX($O$58:$O$88,DAY(B53))&amp;" h","✓")))))))))</f>
        <v/>
      </c>
      <c r="K53" s="1"/>
      <c r="L53" s="24" t="s">
        <v>15</v>
      </c>
      <c r="M53" s="24" t="s">
        <v>88</v>
      </c>
      <c r="N53" s="24"/>
      <c r="O53" s="24" t="str">
        <f aca="false">IF(OHSystem="NTIME",O5,"")</f>
        <v/>
      </c>
      <c r="P53" s="24" t="str">
        <f aca="false">IF(OHSystem="P6",O5,"")</f>
        <v/>
      </c>
      <c r="Q53" s="24" t="n">
        <f aca="false">O5</f>
        <v>0</v>
      </c>
      <c r="R53" s="25" t="str">
        <f aca="false">IF($L$5=0,"",Q53/$L$5)</f>
        <v/>
      </c>
      <c r="S53" s="1"/>
      <c r="T53" s="1"/>
      <c r="U53" s="1"/>
      <c r="V53" s="1"/>
      <c r="W53" s="1" t="str">
        <f aca="false">IF(Projects!B51="","",Projects!B51)</f>
        <v/>
      </c>
      <c r="X53" s="1" t="n">
        <f aca="false">IF(W53="",0,SUMIFS($I$7:$I$256,$D$7:$D$256,W53,$H$7:$H$256,"NTIME"))</f>
        <v>0</v>
      </c>
      <c r="Y53" s="1" t="n">
        <f aca="false">IF(W53="",0,SUMIFS($I$7:$I$256,$D$7:$D$256,W53,$H$7:$H$256,"P6"))</f>
        <v>0</v>
      </c>
      <c r="Z53" s="1" t="n">
        <f aca="false">X53+Y53</f>
        <v>0</v>
      </c>
      <c r="AA53" s="1" t="n">
        <f aca="false">IF(Z53&gt;0,Z53+(201-47)/10^6,0)</f>
        <v>0</v>
      </c>
      <c r="AB53" s="1"/>
      <c r="AC53" s="1"/>
      <c r="AD53" s="1"/>
      <c r="AE53" s="1"/>
      <c r="AF53" s="1"/>
      <c r="AG53" s="1"/>
      <c r="AH53" s="1"/>
    </row>
    <row r="54" customFormat="false" ht="15" hidden="false" customHeight="false" outlineLevel="0" collapsed="false">
      <c r="A54" s="1"/>
      <c r="B54" s="10"/>
      <c r="C54" s="31" t="str">
        <f aca="false">IF(B54="","",TEXT(B54,"ddd"))</f>
        <v/>
      </c>
      <c r="D54" s="11"/>
      <c r="E54" s="8" t="str">
        <f aca="false">IF(D54="","",IFERROR(INDEX(ProjNumbers,MATCH(D54,ProjNames,0)),""))</f>
        <v/>
      </c>
      <c r="F54" s="8" t="str">
        <f aca="false">IF(D54="","",IFERROR(INDEX(ProjCodes,MATCH(D54,ProjNames,0)),""))</f>
        <v/>
      </c>
      <c r="G54" s="32"/>
      <c r="H54" s="11"/>
      <c r="I54" s="33"/>
      <c r="J54" s="8" t="str">
        <f aca="false">IF(COUNTA(B54,D54,G54,H54,I54)=0,"",IF(B54="","Enter date",IF(OR(B54&lt;$AC$2,B54&gt;$AC$3),"Date not in January",IF(D54="","Pick project",IF(ISNA(MATCH(D54,ProjNames,0)),"Project not in list",IF(G54="","Add task description",IF(H54="","Pick NTIME or P6",IF(N(I54)&lt;=0,"Enter hours",IF(AND(AllowOT&lt;&gt;"Yes",SUMIF($B$7:$B$256,B54,$I$7:$I$256)&gt;INDEX($O$58:$O$88,DAY(B54))),"Day over "&amp;INDEX($O$58:$O$88,DAY(B54))&amp;" h","✓")))))))))</f>
        <v/>
      </c>
      <c r="K54" s="1"/>
      <c r="L54" s="27" t="s">
        <v>57</v>
      </c>
      <c r="M54" s="27"/>
      <c r="N54" s="27"/>
      <c r="O54" s="27" t="n">
        <f aca="false">M5</f>
        <v>0</v>
      </c>
      <c r="P54" s="27" t="n">
        <f aca="false">N5</f>
        <v>0</v>
      </c>
      <c r="Q54" s="27" t="n">
        <f aca="false">L5</f>
        <v>0</v>
      </c>
      <c r="R54" s="27"/>
      <c r="S54" s="1"/>
      <c r="T54" s="1"/>
      <c r="U54" s="1"/>
      <c r="V54" s="1"/>
      <c r="W54" s="1" t="str">
        <f aca="false">IF(Projects!B52="","",Projects!B52)</f>
        <v/>
      </c>
      <c r="X54" s="1" t="n">
        <f aca="false">IF(W54="",0,SUMIFS($I$7:$I$256,$D$7:$D$256,W54,$H$7:$H$256,"NTIME"))</f>
        <v>0</v>
      </c>
      <c r="Y54" s="1" t="n">
        <f aca="false">IF(W54="",0,SUMIFS($I$7:$I$256,$D$7:$D$256,W54,$H$7:$H$256,"P6"))</f>
        <v>0</v>
      </c>
      <c r="Z54" s="1" t="n">
        <f aca="false">X54+Y54</f>
        <v>0</v>
      </c>
      <c r="AA54" s="1" t="n">
        <f aca="false">IF(Z54&gt;0,Z54+(201-48)/10^6,0)</f>
        <v>0</v>
      </c>
      <c r="AB54" s="1"/>
      <c r="AC54" s="1"/>
      <c r="AD54" s="1"/>
      <c r="AE54" s="1"/>
      <c r="AF54" s="1"/>
      <c r="AG54" s="1"/>
      <c r="AH54" s="1"/>
    </row>
    <row r="55" customFormat="false" ht="15" hidden="false" customHeight="false" outlineLevel="0" collapsed="false">
      <c r="A55" s="1"/>
      <c r="B55" s="10"/>
      <c r="C55" s="31" t="str">
        <f aca="false">IF(B55="","",TEXT(B55,"ddd"))</f>
        <v/>
      </c>
      <c r="D55" s="11"/>
      <c r="E55" s="8" t="str">
        <f aca="false">IF(D55="","",IFERROR(INDEX(ProjNumbers,MATCH(D55,ProjNames,0)),""))</f>
        <v/>
      </c>
      <c r="F55" s="8" t="str">
        <f aca="false">IF(D55="","",IFERROR(INDEX(ProjCodes,MATCH(D55,ProjNames,0)),""))</f>
        <v/>
      </c>
      <c r="G55" s="32"/>
      <c r="H55" s="11"/>
      <c r="I55" s="33"/>
      <c r="J55" s="8" t="str">
        <f aca="false">IF(COUNTA(B55,D55,G55,H55,I55)=0,"",IF(B55="","Enter date",IF(OR(B55&lt;$AC$2,B55&gt;$AC$3),"Date not in January",IF(D55="","Pick project",IF(ISNA(MATCH(D55,ProjNames,0)),"Project not in list",IF(G55="","Add task description",IF(H55="","Pick NTIME or P6",IF(N(I55)&lt;=0,"Enter hours",IF(AND(AllowOT&lt;&gt;"Yes",SUMIF($B$7:$B$256,B55,$I$7:$I$256)&gt;INDEX($O$58:$O$88,DAY(B55))),"Day over "&amp;INDEX($O$58:$O$88,DAY(B55))&amp;" h","✓")))))))))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tr">
        <f aca="false">IF(Projects!B53="","",Projects!B53)</f>
        <v/>
      </c>
      <c r="X55" s="1" t="n">
        <f aca="false">IF(W55="",0,SUMIFS($I$7:$I$256,$D$7:$D$256,W55,$H$7:$H$256,"NTIME"))</f>
        <v>0</v>
      </c>
      <c r="Y55" s="1" t="n">
        <f aca="false">IF(W55="",0,SUMIFS($I$7:$I$256,$D$7:$D$256,W55,$H$7:$H$256,"P6"))</f>
        <v>0</v>
      </c>
      <c r="Z55" s="1" t="n">
        <f aca="false">X55+Y55</f>
        <v>0</v>
      </c>
      <c r="AA55" s="1" t="n">
        <f aca="false">IF(Z55&gt;0,Z55+(201-49)/10^6,0)</f>
        <v>0</v>
      </c>
      <c r="AB55" s="1"/>
      <c r="AC55" s="1"/>
      <c r="AD55" s="1"/>
      <c r="AE55" s="1"/>
      <c r="AF55" s="1"/>
      <c r="AG55" s="1"/>
      <c r="AH55" s="1"/>
    </row>
    <row r="56" customFormat="false" ht="15" hidden="false" customHeight="false" outlineLevel="0" collapsed="false">
      <c r="A56" s="1"/>
      <c r="B56" s="10"/>
      <c r="C56" s="31" t="str">
        <f aca="false">IF(B56="","",TEXT(B56,"ddd"))</f>
        <v/>
      </c>
      <c r="D56" s="11"/>
      <c r="E56" s="8" t="str">
        <f aca="false">IF(D56="","",IFERROR(INDEX(ProjNumbers,MATCH(D56,ProjNames,0)),""))</f>
        <v/>
      </c>
      <c r="F56" s="8" t="str">
        <f aca="false">IF(D56="","",IFERROR(INDEX(ProjCodes,MATCH(D56,ProjNames,0)),""))</f>
        <v/>
      </c>
      <c r="G56" s="32"/>
      <c r="H56" s="11"/>
      <c r="I56" s="33"/>
      <c r="J56" s="8" t="str">
        <f aca="false">IF(COUNTA(B56,D56,G56,H56,I56)=0,"",IF(B56="","Enter date",IF(OR(B56&lt;$AC$2,B56&gt;$AC$3),"Date not in January",IF(D56="","Pick project",IF(ISNA(MATCH(D56,ProjNames,0)),"Project not in list",IF(G56="","Add task description",IF(H56="","Pick NTIME or P6",IF(N(I56)&lt;=0,"Enter hours",IF(AND(AllowOT&lt;&gt;"Yes",SUMIF($B$7:$B$256,B56,$I$7:$I$256)&gt;INDEX($O$58:$O$88,DAY(B56))),"Day over "&amp;INDEX($O$58:$O$88,DAY(B56))&amp;" h","✓")))))))))</f>
        <v/>
      </c>
      <c r="K56" s="1"/>
      <c r="L56" s="4" t="s">
        <v>89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 aca="false">IF(Projects!B54="","",Projects!B54)</f>
        <v/>
      </c>
      <c r="X56" s="1" t="n">
        <f aca="false">IF(W56="",0,SUMIFS($I$7:$I$256,$D$7:$D$256,W56,$H$7:$H$256,"NTIME"))</f>
        <v>0</v>
      </c>
      <c r="Y56" s="1" t="n">
        <f aca="false">IF(W56="",0,SUMIFS($I$7:$I$256,$D$7:$D$256,W56,$H$7:$H$256,"P6"))</f>
        <v>0</v>
      </c>
      <c r="Z56" s="1" t="n">
        <f aca="false">X56+Y56</f>
        <v>0</v>
      </c>
      <c r="AA56" s="1" t="n">
        <f aca="false">IF(Z56&gt;0,Z56+(201-50)/10^6,0)</f>
        <v>0</v>
      </c>
      <c r="AB56" s="1"/>
      <c r="AC56" s="1"/>
      <c r="AD56" s="1"/>
      <c r="AE56" s="1"/>
      <c r="AF56" s="1"/>
      <c r="AG56" s="1"/>
      <c r="AH56" s="1"/>
    </row>
    <row r="57" customFormat="false" ht="15" hidden="false" customHeight="false" outlineLevel="0" collapsed="false">
      <c r="A57" s="1"/>
      <c r="B57" s="10"/>
      <c r="C57" s="31" t="str">
        <f aca="false">IF(B57="","",TEXT(B57,"ddd"))</f>
        <v/>
      </c>
      <c r="D57" s="11"/>
      <c r="E57" s="8" t="str">
        <f aca="false">IF(D57="","",IFERROR(INDEX(ProjNumbers,MATCH(D57,ProjNames,0)),""))</f>
        <v/>
      </c>
      <c r="F57" s="8" t="str">
        <f aca="false">IF(D57="","",IFERROR(INDEX(ProjCodes,MATCH(D57,ProjNames,0)),""))</f>
        <v/>
      </c>
      <c r="G57" s="32"/>
      <c r="H57" s="11"/>
      <c r="I57" s="33"/>
      <c r="J57" s="8" t="str">
        <f aca="false">IF(COUNTA(B57,D57,G57,H57,I57)=0,"",IF(B57="","Enter date",IF(OR(B57&lt;$AC$2,B57&gt;$AC$3),"Date not in January",IF(D57="","Pick project",IF(ISNA(MATCH(D57,ProjNames,0)),"Project not in list",IF(G57="","Add task description",IF(H57="","Pick NTIME or P6",IF(N(I57)&lt;=0,"Enter hours",IF(AND(AllowOT&lt;&gt;"Yes",SUMIF($B$7:$B$256,B57,$I$7:$I$256)&gt;INDEX($O$58:$O$88,DAY(B57))),"Day over "&amp;INDEX($O$58:$O$88,DAY(B57))&amp;" h","✓")))))))))</f>
        <v/>
      </c>
      <c r="K57" s="1"/>
      <c r="L57" s="9" t="s">
        <v>33</v>
      </c>
      <c r="M57" s="9" t="s">
        <v>34</v>
      </c>
      <c r="N57" s="9" t="s">
        <v>90</v>
      </c>
      <c r="O57" s="9" t="s">
        <v>91</v>
      </c>
      <c r="P57" s="20" t="s">
        <v>46</v>
      </c>
      <c r="Q57" s="21" t="s">
        <v>56</v>
      </c>
      <c r="R57" s="22" t="s">
        <v>15</v>
      </c>
      <c r="S57" s="9" t="s">
        <v>24</v>
      </c>
      <c r="T57" s="9" t="s">
        <v>57</v>
      </c>
      <c r="U57" s="9" t="s">
        <v>92</v>
      </c>
      <c r="V57" s="1"/>
      <c r="W57" s="1" t="str">
        <f aca="false">IF(Projects!B55="","",Projects!B55)</f>
        <v/>
      </c>
      <c r="X57" s="1" t="n">
        <f aca="false">IF(W57="",0,SUMIFS($I$7:$I$256,$D$7:$D$256,W57,$H$7:$H$256,"NTIME"))</f>
        <v>0</v>
      </c>
      <c r="Y57" s="1" t="n">
        <f aca="false">IF(W57="",0,SUMIFS($I$7:$I$256,$D$7:$D$256,W57,$H$7:$H$256,"P6"))</f>
        <v>0</v>
      </c>
      <c r="Z57" s="1" t="n">
        <f aca="false">X57+Y57</f>
        <v>0</v>
      </c>
      <c r="AA57" s="1" t="n">
        <f aca="false">IF(Z57&gt;0,Z57+(201-51)/10^6,0)</f>
        <v>0</v>
      </c>
      <c r="AB57" s="1"/>
      <c r="AC57" s="1"/>
      <c r="AD57" s="1"/>
      <c r="AE57" s="1"/>
      <c r="AF57" s="1"/>
      <c r="AG57" s="1"/>
      <c r="AH57" s="1"/>
    </row>
    <row r="58" customFormat="false" ht="15" hidden="false" customHeight="false" outlineLevel="0" collapsed="false">
      <c r="A58" s="1"/>
      <c r="B58" s="10"/>
      <c r="C58" s="31" t="str">
        <f aca="false">IF(B58="","",TEXT(B58,"ddd"))</f>
        <v/>
      </c>
      <c r="D58" s="11"/>
      <c r="E58" s="8" t="str">
        <f aca="false">IF(D58="","",IFERROR(INDEX(ProjNumbers,MATCH(D58,ProjNames,0)),""))</f>
        <v/>
      </c>
      <c r="F58" s="8" t="str">
        <f aca="false">IF(D58="","",IFERROR(INDEX(ProjCodes,MATCH(D58,ProjNames,0)),""))</f>
        <v/>
      </c>
      <c r="G58" s="32"/>
      <c r="H58" s="11"/>
      <c r="I58" s="33"/>
      <c r="J58" s="8" t="str">
        <f aca="false">IF(COUNTA(B58,D58,G58,H58,I58)=0,"",IF(B58="","Enter date",IF(OR(B58&lt;$AC$2,B58&gt;$AC$3),"Date not in January",IF(D58="","Pick project",IF(ISNA(MATCH(D58,ProjNames,0)),"Project not in list",IF(G58="","Add task description",IF(H58="","Pick NTIME or P6",IF(N(I58)&lt;=0,"Enter hours",IF(AND(AllowOT&lt;&gt;"Yes",SUMIF($B$7:$B$256,B58,$I$7:$I$256)&gt;INDEX($O$58:$O$88,DAY(B58))),"Day over "&amp;INDEX($O$58:$O$88,DAY(B58))&amp;" h","✓")))))))))</f>
        <v/>
      </c>
      <c r="K58" s="1"/>
      <c r="L58" s="35" t="n">
        <v>46023</v>
      </c>
      <c r="M58" s="36" t="str">
        <f aca="false">TEXT(L58,"ddd")</f>
        <v>Thu</v>
      </c>
      <c r="N58" s="37" t="s">
        <v>93</v>
      </c>
      <c r="O58" s="37" t="n">
        <f aca="false">AvailHours</f>
        <v>8</v>
      </c>
      <c r="P58" s="24" t="n">
        <f aca="false">SUMIFS($I$7:$I$256,$B$7:$B$256,L58,$H$7:$H$256,"NTIME")</f>
        <v>0</v>
      </c>
      <c r="Q58" s="24" t="n">
        <f aca="false">SUMIFS($I$7:$I$256,$B$7:$B$256,L58,$H$7:$H$256,"P6")</f>
        <v>0</v>
      </c>
      <c r="R58" s="24" t="n">
        <f aca="false">IF(N58="Overhead only",O58,IF(AND(N58="Working",P58+Q58&gt;0),MAX(0,O58-P58-Q58),0))</f>
        <v>0</v>
      </c>
      <c r="S58" s="24" t="n">
        <f aca="false">IF(OR(N58="Working",N58="Overhead only"),MAX(0,P58+Q58-O58),0)</f>
        <v>0</v>
      </c>
      <c r="T58" s="24" t="n">
        <f aca="false">P58+Q58+R58</f>
        <v>0</v>
      </c>
      <c r="U58" s="24" t="str">
        <f aca="true">IF(N58="Working",IF(P58+Q58=0,IF(L58&lt;=TODAY(),"Not logged",""),IF(P58+Q58&gt;O58,IF(AllowOT="Yes","Overtime","Over "&amp;O58&amp;" h!"),"✓")),IF(N58="Overhead only","✓ Overhead day",IF(P58+Q58&gt;0,"Entries on "&amp;LOWER(N58)&amp;" day",N58)))</f>
        <v>Not logged</v>
      </c>
      <c r="V58" s="1"/>
      <c r="W58" s="1" t="str">
        <f aca="false">IF(Projects!B56="","",Projects!B56)</f>
        <v/>
      </c>
      <c r="X58" s="1" t="n">
        <f aca="false">IF(W58="",0,SUMIFS($I$7:$I$256,$D$7:$D$256,W58,$H$7:$H$256,"NTIME"))</f>
        <v>0</v>
      </c>
      <c r="Y58" s="1" t="n">
        <f aca="false">IF(W58="",0,SUMIFS($I$7:$I$256,$D$7:$D$256,W58,$H$7:$H$256,"P6"))</f>
        <v>0</v>
      </c>
      <c r="Z58" s="1" t="n">
        <f aca="false">X58+Y58</f>
        <v>0</v>
      </c>
      <c r="AA58" s="1" t="n">
        <f aca="false">IF(Z58&gt;0,Z58+(201-52)/10^6,0)</f>
        <v>0</v>
      </c>
      <c r="AB58" s="1"/>
      <c r="AC58" s="1"/>
      <c r="AD58" s="1"/>
      <c r="AE58" s="1"/>
      <c r="AF58" s="1"/>
      <c r="AG58" s="1"/>
      <c r="AH58" s="1"/>
    </row>
    <row r="59" customFormat="false" ht="15" hidden="false" customHeight="false" outlineLevel="0" collapsed="false">
      <c r="A59" s="1"/>
      <c r="B59" s="10"/>
      <c r="C59" s="31" t="str">
        <f aca="false">IF(B59="","",TEXT(B59,"ddd"))</f>
        <v/>
      </c>
      <c r="D59" s="11"/>
      <c r="E59" s="8" t="str">
        <f aca="false">IF(D59="","",IFERROR(INDEX(ProjNumbers,MATCH(D59,ProjNames,0)),""))</f>
        <v/>
      </c>
      <c r="F59" s="8" t="str">
        <f aca="false">IF(D59="","",IFERROR(INDEX(ProjCodes,MATCH(D59,ProjNames,0)),""))</f>
        <v/>
      </c>
      <c r="G59" s="32"/>
      <c r="H59" s="11"/>
      <c r="I59" s="33"/>
      <c r="J59" s="8" t="str">
        <f aca="false">IF(COUNTA(B59,D59,G59,H59,I59)=0,"",IF(B59="","Enter date",IF(OR(B59&lt;$AC$2,B59&gt;$AC$3),"Date not in January",IF(D59="","Pick project",IF(ISNA(MATCH(D59,ProjNames,0)),"Project not in list",IF(G59="","Add task description",IF(H59="","Pick NTIME or P6",IF(N(I59)&lt;=0,"Enter hours",IF(AND(AllowOT&lt;&gt;"Yes",SUMIF($B$7:$B$256,B59,$I$7:$I$256)&gt;INDEX($O$58:$O$88,DAY(B59))),"Day over "&amp;INDEX($O$58:$O$88,DAY(B59))&amp;" h","✓")))))))))</f>
        <v/>
      </c>
      <c r="K59" s="1"/>
      <c r="L59" s="35" t="n">
        <v>46024</v>
      </c>
      <c r="M59" s="36" t="str">
        <f aca="false">TEXT(L59,"ddd")</f>
        <v>Fri</v>
      </c>
      <c r="N59" s="37" t="s">
        <v>93</v>
      </c>
      <c r="O59" s="37" t="n">
        <f aca="false">AvailHours</f>
        <v>8</v>
      </c>
      <c r="P59" s="24" t="n">
        <f aca="false">SUMIFS($I$7:$I$256,$B$7:$B$256,L59,$H$7:$H$256,"NTIME")</f>
        <v>0</v>
      </c>
      <c r="Q59" s="24" t="n">
        <f aca="false">SUMIFS($I$7:$I$256,$B$7:$B$256,L59,$H$7:$H$256,"P6")</f>
        <v>0</v>
      </c>
      <c r="R59" s="24" t="n">
        <f aca="false">IF(N59="Overhead only",O59,IF(AND(N59="Working",P59+Q59&gt;0),MAX(0,O59-P59-Q59),0))</f>
        <v>0</v>
      </c>
      <c r="S59" s="24" t="n">
        <f aca="false">IF(OR(N59="Working",N59="Overhead only"),MAX(0,P59+Q59-O59),0)</f>
        <v>0</v>
      </c>
      <c r="T59" s="24" t="n">
        <f aca="false">P59+Q59+R59</f>
        <v>0</v>
      </c>
      <c r="U59" s="24" t="str">
        <f aca="true">IF(N59="Working",IF(P59+Q59=0,IF(L59&lt;=TODAY(),"Not logged",""),IF(P59+Q59&gt;O59,IF(AllowOT="Yes","Overtime","Over "&amp;O59&amp;" h!"),"✓")),IF(N59="Overhead only","✓ Overhead day",IF(P59+Q59&gt;0,"Entries on "&amp;LOWER(N59)&amp;" day",N59)))</f>
        <v>Not logged</v>
      </c>
      <c r="V59" s="1"/>
      <c r="W59" s="1" t="str">
        <f aca="false">IF(Projects!B57="","",Projects!B57)</f>
        <v/>
      </c>
      <c r="X59" s="1" t="n">
        <f aca="false">IF(W59="",0,SUMIFS($I$7:$I$256,$D$7:$D$256,W59,$H$7:$H$256,"NTIME"))</f>
        <v>0</v>
      </c>
      <c r="Y59" s="1" t="n">
        <f aca="false">IF(W59="",0,SUMIFS($I$7:$I$256,$D$7:$D$256,W59,$H$7:$H$256,"P6"))</f>
        <v>0</v>
      </c>
      <c r="Z59" s="1" t="n">
        <f aca="false">X59+Y59</f>
        <v>0</v>
      </c>
      <c r="AA59" s="1" t="n">
        <f aca="false">IF(Z59&gt;0,Z59+(201-53)/10^6,0)</f>
        <v>0</v>
      </c>
      <c r="AB59" s="1"/>
      <c r="AC59" s="1"/>
      <c r="AD59" s="1"/>
      <c r="AE59" s="1"/>
      <c r="AF59" s="1"/>
      <c r="AG59" s="1"/>
      <c r="AH59" s="1"/>
    </row>
    <row r="60" customFormat="false" ht="15" hidden="false" customHeight="false" outlineLevel="0" collapsed="false">
      <c r="A60" s="1"/>
      <c r="B60" s="10"/>
      <c r="C60" s="31" t="str">
        <f aca="false">IF(B60="","",TEXT(B60,"ddd"))</f>
        <v/>
      </c>
      <c r="D60" s="11"/>
      <c r="E60" s="8" t="str">
        <f aca="false">IF(D60="","",IFERROR(INDEX(ProjNumbers,MATCH(D60,ProjNames,0)),""))</f>
        <v/>
      </c>
      <c r="F60" s="8" t="str">
        <f aca="false">IF(D60="","",IFERROR(INDEX(ProjCodes,MATCH(D60,ProjNames,0)),""))</f>
        <v/>
      </c>
      <c r="G60" s="32"/>
      <c r="H60" s="11"/>
      <c r="I60" s="33"/>
      <c r="J60" s="8" t="str">
        <f aca="false">IF(COUNTA(B60,D60,G60,H60,I60)=0,"",IF(B60="","Enter date",IF(OR(B60&lt;$AC$2,B60&gt;$AC$3),"Date not in January",IF(D60="","Pick project",IF(ISNA(MATCH(D60,ProjNames,0)),"Project not in list",IF(G60="","Add task description",IF(H60="","Pick NTIME or P6",IF(N(I60)&lt;=0,"Enter hours",IF(AND(AllowOT&lt;&gt;"Yes",SUMIF($B$7:$B$256,B60,$I$7:$I$256)&gt;INDEX($O$58:$O$88,DAY(B60))),"Day over "&amp;INDEX($O$58:$O$88,DAY(B60))&amp;" h","✓")))))))))</f>
        <v/>
      </c>
      <c r="K60" s="1"/>
      <c r="L60" s="35" t="n">
        <v>46025</v>
      </c>
      <c r="M60" s="36" t="str">
        <f aca="false">TEXT(L60,"ddd")</f>
        <v>Sat</v>
      </c>
      <c r="N60" s="37" t="s">
        <v>94</v>
      </c>
      <c r="O60" s="37" t="n">
        <f aca="false">AvailHours</f>
        <v>8</v>
      </c>
      <c r="P60" s="24" t="n">
        <f aca="false">SUMIFS($I$7:$I$256,$B$7:$B$256,L60,$H$7:$H$256,"NTIME")</f>
        <v>0</v>
      </c>
      <c r="Q60" s="24" t="n">
        <f aca="false">SUMIFS($I$7:$I$256,$B$7:$B$256,L60,$H$7:$H$256,"P6")</f>
        <v>0</v>
      </c>
      <c r="R60" s="24" t="n">
        <f aca="false">IF(N60="Overhead only",O60,IF(AND(N60="Working",P60+Q60&gt;0),MAX(0,O60-P60-Q60),0))</f>
        <v>0</v>
      </c>
      <c r="S60" s="24" t="n">
        <f aca="false">IF(OR(N60="Working",N60="Overhead only"),MAX(0,P60+Q60-O60),0)</f>
        <v>0</v>
      </c>
      <c r="T60" s="24" t="n">
        <f aca="false">P60+Q60+R60</f>
        <v>0</v>
      </c>
      <c r="U60" s="24" t="str">
        <f aca="true">IF(N60="Working",IF(P60+Q60=0,IF(L60&lt;=TODAY(),"Not logged",""),IF(P60+Q60&gt;O60,IF(AllowOT="Yes","Overtime","Over "&amp;O60&amp;" h!"),"✓")),IF(N60="Overhead only","✓ Overhead day",IF(P60+Q60&gt;0,"Entries on "&amp;LOWER(N60)&amp;" day",N60)))</f>
        <v>Weekend</v>
      </c>
      <c r="V60" s="1"/>
      <c r="W60" s="1" t="str">
        <f aca="false">IF(Projects!B58="","",Projects!B58)</f>
        <v/>
      </c>
      <c r="X60" s="1" t="n">
        <f aca="false">IF(W60="",0,SUMIFS($I$7:$I$256,$D$7:$D$256,W60,$H$7:$H$256,"NTIME"))</f>
        <v>0</v>
      </c>
      <c r="Y60" s="1" t="n">
        <f aca="false">IF(W60="",0,SUMIFS($I$7:$I$256,$D$7:$D$256,W60,$H$7:$H$256,"P6"))</f>
        <v>0</v>
      </c>
      <c r="Z60" s="1" t="n">
        <f aca="false">X60+Y60</f>
        <v>0</v>
      </c>
      <c r="AA60" s="1" t="n">
        <f aca="false">IF(Z60&gt;0,Z60+(201-54)/10^6,0)</f>
        <v>0</v>
      </c>
      <c r="AB60" s="1"/>
      <c r="AC60" s="1"/>
      <c r="AD60" s="1"/>
      <c r="AE60" s="1"/>
      <c r="AF60" s="1"/>
      <c r="AG60" s="1"/>
      <c r="AH60" s="1"/>
    </row>
    <row r="61" customFormat="false" ht="15" hidden="false" customHeight="false" outlineLevel="0" collapsed="false">
      <c r="A61" s="1"/>
      <c r="B61" s="10"/>
      <c r="C61" s="31" t="str">
        <f aca="false">IF(B61="","",TEXT(B61,"ddd"))</f>
        <v/>
      </c>
      <c r="D61" s="11"/>
      <c r="E61" s="8" t="str">
        <f aca="false">IF(D61="","",IFERROR(INDEX(ProjNumbers,MATCH(D61,ProjNames,0)),""))</f>
        <v/>
      </c>
      <c r="F61" s="8" t="str">
        <f aca="false">IF(D61="","",IFERROR(INDEX(ProjCodes,MATCH(D61,ProjNames,0)),""))</f>
        <v/>
      </c>
      <c r="G61" s="32"/>
      <c r="H61" s="11"/>
      <c r="I61" s="33"/>
      <c r="J61" s="8" t="str">
        <f aca="false">IF(COUNTA(B61,D61,G61,H61,I61)=0,"",IF(B61="","Enter date",IF(OR(B61&lt;$AC$2,B61&gt;$AC$3),"Date not in January",IF(D61="","Pick project",IF(ISNA(MATCH(D61,ProjNames,0)),"Project not in list",IF(G61="","Add task description",IF(H61="","Pick NTIME or P6",IF(N(I61)&lt;=0,"Enter hours",IF(AND(AllowOT&lt;&gt;"Yes",SUMIF($B$7:$B$256,B61,$I$7:$I$256)&gt;INDEX($O$58:$O$88,DAY(B61))),"Day over "&amp;INDEX($O$58:$O$88,DAY(B61))&amp;" h","✓")))))))))</f>
        <v/>
      </c>
      <c r="K61" s="1"/>
      <c r="L61" s="35" t="n">
        <v>46026</v>
      </c>
      <c r="M61" s="36" t="str">
        <f aca="false">TEXT(L61,"ddd")</f>
        <v>Sun</v>
      </c>
      <c r="N61" s="37" t="s">
        <v>94</v>
      </c>
      <c r="O61" s="37" t="n">
        <f aca="false">AvailHours</f>
        <v>8</v>
      </c>
      <c r="P61" s="24" t="n">
        <f aca="false">SUMIFS($I$7:$I$256,$B$7:$B$256,L61,$H$7:$H$256,"NTIME")</f>
        <v>0</v>
      </c>
      <c r="Q61" s="24" t="n">
        <f aca="false">SUMIFS($I$7:$I$256,$B$7:$B$256,L61,$H$7:$H$256,"P6")</f>
        <v>0</v>
      </c>
      <c r="R61" s="24" t="n">
        <f aca="false">IF(N61="Overhead only",O61,IF(AND(N61="Working",P61+Q61&gt;0),MAX(0,O61-P61-Q61),0))</f>
        <v>0</v>
      </c>
      <c r="S61" s="24" t="n">
        <f aca="false">IF(OR(N61="Working",N61="Overhead only"),MAX(0,P61+Q61-O61),0)</f>
        <v>0</v>
      </c>
      <c r="T61" s="24" t="n">
        <f aca="false">P61+Q61+R61</f>
        <v>0</v>
      </c>
      <c r="U61" s="24" t="str">
        <f aca="true">IF(N61="Working",IF(P61+Q61=0,IF(L61&lt;=TODAY(),"Not logged",""),IF(P61+Q61&gt;O61,IF(AllowOT="Yes","Overtime","Over "&amp;O61&amp;" h!"),"✓")),IF(N61="Overhead only","✓ Overhead day",IF(P61+Q61&gt;0,"Entries on "&amp;LOWER(N61)&amp;" day",N61)))</f>
        <v>Weekend</v>
      </c>
      <c r="V61" s="1"/>
      <c r="W61" s="1" t="str">
        <f aca="false">IF(Projects!B59="","",Projects!B59)</f>
        <v/>
      </c>
      <c r="X61" s="1" t="n">
        <f aca="false">IF(W61="",0,SUMIFS($I$7:$I$256,$D$7:$D$256,W61,$H$7:$H$256,"NTIME"))</f>
        <v>0</v>
      </c>
      <c r="Y61" s="1" t="n">
        <f aca="false">IF(W61="",0,SUMIFS($I$7:$I$256,$D$7:$D$256,W61,$H$7:$H$256,"P6"))</f>
        <v>0</v>
      </c>
      <c r="Z61" s="1" t="n">
        <f aca="false">X61+Y61</f>
        <v>0</v>
      </c>
      <c r="AA61" s="1" t="n">
        <f aca="false">IF(Z61&gt;0,Z61+(201-55)/10^6,0)</f>
        <v>0</v>
      </c>
      <c r="AB61" s="1"/>
      <c r="AC61" s="1"/>
      <c r="AD61" s="1"/>
      <c r="AE61" s="1"/>
      <c r="AF61" s="1"/>
      <c r="AG61" s="1"/>
      <c r="AH61" s="1"/>
    </row>
    <row r="62" customFormat="false" ht="15" hidden="false" customHeight="false" outlineLevel="0" collapsed="false">
      <c r="A62" s="1"/>
      <c r="B62" s="10"/>
      <c r="C62" s="31" t="str">
        <f aca="false">IF(B62="","",TEXT(B62,"ddd"))</f>
        <v/>
      </c>
      <c r="D62" s="11"/>
      <c r="E62" s="8" t="str">
        <f aca="false">IF(D62="","",IFERROR(INDEX(ProjNumbers,MATCH(D62,ProjNames,0)),""))</f>
        <v/>
      </c>
      <c r="F62" s="8" t="str">
        <f aca="false">IF(D62="","",IFERROR(INDEX(ProjCodes,MATCH(D62,ProjNames,0)),""))</f>
        <v/>
      </c>
      <c r="G62" s="32"/>
      <c r="H62" s="11"/>
      <c r="I62" s="33"/>
      <c r="J62" s="8" t="str">
        <f aca="false">IF(COUNTA(B62,D62,G62,H62,I62)=0,"",IF(B62="","Enter date",IF(OR(B62&lt;$AC$2,B62&gt;$AC$3),"Date not in January",IF(D62="","Pick project",IF(ISNA(MATCH(D62,ProjNames,0)),"Project not in list",IF(G62="","Add task description",IF(H62="","Pick NTIME or P6",IF(N(I62)&lt;=0,"Enter hours",IF(AND(AllowOT&lt;&gt;"Yes",SUMIF($B$7:$B$256,B62,$I$7:$I$256)&gt;INDEX($O$58:$O$88,DAY(B62))),"Day over "&amp;INDEX($O$58:$O$88,DAY(B62))&amp;" h","✓")))))))))</f>
        <v/>
      </c>
      <c r="K62" s="1"/>
      <c r="L62" s="35" t="n">
        <v>46027</v>
      </c>
      <c r="M62" s="36" t="str">
        <f aca="false">TEXT(L62,"ddd")</f>
        <v>Mon</v>
      </c>
      <c r="N62" s="37" t="s">
        <v>93</v>
      </c>
      <c r="O62" s="37" t="n">
        <f aca="false">AvailHours</f>
        <v>8</v>
      </c>
      <c r="P62" s="24" t="n">
        <f aca="false">SUMIFS($I$7:$I$256,$B$7:$B$256,L62,$H$7:$H$256,"NTIME")</f>
        <v>0</v>
      </c>
      <c r="Q62" s="24" t="n">
        <f aca="false">SUMIFS($I$7:$I$256,$B$7:$B$256,L62,$H$7:$H$256,"P6")</f>
        <v>0</v>
      </c>
      <c r="R62" s="24" t="n">
        <f aca="false">IF(N62="Overhead only",O62,IF(AND(N62="Working",P62+Q62&gt;0),MAX(0,O62-P62-Q62),0))</f>
        <v>0</v>
      </c>
      <c r="S62" s="24" t="n">
        <f aca="false">IF(OR(N62="Working",N62="Overhead only"),MAX(0,P62+Q62-O62),0)</f>
        <v>0</v>
      </c>
      <c r="T62" s="24" t="n">
        <f aca="false">P62+Q62+R62</f>
        <v>0</v>
      </c>
      <c r="U62" s="24" t="str">
        <f aca="true">IF(N62="Working",IF(P62+Q62=0,IF(L62&lt;=TODAY(),"Not logged",""),IF(P62+Q62&gt;O62,IF(AllowOT="Yes","Overtime","Over "&amp;O62&amp;" h!"),"✓")),IF(N62="Overhead only","✓ Overhead day",IF(P62+Q62&gt;0,"Entries on "&amp;LOWER(N62)&amp;" day",N62)))</f>
        <v>Not logged</v>
      </c>
      <c r="V62" s="1"/>
      <c r="W62" s="1" t="str">
        <f aca="false">IF(Projects!B60="","",Projects!B60)</f>
        <v/>
      </c>
      <c r="X62" s="1" t="n">
        <f aca="false">IF(W62="",0,SUMIFS($I$7:$I$256,$D$7:$D$256,W62,$H$7:$H$256,"NTIME"))</f>
        <v>0</v>
      </c>
      <c r="Y62" s="1" t="n">
        <f aca="false">IF(W62="",0,SUMIFS($I$7:$I$256,$D$7:$D$256,W62,$H$7:$H$256,"P6"))</f>
        <v>0</v>
      </c>
      <c r="Z62" s="1" t="n">
        <f aca="false">X62+Y62</f>
        <v>0</v>
      </c>
      <c r="AA62" s="1" t="n">
        <f aca="false">IF(Z62&gt;0,Z62+(201-56)/10^6,0)</f>
        <v>0</v>
      </c>
      <c r="AB62" s="1"/>
      <c r="AC62" s="1"/>
      <c r="AD62" s="1"/>
      <c r="AE62" s="1"/>
      <c r="AF62" s="1"/>
      <c r="AG62" s="1"/>
      <c r="AH62" s="1"/>
    </row>
    <row r="63" customFormat="false" ht="15" hidden="false" customHeight="false" outlineLevel="0" collapsed="false">
      <c r="A63" s="1"/>
      <c r="B63" s="10"/>
      <c r="C63" s="31" t="str">
        <f aca="false">IF(B63="","",TEXT(B63,"ddd"))</f>
        <v/>
      </c>
      <c r="D63" s="11"/>
      <c r="E63" s="8" t="str">
        <f aca="false">IF(D63="","",IFERROR(INDEX(ProjNumbers,MATCH(D63,ProjNames,0)),""))</f>
        <v/>
      </c>
      <c r="F63" s="8" t="str">
        <f aca="false">IF(D63="","",IFERROR(INDEX(ProjCodes,MATCH(D63,ProjNames,0)),""))</f>
        <v/>
      </c>
      <c r="G63" s="32"/>
      <c r="H63" s="11"/>
      <c r="I63" s="33"/>
      <c r="J63" s="8" t="str">
        <f aca="false">IF(COUNTA(B63,D63,G63,H63,I63)=0,"",IF(B63="","Enter date",IF(OR(B63&lt;$AC$2,B63&gt;$AC$3),"Date not in January",IF(D63="","Pick project",IF(ISNA(MATCH(D63,ProjNames,0)),"Project not in list",IF(G63="","Add task description",IF(H63="","Pick NTIME or P6",IF(N(I63)&lt;=0,"Enter hours",IF(AND(AllowOT&lt;&gt;"Yes",SUMIF($B$7:$B$256,B63,$I$7:$I$256)&gt;INDEX($O$58:$O$88,DAY(B63))),"Day over "&amp;INDEX($O$58:$O$88,DAY(B63))&amp;" h","✓")))))))))</f>
        <v/>
      </c>
      <c r="K63" s="1"/>
      <c r="L63" s="35" t="n">
        <v>46028</v>
      </c>
      <c r="M63" s="36" t="str">
        <f aca="false">TEXT(L63,"ddd")</f>
        <v>Tue</v>
      </c>
      <c r="N63" s="37" t="s">
        <v>93</v>
      </c>
      <c r="O63" s="37" t="n">
        <f aca="false">AvailHours</f>
        <v>8</v>
      </c>
      <c r="P63" s="24" t="n">
        <f aca="false">SUMIFS($I$7:$I$256,$B$7:$B$256,L63,$H$7:$H$256,"NTIME")</f>
        <v>0</v>
      </c>
      <c r="Q63" s="24" t="n">
        <f aca="false">SUMIFS($I$7:$I$256,$B$7:$B$256,L63,$H$7:$H$256,"P6")</f>
        <v>0</v>
      </c>
      <c r="R63" s="24" t="n">
        <f aca="false">IF(N63="Overhead only",O63,IF(AND(N63="Working",P63+Q63&gt;0),MAX(0,O63-P63-Q63),0))</f>
        <v>0</v>
      </c>
      <c r="S63" s="24" t="n">
        <f aca="false">IF(OR(N63="Working",N63="Overhead only"),MAX(0,P63+Q63-O63),0)</f>
        <v>0</v>
      </c>
      <c r="T63" s="24" t="n">
        <f aca="false">P63+Q63+R63</f>
        <v>0</v>
      </c>
      <c r="U63" s="24" t="str">
        <f aca="true">IF(N63="Working",IF(P63+Q63=0,IF(L63&lt;=TODAY(),"Not logged",""),IF(P63+Q63&gt;O63,IF(AllowOT="Yes","Overtime","Over "&amp;O63&amp;" h!"),"✓")),IF(N63="Overhead only","✓ Overhead day",IF(P63+Q63&gt;0,"Entries on "&amp;LOWER(N63)&amp;" day",N63)))</f>
        <v>Not logged</v>
      </c>
      <c r="V63" s="1"/>
      <c r="W63" s="1" t="str">
        <f aca="false">IF(Projects!B61="","",Projects!B61)</f>
        <v/>
      </c>
      <c r="X63" s="1" t="n">
        <f aca="false">IF(W63="",0,SUMIFS($I$7:$I$256,$D$7:$D$256,W63,$H$7:$H$256,"NTIME"))</f>
        <v>0</v>
      </c>
      <c r="Y63" s="1" t="n">
        <f aca="false">IF(W63="",0,SUMIFS($I$7:$I$256,$D$7:$D$256,W63,$H$7:$H$256,"P6"))</f>
        <v>0</v>
      </c>
      <c r="Z63" s="1" t="n">
        <f aca="false">X63+Y63</f>
        <v>0</v>
      </c>
      <c r="AA63" s="1" t="n">
        <f aca="false">IF(Z63&gt;0,Z63+(201-57)/10^6,0)</f>
        <v>0</v>
      </c>
      <c r="AB63" s="1"/>
      <c r="AC63" s="1"/>
      <c r="AD63" s="1"/>
      <c r="AE63" s="1"/>
      <c r="AF63" s="1"/>
      <c r="AG63" s="1"/>
      <c r="AH63" s="1"/>
    </row>
    <row r="64" customFormat="false" ht="15" hidden="false" customHeight="false" outlineLevel="0" collapsed="false">
      <c r="A64" s="1"/>
      <c r="B64" s="10"/>
      <c r="C64" s="31" t="str">
        <f aca="false">IF(B64="","",TEXT(B64,"ddd"))</f>
        <v/>
      </c>
      <c r="D64" s="11"/>
      <c r="E64" s="8" t="str">
        <f aca="false">IF(D64="","",IFERROR(INDEX(ProjNumbers,MATCH(D64,ProjNames,0)),""))</f>
        <v/>
      </c>
      <c r="F64" s="8" t="str">
        <f aca="false">IF(D64="","",IFERROR(INDEX(ProjCodes,MATCH(D64,ProjNames,0)),""))</f>
        <v/>
      </c>
      <c r="G64" s="32"/>
      <c r="H64" s="11"/>
      <c r="I64" s="33"/>
      <c r="J64" s="8" t="str">
        <f aca="false">IF(COUNTA(B64,D64,G64,H64,I64)=0,"",IF(B64="","Enter date",IF(OR(B64&lt;$AC$2,B64&gt;$AC$3),"Date not in January",IF(D64="","Pick project",IF(ISNA(MATCH(D64,ProjNames,0)),"Project not in list",IF(G64="","Add task description",IF(H64="","Pick NTIME or P6",IF(N(I64)&lt;=0,"Enter hours",IF(AND(AllowOT&lt;&gt;"Yes",SUMIF($B$7:$B$256,B64,$I$7:$I$256)&gt;INDEX($O$58:$O$88,DAY(B64))),"Day over "&amp;INDEX($O$58:$O$88,DAY(B64))&amp;" h","✓")))))))))</f>
        <v/>
      </c>
      <c r="K64" s="1"/>
      <c r="L64" s="35" t="n">
        <v>46029</v>
      </c>
      <c r="M64" s="36" t="str">
        <f aca="false">TEXT(L64,"ddd")</f>
        <v>Wed</v>
      </c>
      <c r="N64" s="37" t="s">
        <v>93</v>
      </c>
      <c r="O64" s="37" t="n">
        <f aca="false">AvailHours</f>
        <v>8</v>
      </c>
      <c r="P64" s="24" t="n">
        <f aca="false">SUMIFS($I$7:$I$256,$B$7:$B$256,L64,$H$7:$H$256,"NTIME")</f>
        <v>0</v>
      </c>
      <c r="Q64" s="24" t="n">
        <f aca="false">SUMIFS($I$7:$I$256,$B$7:$B$256,L64,$H$7:$H$256,"P6")</f>
        <v>0</v>
      </c>
      <c r="R64" s="24" t="n">
        <f aca="false">IF(N64="Overhead only",O64,IF(AND(N64="Working",P64+Q64&gt;0),MAX(0,O64-P64-Q64),0))</f>
        <v>0</v>
      </c>
      <c r="S64" s="24" t="n">
        <f aca="false">IF(OR(N64="Working",N64="Overhead only"),MAX(0,P64+Q64-O64),0)</f>
        <v>0</v>
      </c>
      <c r="T64" s="24" t="n">
        <f aca="false">P64+Q64+R64</f>
        <v>0</v>
      </c>
      <c r="U64" s="24" t="str">
        <f aca="true">IF(N64="Working",IF(P64+Q64=0,IF(L64&lt;=TODAY(),"Not logged",""),IF(P64+Q64&gt;O64,IF(AllowOT="Yes","Overtime","Over "&amp;O64&amp;" h!"),"✓")),IF(N64="Overhead only","✓ Overhead day",IF(P64+Q64&gt;0,"Entries on "&amp;LOWER(N64)&amp;" day",N64)))</f>
        <v>Not logged</v>
      </c>
      <c r="V64" s="1"/>
      <c r="W64" s="1" t="str">
        <f aca="false">IF(Projects!B62="","",Projects!B62)</f>
        <v/>
      </c>
      <c r="X64" s="1" t="n">
        <f aca="false">IF(W64="",0,SUMIFS($I$7:$I$256,$D$7:$D$256,W64,$H$7:$H$256,"NTIME"))</f>
        <v>0</v>
      </c>
      <c r="Y64" s="1" t="n">
        <f aca="false">IF(W64="",0,SUMIFS($I$7:$I$256,$D$7:$D$256,W64,$H$7:$H$256,"P6"))</f>
        <v>0</v>
      </c>
      <c r="Z64" s="1" t="n">
        <f aca="false">X64+Y64</f>
        <v>0</v>
      </c>
      <c r="AA64" s="1" t="n">
        <f aca="false">IF(Z64&gt;0,Z64+(201-58)/10^6,0)</f>
        <v>0</v>
      </c>
      <c r="AB64" s="1"/>
      <c r="AC64" s="1"/>
      <c r="AD64" s="1"/>
      <c r="AE64" s="1"/>
      <c r="AF64" s="1"/>
      <c r="AG64" s="1"/>
      <c r="AH64" s="1"/>
    </row>
    <row r="65" customFormat="false" ht="15" hidden="false" customHeight="false" outlineLevel="0" collapsed="false">
      <c r="A65" s="1"/>
      <c r="B65" s="10"/>
      <c r="C65" s="31" t="str">
        <f aca="false">IF(B65="","",TEXT(B65,"ddd"))</f>
        <v/>
      </c>
      <c r="D65" s="11"/>
      <c r="E65" s="8" t="str">
        <f aca="false">IF(D65="","",IFERROR(INDEX(ProjNumbers,MATCH(D65,ProjNames,0)),""))</f>
        <v/>
      </c>
      <c r="F65" s="8" t="str">
        <f aca="false">IF(D65="","",IFERROR(INDEX(ProjCodes,MATCH(D65,ProjNames,0)),""))</f>
        <v/>
      </c>
      <c r="G65" s="32"/>
      <c r="H65" s="11"/>
      <c r="I65" s="33"/>
      <c r="J65" s="8" t="str">
        <f aca="false">IF(COUNTA(B65,D65,G65,H65,I65)=0,"",IF(B65="","Enter date",IF(OR(B65&lt;$AC$2,B65&gt;$AC$3),"Date not in January",IF(D65="","Pick project",IF(ISNA(MATCH(D65,ProjNames,0)),"Project not in list",IF(G65="","Add task description",IF(H65="","Pick NTIME or P6",IF(N(I65)&lt;=0,"Enter hours",IF(AND(AllowOT&lt;&gt;"Yes",SUMIF($B$7:$B$256,B65,$I$7:$I$256)&gt;INDEX($O$58:$O$88,DAY(B65))),"Day over "&amp;INDEX($O$58:$O$88,DAY(B65))&amp;" h","✓")))))))))</f>
        <v/>
      </c>
      <c r="K65" s="1"/>
      <c r="L65" s="35" t="n">
        <v>46030</v>
      </c>
      <c r="M65" s="36" t="str">
        <f aca="false">TEXT(L65,"ddd")</f>
        <v>Thu</v>
      </c>
      <c r="N65" s="37" t="s">
        <v>93</v>
      </c>
      <c r="O65" s="37" t="n">
        <f aca="false">AvailHours</f>
        <v>8</v>
      </c>
      <c r="P65" s="24" t="n">
        <f aca="false">SUMIFS($I$7:$I$256,$B$7:$B$256,L65,$H$7:$H$256,"NTIME")</f>
        <v>0</v>
      </c>
      <c r="Q65" s="24" t="n">
        <f aca="false">SUMIFS($I$7:$I$256,$B$7:$B$256,L65,$H$7:$H$256,"P6")</f>
        <v>0</v>
      </c>
      <c r="R65" s="24" t="n">
        <f aca="false">IF(N65="Overhead only",O65,IF(AND(N65="Working",P65+Q65&gt;0),MAX(0,O65-P65-Q65),0))</f>
        <v>0</v>
      </c>
      <c r="S65" s="24" t="n">
        <f aca="false">IF(OR(N65="Working",N65="Overhead only"),MAX(0,P65+Q65-O65),0)</f>
        <v>0</v>
      </c>
      <c r="T65" s="24" t="n">
        <f aca="false">P65+Q65+R65</f>
        <v>0</v>
      </c>
      <c r="U65" s="24" t="str">
        <f aca="true">IF(N65="Working",IF(P65+Q65=0,IF(L65&lt;=TODAY(),"Not logged",""),IF(P65+Q65&gt;O65,IF(AllowOT="Yes","Overtime","Over "&amp;O65&amp;" h!"),"✓")),IF(N65="Overhead only","✓ Overhead day",IF(P65+Q65&gt;0,"Entries on "&amp;LOWER(N65)&amp;" day",N65)))</f>
        <v>Not logged</v>
      </c>
      <c r="V65" s="1"/>
      <c r="W65" s="1" t="str">
        <f aca="false">IF(Projects!B63="","",Projects!B63)</f>
        <v/>
      </c>
      <c r="X65" s="1" t="n">
        <f aca="false">IF(W65="",0,SUMIFS($I$7:$I$256,$D$7:$D$256,W65,$H$7:$H$256,"NTIME"))</f>
        <v>0</v>
      </c>
      <c r="Y65" s="1" t="n">
        <f aca="false">IF(W65="",0,SUMIFS($I$7:$I$256,$D$7:$D$256,W65,$H$7:$H$256,"P6"))</f>
        <v>0</v>
      </c>
      <c r="Z65" s="1" t="n">
        <f aca="false">X65+Y65</f>
        <v>0</v>
      </c>
      <c r="AA65" s="1" t="n">
        <f aca="false">IF(Z65&gt;0,Z65+(201-59)/10^6,0)</f>
        <v>0</v>
      </c>
      <c r="AB65" s="1"/>
      <c r="AC65" s="1"/>
      <c r="AD65" s="1"/>
      <c r="AE65" s="1"/>
      <c r="AF65" s="1"/>
      <c r="AG65" s="1"/>
      <c r="AH65" s="1"/>
    </row>
    <row r="66" customFormat="false" ht="15" hidden="false" customHeight="false" outlineLevel="0" collapsed="false">
      <c r="A66" s="1"/>
      <c r="B66" s="10"/>
      <c r="C66" s="31" t="str">
        <f aca="false">IF(B66="","",TEXT(B66,"ddd"))</f>
        <v/>
      </c>
      <c r="D66" s="11"/>
      <c r="E66" s="8" t="str">
        <f aca="false">IF(D66="","",IFERROR(INDEX(ProjNumbers,MATCH(D66,ProjNames,0)),""))</f>
        <v/>
      </c>
      <c r="F66" s="8" t="str">
        <f aca="false">IF(D66="","",IFERROR(INDEX(ProjCodes,MATCH(D66,ProjNames,0)),""))</f>
        <v/>
      </c>
      <c r="G66" s="32"/>
      <c r="H66" s="11"/>
      <c r="I66" s="33"/>
      <c r="J66" s="8" t="str">
        <f aca="false">IF(COUNTA(B66,D66,G66,H66,I66)=0,"",IF(B66="","Enter date",IF(OR(B66&lt;$AC$2,B66&gt;$AC$3),"Date not in January",IF(D66="","Pick project",IF(ISNA(MATCH(D66,ProjNames,0)),"Project not in list",IF(G66="","Add task description",IF(H66="","Pick NTIME or P6",IF(N(I66)&lt;=0,"Enter hours",IF(AND(AllowOT&lt;&gt;"Yes",SUMIF($B$7:$B$256,B66,$I$7:$I$256)&gt;INDEX($O$58:$O$88,DAY(B66))),"Day over "&amp;INDEX($O$58:$O$88,DAY(B66))&amp;" h","✓")))))))))</f>
        <v/>
      </c>
      <c r="K66" s="1"/>
      <c r="L66" s="35" t="n">
        <v>46031</v>
      </c>
      <c r="M66" s="36" t="str">
        <f aca="false">TEXT(L66,"ddd")</f>
        <v>Fri</v>
      </c>
      <c r="N66" s="37" t="s">
        <v>93</v>
      </c>
      <c r="O66" s="37" t="n">
        <f aca="false">AvailHours</f>
        <v>8</v>
      </c>
      <c r="P66" s="24" t="n">
        <f aca="false">SUMIFS($I$7:$I$256,$B$7:$B$256,L66,$H$7:$H$256,"NTIME")</f>
        <v>0</v>
      </c>
      <c r="Q66" s="24" t="n">
        <f aca="false">SUMIFS($I$7:$I$256,$B$7:$B$256,L66,$H$7:$H$256,"P6")</f>
        <v>0</v>
      </c>
      <c r="R66" s="24" t="n">
        <f aca="false">IF(N66="Overhead only",O66,IF(AND(N66="Working",P66+Q66&gt;0),MAX(0,O66-P66-Q66),0))</f>
        <v>0</v>
      </c>
      <c r="S66" s="24" t="n">
        <f aca="false">IF(OR(N66="Working",N66="Overhead only"),MAX(0,P66+Q66-O66),0)</f>
        <v>0</v>
      </c>
      <c r="T66" s="24" t="n">
        <f aca="false">P66+Q66+R66</f>
        <v>0</v>
      </c>
      <c r="U66" s="24" t="str">
        <f aca="true">IF(N66="Working",IF(P66+Q66=0,IF(L66&lt;=TODAY(),"Not logged",""),IF(P66+Q66&gt;O66,IF(AllowOT="Yes","Overtime","Over "&amp;O66&amp;" h!"),"✓")),IF(N66="Overhead only","✓ Overhead day",IF(P66+Q66&gt;0,"Entries on "&amp;LOWER(N66)&amp;" day",N66)))</f>
        <v>Not logged</v>
      </c>
      <c r="V66" s="1"/>
      <c r="W66" s="1" t="str">
        <f aca="false">IF(Projects!B64="","",Projects!B64)</f>
        <v/>
      </c>
      <c r="X66" s="1" t="n">
        <f aca="false">IF(W66="",0,SUMIFS($I$7:$I$256,$D$7:$D$256,W66,$H$7:$H$256,"NTIME"))</f>
        <v>0</v>
      </c>
      <c r="Y66" s="1" t="n">
        <f aca="false">IF(W66="",0,SUMIFS($I$7:$I$256,$D$7:$D$256,W66,$H$7:$H$256,"P6"))</f>
        <v>0</v>
      </c>
      <c r="Z66" s="1" t="n">
        <f aca="false">X66+Y66</f>
        <v>0</v>
      </c>
      <c r="AA66" s="1" t="n">
        <f aca="false">IF(Z66&gt;0,Z66+(201-60)/10^6,0)</f>
        <v>0</v>
      </c>
      <c r="AB66" s="1"/>
      <c r="AC66" s="1"/>
      <c r="AD66" s="1"/>
      <c r="AE66" s="1"/>
      <c r="AF66" s="1"/>
      <c r="AG66" s="1"/>
      <c r="AH66" s="1"/>
    </row>
    <row r="67" customFormat="false" ht="15" hidden="false" customHeight="false" outlineLevel="0" collapsed="false">
      <c r="A67" s="1"/>
      <c r="B67" s="10"/>
      <c r="C67" s="31" t="str">
        <f aca="false">IF(B67="","",TEXT(B67,"ddd"))</f>
        <v/>
      </c>
      <c r="D67" s="11"/>
      <c r="E67" s="8" t="str">
        <f aca="false">IF(D67="","",IFERROR(INDEX(ProjNumbers,MATCH(D67,ProjNames,0)),""))</f>
        <v/>
      </c>
      <c r="F67" s="8" t="str">
        <f aca="false">IF(D67="","",IFERROR(INDEX(ProjCodes,MATCH(D67,ProjNames,0)),""))</f>
        <v/>
      </c>
      <c r="G67" s="32"/>
      <c r="H67" s="11"/>
      <c r="I67" s="33"/>
      <c r="J67" s="8" t="str">
        <f aca="false">IF(COUNTA(B67,D67,G67,H67,I67)=0,"",IF(B67="","Enter date",IF(OR(B67&lt;$AC$2,B67&gt;$AC$3),"Date not in January",IF(D67="","Pick project",IF(ISNA(MATCH(D67,ProjNames,0)),"Project not in list",IF(G67="","Add task description",IF(H67="","Pick NTIME or P6",IF(N(I67)&lt;=0,"Enter hours",IF(AND(AllowOT&lt;&gt;"Yes",SUMIF($B$7:$B$256,B67,$I$7:$I$256)&gt;INDEX($O$58:$O$88,DAY(B67))),"Day over "&amp;INDEX($O$58:$O$88,DAY(B67))&amp;" h","✓")))))))))</f>
        <v/>
      </c>
      <c r="K67" s="1"/>
      <c r="L67" s="35" t="n">
        <v>46032</v>
      </c>
      <c r="M67" s="36" t="str">
        <f aca="false">TEXT(L67,"ddd")</f>
        <v>Sat</v>
      </c>
      <c r="N67" s="37" t="s">
        <v>94</v>
      </c>
      <c r="O67" s="37" t="n">
        <f aca="false">AvailHours</f>
        <v>8</v>
      </c>
      <c r="P67" s="24" t="n">
        <f aca="false">SUMIFS($I$7:$I$256,$B$7:$B$256,L67,$H$7:$H$256,"NTIME")</f>
        <v>0</v>
      </c>
      <c r="Q67" s="24" t="n">
        <f aca="false">SUMIFS($I$7:$I$256,$B$7:$B$256,L67,$H$7:$H$256,"P6")</f>
        <v>0</v>
      </c>
      <c r="R67" s="24" t="n">
        <f aca="false">IF(N67="Overhead only",O67,IF(AND(N67="Working",P67+Q67&gt;0),MAX(0,O67-P67-Q67),0))</f>
        <v>0</v>
      </c>
      <c r="S67" s="24" t="n">
        <f aca="false">IF(OR(N67="Working",N67="Overhead only"),MAX(0,P67+Q67-O67),0)</f>
        <v>0</v>
      </c>
      <c r="T67" s="24" t="n">
        <f aca="false">P67+Q67+R67</f>
        <v>0</v>
      </c>
      <c r="U67" s="24" t="str">
        <f aca="true">IF(N67="Working",IF(P67+Q67=0,IF(L67&lt;=TODAY(),"Not logged",""),IF(P67+Q67&gt;O67,IF(AllowOT="Yes","Overtime","Over "&amp;O67&amp;" h!"),"✓")),IF(N67="Overhead only","✓ Overhead day",IF(P67+Q67&gt;0,"Entries on "&amp;LOWER(N67)&amp;" day",N67)))</f>
        <v>Weekend</v>
      </c>
      <c r="V67" s="1"/>
      <c r="W67" s="1" t="str">
        <f aca="false">IF(Projects!B65="","",Projects!B65)</f>
        <v/>
      </c>
      <c r="X67" s="1" t="n">
        <f aca="false">IF(W67="",0,SUMIFS($I$7:$I$256,$D$7:$D$256,W67,$H$7:$H$256,"NTIME"))</f>
        <v>0</v>
      </c>
      <c r="Y67" s="1" t="n">
        <f aca="false">IF(W67="",0,SUMIFS($I$7:$I$256,$D$7:$D$256,W67,$H$7:$H$256,"P6"))</f>
        <v>0</v>
      </c>
      <c r="Z67" s="1" t="n">
        <f aca="false">X67+Y67</f>
        <v>0</v>
      </c>
      <c r="AA67" s="1" t="n">
        <f aca="false">IF(Z67&gt;0,Z67+(201-61)/10^6,0)</f>
        <v>0</v>
      </c>
      <c r="AB67" s="1"/>
      <c r="AC67" s="1"/>
      <c r="AD67" s="1"/>
      <c r="AE67" s="1"/>
      <c r="AF67" s="1"/>
      <c r="AG67" s="1"/>
      <c r="AH67" s="1"/>
    </row>
    <row r="68" customFormat="false" ht="15" hidden="false" customHeight="false" outlineLevel="0" collapsed="false">
      <c r="A68" s="1"/>
      <c r="B68" s="10"/>
      <c r="C68" s="31" t="str">
        <f aca="false">IF(B68="","",TEXT(B68,"ddd"))</f>
        <v/>
      </c>
      <c r="D68" s="11"/>
      <c r="E68" s="8" t="str">
        <f aca="false">IF(D68="","",IFERROR(INDEX(ProjNumbers,MATCH(D68,ProjNames,0)),""))</f>
        <v/>
      </c>
      <c r="F68" s="8" t="str">
        <f aca="false">IF(D68="","",IFERROR(INDEX(ProjCodes,MATCH(D68,ProjNames,0)),""))</f>
        <v/>
      </c>
      <c r="G68" s="32"/>
      <c r="H68" s="11"/>
      <c r="I68" s="33"/>
      <c r="J68" s="8" t="str">
        <f aca="false">IF(COUNTA(B68,D68,G68,H68,I68)=0,"",IF(B68="","Enter date",IF(OR(B68&lt;$AC$2,B68&gt;$AC$3),"Date not in January",IF(D68="","Pick project",IF(ISNA(MATCH(D68,ProjNames,0)),"Project not in list",IF(G68="","Add task description",IF(H68="","Pick NTIME or P6",IF(N(I68)&lt;=0,"Enter hours",IF(AND(AllowOT&lt;&gt;"Yes",SUMIF($B$7:$B$256,B68,$I$7:$I$256)&gt;INDEX($O$58:$O$88,DAY(B68))),"Day over "&amp;INDEX($O$58:$O$88,DAY(B68))&amp;" h","✓")))))))))</f>
        <v/>
      </c>
      <c r="K68" s="1"/>
      <c r="L68" s="35" t="n">
        <v>46033</v>
      </c>
      <c r="M68" s="36" t="str">
        <f aca="false">TEXT(L68,"ddd")</f>
        <v>Sun</v>
      </c>
      <c r="N68" s="37" t="s">
        <v>94</v>
      </c>
      <c r="O68" s="37" t="n">
        <f aca="false">AvailHours</f>
        <v>8</v>
      </c>
      <c r="P68" s="24" t="n">
        <f aca="false">SUMIFS($I$7:$I$256,$B$7:$B$256,L68,$H$7:$H$256,"NTIME")</f>
        <v>0</v>
      </c>
      <c r="Q68" s="24" t="n">
        <f aca="false">SUMIFS($I$7:$I$256,$B$7:$B$256,L68,$H$7:$H$256,"P6")</f>
        <v>0</v>
      </c>
      <c r="R68" s="24" t="n">
        <f aca="false">IF(N68="Overhead only",O68,IF(AND(N68="Working",P68+Q68&gt;0),MAX(0,O68-P68-Q68),0))</f>
        <v>0</v>
      </c>
      <c r="S68" s="24" t="n">
        <f aca="false">IF(OR(N68="Working",N68="Overhead only"),MAX(0,P68+Q68-O68),0)</f>
        <v>0</v>
      </c>
      <c r="T68" s="24" t="n">
        <f aca="false">P68+Q68+R68</f>
        <v>0</v>
      </c>
      <c r="U68" s="24" t="str">
        <f aca="true">IF(N68="Working",IF(P68+Q68=0,IF(L68&lt;=TODAY(),"Not logged",""),IF(P68+Q68&gt;O68,IF(AllowOT="Yes","Overtime","Over "&amp;O68&amp;" h!"),"✓")),IF(N68="Overhead only","✓ Overhead day",IF(P68+Q68&gt;0,"Entries on "&amp;LOWER(N68)&amp;" day",N68)))</f>
        <v>Weekend</v>
      </c>
      <c r="V68" s="1"/>
      <c r="W68" s="1" t="str">
        <f aca="false">IF(Projects!B66="","",Projects!B66)</f>
        <v/>
      </c>
      <c r="X68" s="1" t="n">
        <f aca="false">IF(W68="",0,SUMIFS($I$7:$I$256,$D$7:$D$256,W68,$H$7:$H$256,"NTIME"))</f>
        <v>0</v>
      </c>
      <c r="Y68" s="1" t="n">
        <f aca="false">IF(W68="",0,SUMIFS($I$7:$I$256,$D$7:$D$256,W68,$H$7:$H$256,"P6"))</f>
        <v>0</v>
      </c>
      <c r="Z68" s="1" t="n">
        <f aca="false">X68+Y68</f>
        <v>0</v>
      </c>
      <c r="AA68" s="1" t="n">
        <f aca="false">IF(Z68&gt;0,Z68+(201-62)/10^6,0)</f>
        <v>0</v>
      </c>
      <c r="AB68" s="1"/>
      <c r="AC68" s="1"/>
      <c r="AD68" s="1"/>
      <c r="AE68" s="1"/>
      <c r="AF68" s="1"/>
      <c r="AG68" s="1"/>
      <c r="AH68" s="1"/>
    </row>
    <row r="69" customFormat="false" ht="15" hidden="false" customHeight="false" outlineLevel="0" collapsed="false">
      <c r="A69" s="1"/>
      <c r="B69" s="10"/>
      <c r="C69" s="31" t="str">
        <f aca="false">IF(B69="","",TEXT(B69,"ddd"))</f>
        <v/>
      </c>
      <c r="D69" s="11"/>
      <c r="E69" s="8" t="str">
        <f aca="false">IF(D69="","",IFERROR(INDEX(ProjNumbers,MATCH(D69,ProjNames,0)),""))</f>
        <v/>
      </c>
      <c r="F69" s="8" t="str">
        <f aca="false">IF(D69="","",IFERROR(INDEX(ProjCodes,MATCH(D69,ProjNames,0)),""))</f>
        <v/>
      </c>
      <c r="G69" s="32"/>
      <c r="H69" s="11"/>
      <c r="I69" s="33"/>
      <c r="J69" s="8" t="str">
        <f aca="false">IF(COUNTA(B69,D69,G69,H69,I69)=0,"",IF(B69="","Enter date",IF(OR(B69&lt;$AC$2,B69&gt;$AC$3),"Date not in January",IF(D69="","Pick project",IF(ISNA(MATCH(D69,ProjNames,0)),"Project not in list",IF(G69="","Add task description",IF(H69="","Pick NTIME or P6",IF(N(I69)&lt;=0,"Enter hours",IF(AND(AllowOT&lt;&gt;"Yes",SUMIF($B$7:$B$256,B69,$I$7:$I$256)&gt;INDEX($O$58:$O$88,DAY(B69))),"Day over "&amp;INDEX($O$58:$O$88,DAY(B69))&amp;" h","✓")))))))))</f>
        <v/>
      </c>
      <c r="K69" s="1"/>
      <c r="L69" s="35" t="n">
        <v>46034</v>
      </c>
      <c r="M69" s="36" t="str">
        <f aca="false">TEXT(L69,"ddd")</f>
        <v>Mon</v>
      </c>
      <c r="N69" s="37" t="s">
        <v>93</v>
      </c>
      <c r="O69" s="37" t="n">
        <f aca="false">AvailHours</f>
        <v>8</v>
      </c>
      <c r="P69" s="24" t="n">
        <f aca="false">SUMIFS($I$7:$I$256,$B$7:$B$256,L69,$H$7:$H$256,"NTIME")</f>
        <v>0</v>
      </c>
      <c r="Q69" s="24" t="n">
        <f aca="false">SUMIFS($I$7:$I$256,$B$7:$B$256,L69,$H$7:$H$256,"P6")</f>
        <v>0</v>
      </c>
      <c r="R69" s="24" t="n">
        <f aca="false">IF(N69="Overhead only",O69,IF(AND(N69="Working",P69+Q69&gt;0),MAX(0,O69-P69-Q69),0))</f>
        <v>0</v>
      </c>
      <c r="S69" s="24" t="n">
        <f aca="false">IF(OR(N69="Working",N69="Overhead only"),MAX(0,P69+Q69-O69),0)</f>
        <v>0</v>
      </c>
      <c r="T69" s="24" t="n">
        <f aca="false">P69+Q69+R69</f>
        <v>0</v>
      </c>
      <c r="U69" s="24" t="str">
        <f aca="true">IF(N69="Working",IF(P69+Q69=0,IF(L69&lt;=TODAY(),"Not logged",""),IF(P69+Q69&gt;O69,IF(AllowOT="Yes","Overtime","Over "&amp;O69&amp;" h!"),"✓")),IF(N69="Overhead only","✓ Overhead day",IF(P69+Q69&gt;0,"Entries on "&amp;LOWER(N69)&amp;" day",N69)))</f>
        <v>Not logged</v>
      </c>
      <c r="V69" s="1"/>
      <c r="W69" s="1" t="str">
        <f aca="false">IF(Projects!B67="","",Projects!B67)</f>
        <v/>
      </c>
      <c r="X69" s="1" t="n">
        <f aca="false">IF(W69="",0,SUMIFS($I$7:$I$256,$D$7:$D$256,W69,$H$7:$H$256,"NTIME"))</f>
        <v>0</v>
      </c>
      <c r="Y69" s="1" t="n">
        <f aca="false">IF(W69="",0,SUMIFS($I$7:$I$256,$D$7:$D$256,W69,$H$7:$H$256,"P6"))</f>
        <v>0</v>
      </c>
      <c r="Z69" s="1" t="n">
        <f aca="false">X69+Y69</f>
        <v>0</v>
      </c>
      <c r="AA69" s="1" t="n">
        <f aca="false">IF(Z69&gt;0,Z69+(201-63)/10^6,0)</f>
        <v>0</v>
      </c>
      <c r="AB69" s="1"/>
      <c r="AC69" s="1"/>
      <c r="AD69" s="1"/>
      <c r="AE69" s="1"/>
      <c r="AF69" s="1"/>
      <c r="AG69" s="1"/>
      <c r="AH69" s="1"/>
    </row>
    <row r="70" customFormat="false" ht="15" hidden="false" customHeight="false" outlineLevel="0" collapsed="false">
      <c r="A70" s="1"/>
      <c r="B70" s="10"/>
      <c r="C70" s="31" t="str">
        <f aca="false">IF(B70="","",TEXT(B70,"ddd"))</f>
        <v/>
      </c>
      <c r="D70" s="11"/>
      <c r="E70" s="8" t="str">
        <f aca="false">IF(D70="","",IFERROR(INDEX(ProjNumbers,MATCH(D70,ProjNames,0)),""))</f>
        <v/>
      </c>
      <c r="F70" s="8" t="str">
        <f aca="false">IF(D70="","",IFERROR(INDEX(ProjCodes,MATCH(D70,ProjNames,0)),""))</f>
        <v/>
      </c>
      <c r="G70" s="32"/>
      <c r="H70" s="11"/>
      <c r="I70" s="33"/>
      <c r="J70" s="8" t="str">
        <f aca="false">IF(COUNTA(B70,D70,G70,H70,I70)=0,"",IF(B70="","Enter date",IF(OR(B70&lt;$AC$2,B70&gt;$AC$3),"Date not in January",IF(D70="","Pick project",IF(ISNA(MATCH(D70,ProjNames,0)),"Project not in list",IF(G70="","Add task description",IF(H70="","Pick NTIME or P6",IF(N(I70)&lt;=0,"Enter hours",IF(AND(AllowOT&lt;&gt;"Yes",SUMIF($B$7:$B$256,B70,$I$7:$I$256)&gt;INDEX($O$58:$O$88,DAY(B70))),"Day over "&amp;INDEX($O$58:$O$88,DAY(B70))&amp;" h","✓")))))))))</f>
        <v/>
      </c>
      <c r="K70" s="1"/>
      <c r="L70" s="35" t="n">
        <v>46035</v>
      </c>
      <c r="M70" s="36" t="str">
        <f aca="false">TEXT(L70,"ddd")</f>
        <v>Tue</v>
      </c>
      <c r="N70" s="37" t="s">
        <v>93</v>
      </c>
      <c r="O70" s="37" t="n">
        <f aca="false">AvailHours</f>
        <v>8</v>
      </c>
      <c r="P70" s="24" t="n">
        <f aca="false">SUMIFS($I$7:$I$256,$B$7:$B$256,L70,$H$7:$H$256,"NTIME")</f>
        <v>0</v>
      </c>
      <c r="Q70" s="24" t="n">
        <f aca="false">SUMIFS($I$7:$I$256,$B$7:$B$256,L70,$H$7:$H$256,"P6")</f>
        <v>0</v>
      </c>
      <c r="R70" s="24" t="n">
        <f aca="false">IF(N70="Overhead only",O70,IF(AND(N70="Working",P70+Q70&gt;0),MAX(0,O70-P70-Q70),0))</f>
        <v>0</v>
      </c>
      <c r="S70" s="24" t="n">
        <f aca="false">IF(OR(N70="Working",N70="Overhead only"),MAX(0,P70+Q70-O70),0)</f>
        <v>0</v>
      </c>
      <c r="T70" s="24" t="n">
        <f aca="false">P70+Q70+R70</f>
        <v>0</v>
      </c>
      <c r="U70" s="24" t="str">
        <f aca="true">IF(N70="Working",IF(P70+Q70=0,IF(L70&lt;=TODAY(),"Not logged",""),IF(P70+Q70&gt;O70,IF(AllowOT="Yes","Overtime","Over "&amp;O70&amp;" h!"),"✓")),IF(N70="Overhead only","✓ Overhead day",IF(P70+Q70&gt;0,"Entries on "&amp;LOWER(N70)&amp;" day",N70)))</f>
        <v>Not logged</v>
      </c>
      <c r="V70" s="1"/>
      <c r="W70" s="1" t="str">
        <f aca="false">IF(Projects!B68="","",Projects!B68)</f>
        <v/>
      </c>
      <c r="X70" s="1" t="n">
        <f aca="false">IF(W70="",0,SUMIFS($I$7:$I$256,$D$7:$D$256,W70,$H$7:$H$256,"NTIME"))</f>
        <v>0</v>
      </c>
      <c r="Y70" s="1" t="n">
        <f aca="false">IF(W70="",0,SUMIFS($I$7:$I$256,$D$7:$D$256,W70,$H$7:$H$256,"P6"))</f>
        <v>0</v>
      </c>
      <c r="Z70" s="1" t="n">
        <f aca="false">X70+Y70</f>
        <v>0</v>
      </c>
      <c r="AA70" s="1" t="n">
        <f aca="false">IF(Z70&gt;0,Z70+(201-64)/10^6,0)</f>
        <v>0</v>
      </c>
      <c r="AB70" s="1"/>
      <c r="AC70" s="1"/>
      <c r="AD70" s="1"/>
      <c r="AE70" s="1"/>
      <c r="AF70" s="1"/>
      <c r="AG70" s="1"/>
      <c r="AH70" s="1"/>
    </row>
    <row r="71" customFormat="false" ht="15" hidden="false" customHeight="false" outlineLevel="0" collapsed="false">
      <c r="A71" s="1"/>
      <c r="B71" s="10"/>
      <c r="C71" s="31" t="str">
        <f aca="false">IF(B71="","",TEXT(B71,"ddd"))</f>
        <v/>
      </c>
      <c r="D71" s="11"/>
      <c r="E71" s="8" t="str">
        <f aca="false">IF(D71="","",IFERROR(INDEX(ProjNumbers,MATCH(D71,ProjNames,0)),""))</f>
        <v/>
      </c>
      <c r="F71" s="8" t="str">
        <f aca="false">IF(D71="","",IFERROR(INDEX(ProjCodes,MATCH(D71,ProjNames,0)),""))</f>
        <v/>
      </c>
      <c r="G71" s="32"/>
      <c r="H71" s="11"/>
      <c r="I71" s="33"/>
      <c r="J71" s="8" t="str">
        <f aca="false">IF(COUNTA(B71,D71,G71,H71,I71)=0,"",IF(B71="","Enter date",IF(OR(B71&lt;$AC$2,B71&gt;$AC$3),"Date not in January",IF(D71="","Pick project",IF(ISNA(MATCH(D71,ProjNames,0)),"Project not in list",IF(G71="","Add task description",IF(H71="","Pick NTIME or P6",IF(N(I71)&lt;=0,"Enter hours",IF(AND(AllowOT&lt;&gt;"Yes",SUMIF($B$7:$B$256,B71,$I$7:$I$256)&gt;INDEX($O$58:$O$88,DAY(B71))),"Day over "&amp;INDEX($O$58:$O$88,DAY(B71))&amp;" h","✓")))))))))</f>
        <v/>
      </c>
      <c r="K71" s="1"/>
      <c r="L71" s="35" t="n">
        <v>46036</v>
      </c>
      <c r="M71" s="36" t="str">
        <f aca="false">TEXT(L71,"ddd")</f>
        <v>Wed</v>
      </c>
      <c r="N71" s="37" t="s">
        <v>93</v>
      </c>
      <c r="O71" s="37" t="n">
        <f aca="false">AvailHours</f>
        <v>8</v>
      </c>
      <c r="P71" s="24" t="n">
        <f aca="false">SUMIFS($I$7:$I$256,$B$7:$B$256,L71,$H$7:$H$256,"NTIME")</f>
        <v>0</v>
      </c>
      <c r="Q71" s="24" t="n">
        <f aca="false">SUMIFS($I$7:$I$256,$B$7:$B$256,L71,$H$7:$H$256,"P6")</f>
        <v>0</v>
      </c>
      <c r="R71" s="24" t="n">
        <f aca="false">IF(N71="Overhead only",O71,IF(AND(N71="Working",P71+Q71&gt;0),MAX(0,O71-P71-Q71),0))</f>
        <v>0</v>
      </c>
      <c r="S71" s="24" t="n">
        <f aca="false">IF(OR(N71="Working",N71="Overhead only"),MAX(0,P71+Q71-O71),0)</f>
        <v>0</v>
      </c>
      <c r="T71" s="24" t="n">
        <f aca="false">P71+Q71+R71</f>
        <v>0</v>
      </c>
      <c r="U71" s="24" t="str">
        <f aca="true">IF(N71="Working",IF(P71+Q71=0,IF(L71&lt;=TODAY(),"Not logged",""),IF(P71+Q71&gt;O71,IF(AllowOT="Yes","Overtime","Over "&amp;O71&amp;" h!"),"✓")),IF(N71="Overhead only","✓ Overhead day",IF(P71+Q71&gt;0,"Entries on "&amp;LOWER(N71)&amp;" day",N71)))</f>
        <v>Not logged</v>
      </c>
      <c r="V71" s="1"/>
      <c r="W71" s="1" t="str">
        <f aca="false">IF(Projects!B69="","",Projects!B69)</f>
        <v/>
      </c>
      <c r="X71" s="1" t="n">
        <f aca="false">IF(W71="",0,SUMIFS($I$7:$I$256,$D$7:$D$256,W71,$H$7:$H$256,"NTIME"))</f>
        <v>0</v>
      </c>
      <c r="Y71" s="1" t="n">
        <f aca="false">IF(W71="",0,SUMIFS($I$7:$I$256,$D$7:$D$256,W71,$H$7:$H$256,"P6"))</f>
        <v>0</v>
      </c>
      <c r="Z71" s="1" t="n">
        <f aca="false">X71+Y71</f>
        <v>0</v>
      </c>
      <c r="AA71" s="1" t="n">
        <f aca="false">IF(Z71&gt;0,Z71+(201-65)/10^6,0)</f>
        <v>0</v>
      </c>
      <c r="AB71" s="1"/>
      <c r="AC71" s="1"/>
      <c r="AD71" s="1"/>
      <c r="AE71" s="1"/>
      <c r="AF71" s="1"/>
      <c r="AG71" s="1"/>
      <c r="AH71" s="1"/>
    </row>
    <row r="72" customFormat="false" ht="15" hidden="false" customHeight="false" outlineLevel="0" collapsed="false">
      <c r="A72" s="1"/>
      <c r="B72" s="10"/>
      <c r="C72" s="31" t="str">
        <f aca="false">IF(B72="","",TEXT(B72,"ddd"))</f>
        <v/>
      </c>
      <c r="D72" s="11"/>
      <c r="E72" s="8" t="str">
        <f aca="false">IF(D72="","",IFERROR(INDEX(ProjNumbers,MATCH(D72,ProjNames,0)),""))</f>
        <v/>
      </c>
      <c r="F72" s="8" t="str">
        <f aca="false">IF(D72="","",IFERROR(INDEX(ProjCodes,MATCH(D72,ProjNames,0)),""))</f>
        <v/>
      </c>
      <c r="G72" s="32"/>
      <c r="H72" s="11"/>
      <c r="I72" s="33"/>
      <c r="J72" s="8" t="str">
        <f aca="false">IF(COUNTA(B72,D72,G72,H72,I72)=0,"",IF(B72="","Enter date",IF(OR(B72&lt;$AC$2,B72&gt;$AC$3),"Date not in January",IF(D72="","Pick project",IF(ISNA(MATCH(D72,ProjNames,0)),"Project not in list",IF(G72="","Add task description",IF(H72="","Pick NTIME or P6",IF(N(I72)&lt;=0,"Enter hours",IF(AND(AllowOT&lt;&gt;"Yes",SUMIF($B$7:$B$256,B72,$I$7:$I$256)&gt;INDEX($O$58:$O$88,DAY(B72))),"Day over "&amp;INDEX($O$58:$O$88,DAY(B72))&amp;" h","✓")))))))))</f>
        <v/>
      </c>
      <c r="K72" s="1"/>
      <c r="L72" s="35" t="n">
        <v>46037</v>
      </c>
      <c r="M72" s="36" t="str">
        <f aca="false">TEXT(L72,"ddd")</f>
        <v>Thu</v>
      </c>
      <c r="N72" s="37" t="s">
        <v>93</v>
      </c>
      <c r="O72" s="37" t="n">
        <f aca="false">AvailHours</f>
        <v>8</v>
      </c>
      <c r="P72" s="24" t="n">
        <f aca="false">SUMIFS($I$7:$I$256,$B$7:$B$256,L72,$H$7:$H$256,"NTIME")</f>
        <v>0</v>
      </c>
      <c r="Q72" s="24" t="n">
        <f aca="false">SUMIFS($I$7:$I$256,$B$7:$B$256,L72,$H$7:$H$256,"P6")</f>
        <v>0</v>
      </c>
      <c r="R72" s="24" t="n">
        <f aca="false">IF(N72="Overhead only",O72,IF(AND(N72="Working",P72+Q72&gt;0),MAX(0,O72-P72-Q72),0))</f>
        <v>0</v>
      </c>
      <c r="S72" s="24" t="n">
        <f aca="false">IF(OR(N72="Working",N72="Overhead only"),MAX(0,P72+Q72-O72),0)</f>
        <v>0</v>
      </c>
      <c r="T72" s="24" t="n">
        <f aca="false">P72+Q72+R72</f>
        <v>0</v>
      </c>
      <c r="U72" s="24" t="str">
        <f aca="true">IF(N72="Working",IF(P72+Q72=0,IF(L72&lt;=TODAY(),"Not logged",""),IF(P72+Q72&gt;O72,IF(AllowOT="Yes","Overtime","Over "&amp;O72&amp;" h!"),"✓")),IF(N72="Overhead only","✓ Overhead day",IF(P72+Q72&gt;0,"Entries on "&amp;LOWER(N72)&amp;" day",N72)))</f>
        <v>Not logged</v>
      </c>
      <c r="V72" s="1"/>
      <c r="W72" s="1" t="str">
        <f aca="false">IF(Projects!B70="","",Projects!B70)</f>
        <v/>
      </c>
      <c r="X72" s="1" t="n">
        <f aca="false">IF(W72="",0,SUMIFS($I$7:$I$256,$D$7:$D$256,W72,$H$7:$H$256,"NTIME"))</f>
        <v>0</v>
      </c>
      <c r="Y72" s="1" t="n">
        <f aca="false">IF(W72="",0,SUMIFS($I$7:$I$256,$D$7:$D$256,W72,$H$7:$H$256,"P6"))</f>
        <v>0</v>
      </c>
      <c r="Z72" s="1" t="n">
        <f aca="false">X72+Y72</f>
        <v>0</v>
      </c>
      <c r="AA72" s="1" t="n">
        <f aca="false">IF(Z72&gt;0,Z72+(201-66)/10^6,0)</f>
        <v>0</v>
      </c>
      <c r="AB72" s="1"/>
      <c r="AC72" s="1"/>
      <c r="AD72" s="1"/>
      <c r="AE72" s="1"/>
      <c r="AF72" s="1"/>
      <c r="AG72" s="1"/>
      <c r="AH72" s="1"/>
    </row>
    <row r="73" customFormat="false" ht="15" hidden="false" customHeight="false" outlineLevel="0" collapsed="false">
      <c r="A73" s="1"/>
      <c r="B73" s="10"/>
      <c r="C73" s="31" t="str">
        <f aca="false">IF(B73="","",TEXT(B73,"ddd"))</f>
        <v/>
      </c>
      <c r="D73" s="11"/>
      <c r="E73" s="8" t="str">
        <f aca="false">IF(D73="","",IFERROR(INDEX(ProjNumbers,MATCH(D73,ProjNames,0)),""))</f>
        <v/>
      </c>
      <c r="F73" s="8" t="str">
        <f aca="false">IF(D73="","",IFERROR(INDEX(ProjCodes,MATCH(D73,ProjNames,0)),""))</f>
        <v/>
      </c>
      <c r="G73" s="32"/>
      <c r="H73" s="11"/>
      <c r="I73" s="33"/>
      <c r="J73" s="8" t="str">
        <f aca="false">IF(COUNTA(B73,D73,G73,H73,I73)=0,"",IF(B73="","Enter date",IF(OR(B73&lt;$AC$2,B73&gt;$AC$3),"Date not in January",IF(D73="","Pick project",IF(ISNA(MATCH(D73,ProjNames,0)),"Project not in list",IF(G73="","Add task description",IF(H73="","Pick NTIME or P6",IF(N(I73)&lt;=0,"Enter hours",IF(AND(AllowOT&lt;&gt;"Yes",SUMIF($B$7:$B$256,B73,$I$7:$I$256)&gt;INDEX($O$58:$O$88,DAY(B73))),"Day over "&amp;INDEX($O$58:$O$88,DAY(B73))&amp;" h","✓")))))))))</f>
        <v/>
      </c>
      <c r="K73" s="1"/>
      <c r="L73" s="35" t="n">
        <v>46038</v>
      </c>
      <c r="M73" s="36" t="str">
        <f aca="false">TEXT(L73,"ddd")</f>
        <v>Fri</v>
      </c>
      <c r="N73" s="37" t="s">
        <v>93</v>
      </c>
      <c r="O73" s="37" t="n">
        <f aca="false">AvailHours</f>
        <v>8</v>
      </c>
      <c r="P73" s="24" t="n">
        <f aca="false">SUMIFS($I$7:$I$256,$B$7:$B$256,L73,$H$7:$H$256,"NTIME")</f>
        <v>0</v>
      </c>
      <c r="Q73" s="24" t="n">
        <f aca="false">SUMIFS($I$7:$I$256,$B$7:$B$256,L73,$H$7:$H$256,"P6")</f>
        <v>0</v>
      </c>
      <c r="R73" s="24" t="n">
        <f aca="false">IF(N73="Overhead only",O73,IF(AND(N73="Working",P73+Q73&gt;0),MAX(0,O73-P73-Q73),0))</f>
        <v>0</v>
      </c>
      <c r="S73" s="24" t="n">
        <f aca="false">IF(OR(N73="Working",N73="Overhead only"),MAX(0,P73+Q73-O73),0)</f>
        <v>0</v>
      </c>
      <c r="T73" s="24" t="n">
        <f aca="false">P73+Q73+R73</f>
        <v>0</v>
      </c>
      <c r="U73" s="24" t="str">
        <f aca="true">IF(N73="Working",IF(P73+Q73=0,IF(L73&lt;=TODAY(),"Not logged",""),IF(P73+Q73&gt;O73,IF(AllowOT="Yes","Overtime","Over "&amp;O73&amp;" h!"),"✓")),IF(N73="Overhead only","✓ Overhead day",IF(P73+Q73&gt;0,"Entries on "&amp;LOWER(N73)&amp;" day",N73)))</f>
        <v>Not logged</v>
      </c>
      <c r="V73" s="1"/>
      <c r="W73" s="1" t="str">
        <f aca="false">IF(Projects!B71="","",Projects!B71)</f>
        <v/>
      </c>
      <c r="X73" s="1" t="n">
        <f aca="false">IF(W73="",0,SUMIFS($I$7:$I$256,$D$7:$D$256,W73,$H$7:$H$256,"NTIME"))</f>
        <v>0</v>
      </c>
      <c r="Y73" s="1" t="n">
        <f aca="false">IF(W73="",0,SUMIFS($I$7:$I$256,$D$7:$D$256,W73,$H$7:$H$256,"P6"))</f>
        <v>0</v>
      </c>
      <c r="Z73" s="1" t="n">
        <f aca="false">X73+Y73</f>
        <v>0</v>
      </c>
      <c r="AA73" s="1" t="n">
        <f aca="false">IF(Z73&gt;0,Z73+(201-67)/10^6,0)</f>
        <v>0</v>
      </c>
      <c r="AB73" s="1"/>
      <c r="AC73" s="1"/>
      <c r="AD73" s="1"/>
      <c r="AE73" s="1"/>
      <c r="AF73" s="1"/>
      <c r="AG73" s="1"/>
      <c r="AH73" s="1"/>
    </row>
    <row r="74" customFormat="false" ht="15" hidden="false" customHeight="false" outlineLevel="0" collapsed="false">
      <c r="A74" s="1"/>
      <c r="B74" s="10"/>
      <c r="C74" s="31" t="str">
        <f aca="false">IF(B74="","",TEXT(B74,"ddd"))</f>
        <v/>
      </c>
      <c r="D74" s="11"/>
      <c r="E74" s="8" t="str">
        <f aca="false">IF(D74="","",IFERROR(INDEX(ProjNumbers,MATCH(D74,ProjNames,0)),""))</f>
        <v/>
      </c>
      <c r="F74" s="8" t="str">
        <f aca="false">IF(D74="","",IFERROR(INDEX(ProjCodes,MATCH(D74,ProjNames,0)),""))</f>
        <v/>
      </c>
      <c r="G74" s="32"/>
      <c r="H74" s="11"/>
      <c r="I74" s="33"/>
      <c r="J74" s="8" t="str">
        <f aca="false">IF(COUNTA(B74,D74,G74,H74,I74)=0,"",IF(B74="","Enter date",IF(OR(B74&lt;$AC$2,B74&gt;$AC$3),"Date not in January",IF(D74="","Pick project",IF(ISNA(MATCH(D74,ProjNames,0)),"Project not in list",IF(G74="","Add task description",IF(H74="","Pick NTIME or P6",IF(N(I74)&lt;=0,"Enter hours",IF(AND(AllowOT&lt;&gt;"Yes",SUMIF($B$7:$B$256,B74,$I$7:$I$256)&gt;INDEX($O$58:$O$88,DAY(B74))),"Day over "&amp;INDEX($O$58:$O$88,DAY(B74))&amp;" h","✓")))))))))</f>
        <v/>
      </c>
      <c r="K74" s="1"/>
      <c r="L74" s="35" t="n">
        <v>46039</v>
      </c>
      <c r="M74" s="36" t="str">
        <f aca="false">TEXT(L74,"ddd")</f>
        <v>Sat</v>
      </c>
      <c r="N74" s="37" t="s">
        <v>94</v>
      </c>
      <c r="O74" s="37" t="n">
        <f aca="false">AvailHours</f>
        <v>8</v>
      </c>
      <c r="P74" s="24" t="n">
        <f aca="false">SUMIFS($I$7:$I$256,$B$7:$B$256,L74,$H$7:$H$256,"NTIME")</f>
        <v>0</v>
      </c>
      <c r="Q74" s="24" t="n">
        <f aca="false">SUMIFS($I$7:$I$256,$B$7:$B$256,L74,$H$7:$H$256,"P6")</f>
        <v>0</v>
      </c>
      <c r="R74" s="24" t="n">
        <f aca="false">IF(N74="Overhead only",O74,IF(AND(N74="Working",P74+Q74&gt;0),MAX(0,O74-P74-Q74),0))</f>
        <v>0</v>
      </c>
      <c r="S74" s="24" t="n">
        <f aca="false">IF(OR(N74="Working",N74="Overhead only"),MAX(0,P74+Q74-O74),0)</f>
        <v>0</v>
      </c>
      <c r="T74" s="24" t="n">
        <f aca="false">P74+Q74+R74</f>
        <v>0</v>
      </c>
      <c r="U74" s="24" t="str">
        <f aca="true">IF(N74="Working",IF(P74+Q74=0,IF(L74&lt;=TODAY(),"Not logged",""),IF(P74+Q74&gt;O74,IF(AllowOT="Yes","Overtime","Over "&amp;O74&amp;" h!"),"✓")),IF(N74="Overhead only","✓ Overhead day",IF(P74+Q74&gt;0,"Entries on "&amp;LOWER(N74)&amp;" day",N74)))</f>
        <v>Weekend</v>
      </c>
      <c r="V74" s="1"/>
      <c r="W74" s="1" t="str">
        <f aca="false">IF(Projects!B72="","",Projects!B72)</f>
        <v/>
      </c>
      <c r="X74" s="1" t="n">
        <f aca="false">IF(W74="",0,SUMIFS($I$7:$I$256,$D$7:$D$256,W74,$H$7:$H$256,"NTIME"))</f>
        <v>0</v>
      </c>
      <c r="Y74" s="1" t="n">
        <f aca="false">IF(W74="",0,SUMIFS($I$7:$I$256,$D$7:$D$256,W74,$H$7:$H$256,"P6"))</f>
        <v>0</v>
      </c>
      <c r="Z74" s="1" t="n">
        <f aca="false">X74+Y74</f>
        <v>0</v>
      </c>
      <c r="AA74" s="1" t="n">
        <f aca="false">IF(Z74&gt;0,Z74+(201-68)/10^6,0)</f>
        <v>0</v>
      </c>
      <c r="AB74" s="1"/>
      <c r="AC74" s="1"/>
      <c r="AD74" s="1"/>
      <c r="AE74" s="1"/>
      <c r="AF74" s="1"/>
      <c r="AG74" s="1"/>
      <c r="AH74" s="1"/>
    </row>
    <row r="75" customFormat="false" ht="15" hidden="false" customHeight="false" outlineLevel="0" collapsed="false">
      <c r="A75" s="1"/>
      <c r="B75" s="10"/>
      <c r="C75" s="31" t="str">
        <f aca="false">IF(B75="","",TEXT(B75,"ddd"))</f>
        <v/>
      </c>
      <c r="D75" s="11"/>
      <c r="E75" s="8" t="str">
        <f aca="false">IF(D75="","",IFERROR(INDEX(ProjNumbers,MATCH(D75,ProjNames,0)),""))</f>
        <v/>
      </c>
      <c r="F75" s="8" t="str">
        <f aca="false">IF(D75="","",IFERROR(INDEX(ProjCodes,MATCH(D75,ProjNames,0)),""))</f>
        <v/>
      </c>
      <c r="G75" s="32"/>
      <c r="H75" s="11"/>
      <c r="I75" s="33"/>
      <c r="J75" s="8" t="str">
        <f aca="false">IF(COUNTA(B75,D75,G75,H75,I75)=0,"",IF(B75="","Enter date",IF(OR(B75&lt;$AC$2,B75&gt;$AC$3),"Date not in January",IF(D75="","Pick project",IF(ISNA(MATCH(D75,ProjNames,0)),"Project not in list",IF(G75="","Add task description",IF(H75="","Pick NTIME or P6",IF(N(I75)&lt;=0,"Enter hours",IF(AND(AllowOT&lt;&gt;"Yes",SUMIF($B$7:$B$256,B75,$I$7:$I$256)&gt;INDEX($O$58:$O$88,DAY(B75))),"Day over "&amp;INDEX($O$58:$O$88,DAY(B75))&amp;" h","✓")))))))))</f>
        <v/>
      </c>
      <c r="K75" s="1"/>
      <c r="L75" s="35" t="n">
        <v>46040</v>
      </c>
      <c r="M75" s="36" t="str">
        <f aca="false">TEXT(L75,"ddd")</f>
        <v>Sun</v>
      </c>
      <c r="N75" s="37" t="s">
        <v>94</v>
      </c>
      <c r="O75" s="37" t="n">
        <f aca="false">AvailHours</f>
        <v>8</v>
      </c>
      <c r="P75" s="24" t="n">
        <f aca="false">SUMIFS($I$7:$I$256,$B$7:$B$256,L75,$H$7:$H$256,"NTIME")</f>
        <v>0</v>
      </c>
      <c r="Q75" s="24" t="n">
        <f aca="false">SUMIFS($I$7:$I$256,$B$7:$B$256,L75,$H$7:$H$256,"P6")</f>
        <v>0</v>
      </c>
      <c r="R75" s="24" t="n">
        <f aca="false">IF(N75="Overhead only",O75,IF(AND(N75="Working",P75+Q75&gt;0),MAX(0,O75-P75-Q75),0))</f>
        <v>0</v>
      </c>
      <c r="S75" s="24" t="n">
        <f aca="false">IF(OR(N75="Working",N75="Overhead only"),MAX(0,P75+Q75-O75),0)</f>
        <v>0</v>
      </c>
      <c r="T75" s="24" t="n">
        <f aca="false">P75+Q75+R75</f>
        <v>0</v>
      </c>
      <c r="U75" s="24" t="str">
        <f aca="true">IF(N75="Working",IF(P75+Q75=0,IF(L75&lt;=TODAY(),"Not logged",""),IF(P75+Q75&gt;O75,IF(AllowOT="Yes","Overtime","Over "&amp;O75&amp;" h!"),"✓")),IF(N75="Overhead only","✓ Overhead day",IF(P75+Q75&gt;0,"Entries on "&amp;LOWER(N75)&amp;" day",N75)))</f>
        <v>Weekend</v>
      </c>
      <c r="V75" s="1"/>
      <c r="W75" s="1" t="str">
        <f aca="false">IF(Projects!B73="","",Projects!B73)</f>
        <v/>
      </c>
      <c r="X75" s="1" t="n">
        <f aca="false">IF(W75="",0,SUMIFS($I$7:$I$256,$D$7:$D$256,W75,$H$7:$H$256,"NTIME"))</f>
        <v>0</v>
      </c>
      <c r="Y75" s="1" t="n">
        <f aca="false">IF(W75="",0,SUMIFS($I$7:$I$256,$D$7:$D$256,W75,$H$7:$H$256,"P6"))</f>
        <v>0</v>
      </c>
      <c r="Z75" s="1" t="n">
        <f aca="false">X75+Y75</f>
        <v>0</v>
      </c>
      <c r="AA75" s="1" t="n">
        <f aca="false">IF(Z75&gt;0,Z75+(201-69)/10^6,0)</f>
        <v>0</v>
      </c>
      <c r="AB75" s="1"/>
      <c r="AC75" s="1"/>
      <c r="AD75" s="1"/>
      <c r="AE75" s="1"/>
      <c r="AF75" s="1"/>
      <c r="AG75" s="1"/>
      <c r="AH75" s="1"/>
    </row>
    <row r="76" customFormat="false" ht="15" hidden="false" customHeight="false" outlineLevel="0" collapsed="false">
      <c r="A76" s="1"/>
      <c r="B76" s="10"/>
      <c r="C76" s="31" t="str">
        <f aca="false">IF(B76="","",TEXT(B76,"ddd"))</f>
        <v/>
      </c>
      <c r="D76" s="11"/>
      <c r="E76" s="8" t="str">
        <f aca="false">IF(D76="","",IFERROR(INDEX(ProjNumbers,MATCH(D76,ProjNames,0)),""))</f>
        <v/>
      </c>
      <c r="F76" s="8" t="str">
        <f aca="false">IF(D76="","",IFERROR(INDEX(ProjCodes,MATCH(D76,ProjNames,0)),""))</f>
        <v/>
      </c>
      <c r="G76" s="32"/>
      <c r="H76" s="11"/>
      <c r="I76" s="33"/>
      <c r="J76" s="8" t="str">
        <f aca="false">IF(COUNTA(B76,D76,G76,H76,I76)=0,"",IF(B76="","Enter date",IF(OR(B76&lt;$AC$2,B76&gt;$AC$3),"Date not in January",IF(D76="","Pick project",IF(ISNA(MATCH(D76,ProjNames,0)),"Project not in list",IF(G76="","Add task description",IF(H76="","Pick NTIME or P6",IF(N(I76)&lt;=0,"Enter hours",IF(AND(AllowOT&lt;&gt;"Yes",SUMIF($B$7:$B$256,B76,$I$7:$I$256)&gt;INDEX($O$58:$O$88,DAY(B76))),"Day over "&amp;INDEX($O$58:$O$88,DAY(B76))&amp;" h","✓")))))))))</f>
        <v/>
      </c>
      <c r="K76" s="1"/>
      <c r="L76" s="35" t="n">
        <v>46041</v>
      </c>
      <c r="M76" s="36" t="str">
        <f aca="false">TEXT(L76,"ddd")</f>
        <v>Mon</v>
      </c>
      <c r="N76" s="37" t="s">
        <v>93</v>
      </c>
      <c r="O76" s="37" t="n">
        <f aca="false">AvailHours</f>
        <v>8</v>
      </c>
      <c r="P76" s="24" t="n">
        <f aca="false">SUMIFS($I$7:$I$256,$B$7:$B$256,L76,$H$7:$H$256,"NTIME")</f>
        <v>0</v>
      </c>
      <c r="Q76" s="24" t="n">
        <f aca="false">SUMIFS($I$7:$I$256,$B$7:$B$256,L76,$H$7:$H$256,"P6")</f>
        <v>0</v>
      </c>
      <c r="R76" s="24" t="n">
        <f aca="false">IF(N76="Overhead only",O76,IF(AND(N76="Working",P76+Q76&gt;0),MAX(0,O76-P76-Q76),0))</f>
        <v>0</v>
      </c>
      <c r="S76" s="24" t="n">
        <f aca="false">IF(OR(N76="Working",N76="Overhead only"),MAX(0,P76+Q76-O76),0)</f>
        <v>0</v>
      </c>
      <c r="T76" s="24" t="n">
        <f aca="false">P76+Q76+R76</f>
        <v>0</v>
      </c>
      <c r="U76" s="24" t="str">
        <f aca="true">IF(N76="Working",IF(P76+Q76=0,IF(L76&lt;=TODAY(),"Not logged",""),IF(P76+Q76&gt;O76,IF(AllowOT="Yes","Overtime","Over "&amp;O76&amp;" h!"),"✓")),IF(N76="Overhead only","✓ Overhead day",IF(P76+Q76&gt;0,"Entries on "&amp;LOWER(N76)&amp;" day",N76)))</f>
        <v>Not logged</v>
      </c>
      <c r="V76" s="1"/>
      <c r="W76" s="1" t="str">
        <f aca="false">IF(Projects!B74="","",Projects!B74)</f>
        <v/>
      </c>
      <c r="X76" s="1" t="n">
        <f aca="false">IF(W76="",0,SUMIFS($I$7:$I$256,$D$7:$D$256,W76,$H$7:$H$256,"NTIME"))</f>
        <v>0</v>
      </c>
      <c r="Y76" s="1" t="n">
        <f aca="false">IF(W76="",0,SUMIFS($I$7:$I$256,$D$7:$D$256,W76,$H$7:$H$256,"P6"))</f>
        <v>0</v>
      </c>
      <c r="Z76" s="1" t="n">
        <f aca="false">X76+Y76</f>
        <v>0</v>
      </c>
      <c r="AA76" s="1" t="n">
        <f aca="false">IF(Z76&gt;0,Z76+(201-70)/10^6,0)</f>
        <v>0</v>
      </c>
      <c r="AB76" s="1"/>
      <c r="AC76" s="1"/>
      <c r="AD76" s="1"/>
      <c r="AE76" s="1"/>
      <c r="AF76" s="1"/>
      <c r="AG76" s="1"/>
      <c r="AH76" s="1"/>
    </row>
    <row r="77" customFormat="false" ht="15" hidden="false" customHeight="false" outlineLevel="0" collapsed="false">
      <c r="A77" s="1"/>
      <c r="B77" s="10"/>
      <c r="C77" s="31" t="str">
        <f aca="false">IF(B77="","",TEXT(B77,"ddd"))</f>
        <v/>
      </c>
      <c r="D77" s="11"/>
      <c r="E77" s="8" t="str">
        <f aca="false">IF(D77="","",IFERROR(INDEX(ProjNumbers,MATCH(D77,ProjNames,0)),""))</f>
        <v/>
      </c>
      <c r="F77" s="8" t="str">
        <f aca="false">IF(D77="","",IFERROR(INDEX(ProjCodes,MATCH(D77,ProjNames,0)),""))</f>
        <v/>
      </c>
      <c r="G77" s="32"/>
      <c r="H77" s="11"/>
      <c r="I77" s="33"/>
      <c r="J77" s="8" t="str">
        <f aca="false">IF(COUNTA(B77,D77,G77,H77,I77)=0,"",IF(B77="","Enter date",IF(OR(B77&lt;$AC$2,B77&gt;$AC$3),"Date not in January",IF(D77="","Pick project",IF(ISNA(MATCH(D77,ProjNames,0)),"Project not in list",IF(G77="","Add task description",IF(H77="","Pick NTIME or P6",IF(N(I77)&lt;=0,"Enter hours",IF(AND(AllowOT&lt;&gt;"Yes",SUMIF($B$7:$B$256,B77,$I$7:$I$256)&gt;INDEX($O$58:$O$88,DAY(B77))),"Day over "&amp;INDEX($O$58:$O$88,DAY(B77))&amp;" h","✓")))))))))</f>
        <v/>
      </c>
      <c r="K77" s="1"/>
      <c r="L77" s="35" t="n">
        <v>46042</v>
      </c>
      <c r="M77" s="36" t="str">
        <f aca="false">TEXT(L77,"ddd")</f>
        <v>Tue</v>
      </c>
      <c r="N77" s="37" t="s">
        <v>93</v>
      </c>
      <c r="O77" s="37" t="n">
        <f aca="false">AvailHours</f>
        <v>8</v>
      </c>
      <c r="P77" s="24" t="n">
        <f aca="false">SUMIFS($I$7:$I$256,$B$7:$B$256,L77,$H$7:$H$256,"NTIME")</f>
        <v>0</v>
      </c>
      <c r="Q77" s="24" t="n">
        <f aca="false">SUMIFS($I$7:$I$256,$B$7:$B$256,L77,$H$7:$H$256,"P6")</f>
        <v>0</v>
      </c>
      <c r="R77" s="24" t="n">
        <f aca="false">IF(N77="Overhead only",O77,IF(AND(N77="Working",P77+Q77&gt;0),MAX(0,O77-P77-Q77),0))</f>
        <v>0</v>
      </c>
      <c r="S77" s="24" t="n">
        <f aca="false">IF(OR(N77="Working",N77="Overhead only"),MAX(0,P77+Q77-O77),0)</f>
        <v>0</v>
      </c>
      <c r="T77" s="24" t="n">
        <f aca="false">P77+Q77+R77</f>
        <v>0</v>
      </c>
      <c r="U77" s="24" t="str">
        <f aca="true">IF(N77="Working",IF(P77+Q77=0,IF(L77&lt;=TODAY(),"Not logged",""),IF(P77+Q77&gt;O77,IF(AllowOT="Yes","Overtime","Over "&amp;O77&amp;" h!"),"✓")),IF(N77="Overhead only","✓ Overhead day",IF(P77+Q77&gt;0,"Entries on "&amp;LOWER(N77)&amp;" day",N77)))</f>
        <v>Not logged</v>
      </c>
      <c r="V77" s="1"/>
      <c r="W77" s="1" t="str">
        <f aca="false">IF(Projects!B75="","",Projects!B75)</f>
        <v/>
      </c>
      <c r="X77" s="1" t="n">
        <f aca="false">IF(W77="",0,SUMIFS($I$7:$I$256,$D$7:$D$256,W77,$H$7:$H$256,"NTIME"))</f>
        <v>0</v>
      </c>
      <c r="Y77" s="1" t="n">
        <f aca="false">IF(W77="",0,SUMIFS($I$7:$I$256,$D$7:$D$256,W77,$H$7:$H$256,"P6"))</f>
        <v>0</v>
      </c>
      <c r="Z77" s="1" t="n">
        <f aca="false">X77+Y77</f>
        <v>0</v>
      </c>
      <c r="AA77" s="1" t="n">
        <f aca="false">IF(Z77&gt;0,Z77+(201-71)/10^6,0)</f>
        <v>0</v>
      </c>
      <c r="AB77" s="1"/>
      <c r="AC77" s="1"/>
      <c r="AD77" s="1"/>
      <c r="AE77" s="1"/>
      <c r="AF77" s="1"/>
      <c r="AG77" s="1"/>
      <c r="AH77" s="1"/>
    </row>
    <row r="78" customFormat="false" ht="15" hidden="false" customHeight="false" outlineLevel="0" collapsed="false">
      <c r="A78" s="1"/>
      <c r="B78" s="10"/>
      <c r="C78" s="31" t="str">
        <f aca="false">IF(B78="","",TEXT(B78,"ddd"))</f>
        <v/>
      </c>
      <c r="D78" s="11"/>
      <c r="E78" s="8" t="str">
        <f aca="false">IF(D78="","",IFERROR(INDEX(ProjNumbers,MATCH(D78,ProjNames,0)),""))</f>
        <v/>
      </c>
      <c r="F78" s="8" t="str">
        <f aca="false">IF(D78="","",IFERROR(INDEX(ProjCodes,MATCH(D78,ProjNames,0)),""))</f>
        <v/>
      </c>
      <c r="G78" s="32"/>
      <c r="H78" s="11"/>
      <c r="I78" s="33"/>
      <c r="J78" s="8" t="str">
        <f aca="false">IF(COUNTA(B78,D78,G78,H78,I78)=0,"",IF(B78="","Enter date",IF(OR(B78&lt;$AC$2,B78&gt;$AC$3),"Date not in January",IF(D78="","Pick project",IF(ISNA(MATCH(D78,ProjNames,0)),"Project not in list",IF(G78="","Add task description",IF(H78="","Pick NTIME or P6",IF(N(I78)&lt;=0,"Enter hours",IF(AND(AllowOT&lt;&gt;"Yes",SUMIF($B$7:$B$256,B78,$I$7:$I$256)&gt;INDEX($O$58:$O$88,DAY(B78))),"Day over "&amp;INDEX($O$58:$O$88,DAY(B78))&amp;" h","✓")))))))))</f>
        <v/>
      </c>
      <c r="K78" s="1"/>
      <c r="L78" s="35" t="n">
        <v>46043</v>
      </c>
      <c r="M78" s="36" t="str">
        <f aca="false">TEXT(L78,"ddd")</f>
        <v>Wed</v>
      </c>
      <c r="N78" s="37" t="s">
        <v>93</v>
      </c>
      <c r="O78" s="37" t="n">
        <f aca="false">AvailHours</f>
        <v>8</v>
      </c>
      <c r="P78" s="24" t="n">
        <f aca="false">SUMIFS($I$7:$I$256,$B$7:$B$256,L78,$H$7:$H$256,"NTIME")</f>
        <v>0</v>
      </c>
      <c r="Q78" s="24" t="n">
        <f aca="false">SUMIFS($I$7:$I$256,$B$7:$B$256,L78,$H$7:$H$256,"P6")</f>
        <v>0</v>
      </c>
      <c r="R78" s="24" t="n">
        <f aca="false">IF(N78="Overhead only",O78,IF(AND(N78="Working",P78+Q78&gt;0),MAX(0,O78-P78-Q78),0))</f>
        <v>0</v>
      </c>
      <c r="S78" s="24" t="n">
        <f aca="false">IF(OR(N78="Working",N78="Overhead only"),MAX(0,P78+Q78-O78),0)</f>
        <v>0</v>
      </c>
      <c r="T78" s="24" t="n">
        <f aca="false">P78+Q78+R78</f>
        <v>0</v>
      </c>
      <c r="U78" s="24" t="str">
        <f aca="true">IF(N78="Working",IF(P78+Q78=0,IF(L78&lt;=TODAY(),"Not logged",""),IF(P78+Q78&gt;O78,IF(AllowOT="Yes","Overtime","Over "&amp;O78&amp;" h!"),"✓")),IF(N78="Overhead only","✓ Overhead day",IF(P78+Q78&gt;0,"Entries on "&amp;LOWER(N78)&amp;" day",N78)))</f>
        <v>Not logged</v>
      </c>
      <c r="V78" s="1"/>
      <c r="W78" s="1" t="str">
        <f aca="false">IF(Projects!B76="","",Projects!B76)</f>
        <v/>
      </c>
      <c r="X78" s="1" t="n">
        <f aca="false">IF(W78="",0,SUMIFS($I$7:$I$256,$D$7:$D$256,W78,$H$7:$H$256,"NTIME"))</f>
        <v>0</v>
      </c>
      <c r="Y78" s="1" t="n">
        <f aca="false">IF(W78="",0,SUMIFS($I$7:$I$256,$D$7:$D$256,W78,$H$7:$H$256,"P6"))</f>
        <v>0</v>
      </c>
      <c r="Z78" s="1" t="n">
        <f aca="false">X78+Y78</f>
        <v>0</v>
      </c>
      <c r="AA78" s="1" t="n">
        <f aca="false">IF(Z78&gt;0,Z78+(201-72)/10^6,0)</f>
        <v>0</v>
      </c>
      <c r="AB78" s="1"/>
      <c r="AC78" s="1"/>
      <c r="AD78" s="1"/>
      <c r="AE78" s="1"/>
      <c r="AF78" s="1"/>
      <c r="AG78" s="1"/>
      <c r="AH78" s="1"/>
    </row>
    <row r="79" customFormat="false" ht="15" hidden="false" customHeight="false" outlineLevel="0" collapsed="false">
      <c r="A79" s="1"/>
      <c r="B79" s="10"/>
      <c r="C79" s="31" t="str">
        <f aca="false">IF(B79="","",TEXT(B79,"ddd"))</f>
        <v/>
      </c>
      <c r="D79" s="11"/>
      <c r="E79" s="8" t="str">
        <f aca="false">IF(D79="","",IFERROR(INDEX(ProjNumbers,MATCH(D79,ProjNames,0)),""))</f>
        <v/>
      </c>
      <c r="F79" s="8" t="str">
        <f aca="false">IF(D79="","",IFERROR(INDEX(ProjCodes,MATCH(D79,ProjNames,0)),""))</f>
        <v/>
      </c>
      <c r="G79" s="32"/>
      <c r="H79" s="11"/>
      <c r="I79" s="33"/>
      <c r="J79" s="8" t="str">
        <f aca="false">IF(COUNTA(B79,D79,G79,H79,I79)=0,"",IF(B79="","Enter date",IF(OR(B79&lt;$AC$2,B79&gt;$AC$3),"Date not in January",IF(D79="","Pick project",IF(ISNA(MATCH(D79,ProjNames,0)),"Project not in list",IF(G79="","Add task description",IF(H79="","Pick NTIME or P6",IF(N(I79)&lt;=0,"Enter hours",IF(AND(AllowOT&lt;&gt;"Yes",SUMIF($B$7:$B$256,B79,$I$7:$I$256)&gt;INDEX($O$58:$O$88,DAY(B79))),"Day over "&amp;INDEX($O$58:$O$88,DAY(B79))&amp;" h","✓")))))))))</f>
        <v/>
      </c>
      <c r="K79" s="1"/>
      <c r="L79" s="35" t="n">
        <v>46044</v>
      </c>
      <c r="M79" s="36" t="str">
        <f aca="false">TEXT(L79,"ddd")</f>
        <v>Thu</v>
      </c>
      <c r="N79" s="37" t="s">
        <v>93</v>
      </c>
      <c r="O79" s="37" t="n">
        <f aca="false">AvailHours</f>
        <v>8</v>
      </c>
      <c r="P79" s="24" t="n">
        <f aca="false">SUMIFS($I$7:$I$256,$B$7:$B$256,L79,$H$7:$H$256,"NTIME")</f>
        <v>0</v>
      </c>
      <c r="Q79" s="24" t="n">
        <f aca="false">SUMIFS($I$7:$I$256,$B$7:$B$256,L79,$H$7:$H$256,"P6")</f>
        <v>0</v>
      </c>
      <c r="R79" s="24" t="n">
        <f aca="false">IF(N79="Overhead only",O79,IF(AND(N79="Working",P79+Q79&gt;0),MAX(0,O79-P79-Q79),0))</f>
        <v>0</v>
      </c>
      <c r="S79" s="24" t="n">
        <f aca="false">IF(OR(N79="Working",N79="Overhead only"),MAX(0,P79+Q79-O79),0)</f>
        <v>0</v>
      </c>
      <c r="T79" s="24" t="n">
        <f aca="false">P79+Q79+R79</f>
        <v>0</v>
      </c>
      <c r="U79" s="24" t="str">
        <f aca="true">IF(N79="Working",IF(P79+Q79=0,IF(L79&lt;=TODAY(),"Not logged",""),IF(P79+Q79&gt;O79,IF(AllowOT="Yes","Overtime","Over "&amp;O79&amp;" h!"),"✓")),IF(N79="Overhead only","✓ Overhead day",IF(P79+Q79&gt;0,"Entries on "&amp;LOWER(N79)&amp;" day",N79)))</f>
        <v>Not logged</v>
      </c>
      <c r="V79" s="1"/>
      <c r="W79" s="1" t="str">
        <f aca="false">IF(Projects!B77="","",Projects!B77)</f>
        <v/>
      </c>
      <c r="X79" s="1" t="n">
        <f aca="false">IF(W79="",0,SUMIFS($I$7:$I$256,$D$7:$D$256,W79,$H$7:$H$256,"NTIME"))</f>
        <v>0</v>
      </c>
      <c r="Y79" s="1" t="n">
        <f aca="false">IF(W79="",0,SUMIFS($I$7:$I$256,$D$7:$D$256,W79,$H$7:$H$256,"P6"))</f>
        <v>0</v>
      </c>
      <c r="Z79" s="1" t="n">
        <f aca="false">X79+Y79</f>
        <v>0</v>
      </c>
      <c r="AA79" s="1" t="n">
        <f aca="false">IF(Z79&gt;0,Z79+(201-73)/10^6,0)</f>
        <v>0</v>
      </c>
      <c r="AB79" s="1"/>
      <c r="AC79" s="1"/>
      <c r="AD79" s="1"/>
      <c r="AE79" s="1"/>
      <c r="AF79" s="1"/>
      <c r="AG79" s="1"/>
      <c r="AH79" s="1"/>
    </row>
    <row r="80" customFormat="false" ht="15" hidden="false" customHeight="false" outlineLevel="0" collapsed="false">
      <c r="A80" s="1"/>
      <c r="B80" s="10"/>
      <c r="C80" s="31" t="str">
        <f aca="false">IF(B80="","",TEXT(B80,"ddd"))</f>
        <v/>
      </c>
      <c r="D80" s="11"/>
      <c r="E80" s="8" t="str">
        <f aca="false">IF(D80="","",IFERROR(INDEX(ProjNumbers,MATCH(D80,ProjNames,0)),""))</f>
        <v/>
      </c>
      <c r="F80" s="8" t="str">
        <f aca="false">IF(D80="","",IFERROR(INDEX(ProjCodes,MATCH(D80,ProjNames,0)),""))</f>
        <v/>
      </c>
      <c r="G80" s="32"/>
      <c r="H80" s="11"/>
      <c r="I80" s="33"/>
      <c r="J80" s="8" t="str">
        <f aca="false">IF(COUNTA(B80,D80,G80,H80,I80)=0,"",IF(B80="","Enter date",IF(OR(B80&lt;$AC$2,B80&gt;$AC$3),"Date not in January",IF(D80="","Pick project",IF(ISNA(MATCH(D80,ProjNames,0)),"Project not in list",IF(G80="","Add task description",IF(H80="","Pick NTIME or P6",IF(N(I80)&lt;=0,"Enter hours",IF(AND(AllowOT&lt;&gt;"Yes",SUMIF($B$7:$B$256,B80,$I$7:$I$256)&gt;INDEX($O$58:$O$88,DAY(B80))),"Day over "&amp;INDEX($O$58:$O$88,DAY(B80))&amp;" h","✓")))))))))</f>
        <v/>
      </c>
      <c r="K80" s="1"/>
      <c r="L80" s="35" t="n">
        <v>46045</v>
      </c>
      <c r="M80" s="36" t="str">
        <f aca="false">TEXT(L80,"ddd")</f>
        <v>Fri</v>
      </c>
      <c r="N80" s="37" t="s">
        <v>93</v>
      </c>
      <c r="O80" s="37" t="n">
        <f aca="false">AvailHours</f>
        <v>8</v>
      </c>
      <c r="P80" s="24" t="n">
        <f aca="false">SUMIFS($I$7:$I$256,$B$7:$B$256,L80,$H$7:$H$256,"NTIME")</f>
        <v>0</v>
      </c>
      <c r="Q80" s="24" t="n">
        <f aca="false">SUMIFS($I$7:$I$256,$B$7:$B$256,L80,$H$7:$H$256,"P6")</f>
        <v>0</v>
      </c>
      <c r="R80" s="24" t="n">
        <f aca="false">IF(N80="Overhead only",O80,IF(AND(N80="Working",P80+Q80&gt;0),MAX(0,O80-P80-Q80),0))</f>
        <v>0</v>
      </c>
      <c r="S80" s="24" t="n">
        <f aca="false">IF(OR(N80="Working",N80="Overhead only"),MAX(0,P80+Q80-O80),0)</f>
        <v>0</v>
      </c>
      <c r="T80" s="24" t="n">
        <f aca="false">P80+Q80+R80</f>
        <v>0</v>
      </c>
      <c r="U80" s="24" t="str">
        <f aca="true">IF(N80="Working",IF(P80+Q80=0,IF(L80&lt;=TODAY(),"Not logged",""),IF(P80+Q80&gt;O80,IF(AllowOT="Yes","Overtime","Over "&amp;O80&amp;" h!"),"✓")),IF(N80="Overhead only","✓ Overhead day",IF(P80+Q80&gt;0,"Entries on "&amp;LOWER(N80)&amp;" day",N80)))</f>
        <v>Not logged</v>
      </c>
      <c r="V80" s="1"/>
      <c r="W80" s="1" t="str">
        <f aca="false">IF(Projects!B78="","",Projects!B78)</f>
        <v/>
      </c>
      <c r="X80" s="1" t="n">
        <f aca="false">IF(W80="",0,SUMIFS($I$7:$I$256,$D$7:$D$256,W80,$H$7:$H$256,"NTIME"))</f>
        <v>0</v>
      </c>
      <c r="Y80" s="1" t="n">
        <f aca="false">IF(W80="",0,SUMIFS($I$7:$I$256,$D$7:$D$256,W80,$H$7:$H$256,"P6"))</f>
        <v>0</v>
      </c>
      <c r="Z80" s="1" t="n">
        <f aca="false">X80+Y80</f>
        <v>0</v>
      </c>
      <c r="AA80" s="1" t="n">
        <f aca="false">IF(Z80&gt;0,Z80+(201-74)/10^6,0)</f>
        <v>0</v>
      </c>
      <c r="AB80" s="1"/>
      <c r="AC80" s="1"/>
      <c r="AD80" s="1"/>
      <c r="AE80" s="1"/>
      <c r="AF80" s="1"/>
      <c r="AG80" s="1"/>
      <c r="AH80" s="1"/>
    </row>
    <row r="81" customFormat="false" ht="15" hidden="false" customHeight="false" outlineLevel="0" collapsed="false">
      <c r="A81" s="1"/>
      <c r="B81" s="10"/>
      <c r="C81" s="31" t="str">
        <f aca="false">IF(B81="","",TEXT(B81,"ddd"))</f>
        <v/>
      </c>
      <c r="D81" s="11"/>
      <c r="E81" s="8" t="str">
        <f aca="false">IF(D81="","",IFERROR(INDEX(ProjNumbers,MATCH(D81,ProjNames,0)),""))</f>
        <v/>
      </c>
      <c r="F81" s="8" t="str">
        <f aca="false">IF(D81="","",IFERROR(INDEX(ProjCodes,MATCH(D81,ProjNames,0)),""))</f>
        <v/>
      </c>
      <c r="G81" s="32"/>
      <c r="H81" s="11"/>
      <c r="I81" s="33"/>
      <c r="J81" s="8" t="str">
        <f aca="false">IF(COUNTA(B81,D81,G81,H81,I81)=0,"",IF(B81="","Enter date",IF(OR(B81&lt;$AC$2,B81&gt;$AC$3),"Date not in January",IF(D81="","Pick project",IF(ISNA(MATCH(D81,ProjNames,0)),"Project not in list",IF(G81="","Add task description",IF(H81="","Pick NTIME or P6",IF(N(I81)&lt;=0,"Enter hours",IF(AND(AllowOT&lt;&gt;"Yes",SUMIF($B$7:$B$256,B81,$I$7:$I$256)&gt;INDEX($O$58:$O$88,DAY(B81))),"Day over "&amp;INDEX($O$58:$O$88,DAY(B81))&amp;" h","✓")))))))))</f>
        <v/>
      </c>
      <c r="K81" s="1"/>
      <c r="L81" s="35" t="n">
        <v>46046</v>
      </c>
      <c r="M81" s="36" t="str">
        <f aca="false">TEXT(L81,"ddd")</f>
        <v>Sat</v>
      </c>
      <c r="N81" s="37" t="s">
        <v>94</v>
      </c>
      <c r="O81" s="37" t="n">
        <f aca="false">AvailHours</f>
        <v>8</v>
      </c>
      <c r="P81" s="24" t="n">
        <f aca="false">SUMIFS($I$7:$I$256,$B$7:$B$256,L81,$H$7:$H$256,"NTIME")</f>
        <v>0</v>
      </c>
      <c r="Q81" s="24" t="n">
        <f aca="false">SUMIFS($I$7:$I$256,$B$7:$B$256,L81,$H$7:$H$256,"P6")</f>
        <v>0</v>
      </c>
      <c r="R81" s="24" t="n">
        <f aca="false">IF(N81="Overhead only",O81,IF(AND(N81="Working",P81+Q81&gt;0),MAX(0,O81-P81-Q81),0))</f>
        <v>0</v>
      </c>
      <c r="S81" s="24" t="n">
        <f aca="false">IF(OR(N81="Working",N81="Overhead only"),MAX(0,P81+Q81-O81),0)</f>
        <v>0</v>
      </c>
      <c r="T81" s="24" t="n">
        <f aca="false">P81+Q81+R81</f>
        <v>0</v>
      </c>
      <c r="U81" s="24" t="str">
        <f aca="true">IF(N81="Working",IF(P81+Q81=0,IF(L81&lt;=TODAY(),"Not logged",""),IF(P81+Q81&gt;O81,IF(AllowOT="Yes","Overtime","Over "&amp;O81&amp;" h!"),"✓")),IF(N81="Overhead only","✓ Overhead day",IF(P81+Q81&gt;0,"Entries on "&amp;LOWER(N81)&amp;" day",N81)))</f>
        <v>Weekend</v>
      </c>
      <c r="V81" s="1"/>
      <c r="W81" s="1" t="str">
        <f aca="false">IF(Projects!B79="","",Projects!B79)</f>
        <v/>
      </c>
      <c r="X81" s="1" t="n">
        <f aca="false">IF(W81="",0,SUMIFS($I$7:$I$256,$D$7:$D$256,W81,$H$7:$H$256,"NTIME"))</f>
        <v>0</v>
      </c>
      <c r="Y81" s="1" t="n">
        <f aca="false">IF(W81="",0,SUMIFS($I$7:$I$256,$D$7:$D$256,W81,$H$7:$H$256,"P6"))</f>
        <v>0</v>
      </c>
      <c r="Z81" s="1" t="n">
        <f aca="false">X81+Y81</f>
        <v>0</v>
      </c>
      <c r="AA81" s="1" t="n">
        <f aca="false">IF(Z81&gt;0,Z81+(201-75)/10^6,0)</f>
        <v>0</v>
      </c>
      <c r="AB81" s="1"/>
      <c r="AC81" s="1"/>
      <c r="AD81" s="1"/>
      <c r="AE81" s="1"/>
      <c r="AF81" s="1"/>
      <c r="AG81" s="1"/>
      <c r="AH81" s="1"/>
    </row>
    <row r="82" customFormat="false" ht="15" hidden="false" customHeight="false" outlineLevel="0" collapsed="false">
      <c r="A82" s="1"/>
      <c r="B82" s="10"/>
      <c r="C82" s="31" t="str">
        <f aca="false">IF(B82="","",TEXT(B82,"ddd"))</f>
        <v/>
      </c>
      <c r="D82" s="11"/>
      <c r="E82" s="8" t="str">
        <f aca="false">IF(D82="","",IFERROR(INDEX(ProjNumbers,MATCH(D82,ProjNames,0)),""))</f>
        <v/>
      </c>
      <c r="F82" s="8" t="str">
        <f aca="false">IF(D82="","",IFERROR(INDEX(ProjCodes,MATCH(D82,ProjNames,0)),""))</f>
        <v/>
      </c>
      <c r="G82" s="32"/>
      <c r="H82" s="11"/>
      <c r="I82" s="33"/>
      <c r="J82" s="8" t="str">
        <f aca="false">IF(COUNTA(B82,D82,G82,H82,I82)=0,"",IF(B82="","Enter date",IF(OR(B82&lt;$AC$2,B82&gt;$AC$3),"Date not in January",IF(D82="","Pick project",IF(ISNA(MATCH(D82,ProjNames,0)),"Project not in list",IF(G82="","Add task description",IF(H82="","Pick NTIME or P6",IF(N(I82)&lt;=0,"Enter hours",IF(AND(AllowOT&lt;&gt;"Yes",SUMIF($B$7:$B$256,B82,$I$7:$I$256)&gt;INDEX($O$58:$O$88,DAY(B82))),"Day over "&amp;INDEX($O$58:$O$88,DAY(B82))&amp;" h","✓")))))))))</f>
        <v/>
      </c>
      <c r="K82" s="1"/>
      <c r="L82" s="35" t="n">
        <v>46047</v>
      </c>
      <c r="M82" s="36" t="str">
        <f aca="false">TEXT(L82,"ddd")</f>
        <v>Sun</v>
      </c>
      <c r="N82" s="37" t="s">
        <v>94</v>
      </c>
      <c r="O82" s="37" t="n">
        <f aca="false">AvailHours</f>
        <v>8</v>
      </c>
      <c r="P82" s="24" t="n">
        <f aca="false">SUMIFS($I$7:$I$256,$B$7:$B$256,L82,$H$7:$H$256,"NTIME")</f>
        <v>0</v>
      </c>
      <c r="Q82" s="24" t="n">
        <f aca="false">SUMIFS($I$7:$I$256,$B$7:$B$256,L82,$H$7:$H$256,"P6")</f>
        <v>0</v>
      </c>
      <c r="R82" s="24" t="n">
        <f aca="false">IF(N82="Overhead only",O82,IF(AND(N82="Working",P82+Q82&gt;0),MAX(0,O82-P82-Q82),0))</f>
        <v>0</v>
      </c>
      <c r="S82" s="24" t="n">
        <f aca="false">IF(OR(N82="Working",N82="Overhead only"),MAX(0,P82+Q82-O82),0)</f>
        <v>0</v>
      </c>
      <c r="T82" s="24" t="n">
        <f aca="false">P82+Q82+R82</f>
        <v>0</v>
      </c>
      <c r="U82" s="24" t="str">
        <f aca="true">IF(N82="Working",IF(P82+Q82=0,IF(L82&lt;=TODAY(),"Not logged",""),IF(P82+Q82&gt;O82,IF(AllowOT="Yes","Overtime","Over "&amp;O82&amp;" h!"),"✓")),IF(N82="Overhead only","✓ Overhead day",IF(P82+Q82&gt;0,"Entries on "&amp;LOWER(N82)&amp;" day",N82)))</f>
        <v>Weekend</v>
      </c>
      <c r="V82" s="1"/>
      <c r="W82" s="1" t="str">
        <f aca="false">IF(Projects!B80="","",Projects!B80)</f>
        <v/>
      </c>
      <c r="X82" s="1" t="n">
        <f aca="false">IF(W82="",0,SUMIFS($I$7:$I$256,$D$7:$D$256,W82,$H$7:$H$256,"NTIME"))</f>
        <v>0</v>
      </c>
      <c r="Y82" s="1" t="n">
        <f aca="false">IF(W82="",0,SUMIFS($I$7:$I$256,$D$7:$D$256,W82,$H$7:$H$256,"P6"))</f>
        <v>0</v>
      </c>
      <c r="Z82" s="1" t="n">
        <f aca="false">X82+Y82</f>
        <v>0</v>
      </c>
      <c r="AA82" s="1" t="n">
        <f aca="false">IF(Z82&gt;0,Z82+(201-76)/10^6,0)</f>
        <v>0</v>
      </c>
      <c r="AB82" s="1"/>
      <c r="AC82" s="1"/>
      <c r="AD82" s="1"/>
      <c r="AE82" s="1"/>
      <c r="AF82" s="1"/>
      <c r="AG82" s="1"/>
      <c r="AH82" s="1"/>
    </row>
    <row r="83" customFormat="false" ht="15" hidden="false" customHeight="false" outlineLevel="0" collapsed="false">
      <c r="A83" s="1"/>
      <c r="B83" s="10"/>
      <c r="C83" s="31" t="str">
        <f aca="false">IF(B83="","",TEXT(B83,"ddd"))</f>
        <v/>
      </c>
      <c r="D83" s="11"/>
      <c r="E83" s="8" t="str">
        <f aca="false">IF(D83="","",IFERROR(INDEX(ProjNumbers,MATCH(D83,ProjNames,0)),""))</f>
        <v/>
      </c>
      <c r="F83" s="8" t="str">
        <f aca="false">IF(D83="","",IFERROR(INDEX(ProjCodes,MATCH(D83,ProjNames,0)),""))</f>
        <v/>
      </c>
      <c r="G83" s="32"/>
      <c r="H83" s="11"/>
      <c r="I83" s="33"/>
      <c r="J83" s="8" t="str">
        <f aca="false">IF(COUNTA(B83,D83,G83,H83,I83)=0,"",IF(B83="","Enter date",IF(OR(B83&lt;$AC$2,B83&gt;$AC$3),"Date not in January",IF(D83="","Pick project",IF(ISNA(MATCH(D83,ProjNames,0)),"Project not in list",IF(G83="","Add task description",IF(H83="","Pick NTIME or P6",IF(N(I83)&lt;=0,"Enter hours",IF(AND(AllowOT&lt;&gt;"Yes",SUMIF($B$7:$B$256,B83,$I$7:$I$256)&gt;INDEX($O$58:$O$88,DAY(B83))),"Day over "&amp;INDEX($O$58:$O$88,DAY(B83))&amp;" h","✓")))))))))</f>
        <v/>
      </c>
      <c r="K83" s="1"/>
      <c r="L83" s="35" t="n">
        <v>46048</v>
      </c>
      <c r="M83" s="36" t="str">
        <f aca="false">TEXT(L83,"ddd")</f>
        <v>Mon</v>
      </c>
      <c r="N83" s="37" t="s">
        <v>93</v>
      </c>
      <c r="O83" s="37" t="n">
        <f aca="false">AvailHours</f>
        <v>8</v>
      </c>
      <c r="P83" s="24" t="n">
        <f aca="false">SUMIFS($I$7:$I$256,$B$7:$B$256,L83,$H$7:$H$256,"NTIME")</f>
        <v>0</v>
      </c>
      <c r="Q83" s="24" t="n">
        <f aca="false">SUMIFS($I$7:$I$256,$B$7:$B$256,L83,$H$7:$H$256,"P6")</f>
        <v>0</v>
      </c>
      <c r="R83" s="24" t="n">
        <f aca="false">IF(N83="Overhead only",O83,IF(AND(N83="Working",P83+Q83&gt;0),MAX(0,O83-P83-Q83),0))</f>
        <v>0</v>
      </c>
      <c r="S83" s="24" t="n">
        <f aca="false">IF(OR(N83="Working",N83="Overhead only"),MAX(0,P83+Q83-O83),0)</f>
        <v>0</v>
      </c>
      <c r="T83" s="24" t="n">
        <f aca="false">P83+Q83+R83</f>
        <v>0</v>
      </c>
      <c r="U83" s="24" t="str">
        <f aca="true">IF(N83="Working",IF(P83+Q83=0,IF(L83&lt;=TODAY(),"Not logged",""),IF(P83+Q83&gt;O83,IF(AllowOT="Yes","Overtime","Over "&amp;O83&amp;" h!"),"✓")),IF(N83="Overhead only","✓ Overhead day",IF(P83+Q83&gt;0,"Entries on "&amp;LOWER(N83)&amp;" day",N83)))</f>
        <v>Not logged</v>
      </c>
      <c r="V83" s="1"/>
      <c r="W83" s="1" t="str">
        <f aca="false">IF(Projects!B81="","",Projects!B81)</f>
        <v/>
      </c>
      <c r="X83" s="1" t="n">
        <f aca="false">IF(W83="",0,SUMIFS($I$7:$I$256,$D$7:$D$256,W83,$H$7:$H$256,"NTIME"))</f>
        <v>0</v>
      </c>
      <c r="Y83" s="1" t="n">
        <f aca="false">IF(W83="",0,SUMIFS($I$7:$I$256,$D$7:$D$256,W83,$H$7:$H$256,"P6"))</f>
        <v>0</v>
      </c>
      <c r="Z83" s="1" t="n">
        <f aca="false">X83+Y83</f>
        <v>0</v>
      </c>
      <c r="AA83" s="1" t="n">
        <f aca="false">IF(Z83&gt;0,Z83+(201-77)/10^6,0)</f>
        <v>0</v>
      </c>
      <c r="AB83" s="1"/>
      <c r="AC83" s="1"/>
      <c r="AD83" s="1"/>
      <c r="AE83" s="1"/>
      <c r="AF83" s="1"/>
      <c r="AG83" s="1"/>
      <c r="AH83" s="1"/>
    </row>
    <row r="84" customFormat="false" ht="15" hidden="false" customHeight="false" outlineLevel="0" collapsed="false">
      <c r="A84" s="1"/>
      <c r="B84" s="10"/>
      <c r="C84" s="31" t="str">
        <f aca="false">IF(B84="","",TEXT(B84,"ddd"))</f>
        <v/>
      </c>
      <c r="D84" s="11"/>
      <c r="E84" s="8" t="str">
        <f aca="false">IF(D84="","",IFERROR(INDEX(ProjNumbers,MATCH(D84,ProjNames,0)),""))</f>
        <v/>
      </c>
      <c r="F84" s="8" t="str">
        <f aca="false">IF(D84="","",IFERROR(INDEX(ProjCodes,MATCH(D84,ProjNames,0)),""))</f>
        <v/>
      </c>
      <c r="G84" s="32"/>
      <c r="H84" s="11"/>
      <c r="I84" s="33"/>
      <c r="J84" s="8" t="str">
        <f aca="false">IF(COUNTA(B84,D84,G84,H84,I84)=0,"",IF(B84="","Enter date",IF(OR(B84&lt;$AC$2,B84&gt;$AC$3),"Date not in January",IF(D84="","Pick project",IF(ISNA(MATCH(D84,ProjNames,0)),"Project not in list",IF(G84="","Add task description",IF(H84="","Pick NTIME or P6",IF(N(I84)&lt;=0,"Enter hours",IF(AND(AllowOT&lt;&gt;"Yes",SUMIF($B$7:$B$256,B84,$I$7:$I$256)&gt;INDEX($O$58:$O$88,DAY(B84))),"Day over "&amp;INDEX($O$58:$O$88,DAY(B84))&amp;" h","✓")))))))))</f>
        <v/>
      </c>
      <c r="K84" s="1"/>
      <c r="L84" s="35" t="n">
        <v>46049</v>
      </c>
      <c r="M84" s="36" t="str">
        <f aca="false">TEXT(L84,"ddd")</f>
        <v>Tue</v>
      </c>
      <c r="N84" s="37" t="s">
        <v>93</v>
      </c>
      <c r="O84" s="37" t="n">
        <f aca="false">AvailHours</f>
        <v>8</v>
      </c>
      <c r="P84" s="24" t="n">
        <f aca="false">SUMIFS($I$7:$I$256,$B$7:$B$256,L84,$H$7:$H$256,"NTIME")</f>
        <v>0</v>
      </c>
      <c r="Q84" s="24" t="n">
        <f aca="false">SUMIFS($I$7:$I$256,$B$7:$B$256,L84,$H$7:$H$256,"P6")</f>
        <v>0</v>
      </c>
      <c r="R84" s="24" t="n">
        <f aca="false">IF(N84="Overhead only",O84,IF(AND(N84="Working",P84+Q84&gt;0),MAX(0,O84-P84-Q84),0))</f>
        <v>0</v>
      </c>
      <c r="S84" s="24" t="n">
        <f aca="false">IF(OR(N84="Working",N84="Overhead only"),MAX(0,P84+Q84-O84),0)</f>
        <v>0</v>
      </c>
      <c r="T84" s="24" t="n">
        <f aca="false">P84+Q84+R84</f>
        <v>0</v>
      </c>
      <c r="U84" s="24" t="str">
        <f aca="true">IF(N84="Working",IF(P84+Q84=0,IF(L84&lt;=TODAY(),"Not logged",""),IF(P84+Q84&gt;O84,IF(AllowOT="Yes","Overtime","Over "&amp;O84&amp;" h!"),"✓")),IF(N84="Overhead only","✓ Overhead day",IF(P84+Q84&gt;0,"Entries on "&amp;LOWER(N84)&amp;" day",N84)))</f>
        <v>Not logged</v>
      </c>
      <c r="V84" s="1"/>
      <c r="W84" s="1" t="str">
        <f aca="false">IF(Projects!B82="","",Projects!B82)</f>
        <v/>
      </c>
      <c r="X84" s="1" t="n">
        <f aca="false">IF(W84="",0,SUMIFS($I$7:$I$256,$D$7:$D$256,W84,$H$7:$H$256,"NTIME"))</f>
        <v>0</v>
      </c>
      <c r="Y84" s="1" t="n">
        <f aca="false">IF(W84="",0,SUMIFS($I$7:$I$256,$D$7:$D$256,W84,$H$7:$H$256,"P6"))</f>
        <v>0</v>
      </c>
      <c r="Z84" s="1" t="n">
        <f aca="false">X84+Y84</f>
        <v>0</v>
      </c>
      <c r="AA84" s="1" t="n">
        <f aca="false">IF(Z84&gt;0,Z84+(201-78)/10^6,0)</f>
        <v>0</v>
      </c>
      <c r="AB84" s="1"/>
      <c r="AC84" s="1"/>
      <c r="AD84" s="1"/>
      <c r="AE84" s="1"/>
      <c r="AF84" s="1"/>
      <c r="AG84" s="1"/>
      <c r="AH84" s="1"/>
    </row>
    <row r="85" customFormat="false" ht="15" hidden="false" customHeight="false" outlineLevel="0" collapsed="false">
      <c r="A85" s="1"/>
      <c r="B85" s="10"/>
      <c r="C85" s="31" t="str">
        <f aca="false">IF(B85="","",TEXT(B85,"ddd"))</f>
        <v/>
      </c>
      <c r="D85" s="11"/>
      <c r="E85" s="8" t="str">
        <f aca="false">IF(D85="","",IFERROR(INDEX(ProjNumbers,MATCH(D85,ProjNames,0)),""))</f>
        <v/>
      </c>
      <c r="F85" s="8" t="str">
        <f aca="false">IF(D85="","",IFERROR(INDEX(ProjCodes,MATCH(D85,ProjNames,0)),""))</f>
        <v/>
      </c>
      <c r="G85" s="32"/>
      <c r="H85" s="11"/>
      <c r="I85" s="33"/>
      <c r="J85" s="8" t="str">
        <f aca="false">IF(COUNTA(B85,D85,G85,H85,I85)=0,"",IF(B85="","Enter date",IF(OR(B85&lt;$AC$2,B85&gt;$AC$3),"Date not in January",IF(D85="","Pick project",IF(ISNA(MATCH(D85,ProjNames,0)),"Project not in list",IF(G85="","Add task description",IF(H85="","Pick NTIME or P6",IF(N(I85)&lt;=0,"Enter hours",IF(AND(AllowOT&lt;&gt;"Yes",SUMIF($B$7:$B$256,B85,$I$7:$I$256)&gt;INDEX($O$58:$O$88,DAY(B85))),"Day over "&amp;INDEX($O$58:$O$88,DAY(B85))&amp;" h","✓")))))))))</f>
        <v/>
      </c>
      <c r="K85" s="1"/>
      <c r="L85" s="35" t="n">
        <v>46050</v>
      </c>
      <c r="M85" s="36" t="str">
        <f aca="false">TEXT(L85,"ddd")</f>
        <v>Wed</v>
      </c>
      <c r="N85" s="37" t="s">
        <v>93</v>
      </c>
      <c r="O85" s="37" t="n">
        <f aca="false">AvailHours</f>
        <v>8</v>
      </c>
      <c r="P85" s="24" t="n">
        <f aca="false">SUMIFS($I$7:$I$256,$B$7:$B$256,L85,$H$7:$H$256,"NTIME")</f>
        <v>0</v>
      </c>
      <c r="Q85" s="24" t="n">
        <f aca="false">SUMIFS($I$7:$I$256,$B$7:$B$256,L85,$H$7:$H$256,"P6")</f>
        <v>0</v>
      </c>
      <c r="R85" s="24" t="n">
        <f aca="false">IF(N85="Overhead only",O85,IF(AND(N85="Working",P85+Q85&gt;0),MAX(0,O85-P85-Q85),0))</f>
        <v>0</v>
      </c>
      <c r="S85" s="24" t="n">
        <f aca="false">IF(OR(N85="Working",N85="Overhead only"),MAX(0,P85+Q85-O85),0)</f>
        <v>0</v>
      </c>
      <c r="T85" s="24" t="n">
        <f aca="false">P85+Q85+R85</f>
        <v>0</v>
      </c>
      <c r="U85" s="24" t="str">
        <f aca="true">IF(N85="Working",IF(P85+Q85=0,IF(L85&lt;=TODAY(),"Not logged",""),IF(P85+Q85&gt;O85,IF(AllowOT="Yes","Overtime","Over "&amp;O85&amp;" h!"),"✓")),IF(N85="Overhead only","✓ Overhead day",IF(P85+Q85&gt;0,"Entries on "&amp;LOWER(N85)&amp;" day",N85)))</f>
        <v>Not logged</v>
      </c>
      <c r="V85" s="1"/>
      <c r="W85" s="1" t="str">
        <f aca="false">IF(Projects!B83="","",Projects!B83)</f>
        <v/>
      </c>
      <c r="X85" s="1" t="n">
        <f aca="false">IF(W85="",0,SUMIFS($I$7:$I$256,$D$7:$D$256,W85,$H$7:$H$256,"NTIME"))</f>
        <v>0</v>
      </c>
      <c r="Y85" s="1" t="n">
        <f aca="false">IF(W85="",0,SUMIFS($I$7:$I$256,$D$7:$D$256,W85,$H$7:$H$256,"P6"))</f>
        <v>0</v>
      </c>
      <c r="Z85" s="1" t="n">
        <f aca="false">X85+Y85</f>
        <v>0</v>
      </c>
      <c r="AA85" s="1" t="n">
        <f aca="false">IF(Z85&gt;0,Z85+(201-79)/10^6,0)</f>
        <v>0</v>
      </c>
      <c r="AB85" s="1"/>
      <c r="AC85" s="1"/>
      <c r="AD85" s="1"/>
      <c r="AE85" s="1"/>
      <c r="AF85" s="1"/>
      <c r="AG85" s="1"/>
      <c r="AH85" s="1"/>
    </row>
    <row r="86" customFormat="false" ht="15" hidden="false" customHeight="false" outlineLevel="0" collapsed="false">
      <c r="A86" s="1"/>
      <c r="B86" s="10"/>
      <c r="C86" s="31" t="str">
        <f aca="false">IF(B86="","",TEXT(B86,"ddd"))</f>
        <v/>
      </c>
      <c r="D86" s="11"/>
      <c r="E86" s="8" t="str">
        <f aca="false">IF(D86="","",IFERROR(INDEX(ProjNumbers,MATCH(D86,ProjNames,0)),""))</f>
        <v/>
      </c>
      <c r="F86" s="8" t="str">
        <f aca="false">IF(D86="","",IFERROR(INDEX(ProjCodes,MATCH(D86,ProjNames,0)),""))</f>
        <v/>
      </c>
      <c r="G86" s="32"/>
      <c r="H86" s="11"/>
      <c r="I86" s="33"/>
      <c r="J86" s="8" t="str">
        <f aca="false">IF(COUNTA(B86,D86,G86,H86,I86)=0,"",IF(B86="","Enter date",IF(OR(B86&lt;$AC$2,B86&gt;$AC$3),"Date not in January",IF(D86="","Pick project",IF(ISNA(MATCH(D86,ProjNames,0)),"Project not in list",IF(G86="","Add task description",IF(H86="","Pick NTIME or P6",IF(N(I86)&lt;=0,"Enter hours",IF(AND(AllowOT&lt;&gt;"Yes",SUMIF($B$7:$B$256,B86,$I$7:$I$256)&gt;INDEX($O$58:$O$88,DAY(B86))),"Day over "&amp;INDEX($O$58:$O$88,DAY(B86))&amp;" h","✓")))))))))</f>
        <v/>
      </c>
      <c r="K86" s="1"/>
      <c r="L86" s="35" t="n">
        <v>46051</v>
      </c>
      <c r="M86" s="36" t="str">
        <f aca="false">TEXT(L86,"ddd")</f>
        <v>Thu</v>
      </c>
      <c r="N86" s="37" t="s">
        <v>93</v>
      </c>
      <c r="O86" s="37" t="n">
        <f aca="false">AvailHours</f>
        <v>8</v>
      </c>
      <c r="P86" s="24" t="n">
        <f aca="false">SUMIFS($I$7:$I$256,$B$7:$B$256,L86,$H$7:$H$256,"NTIME")</f>
        <v>0</v>
      </c>
      <c r="Q86" s="24" t="n">
        <f aca="false">SUMIFS($I$7:$I$256,$B$7:$B$256,L86,$H$7:$H$256,"P6")</f>
        <v>0</v>
      </c>
      <c r="R86" s="24" t="n">
        <f aca="false">IF(N86="Overhead only",O86,IF(AND(N86="Working",P86+Q86&gt;0),MAX(0,O86-P86-Q86),0))</f>
        <v>0</v>
      </c>
      <c r="S86" s="24" t="n">
        <f aca="false">IF(OR(N86="Working",N86="Overhead only"),MAX(0,P86+Q86-O86),0)</f>
        <v>0</v>
      </c>
      <c r="T86" s="24" t="n">
        <f aca="false">P86+Q86+R86</f>
        <v>0</v>
      </c>
      <c r="U86" s="24" t="str">
        <f aca="true">IF(N86="Working",IF(P86+Q86=0,IF(L86&lt;=TODAY(),"Not logged",""),IF(P86+Q86&gt;O86,IF(AllowOT="Yes","Overtime","Over "&amp;O86&amp;" h!"),"✓")),IF(N86="Overhead only","✓ Overhead day",IF(P86+Q86&gt;0,"Entries on "&amp;LOWER(N86)&amp;" day",N86)))</f>
        <v>Not logged</v>
      </c>
      <c r="V86" s="1"/>
      <c r="W86" s="1" t="str">
        <f aca="false">IF(Projects!B84="","",Projects!B84)</f>
        <v/>
      </c>
      <c r="X86" s="1" t="n">
        <f aca="false">IF(W86="",0,SUMIFS($I$7:$I$256,$D$7:$D$256,W86,$H$7:$H$256,"NTIME"))</f>
        <v>0</v>
      </c>
      <c r="Y86" s="1" t="n">
        <f aca="false">IF(W86="",0,SUMIFS($I$7:$I$256,$D$7:$D$256,W86,$H$7:$H$256,"P6"))</f>
        <v>0</v>
      </c>
      <c r="Z86" s="1" t="n">
        <f aca="false">X86+Y86</f>
        <v>0</v>
      </c>
      <c r="AA86" s="1" t="n">
        <f aca="false">IF(Z86&gt;0,Z86+(201-80)/10^6,0)</f>
        <v>0</v>
      </c>
      <c r="AB86" s="1"/>
      <c r="AC86" s="1"/>
      <c r="AD86" s="1"/>
      <c r="AE86" s="1"/>
      <c r="AF86" s="1"/>
      <c r="AG86" s="1"/>
      <c r="AH86" s="1"/>
    </row>
    <row r="87" customFormat="false" ht="15" hidden="false" customHeight="false" outlineLevel="0" collapsed="false">
      <c r="A87" s="1"/>
      <c r="B87" s="10"/>
      <c r="C87" s="31" t="str">
        <f aca="false">IF(B87="","",TEXT(B87,"ddd"))</f>
        <v/>
      </c>
      <c r="D87" s="11"/>
      <c r="E87" s="8" t="str">
        <f aca="false">IF(D87="","",IFERROR(INDEX(ProjNumbers,MATCH(D87,ProjNames,0)),""))</f>
        <v/>
      </c>
      <c r="F87" s="8" t="str">
        <f aca="false">IF(D87="","",IFERROR(INDEX(ProjCodes,MATCH(D87,ProjNames,0)),""))</f>
        <v/>
      </c>
      <c r="G87" s="32"/>
      <c r="H87" s="11"/>
      <c r="I87" s="33"/>
      <c r="J87" s="8" t="str">
        <f aca="false">IF(COUNTA(B87,D87,G87,H87,I87)=0,"",IF(B87="","Enter date",IF(OR(B87&lt;$AC$2,B87&gt;$AC$3),"Date not in January",IF(D87="","Pick project",IF(ISNA(MATCH(D87,ProjNames,0)),"Project not in list",IF(G87="","Add task description",IF(H87="","Pick NTIME or P6",IF(N(I87)&lt;=0,"Enter hours",IF(AND(AllowOT&lt;&gt;"Yes",SUMIF($B$7:$B$256,B87,$I$7:$I$256)&gt;INDEX($O$58:$O$88,DAY(B87))),"Day over "&amp;INDEX($O$58:$O$88,DAY(B87))&amp;" h","✓")))))))))</f>
        <v/>
      </c>
      <c r="K87" s="1"/>
      <c r="L87" s="35" t="n">
        <v>46052</v>
      </c>
      <c r="M87" s="36" t="str">
        <f aca="false">TEXT(L87,"ddd")</f>
        <v>Fri</v>
      </c>
      <c r="N87" s="37" t="s">
        <v>93</v>
      </c>
      <c r="O87" s="37" t="n">
        <f aca="false">AvailHours</f>
        <v>8</v>
      </c>
      <c r="P87" s="24" t="n">
        <f aca="false">SUMIFS($I$7:$I$256,$B$7:$B$256,L87,$H$7:$H$256,"NTIME")</f>
        <v>0</v>
      </c>
      <c r="Q87" s="24" t="n">
        <f aca="false">SUMIFS($I$7:$I$256,$B$7:$B$256,L87,$H$7:$H$256,"P6")</f>
        <v>0</v>
      </c>
      <c r="R87" s="24" t="n">
        <f aca="false">IF(N87="Overhead only",O87,IF(AND(N87="Working",P87+Q87&gt;0),MAX(0,O87-P87-Q87),0))</f>
        <v>0</v>
      </c>
      <c r="S87" s="24" t="n">
        <f aca="false">IF(OR(N87="Working",N87="Overhead only"),MAX(0,P87+Q87-O87),0)</f>
        <v>0</v>
      </c>
      <c r="T87" s="24" t="n">
        <f aca="false">P87+Q87+R87</f>
        <v>0</v>
      </c>
      <c r="U87" s="24" t="str">
        <f aca="true">IF(N87="Working",IF(P87+Q87=0,IF(L87&lt;=TODAY(),"Not logged",""),IF(P87+Q87&gt;O87,IF(AllowOT="Yes","Overtime","Over "&amp;O87&amp;" h!"),"✓")),IF(N87="Overhead only","✓ Overhead day",IF(P87+Q87&gt;0,"Entries on "&amp;LOWER(N87)&amp;" day",N87)))</f>
        <v>Not logged</v>
      </c>
      <c r="V87" s="1"/>
      <c r="W87" s="1" t="str">
        <f aca="false">IF(Projects!B85="","",Projects!B85)</f>
        <v/>
      </c>
      <c r="X87" s="1" t="n">
        <f aca="false">IF(W87="",0,SUMIFS($I$7:$I$256,$D$7:$D$256,W87,$H$7:$H$256,"NTIME"))</f>
        <v>0</v>
      </c>
      <c r="Y87" s="1" t="n">
        <f aca="false">IF(W87="",0,SUMIFS($I$7:$I$256,$D$7:$D$256,W87,$H$7:$H$256,"P6"))</f>
        <v>0</v>
      </c>
      <c r="Z87" s="1" t="n">
        <f aca="false">X87+Y87</f>
        <v>0</v>
      </c>
      <c r="AA87" s="1" t="n">
        <f aca="false">IF(Z87&gt;0,Z87+(201-81)/10^6,0)</f>
        <v>0</v>
      </c>
      <c r="AB87" s="1"/>
      <c r="AC87" s="1"/>
      <c r="AD87" s="1"/>
      <c r="AE87" s="1"/>
      <c r="AF87" s="1"/>
      <c r="AG87" s="1"/>
      <c r="AH87" s="1"/>
    </row>
    <row r="88" customFormat="false" ht="15" hidden="false" customHeight="false" outlineLevel="0" collapsed="false">
      <c r="A88" s="1"/>
      <c r="B88" s="10"/>
      <c r="C88" s="31" t="str">
        <f aca="false">IF(B88="","",TEXT(B88,"ddd"))</f>
        <v/>
      </c>
      <c r="D88" s="11"/>
      <c r="E88" s="8" t="str">
        <f aca="false">IF(D88="","",IFERROR(INDEX(ProjNumbers,MATCH(D88,ProjNames,0)),""))</f>
        <v/>
      </c>
      <c r="F88" s="8" t="str">
        <f aca="false">IF(D88="","",IFERROR(INDEX(ProjCodes,MATCH(D88,ProjNames,0)),""))</f>
        <v/>
      </c>
      <c r="G88" s="32"/>
      <c r="H88" s="11"/>
      <c r="I88" s="33"/>
      <c r="J88" s="8" t="str">
        <f aca="false">IF(COUNTA(B88,D88,G88,H88,I88)=0,"",IF(B88="","Enter date",IF(OR(B88&lt;$AC$2,B88&gt;$AC$3),"Date not in January",IF(D88="","Pick project",IF(ISNA(MATCH(D88,ProjNames,0)),"Project not in list",IF(G88="","Add task description",IF(H88="","Pick NTIME or P6",IF(N(I88)&lt;=0,"Enter hours",IF(AND(AllowOT&lt;&gt;"Yes",SUMIF($B$7:$B$256,B88,$I$7:$I$256)&gt;INDEX($O$58:$O$88,DAY(B88))),"Day over "&amp;INDEX($O$58:$O$88,DAY(B88))&amp;" h","✓")))))))))</f>
        <v/>
      </c>
      <c r="K88" s="1"/>
      <c r="L88" s="35" t="n">
        <v>46053</v>
      </c>
      <c r="M88" s="36" t="str">
        <f aca="false">TEXT(L88,"ddd")</f>
        <v>Sat</v>
      </c>
      <c r="N88" s="37" t="s">
        <v>94</v>
      </c>
      <c r="O88" s="37" t="n">
        <f aca="false">AvailHours</f>
        <v>8</v>
      </c>
      <c r="P88" s="24" t="n">
        <f aca="false">SUMIFS($I$7:$I$256,$B$7:$B$256,L88,$H$7:$H$256,"NTIME")</f>
        <v>0</v>
      </c>
      <c r="Q88" s="24" t="n">
        <f aca="false">SUMIFS($I$7:$I$256,$B$7:$B$256,L88,$H$7:$H$256,"P6")</f>
        <v>0</v>
      </c>
      <c r="R88" s="24" t="n">
        <f aca="false">IF(N88="Overhead only",O88,IF(AND(N88="Working",P88+Q88&gt;0),MAX(0,O88-P88-Q88),0))</f>
        <v>0</v>
      </c>
      <c r="S88" s="24" t="n">
        <f aca="false">IF(OR(N88="Working",N88="Overhead only"),MAX(0,P88+Q88-O88),0)</f>
        <v>0</v>
      </c>
      <c r="T88" s="24" t="n">
        <f aca="false">P88+Q88+R88</f>
        <v>0</v>
      </c>
      <c r="U88" s="24" t="str">
        <f aca="true">IF(N88="Working",IF(P88+Q88=0,IF(L88&lt;=TODAY(),"Not logged",""),IF(P88+Q88&gt;O88,IF(AllowOT="Yes","Overtime","Over "&amp;O88&amp;" h!"),"✓")),IF(N88="Overhead only","✓ Overhead day",IF(P88+Q88&gt;0,"Entries on "&amp;LOWER(N88)&amp;" day",N88)))</f>
        <v>Weekend</v>
      </c>
      <c r="V88" s="1"/>
      <c r="W88" s="1" t="str">
        <f aca="false">IF(Projects!B86="","",Projects!B86)</f>
        <v/>
      </c>
      <c r="X88" s="1" t="n">
        <f aca="false">IF(W88="",0,SUMIFS($I$7:$I$256,$D$7:$D$256,W88,$H$7:$H$256,"NTIME"))</f>
        <v>0</v>
      </c>
      <c r="Y88" s="1" t="n">
        <f aca="false">IF(W88="",0,SUMIFS($I$7:$I$256,$D$7:$D$256,W88,$H$7:$H$256,"P6"))</f>
        <v>0</v>
      </c>
      <c r="Z88" s="1" t="n">
        <f aca="false">X88+Y88</f>
        <v>0</v>
      </c>
      <c r="AA88" s="1" t="n">
        <f aca="false">IF(Z88&gt;0,Z88+(201-82)/10^6,0)</f>
        <v>0</v>
      </c>
      <c r="AB88" s="1"/>
      <c r="AC88" s="1"/>
      <c r="AD88" s="1"/>
      <c r="AE88" s="1"/>
      <c r="AF88" s="1"/>
      <c r="AG88" s="1"/>
      <c r="AH88" s="1"/>
    </row>
    <row r="89" customFormat="false" ht="15" hidden="false" customHeight="false" outlineLevel="0" collapsed="false">
      <c r="A89" s="1"/>
      <c r="B89" s="10"/>
      <c r="C89" s="31" t="str">
        <f aca="false">IF(B89="","",TEXT(B89,"ddd"))</f>
        <v/>
      </c>
      <c r="D89" s="11"/>
      <c r="E89" s="8" t="str">
        <f aca="false">IF(D89="","",IFERROR(INDEX(ProjNumbers,MATCH(D89,ProjNames,0)),""))</f>
        <v/>
      </c>
      <c r="F89" s="8" t="str">
        <f aca="false">IF(D89="","",IFERROR(INDEX(ProjCodes,MATCH(D89,ProjNames,0)),""))</f>
        <v/>
      </c>
      <c r="G89" s="32"/>
      <c r="H89" s="11"/>
      <c r="I89" s="33"/>
      <c r="J89" s="8" t="str">
        <f aca="false">IF(COUNTA(B89,D89,G89,H89,I89)=0,"",IF(B89="","Enter date",IF(OR(B89&lt;$AC$2,B89&gt;$AC$3),"Date not in January",IF(D89="","Pick project",IF(ISNA(MATCH(D89,ProjNames,0)),"Project not in list",IF(G89="","Add task description",IF(H89="","Pick NTIME or P6",IF(N(I89)&lt;=0,"Enter hours",IF(AND(AllowOT&lt;&gt;"Yes",SUMIF($B$7:$B$256,B89,$I$7:$I$256)&gt;INDEX($O$58:$O$88,DAY(B89))),"Day over "&amp;INDEX($O$58:$O$88,DAY(B89))&amp;" h","✓")))))))))</f>
        <v/>
      </c>
      <c r="K89" s="1"/>
      <c r="L89" s="27" t="s">
        <v>84</v>
      </c>
      <c r="M89" s="27"/>
      <c r="N89" s="27"/>
      <c r="O89" s="27"/>
      <c r="P89" s="27" t="n">
        <f aca="false">SUM(P58:P88)</f>
        <v>0</v>
      </c>
      <c r="Q89" s="27" t="n">
        <f aca="false">SUM(Q58:Q88)</f>
        <v>0</v>
      </c>
      <c r="R89" s="27" t="n">
        <f aca="false">SUM(R58:R88)</f>
        <v>0</v>
      </c>
      <c r="S89" s="27" t="n">
        <f aca="false">SUM(S58:S88)</f>
        <v>0</v>
      </c>
      <c r="T89" s="27" t="n">
        <f aca="false">SUM(T58:T88)</f>
        <v>0</v>
      </c>
      <c r="U89" s="27"/>
      <c r="V89" s="1"/>
      <c r="W89" s="1" t="str">
        <f aca="false">IF(Projects!B87="","",Projects!B87)</f>
        <v/>
      </c>
      <c r="X89" s="1" t="n">
        <f aca="false">IF(W89="",0,SUMIFS($I$7:$I$256,$D$7:$D$256,W89,$H$7:$H$256,"NTIME"))</f>
        <v>0</v>
      </c>
      <c r="Y89" s="1" t="n">
        <f aca="false">IF(W89="",0,SUMIFS($I$7:$I$256,$D$7:$D$256,W89,$H$7:$H$256,"P6"))</f>
        <v>0</v>
      </c>
      <c r="Z89" s="1" t="n">
        <f aca="false">X89+Y89</f>
        <v>0</v>
      </c>
      <c r="AA89" s="1" t="n">
        <f aca="false">IF(Z89&gt;0,Z89+(201-83)/10^6,0)</f>
        <v>0</v>
      </c>
      <c r="AB89" s="1"/>
      <c r="AC89" s="1"/>
      <c r="AD89" s="1"/>
      <c r="AE89" s="1"/>
      <c r="AF89" s="1"/>
      <c r="AG89" s="1"/>
      <c r="AH89" s="1"/>
    </row>
    <row r="90" customFormat="false" ht="15" hidden="false" customHeight="false" outlineLevel="0" collapsed="false">
      <c r="A90" s="1"/>
      <c r="B90" s="10"/>
      <c r="C90" s="31" t="str">
        <f aca="false">IF(B90="","",TEXT(B90,"ddd"))</f>
        <v/>
      </c>
      <c r="D90" s="11"/>
      <c r="E90" s="8" t="str">
        <f aca="false">IF(D90="","",IFERROR(INDEX(ProjNumbers,MATCH(D90,ProjNames,0)),""))</f>
        <v/>
      </c>
      <c r="F90" s="8" t="str">
        <f aca="false">IF(D90="","",IFERROR(INDEX(ProjCodes,MATCH(D90,ProjNames,0)),""))</f>
        <v/>
      </c>
      <c r="G90" s="32"/>
      <c r="H90" s="11"/>
      <c r="I90" s="33"/>
      <c r="J90" s="8" t="str">
        <f aca="false">IF(COUNTA(B90,D90,G90,H90,I90)=0,"",IF(B90="","Enter date",IF(OR(B90&lt;$AC$2,B90&gt;$AC$3),"Date not in January",IF(D90="","Pick project",IF(ISNA(MATCH(D90,ProjNames,0)),"Project not in list",IF(G90="","Add task description",IF(H90="","Pick NTIME or P6",IF(N(I90)&lt;=0,"Enter hours",IF(AND(AllowOT&lt;&gt;"Yes",SUMIF($B$7:$B$256,B90,$I$7:$I$256)&gt;INDEX($O$58:$O$88,DAY(B90))),"Day over "&amp;INDEX($O$58:$O$88,DAY(B90))&amp;" h","✓")))))))))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tr">
        <f aca="false">IF(Projects!B88="","",Projects!B88)</f>
        <v/>
      </c>
      <c r="X90" s="1" t="n">
        <f aca="false">IF(W90="",0,SUMIFS($I$7:$I$256,$D$7:$D$256,W90,$H$7:$H$256,"NTIME"))</f>
        <v>0</v>
      </c>
      <c r="Y90" s="1" t="n">
        <f aca="false">IF(W90="",0,SUMIFS($I$7:$I$256,$D$7:$D$256,W90,$H$7:$H$256,"P6"))</f>
        <v>0</v>
      </c>
      <c r="Z90" s="1" t="n">
        <f aca="false">X90+Y90</f>
        <v>0</v>
      </c>
      <c r="AA90" s="1" t="n">
        <f aca="false">IF(Z90&gt;0,Z90+(201-84)/10^6,0)</f>
        <v>0</v>
      </c>
      <c r="AB90" s="1"/>
      <c r="AC90" s="1"/>
      <c r="AD90" s="1"/>
      <c r="AE90" s="1"/>
      <c r="AF90" s="1"/>
      <c r="AG90" s="1"/>
      <c r="AH90" s="1"/>
    </row>
    <row r="91" customFormat="false" ht="15" hidden="false" customHeight="false" outlineLevel="0" collapsed="false">
      <c r="A91" s="1"/>
      <c r="B91" s="10"/>
      <c r="C91" s="31" t="str">
        <f aca="false">IF(B91="","",TEXT(B91,"ddd"))</f>
        <v/>
      </c>
      <c r="D91" s="11"/>
      <c r="E91" s="8" t="str">
        <f aca="false">IF(D91="","",IFERROR(INDEX(ProjNumbers,MATCH(D91,ProjNames,0)),""))</f>
        <v/>
      </c>
      <c r="F91" s="8" t="str">
        <f aca="false">IF(D91="","",IFERROR(INDEX(ProjCodes,MATCH(D91,ProjNames,0)),""))</f>
        <v/>
      </c>
      <c r="G91" s="32"/>
      <c r="H91" s="11"/>
      <c r="I91" s="33"/>
      <c r="J91" s="8" t="str">
        <f aca="false">IF(COUNTA(B91,D91,G91,H91,I91)=0,"",IF(B91="","Enter date",IF(OR(B91&lt;$AC$2,B91&gt;$AC$3),"Date not in January",IF(D91="","Pick project",IF(ISNA(MATCH(D91,ProjNames,0)),"Project not in list",IF(G91="","Add task description",IF(H91="","Pick NTIME or P6",IF(N(I91)&lt;=0,"Enter hours",IF(AND(AllowOT&lt;&gt;"Yes",SUMIF($B$7:$B$256,B91,$I$7:$I$256)&gt;INDEX($O$58:$O$88,DAY(B91))),"Day over "&amp;INDEX($O$58:$O$88,DAY(B91))&amp;" h","✓")))))))))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tr">
        <f aca="false">IF(Projects!B89="","",Projects!B89)</f>
        <v/>
      </c>
      <c r="X91" s="1" t="n">
        <f aca="false">IF(W91="",0,SUMIFS($I$7:$I$256,$D$7:$D$256,W91,$H$7:$H$256,"NTIME"))</f>
        <v>0</v>
      </c>
      <c r="Y91" s="1" t="n">
        <f aca="false">IF(W91="",0,SUMIFS($I$7:$I$256,$D$7:$D$256,W91,$H$7:$H$256,"P6"))</f>
        <v>0</v>
      </c>
      <c r="Z91" s="1" t="n">
        <f aca="false">X91+Y91</f>
        <v>0</v>
      </c>
      <c r="AA91" s="1" t="n">
        <f aca="false">IF(Z91&gt;0,Z91+(201-85)/10^6,0)</f>
        <v>0</v>
      </c>
      <c r="AB91" s="1"/>
      <c r="AC91" s="1"/>
      <c r="AD91" s="1"/>
      <c r="AE91" s="1"/>
      <c r="AF91" s="1"/>
      <c r="AG91" s="1"/>
      <c r="AH91" s="1"/>
    </row>
    <row r="92" customFormat="false" ht="15" hidden="false" customHeight="false" outlineLevel="0" collapsed="false">
      <c r="A92" s="1"/>
      <c r="B92" s="10"/>
      <c r="C92" s="31" t="str">
        <f aca="false">IF(B92="","",TEXT(B92,"ddd"))</f>
        <v/>
      </c>
      <c r="D92" s="11"/>
      <c r="E92" s="8" t="str">
        <f aca="false">IF(D92="","",IFERROR(INDEX(ProjNumbers,MATCH(D92,ProjNames,0)),""))</f>
        <v/>
      </c>
      <c r="F92" s="8" t="str">
        <f aca="false">IF(D92="","",IFERROR(INDEX(ProjCodes,MATCH(D92,ProjNames,0)),""))</f>
        <v/>
      </c>
      <c r="G92" s="32"/>
      <c r="H92" s="11"/>
      <c r="I92" s="33"/>
      <c r="J92" s="8" t="str">
        <f aca="false">IF(COUNTA(B92,D92,G92,H92,I92)=0,"",IF(B92="","Enter date",IF(OR(B92&lt;$AC$2,B92&gt;$AC$3),"Date not in January",IF(D92="","Pick project",IF(ISNA(MATCH(D92,ProjNames,0)),"Project not in list",IF(G92="","Add task description",IF(H92="","Pick NTIME or P6",IF(N(I92)&lt;=0,"Enter hours",IF(AND(AllowOT&lt;&gt;"Yes",SUMIF($B$7:$B$256,B92,$I$7:$I$256)&gt;INDEX($O$58:$O$88,DAY(B92))),"Day over "&amp;INDEX($O$58:$O$88,DAY(B92))&amp;" h","✓")))))))))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tr">
        <f aca="false">IF(Projects!B90="","",Projects!B90)</f>
        <v/>
      </c>
      <c r="X92" s="1" t="n">
        <f aca="false">IF(W92="",0,SUMIFS($I$7:$I$256,$D$7:$D$256,W92,$H$7:$H$256,"NTIME"))</f>
        <v>0</v>
      </c>
      <c r="Y92" s="1" t="n">
        <f aca="false">IF(W92="",0,SUMIFS($I$7:$I$256,$D$7:$D$256,W92,$H$7:$H$256,"P6"))</f>
        <v>0</v>
      </c>
      <c r="Z92" s="1" t="n">
        <f aca="false">X92+Y92</f>
        <v>0</v>
      </c>
      <c r="AA92" s="1" t="n">
        <f aca="false">IF(Z92&gt;0,Z92+(201-86)/10^6,0)</f>
        <v>0</v>
      </c>
      <c r="AB92" s="1"/>
      <c r="AC92" s="1"/>
      <c r="AD92" s="1"/>
      <c r="AE92" s="1"/>
      <c r="AF92" s="1"/>
      <c r="AG92" s="1"/>
      <c r="AH92" s="1"/>
    </row>
    <row r="93" customFormat="false" ht="15" hidden="false" customHeight="false" outlineLevel="0" collapsed="false">
      <c r="A93" s="1"/>
      <c r="B93" s="10"/>
      <c r="C93" s="31" t="str">
        <f aca="false">IF(B93="","",TEXT(B93,"ddd"))</f>
        <v/>
      </c>
      <c r="D93" s="11"/>
      <c r="E93" s="8" t="str">
        <f aca="false">IF(D93="","",IFERROR(INDEX(ProjNumbers,MATCH(D93,ProjNames,0)),""))</f>
        <v/>
      </c>
      <c r="F93" s="8" t="str">
        <f aca="false">IF(D93="","",IFERROR(INDEX(ProjCodes,MATCH(D93,ProjNames,0)),""))</f>
        <v/>
      </c>
      <c r="G93" s="32"/>
      <c r="H93" s="11"/>
      <c r="I93" s="33"/>
      <c r="J93" s="8" t="str">
        <f aca="false">IF(COUNTA(B93,D93,G93,H93,I93)=0,"",IF(B93="","Enter date",IF(OR(B93&lt;$AC$2,B93&gt;$AC$3),"Date not in January",IF(D93="","Pick project",IF(ISNA(MATCH(D93,ProjNames,0)),"Project not in list",IF(G93="","Add task description",IF(H93="","Pick NTIME or P6",IF(N(I93)&lt;=0,"Enter hours",IF(AND(AllowOT&lt;&gt;"Yes",SUMIF($B$7:$B$256,B93,$I$7:$I$256)&gt;INDEX($O$58:$O$88,DAY(B93))),"Day over "&amp;INDEX($O$58:$O$88,DAY(B93))&amp;" h","✓")))))))))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tr">
        <f aca="false">IF(Projects!B91="","",Projects!B91)</f>
        <v/>
      </c>
      <c r="X93" s="1" t="n">
        <f aca="false">IF(W93="",0,SUMIFS($I$7:$I$256,$D$7:$D$256,W93,$H$7:$H$256,"NTIME"))</f>
        <v>0</v>
      </c>
      <c r="Y93" s="1" t="n">
        <f aca="false">IF(W93="",0,SUMIFS($I$7:$I$256,$D$7:$D$256,W93,$H$7:$H$256,"P6"))</f>
        <v>0</v>
      </c>
      <c r="Z93" s="1" t="n">
        <f aca="false">X93+Y93</f>
        <v>0</v>
      </c>
      <c r="AA93" s="1" t="n">
        <f aca="false">IF(Z93&gt;0,Z93+(201-87)/10^6,0)</f>
        <v>0</v>
      </c>
      <c r="AB93" s="1"/>
      <c r="AC93" s="1"/>
      <c r="AD93" s="1"/>
      <c r="AE93" s="1"/>
      <c r="AF93" s="1"/>
      <c r="AG93" s="1"/>
      <c r="AH93" s="1"/>
    </row>
    <row r="94" customFormat="false" ht="15" hidden="false" customHeight="false" outlineLevel="0" collapsed="false">
      <c r="A94" s="1"/>
      <c r="B94" s="10"/>
      <c r="C94" s="31" t="str">
        <f aca="false">IF(B94="","",TEXT(B94,"ddd"))</f>
        <v/>
      </c>
      <c r="D94" s="11"/>
      <c r="E94" s="8" t="str">
        <f aca="false">IF(D94="","",IFERROR(INDEX(ProjNumbers,MATCH(D94,ProjNames,0)),""))</f>
        <v/>
      </c>
      <c r="F94" s="8" t="str">
        <f aca="false">IF(D94="","",IFERROR(INDEX(ProjCodes,MATCH(D94,ProjNames,0)),""))</f>
        <v/>
      </c>
      <c r="G94" s="32"/>
      <c r="H94" s="11"/>
      <c r="I94" s="33"/>
      <c r="J94" s="8" t="str">
        <f aca="false">IF(COUNTA(B94,D94,G94,H94,I94)=0,"",IF(B94="","Enter date",IF(OR(B94&lt;$AC$2,B94&gt;$AC$3),"Date not in January",IF(D94="","Pick project",IF(ISNA(MATCH(D94,ProjNames,0)),"Project not in list",IF(G94="","Add task description",IF(H94="","Pick NTIME or P6",IF(N(I94)&lt;=0,"Enter hours",IF(AND(AllowOT&lt;&gt;"Yes",SUMIF($B$7:$B$256,B94,$I$7:$I$256)&gt;INDEX($O$58:$O$88,DAY(B94))),"Day over "&amp;INDEX($O$58:$O$88,DAY(B94))&amp;" h","✓")))))))))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tr">
        <f aca="false">IF(Projects!B92="","",Projects!B92)</f>
        <v/>
      </c>
      <c r="X94" s="1" t="n">
        <f aca="false">IF(W94="",0,SUMIFS($I$7:$I$256,$D$7:$D$256,W94,$H$7:$H$256,"NTIME"))</f>
        <v>0</v>
      </c>
      <c r="Y94" s="1" t="n">
        <f aca="false">IF(W94="",0,SUMIFS($I$7:$I$256,$D$7:$D$256,W94,$H$7:$H$256,"P6"))</f>
        <v>0</v>
      </c>
      <c r="Z94" s="1" t="n">
        <f aca="false">X94+Y94</f>
        <v>0</v>
      </c>
      <c r="AA94" s="1" t="n">
        <f aca="false">IF(Z94&gt;0,Z94+(201-88)/10^6,0)</f>
        <v>0</v>
      </c>
      <c r="AB94" s="1"/>
      <c r="AC94" s="1"/>
      <c r="AD94" s="1"/>
      <c r="AE94" s="1"/>
      <c r="AF94" s="1"/>
      <c r="AG94" s="1"/>
      <c r="AH94" s="1"/>
    </row>
    <row r="95" customFormat="false" ht="15" hidden="false" customHeight="false" outlineLevel="0" collapsed="false">
      <c r="A95" s="1"/>
      <c r="B95" s="10"/>
      <c r="C95" s="31" t="str">
        <f aca="false">IF(B95="","",TEXT(B95,"ddd"))</f>
        <v/>
      </c>
      <c r="D95" s="11"/>
      <c r="E95" s="8" t="str">
        <f aca="false">IF(D95="","",IFERROR(INDEX(ProjNumbers,MATCH(D95,ProjNames,0)),""))</f>
        <v/>
      </c>
      <c r="F95" s="8" t="str">
        <f aca="false">IF(D95="","",IFERROR(INDEX(ProjCodes,MATCH(D95,ProjNames,0)),""))</f>
        <v/>
      </c>
      <c r="G95" s="32"/>
      <c r="H95" s="11"/>
      <c r="I95" s="33"/>
      <c r="J95" s="8" t="str">
        <f aca="false">IF(COUNTA(B95,D95,G95,H95,I95)=0,"",IF(B95="","Enter date",IF(OR(B95&lt;$AC$2,B95&gt;$AC$3),"Date not in January",IF(D95="","Pick project",IF(ISNA(MATCH(D95,ProjNames,0)),"Project not in list",IF(G95="","Add task description",IF(H95="","Pick NTIME or P6",IF(N(I95)&lt;=0,"Enter hours",IF(AND(AllowOT&lt;&gt;"Yes",SUMIF($B$7:$B$256,B95,$I$7:$I$256)&gt;INDEX($O$58:$O$88,DAY(B95))),"Day over "&amp;INDEX($O$58:$O$88,DAY(B95))&amp;" h","✓")))))))))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tr">
        <f aca="false">IF(Projects!B93="","",Projects!B93)</f>
        <v/>
      </c>
      <c r="X95" s="1" t="n">
        <f aca="false">IF(W95="",0,SUMIFS($I$7:$I$256,$D$7:$D$256,W95,$H$7:$H$256,"NTIME"))</f>
        <v>0</v>
      </c>
      <c r="Y95" s="1" t="n">
        <f aca="false">IF(W95="",0,SUMIFS($I$7:$I$256,$D$7:$D$256,W95,$H$7:$H$256,"P6"))</f>
        <v>0</v>
      </c>
      <c r="Z95" s="1" t="n">
        <f aca="false">X95+Y95</f>
        <v>0</v>
      </c>
      <c r="AA95" s="1" t="n">
        <f aca="false">IF(Z95&gt;0,Z95+(201-89)/10^6,0)</f>
        <v>0</v>
      </c>
      <c r="AB95" s="1"/>
      <c r="AC95" s="1"/>
      <c r="AD95" s="1"/>
      <c r="AE95" s="1"/>
      <c r="AF95" s="1"/>
      <c r="AG95" s="1"/>
      <c r="AH95" s="1"/>
    </row>
    <row r="96" customFormat="false" ht="15" hidden="false" customHeight="false" outlineLevel="0" collapsed="false">
      <c r="A96" s="1"/>
      <c r="B96" s="10"/>
      <c r="C96" s="31" t="str">
        <f aca="false">IF(B96="","",TEXT(B96,"ddd"))</f>
        <v/>
      </c>
      <c r="D96" s="11"/>
      <c r="E96" s="8" t="str">
        <f aca="false">IF(D96="","",IFERROR(INDEX(ProjNumbers,MATCH(D96,ProjNames,0)),""))</f>
        <v/>
      </c>
      <c r="F96" s="8" t="str">
        <f aca="false">IF(D96="","",IFERROR(INDEX(ProjCodes,MATCH(D96,ProjNames,0)),""))</f>
        <v/>
      </c>
      <c r="G96" s="32"/>
      <c r="H96" s="11"/>
      <c r="I96" s="33"/>
      <c r="J96" s="8" t="str">
        <f aca="false">IF(COUNTA(B96,D96,G96,H96,I96)=0,"",IF(B96="","Enter date",IF(OR(B96&lt;$AC$2,B96&gt;$AC$3),"Date not in January",IF(D96="","Pick project",IF(ISNA(MATCH(D96,ProjNames,0)),"Project not in list",IF(G96="","Add task description",IF(H96="","Pick NTIME or P6",IF(N(I96)&lt;=0,"Enter hours",IF(AND(AllowOT&lt;&gt;"Yes",SUMIF($B$7:$B$256,B96,$I$7:$I$256)&gt;INDEX($O$58:$O$88,DAY(B96))),"Day over "&amp;INDEX($O$58:$O$88,DAY(B96))&amp;" h","✓")))))))))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tr">
        <f aca="false">IF(Projects!B94="","",Projects!B94)</f>
        <v/>
      </c>
      <c r="X96" s="1" t="n">
        <f aca="false">IF(W96="",0,SUMIFS($I$7:$I$256,$D$7:$D$256,W96,$H$7:$H$256,"NTIME"))</f>
        <v>0</v>
      </c>
      <c r="Y96" s="1" t="n">
        <f aca="false">IF(W96="",0,SUMIFS($I$7:$I$256,$D$7:$D$256,W96,$H$7:$H$256,"P6"))</f>
        <v>0</v>
      </c>
      <c r="Z96" s="1" t="n">
        <f aca="false">X96+Y96</f>
        <v>0</v>
      </c>
      <c r="AA96" s="1" t="n">
        <f aca="false">IF(Z96&gt;0,Z96+(201-90)/10^6,0)</f>
        <v>0</v>
      </c>
      <c r="AB96" s="1"/>
      <c r="AC96" s="1"/>
      <c r="AD96" s="1"/>
      <c r="AE96" s="1"/>
      <c r="AF96" s="1"/>
      <c r="AG96" s="1"/>
      <c r="AH96" s="1"/>
    </row>
    <row r="97" customFormat="false" ht="15" hidden="false" customHeight="false" outlineLevel="0" collapsed="false">
      <c r="A97" s="1"/>
      <c r="B97" s="10"/>
      <c r="C97" s="31" t="str">
        <f aca="false">IF(B97="","",TEXT(B97,"ddd"))</f>
        <v/>
      </c>
      <c r="D97" s="11"/>
      <c r="E97" s="8" t="str">
        <f aca="false">IF(D97="","",IFERROR(INDEX(ProjNumbers,MATCH(D97,ProjNames,0)),""))</f>
        <v/>
      </c>
      <c r="F97" s="8" t="str">
        <f aca="false">IF(D97="","",IFERROR(INDEX(ProjCodes,MATCH(D97,ProjNames,0)),""))</f>
        <v/>
      </c>
      <c r="G97" s="32"/>
      <c r="H97" s="11"/>
      <c r="I97" s="33"/>
      <c r="J97" s="8" t="str">
        <f aca="false">IF(COUNTA(B97,D97,G97,H97,I97)=0,"",IF(B97="","Enter date",IF(OR(B97&lt;$AC$2,B97&gt;$AC$3),"Date not in January",IF(D97="","Pick project",IF(ISNA(MATCH(D97,ProjNames,0)),"Project not in list",IF(G97="","Add task description",IF(H97="","Pick NTIME or P6",IF(N(I97)&lt;=0,"Enter hours",IF(AND(AllowOT&lt;&gt;"Yes",SUMIF($B$7:$B$256,B97,$I$7:$I$256)&gt;INDEX($O$58:$O$88,DAY(B97))),"Day over "&amp;INDEX($O$58:$O$88,DAY(B97))&amp;" h","✓")))))))))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tr">
        <f aca="false">IF(Projects!B95="","",Projects!B95)</f>
        <v/>
      </c>
      <c r="X97" s="1" t="n">
        <f aca="false">IF(W97="",0,SUMIFS($I$7:$I$256,$D$7:$D$256,W97,$H$7:$H$256,"NTIME"))</f>
        <v>0</v>
      </c>
      <c r="Y97" s="1" t="n">
        <f aca="false">IF(W97="",0,SUMIFS($I$7:$I$256,$D$7:$D$256,W97,$H$7:$H$256,"P6"))</f>
        <v>0</v>
      </c>
      <c r="Z97" s="1" t="n">
        <f aca="false">X97+Y97</f>
        <v>0</v>
      </c>
      <c r="AA97" s="1" t="n">
        <f aca="false">IF(Z97&gt;0,Z97+(201-91)/10^6,0)</f>
        <v>0</v>
      </c>
      <c r="AB97" s="1"/>
      <c r="AC97" s="1"/>
      <c r="AD97" s="1"/>
      <c r="AE97" s="1"/>
      <c r="AF97" s="1"/>
      <c r="AG97" s="1"/>
      <c r="AH97" s="1"/>
    </row>
    <row r="98" customFormat="false" ht="15" hidden="false" customHeight="false" outlineLevel="0" collapsed="false">
      <c r="A98" s="1"/>
      <c r="B98" s="10"/>
      <c r="C98" s="31" t="str">
        <f aca="false">IF(B98="","",TEXT(B98,"ddd"))</f>
        <v/>
      </c>
      <c r="D98" s="11"/>
      <c r="E98" s="8" t="str">
        <f aca="false">IF(D98="","",IFERROR(INDEX(ProjNumbers,MATCH(D98,ProjNames,0)),""))</f>
        <v/>
      </c>
      <c r="F98" s="8" t="str">
        <f aca="false">IF(D98="","",IFERROR(INDEX(ProjCodes,MATCH(D98,ProjNames,0)),""))</f>
        <v/>
      </c>
      <c r="G98" s="32"/>
      <c r="H98" s="11"/>
      <c r="I98" s="33"/>
      <c r="J98" s="8" t="str">
        <f aca="false">IF(COUNTA(B98,D98,G98,H98,I98)=0,"",IF(B98="","Enter date",IF(OR(B98&lt;$AC$2,B98&gt;$AC$3),"Date not in January",IF(D98="","Pick project",IF(ISNA(MATCH(D98,ProjNames,0)),"Project not in list",IF(G98="","Add task description",IF(H98="","Pick NTIME or P6",IF(N(I98)&lt;=0,"Enter hours",IF(AND(AllowOT&lt;&gt;"Yes",SUMIF($B$7:$B$256,B98,$I$7:$I$256)&gt;INDEX($O$58:$O$88,DAY(B98))),"Day over "&amp;INDEX($O$58:$O$88,DAY(B98))&amp;" h","✓")))))))))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tr">
        <f aca="false">IF(Projects!B96="","",Projects!B96)</f>
        <v/>
      </c>
      <c r="X98" s="1" t="n">
        <f aca="false">IF(W98="",0,SUMIFS($I$7:$I$256,$D$7:$D$256,W98,$H$7:$H$256,"NTIME"))</f>
        <v>0</v>
      </c>
      <c r="Y98" s="1" t="n">
        <f aca="false">IF(W98="",0,SUMIFS($I$7:$I$256,$D$7:$D$256,W98,$H$7:$H$256,"P6"))</f>
        <v>0</v>
      </c>
      <c r="Z98" s="1" t="n">
        <f aca="false">X98+Y98</f>
        <v>0</v>
      </c>
      <c r="AA98" s="1" t="n">
        <f aca="false">IF(Z98&gt;0,Z98+(201-92)/10^6,0)</f>
        <v>0</v>
      </c>
      <c r="AB98" s="1"/>
      <c r="AC98" s="1"/>
      <c r="AD98" s="1"/>
      <c r="AE98" s="1"/>
      <c r="AF98" s="1"/>
      <c r="AG98" s="1"/>
      <c r="AH98" s="1"/>
    </row>
    <row r="99" customFormat="false" ht="15" hidden="false" customHeight="false" outlineLevel="0" collapsed="false">
      <c r="A99" s="1"/>
      <c r="B99" s="10"/>
      <c r="C99" s="31" t="str">
        <f aca="false">IF(B99="","",TEXT(B99,"ddd"))</f>
        <v/>
      </c>
      <c r="D99" s="11"/>
      <c r="E99" s="8" t="str">
        <f aca="false">IF(D99="","",IFERROR(INDEX(ProjNumbers,MATCH(D99,ProjNames,0)),""))</f>
        <v/>
      </c>
      <c r="F99" s="8" t="str">
        <f aca="false">IF(D99="","",IFERROR(INDEX(ProjCodes,MATCH(D99,ProjNames,0)),""))</f>
        <v/>
      </c>
      <c r="G99" s="32"/>
      <c r="H99" s="11"/>
      <c r="I99" s="33"/>
      <c r="J99" s="8" t="str">
        <f aca="false">IF(COUNTA(B99,D99,G99,H99,I99)=0,"",IF(B99="","Enter date",IF(OR(B99&lt;$AC$2,B99&gt;$AC$3),"Date not in January",IF(D99="","Pick project",IF(ISNA(MATCH(D99,ProjNames,0)),"Project not in list",IF(G99="","Add task description",IF(H99="","Pick NTIME or P6",IF(N(I99)&lt;=0,"Enter hours",IF(AND(AllowOT&lt;&gt;"Yes",SUMIF($B$7:$B$256,B99,$I$7:$I$256)&gt;INDEX($O$58:$O$88,DAY(B99))),"Day over "&amp;INDEX($O$58:$O$88,DAY(B99))&amp;" h","✓")))))))))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tr">
        <f aca="false">IF(Projects!B97="","",Projects!B97)</f>
        <v/>
      </c>
      <c r="X99" s="1" t="n">
        <f aca="false">IF(W99="",0,SUMIFS($I$7:$I$256,$D$7:$D$256,W99,$H$7:$H$256,"NTIME"))</f>
        <v>0</v>
      </c>
      <c r="Y99" s="1" t="n">
        <f aca="false">IF(W99="",0,SUMIFS($I$7:$I$256,$D$7:$D$256,W99,$H$7:$H$256,"P6"))</f>
        <v>0</v>
      </c>
      <c r="Z99" s="1" t="n">
        <f aca="false">X99+Y99</f>
        <v>0</v>
      </c>
      <c r="AA99" s="1" t="n">
        <f aca="false">IF(Z99&gt;0,Z99+(201-93)/10^6,0)</f>
        <v>0</v>
      </c>
      <c r="AB99" s="1"/>
      <c r="AC99" s="1"/>
      <c r="AD99" s="1"/>
      <c r="AE99" s="1"/>
      <c r="AF99" s="1"/>
      <c r="AG99" s="1"/>
      <c r="AH99" s="1"/>
    </row>
    <row r="100" customFormat="false" ht="15" hidden="false" customHeight="false" outlineLevel="0" collapsed="false">
      <c r="A100" s="1"/>
      <c r="B100" s="10"/>
      <c r="C100" s="31" t="str">
        <f aca="false">IF(B100="","",TEXT(B100,"ddd"))</f>
        <v/>
      </c>
      <c r="D100" s="11"/>
      <c r="E100" s="8" t="str">
        <f aca="false">IF(D100="","",IFERROR(INDEX(ProjNumbers,MATCH(D100,ProjNames,0)),""))</f>
        <v/>
      </c>
      <c r="F100" s="8" t="str">
        <f aca="false">IF(D100="","",IFERROR(INDEX(ProjCodes,MATCH(D100,ProjNames,0)),""))</f>
        <v/>
      </c>
      <c r="G100" s="32"/>
      <c r="H100" s="11"/>
      <c r="I100" s="33"/>
      <c r="J100" s="8" t="str">
        <f aca="false">IF(COUNTA(B100,D100,G100,H100,I100)=0,"",IF(B100="","Enter date",IF(OR(B100&lt;$AC$2,B100&gt;$AC$3),"Date not in January",IF(D100="","Pick project",IF(ISNA(MATCH(D100,ProjNames,0)),"Project not in list",IF(G100="","Add task description",IF(H100="","Pick NTIME or P6",IF(N(I100)&lt;=0,"Enter hours",IF(AND(AllowOT&lt;&gt;"Yes",SUMIF($B$7:$B$256,B100,$I$7:$I$256)&gt;INDEX($O$58:$O$88,DAY(B100))),"Day over "&amp;INDEX($O$58:$O$88,DAY(B100))&amp;" h","✓")))))))))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tr">
        <f aca="false">IF(Projects!B98="","",Projects!B98)</f>
        <v/>
      </c>
      <c r="X100" s="1" t="n">
        <f aca="false">IF(W100="",0,SUMIFS($I$7:$I$256,$D$7:$D$256,W100,$H$7:$H$256,"NTIME"))</f>
        <v>0</v>
      </c>
      <c r="Y100" s="1" t="n">
        <f aca="false">IF(W100="",0,SUMIFS($I$7:$I$256,$D$7:$D$256,W100,$H$7:$H$256,"P6"))</f>
        <v>0</v>
      </c>
      <c r="Z100" s="1" t="n">
        <f aca="false">X100+Y100</f>
        <v>0</v>
      </c>
      <c r="AA100" s="1" t="n">
        <f aca="false">IF(Z100&gt;0,Z100+(201-94)/10^6,0)</f>
        <v>0</v>
      </c>
      <c r="AB100" s="1"/>
      <c r="AC100" s="1"/>
      <c r="AD100" s="1"/>
      <c r="AE100" s="1"/>
      <c r="AF100" s="1"/>
      <c r="AG100" s="1"/>
      <c r="AH100" s="1"/>
    </row>
    <row r="101" customFormat="false" ht="15" hidden="false" customHeight="false" outlineLevel="0" collapsed="false">
      <c r="A101" s="1"/>
      <c r="B101" s="10"/>
      <c r="C101" s="31" t="str">
        <f aca="false">IF(B101="","",TEXT(B101,"ddd"))</f>
        <v/>
      </c>
      <c r="D101" s="11"/>
      <c r="E101" s="8" t="str">
        <f aca="false">IF(D101="","",IFERROR(INDEX(ProjNumbers,MATCH(D101,ProjNames,0)),""))</f>
        <v/>
      </c>
      <c r="F101" s="8" t="str">
        <f aca="false">IF(D101="","",IFERROR(INDEX(ProjCodes,MATCH(D101,ProjNames,0)),""))</f>
        <v/>
      </c>
      <c r="G101" s="32"/>
      <c r="H101" s="11"/>
      <c r="I101" s="33"/>
      <c r="J101" s="8" t="str">
        <f aca="false">IF(COUNTA(B101,D101,G101,H101,I101)=0,"",IF(B101="","Enter date",IF(OR(B101&lt;$AC$2,B101&gt;$AC$3),"Date not in January",IF(D101="","Pick project",IF(ISNA(MATCH(D101,ProjNames,0)),"Project not in list",IF(G101="","Add task description",IF(H101="","Pick NTIME or P6",IF(N(I101)&lt;=0,"Enter hours",IF(AND(AllowOT&lt;&gt;"Yes",SUMIF($B$7:$B$256,B101,$I$7:$I$256)&gt;INDEX($O$58:$O$88,DAY(B101))),"Day over "&amp;INDEX($O$58:$O$88,DAY(B101))&amp;" h","✓")))))))))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aca="false">IF(Projects!B99="","",Projects!B99)</f>
        <v/>
      </c>
      <c r="X101" s="1" t="n">
        <f aca="false">IF(W101="",0,SUMIFS($I$7:$I$256,$D$7:$D$256,W101,$H$7:$H$256,"NTIME"))</f>
        <v>0</v>
      </c>
      <c r="Y101" s="1" t="n">
        <f aca="false">IF(W101="",0,SUMIFS($I$7:$I$256,$D$7:$D$256,W101,$H$7:$H$256,"P6"))</f>
        <v>0</v>
      </c>
      <c r="Z101" s="1" t="n">
        <f aca="false">X101+Y101</f>
        <v>0</v>
      </c>
      <c r="AA101" s="1" t="n">
        <f aca="false">IF(Z101&gt;0,Z101+(201-95)/10^6,0)</f>
        <v>0</v>
      </c>
      <c r="AB101" s="1"/>
      <c r="AC101" s="1"/>
      <c r="AD101" s="1"/>
      <c r="AE101" s="1"/>
      <c r="AF101" s="1"/>
      <c r="AG101" s="1"/>
      <c r="AH101" s="1"/>
    </row>
    <row r="102" customFormat="false" ht="15" hidden="false" customHeight="false" outlineLevel="0" collapsed="false">
      <c r="A102" s="1"/>
      <c r="B102" s="10"/>
      <c r="C102" s="31" t="str">
        <f aca="false">IF(B102="","",TEXT(B102,"ddd"))</f>
        <v/>
      </c>
      <c r="D102" s="11"/>
      <c r="E102" s="8" t="str">
        <f aca="false">IF(D102="","",IFERROR(INDEX(ProjNumbers,MATCH(D102,ProjNames,0)),""))</f>
        <v/>
      </c>
      <c r="F102" s="8" t="str">
        <f aca="false">IF(D102="","",IFERROR(INDEX(ProjCodes,MATCH(D102,ProjNames,0)),""))</f>
        <v/>
      </c>
      <c r="G102" s="32"/>
      <c r="H102" s="11"/>
      <c r="I102" s="33"/>
      <c r="J102" s="8" t="str">
        <f aca="false">IF(COUNTA(B102,D102,G102,H102,I102)=0,"",IF(B102="","Enter date",IF(OR(B102&lt;$AC$2,B102&gt;$AC$3),"Date not in January",IF(D102="","Pick project",IF(ISNA(MATCH(D102,ProjNames,0)),"Project not in list",IF(G102="","Add task description",IF(H102="","Pick NTIME or P6",IF(N(I102)&lt;=0,"Enter hours",IF(AND(AllowOT&lt;&gt;"Yes",SUMIF($B$7:$B$256,B102,$I$7:$I$256)&gt;INDEX($O$58:$O$88,DAY(B102))),"Day over "&amp;INDEX($O$58:$O$88,DAY(B102))&amp;" h","✓")))))))))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tr">
        <f aca="false">IF(Projects!B100="","",Projects!B100)</f>
        <v/>
      </c>
      <c r="X102" s="1" t="n">
        <f aca="false">IF(W102="",0,SUMIFS($I$7:$I$256,$D$7:$D$256,W102,$H$7:$H$256,"NTIME"))</f>
        <v>0</v>
      </c>
      <c r="Y102" s="1" t="n">
        <f aca="false">IF(W102="",0,SUMIFS($I$7:$I$256,$D$7:$D$256,W102,$H$7:$H$256,"P6"))</f>
        <v>0</v>
      </c>
      <c r="Z102" s="1" t="n">
        <f aca="false">X102+Y102</f>
        <v>0</v>
      </c>
      <c r="AA102" s="1" t="n">
        <f aca="false">IF(Z102&gt;0,Z102+(201-96)/10^6,0)</f>
        <v>0</v>
      </c>
      <c r="AB102" s="1"/>
      <c r="AC102" s="1"/>
      <c r="AD102" s="1"/>
      <c r="AE102" s="1"/>
      <c r="AF102" s="1"/>
      <c r="AG102" s="1"/>
      <c r="AH102" s="1"/>
    </row>
    <row r="103" customFormat="false" ht="15" hidden="false" customHeight="false" outlineLevel="0" collapsed="false">
      <c r="A103" s="1"/>
      <c r="B103" s="10"/>
      <c r="C103" s="31" t="str">
        <f aca="false">IF(B103="","",TEXT(B103,"ddd"))</f>
        <v/>
      </c>
      <c r="D103" s="11"/>
      <c r="E103" s="8" t="str">
        <f aca="false">IF(D103="","",IFERROR(INDEX(ProjNumbers,MATCH(D103,ProjNames,0)),""))</f>
        <v/>
      </c>
      <c r="F103" s="8" t="str">
        <f aca="false">IF(D103="","",IFERROR(INDEX(ProjCodes,MATCH(D103,ProjNames,0)),""))</f>
        <v/>
      </c>
      <c r="G103" s="32"/>
      <c r="H103" s="11"/>
      <c r="I103" s="33"/>
      <c r="J103" s="8" t="str">
        <f aca="false">IF(COUNTA(B103,D103,G103,H103,I103)=0,"",IF(B103="","Enter date",IF(OR(B103&lt;$AC$2,B103&gt;$AC$3),"Date not in January",IF(D103="","Pick project",IF(ISNA(MATCH(D103,ProjNames,0)),"Project not in list",IF(G103="","Add task description",IF(H103="","Pick NTIME or P6",IF(N(I103)&lt;=0,"Enter hours",IF(AND(AllowOT&lt;&gt;"Yes",SUMIF($B$7:$B$256,B103,$I$7:$I$256)&gt;INDEX($O$58:$O$88,DAY(B103))),"Day over "&amp;INDEX($O$58:$O$88,DAY(B103))&amp;" h","✓")))))))))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tr">
        <f aca="false">IF(Projects!B101="","",Projects!B101)</f>
        <v/>
      </c>
      <c r="X103" s="1" t="n">
        <f aca="false">IF(W103="",0,SUMIFS($I$7:$I$256,$D$7:$D$256,W103,$H$7:$H$256,"NTIME"))</f>
        <v>0</v>
      </c>
      <c r="Y103" s="1" t="n">
        <f aca="false">IF(W103="",0,SUMIFS($I$7:$I$256,$D$7:$D$256,W103,$H$7:$H$256,"P6"))</f>
        <v>0</v>
      </c>
      <c r="Z103" s="1" t="n">
        <f aca="false">X103+Y103</f>
        <v>0</v>
      </c>
      <c r="AA103" s="1" t="n">
        <f aca="false">IF(Z103&gt;0,Z103+(201-97)/10^6,0)</f>
        <v>0</v>
      </c>
      <c r="AB103" s="1"/>
      <c r="AC103" s="1"/>
      <c r="AD103" s="1"/>
      <c r="AE103" s="1"/>
      <c r="AF103" s="1"/>
      <c r="AG103" s="1"/>
      <c r="AH103" s="1"/>
    </row>
    <row r="104" customFormat="false" ht="15" hidden="false" customHeight="false" outlineLevel="0" collapsed="false">
      <c r="A104" s="1"/>
      <c r="B104" s="10"/>
      <c r="C104" s="31" t="str">
        <f aca="false">IF(B104="","",TEXT(B104,"ddd"))</f>
        <v/>
      </c>
      <c r="D104" s="11"/>
      <c r="E104" s="8" t="str">
        <f aca="false">IF(D104="","",IFERROR(INDEX(ProjNumbers,MATCH(D104,ProjNames,0)),""))</f>
        <v/>
      </c>
      <c r="F104" s="8" t="str">
        <f aca="false">IF(D104="","",IFERROR(INDEX(ProjCodes,MATCH(D104,ProjNames,0)),""))</f>
        <v/>
      </c>
      <c r="G104" s="32"/>
      <c r="H104" s="11"/>
      <c r="I104" s="33"/>
      <c r="J104" s="8" t="str">
        <f aca="false">IF(COUNTA(B104,D104,G104,H104,I104)=0,"",IF(B104="","Enter date",IF(OR(B104&lt;$AC$2,B104&gt;$AC$3),"Date not in January",IF(D104="","Pick project",IF(ISNA(MATCH(D104,ProjNames,0)),"Project not in list",IF(G104="","Add task description",IF(H104="","Pick NTIME or P6",IF(N(I104)&lt;=0,"Enter hours",IF(AND(AllowOT&lt;&gt;"Yes",SUMIF($B$7:$B$256,B104,$I$7:$I$256)&gt;INDEX($O$58:$O$88,DAY(B104))),"Day over "&amp;INDEX($O$58:$O$88,DAY(B104))&amp;" h","✓")))))))))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tr">
        <f aca="false">IF(Projects!B102="","",Projects!B102)</f>
        <v/>
      </c>
      <c r="X104" s="1" t="n">
        <f aca="false">IF(W104="",0,SUMIFS($I$7:$I$256,$D$7:$D$256,W104,$H$7:$H$256,"NTIME"))</f>
        <v>0</v>
      </c>
      <c r="Y104" s="1" t="n">
        <f aca="false">IF(W104="",0,SUMIFS($I$7:$I$256,$D$7:$D$256,W104,$H$7:$H$256,"P6"))</f>
        <v>0</v>
      </c>
      <c r="Z104" s="1" t="n">
        <f aca="false">X104+Y104</f>
        <v>0</v>
      </c>
      <c r="AA104" s="1" t="n">
        <f aca="false">IF(Z104&gt;0,Z104+(201-98)/10^6,0)</f>
        <v>0</v>
      </c>
      <c r="AB104" s="1"/>
      <c r="AC104" s="1"/>
      <c r="AD104" s="1"/>
      <c r="AE104" s="1"/>
      <c r="AF104" s="1"/>
      <c r="AG104" s="1"/>
      <c r="AH104" s="1"/>
    </row>
    <row r="105" customFormat="false" ht="15" hidden="false" customHeight="false" outlineLevel="0" collapsed="false">
      <c r="A105" s="1"/>
      <c r="B105" s="10"/>
      <c r="C105" s="31" t="str">
        <f aca="false">IF(B105="","",TEXT(B105,"ddd"))</f>
        <v/>
      </c>
      <c r="D105" s="11"/>
      <c r="E105" s="8" t="str">
        <f aca="false">IF(D105="","",IFERROR(INDEX(ProjNumbers,MATCH(D105,ProjNames,0)),""))</f>
        <v/>
      </c>
      <c r="F105" s="8" t="str">
        <f aca="false">IF(D105="","",IFERROR(INDEX(ProjCodes,MATCH(D105,ProjNames,0)),""))</f>
        <v/>
      </c>
      <c r="G105" s="32"/>
      <c r="H105" s="11"/>
      <c r="I105" s="33"/>
      <c r="J105" s="8" t="str">
        <f aca="false">IF(COUNTA(B105,D105,G105,H105,I105)=0,"",IF(B105="","Enter date",IF(OR(B105&lt;$AC$2,B105&gt;$AC$3),"Date not in January",IF(D105="","Pick project",IF(ISNA(MATCH(D105,ProjNames,0)),"Project not in list",IF(G105="","Add task description",IF(H105="","Pick NTIME or P6",IF(N(I105)&lt;=0,"Enter hours",IF(AND(AllowOT&lt;&gt;"Yes",SUMIF($B$7:$B$256,B105,$I$7:$I$256)&gt;INDEX($O$58:$O$88,DAY(B105))),"Day over "&amp;INDEX($O$58:$O$88,DAY(B105))&amp;" h","✓")))))))))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tr">
        <f aca="false">IF(Projects!B103="","",Projects!B103)</f>
        <v/>
      </c>
      <c r="X105" s="1" t="n">
        <f aca="false">IF(W105="",0,SUMIFS($I$7:$I$256,$D$7:$D$256,W105,$H$7:$H$256,"NTIME"))</f>
        <v>0</v>
      </c>
      <c r="Y105" s="1" t="n">
        <f aca="false">IF(W105="",0,SUMIFS($I$7:$I$256,$D$7:$D$256,W105,$H$7:$H$256,"P6"))</f>
        <v>0</v>
      </c>
      <c r="Z105" s="1" t="n">
        <f aca="false">X105+Y105</f>
        <v>0</v>
      </c>
      <c r="AA105" s="1" t="n">
        <f aca="false">IF(Z105&gt;0,Z105+(201-99)/10^6,0)</f>
        <v>0</v>
      </c>
      <c r="AB105" s="1"/>
      <c r="AC105" s="1"/>
      <c r="AD105" s="1"/>
      <c r="AE105" s="1"/>
      <c r="AF105" s="1"/>
      <c r="AG105" s="1"/>
      <c r="AH105" s="1"/>
    </row>
    <row r="106" customFormat="false" ht="15" hidden="false" customHeight="false" outlineLevel="0" collapsed="false">
      <c r="A106" s="1"/>
      <c r="B106" s="10"/>
      <c r="C106" s="31" t="str">
        <f aca="false">IF(B106="","",TEXT(B106,"ddd"))</f>
        <v/>
      </c>
      <c r="D106" s="11"/>
      <c r="E106" s="8" t="str">
        <f aca="false">IF(D106="","",IFERROR(INDEX(ProjNumbers,MATCH(D106,ProjNames,0)),""))</f>
        <v/>
      </c>
      <c r="F106" s="8" t="str">
        <f aca="false">IF(D106="","",IFERROR(INDEX(ProjCodes,MATCH(D106,ProjNames,0)),""))</f>
        <v/>
      </c>
      <c r="G106" s="32"/>
      <c r="H106" s="11"/>
      <c r="I106" s="33"/>
      <c r="J106" s="8" t="str">
        <f aca="false">IF(COUNTA(B106,D106,G106,H106,I106)=0,"",IF(B106="","Enter date",IF(OR(B106&lt;$AC$2,B106&gt;$AC$3),"Date not in January",IF(D106="","Pick project",IF(ISNA(MATCH(D106,ProjNames,0)),"Project not in list",IF(G106="","Add task description",IF(H106="","Pick NTIME or P6",IF(N(I106)&lt;=0,"Enter hours",IF(AND(AllowOT&lt;&gt;"Yes",SUMIF($B$7:$B$256,B106,$I$7:$I$256)&gt;INDEX($O$58:$O$88,DAY(B106))),"Day over "&amp;INDEX($O$58:$O$88,DAY(B106))&amp;" h","✓")))))))))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tr">
        <f aca="false">IF(Projects!B104="","",Projects!B104)</f>
        <v/>
      </c>
      <c r="X106" s="1" t="n">
        <f aca="false">IF(W106="",0,SUMIFS($I$7:$I$256,$D$7:$D$256,W106,$H$7:$H$256,"NTIME"))</f>
        <v>0</v>
      </c>
      <c r="Y106" s="1" t="n">
        <f aca="false">IF(W106="",0,SUMIFS($I$7:$I$256,$D$7:$D$256,W106,$H$7:$H$256,"P6"))</f>
        <v>0</v>
      </c>
      <c r="Z106" s="1" t="n">
        <f aca="false">X106+Y106</f>
        <v>0</v>
      </c>
      <c r="AA106" s="1" t="n">
        <f aca="false">IF(Z106&gt;0,Z106+(201-100)/10^6,0)</f>
        <v>0</v>
      </c>
      <c r="AB106" s="1"/>
      <c r="AC106" s="1"/>
      <c r="AD106" s="1"/>
      <c r="AE106" s="1"/>
      <c r="AF106" s="1"/>
      <c r="AG106" s="1"/>
      <c r="AH106" s="1"/>
    </row>
    <row r="107" customFormat="false" ht="15" hidden="false" customHeight="false" outlineLevel="0" collapsed="false">
      <c r="A107" s="1"/>
      <c r="B107" s="10"/>
      <c r="C107" s="31" t="str">
        <f aca="false">IF(B107="","",TEXT(B107,"ddd"))</f>
        <v/>
      </c>
      <c r="D107" s="11"/>
      <c r="E107" s="8" t="str">
        <f aca="false">IF(D107="","",IFERROR(INDEX(ProjNumbers,MATCH(D107,ProjNames,0)),""))</f>
        <v/>
      </c>
      <c r="F107" s="8" t="str">
        <f aca="false">IF(D107="","",IFERROR(INDEX(ProjCodes,MATCH(D107,ProjNames,0)),""))</f>
        <v/>
      </c>
      <c r="G107" s="32"/>
      <c r="H107" s="11"/>
      <c r="I107" s="33"/>
      <c r="J107" s="8" t="str">
        <f aca="false">IF(COUNTA(B107,D107,G107,H107,I107)=0,"",IF(B107="","Enter date",IF(OR(B107&lt;$AC$2,B107&gt;$AC$3),"Date not in January",IF(D107="","Pick project",IF(ISNA(MATCH(D107,ProjNames,0)),"Project not in list",IF(G107="","Add task description",IF(H107="","Pick NTIME or P6",IF(N(I107)&lt;=0,"Enter hours",IF(AND(AllowOT&lt;&gt;"Yes",SUMIF($B$7:$B$256,B107,$I$7:$I$256)&gt;INDEX($O$58:$O$88,DAY(B107))),"Day over "&amp;INDEX($O$58:$O$88,DAY(B107))&amp;" h","✓")))))))))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tr">
        <f aca="false">IF(Projects!B105="","",Projects!B105)</f>
        <v/>
      </c>
      <c r="X107" s="1" t="n">
        <f aca="false">IF(W107="",0,SUMIFS($I$7:$I$256,$D$7:$D$256,W107,$H$7:$H$256,"NTIME"))</f>
        <v>0</v>
      </c>
      <c r="Y107" s="1" t="n">
        <f aca="false">IF(W107="",0,SUMIFS($I$7:$I$256,$D$7:$D$256,W107,$H$7:$H$256,"P6"))</f>
        <v>0</v>
      </c>
      <c r="Z107" s="1" t="n">
        <f aca="false">X107+Y107</f>
        <v>0</v>
      </c>
      <c r="AA107" s="1" t="n">
        <f aca="false">IF(Z107&gt;0,Z107+(201-101)/10^6,0)</f>
        <v>0</v>
      </c>
      <c r="AB107" s="1"/>
      <c r="AC107" s="1"/>
      <c r="AD107" s="1"/>
      <c r="AE107" s="1"/>
      <c r="AF107" s="1"/>
      <c r="AG107" s="1"/>
      <c r="AH107" s="1"/>
    </row>
    <row r="108" customFormat="false" ht="15" hidden="false" customHeight="false" outlineLevel="0" collapsed="false">
      <c r="A108" s="1"/>
      <c r="B108" s="10"/>
      <c r="C108" s="31" t="str">
        <f aca="false">IF(B108="","",TEXT(B108,"ddd"))</f>
        <v/>
      </c>
      <c r="D108" s="11"/>
      <c r="E108" s="8" t="str">
        <f aca="false">IF(D108="","",IFERROR(INDEX(ProjNumbers,MATCH(D108,ProjNames,0)),""))</f>
        <v/>
      </c>
      <c r="F108" s="8" t="str">
        <f aca="false">IF(D108="","",IFERROR(INDEX(ProjCodes,MATCH(D108,ProjNames,0)),""))</f>
        <v/>
      </c>
      <c r="G108" s="32"/>
      <c r="H108" s="11"/>
      <c r="I108" s="33"/>
      <c r="J108" s="8" t="str">
        <f aca="false">IF(COUNTA(B108,D108,G108,H108,I108)=0,"",IF(B108="","Enter date",IF(OR(B108&lt;$AC$2,B108&gt;$AC$3),"Date not in January",IF(D108="","Pick project",IF(ISNA(MATCH(D108,ProjNames,0)),"Project not in list",IF(G108="","Add task description",IF(H108="","Pick NTIME or P6",IF(N(I108)&lt;=0,"Enter hours",IF(AND(AllowOT&lt;&gt;"Yes",SUMIF($B$7:$B$256,B108,$I$7:$I$256)&gt;INDEX($O$58:$O$88,DAY(B108))),"Day over "&amp;INDEX($O$58:$O$88,DAY(B108))&amp;" h","✓")))))))))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aca="false">IF(Projects!B106="","",Projects!B106)</f>
        <v/>
      </c>
      <c r="X108" s="1" t="n">
        <f aca="false">IF(W108="",0,SUMIFS($I$7:$I$256,$D$7:$D$256,W108,$H$7:$H$256,"NTIME"))</f>
        <v>0</v>
      </c>
      <c r="Y108" s="1" t="n">
        <f aca="false">IF(W108="",0,SUMIFS($I$7:$I$256,$D$7:$D$256,W108,$H$7:$H$256,"P6"))</f>
        <v>0</v>
      </c>
      <c r="Z108" s="1" t="n">
        <f aca="false">X108+Y108</f>
        <v>0</v>
      </c>
      <c r="AA108" s="1" t="n">
        <f aca="false">IF(Z108&gt;0,Z108+(201-102)/10^6,0)</f>
        <v>0</v>
      </c>
      <c r="AB108" s="1"/>
      <c r="AC108" s="1"/>
      <c r="AD108" s="1"/>
      <c r="AE108" s="1"/>
      <c r="AF108" s="1"/>
      <c r="AG108" s="1"/>
      <c r="AH108" s="1"/>
    </row>
    <row r="109" customFormat="false" ht="15" hidden="false" customHeight="false" outlineLevel="0" collapsed="false">
      <c r="A109" s="1"/>
      <c r="B109" s="10"/>
      <c r="C109" s="31" t="str">
        <f aca="false">IF(B109="","",TEXT(B109,"ddd"))</f>
        <v/>
      </c>
      <c r="D109" s="11"/>
      <c r="E109" s="8" t="str">
        <f aca="false">IF(D109="","",IFERROR(INDEX(ProjNumbers,MATCH(D109,ProjNames,0)),""))</f>
        <v/>
      </c>
      <c r="F109" s="8" t="str">
        <f aca="false">IF(D109="","",IFERROR(INDEX(ProjCodes,MATCH(D109,ProjNames,0)),""))</f>
        <v/>
      </c>
      <c r="G109" s="32"/>
      <c r="H109" s="11"/>
      <c r="I109" s="33"/>
      <c r="J109" s="8" t="str">
        <f aca="false">IF(COUNTA(B109,D109,G109,H109,I109)=0,"",IF(B109="","Enter date",IF(OR(B109&lt;$AC$2,B109&gt;$AC$3),"Date not in January",IF(D109="","Pick project",IF(ISNA(MATCH(D109,ProjNames,0)),"Project not in list",IF(G109="","Add task description",IF(H109="","Pick NTIME or P6",IF(N(I109)&lt;=0,"Enter hours",IF(AND(AllowOT&lt;&gt;"Yes",SUMIF($B$7:$B$256,B109,$I$7:$I$256)&gt;INDEX($O$58:$O$88,DAY(B109))),"Day over "&amp;INDEX($O$58:$O$88,DAY(B109))&amp;" h","✓")))))))))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tr">
        <f aca="false">IF(Projects!B107="","",Projects!B107)</f>
        <v/>
      </c>
      <c r="X109" s="1" t="n">
        <f aca="false">IF(W109="",0,SUMIFS($I$7:$I$256,$D$7:$D$256,W109,$H$7:$H$256,"NTIME"))</f>
        <v>0</v>
      </c>
      <c r="Y109" s="1" t="n">
        <f aca="false">IF(W109="",0,SUMIFS($I$7:$I$256,$D$7:$D$256,W109,$H$7:$H$256,"P6"))</f>
        <v>0</v>
      </c>
      <c r="Z109" s="1" t="n">
        <f aca="false">X109+Y109</f>
        <v>0</v>
      </c>
      <c r="AA109" s="1" t="n">
        <f aca="false">IF(Z109&gt;0,Z109+(201-103)/10^6,0)</f>
        <v>0</v>
      </c>
      <c r="AB109" s="1"/>
      <c r="AC109" s="1"/>
      <c r="AD109" s="1"/>
      <c r="AE109" s="1"/>
      <c r="AF109" s="1"/>
      <c r="AG109" s="1"/>
      <c r="AH109" s="1"/>
    </row>
    <row r="110" customFormat="false" ht="15" hidden="false" customHeight="false" outlineLevel="0" collapsed="false">
      <c r="A110" s="1"/>
      <c r="B110" s="10"/>
      <c r="C110" s="31" t="str">
        <f aca="false">IF(B110="","",TEXT(B110,"ddd"))</f>
        <v/>
      </c>
      <c r="D110" s="11"/>
      <c r="E110" s="8" t="str">
        <f aca="false">IF(D110="","",IFERROR(INDEX(ProjNumbers,MATCH(D110,ProjNames,0)),""))</f>
        <v/>
      </c>
      <c r="F110" s="8" t="str">
        <f aca="false">IF(D110="","",IFERROR(INDEX(ProjCodes,MATCH(D110,ProjNames,0)),""))</f>
        <v/>
      </c>
      <c r="G110" s="32"/>
      <c r="H110" s="11"/>
      <c r="I110" s="33"/>
      <c r="J110" s="8" t="str">
        <f aca="false">IF(COUNTA(B110,D110,G110,H110,I110)=0,"",IF(B110="","Enter date",IF(OR(B110&lt;$AC$2,B110&gt;$AC$3),"Date not in January",IF(D110="","Pick project",IF(ISNA(MATCH(D110,ProjNames,0)),"Project not in list",IF(G110="","Add task description",IF(H110="","Pick NTIME or P6",IF(N(I110)&lt;=0,"Enter hours",IF(AND(AllowOT&lt;&gt;"Yes",SUMIF($B$7:$B$256,B110,$I$7:$I$256)&gt;INDEX($O$58:$O$88,DAY(B110))),"Day over "&amp;INDEX($O$58:$O$88,DAY(B110))&amp;" h","✓")))))))))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tr">
        <f aca="false">IF(Projects!B108="","",Projects!B108)</f>
        <v/>
      </c>
      <c r="X110" s="1" t="n">
        <f aca="false">IF(W110="",0,SUMIFS($I$7:$I$256,$D$7:$D$256,W110,$H$7:$H$256,"NTIME"))</f>
        <v>0</v>
      </c>
      <c r="Y110" s="1" t="n">
        <f aca="false">IF(W110="",0,SUMIFS($I$7:$I$256,$D$7:$D$256,W110,$H$7:$H$256,"P6"))</f>
        <v>0</v>
      </c>
      <c r="Z110" s="1" t="n">
        <f aca="false">X110+Y110</f>
        <v>0</v>
      </c>
      <c r="AA110" s="1" t="n">
        <f aca="false">IF(Z110&gt;0,Z110+(201-104)/10^6,0)</f>
        <v>0</v>
      </c>
      <c r="AB110" s="1"/>
      <c r="AC110" s="1"/>
      <c r="AD110" s="1"/>
      <c r="AE110" s="1"/>
      <c r="AF110" s="1"/>
      <c r="AG110" s="1"/>
      <c r="AH110" s="1"/>
    </row>
    <row r="111" customFormat="false" ht="15" hidden="false" customHeight="false" outlineLevel="0" collapsed="false">
      <c r="A111" s="1"/>
      <c r="B111" s="10"/>
      <c r="C111" s="31" t="str">
        <f aca="false">IF(B111="","",TEXT(B111,"ddd"))</f>
        <v/>
      </c>
      <c r="D111" s="11"/>
      <c r="E111" s="8" t="str">
        <f aca="false">IF(D111="","",IFERROR(INDEX(ProjNumbers,MATCH(D111,ProjNames,0)),""))</f>
        <v/>
      </c>
      <c r="F111" s="8" t="str">
        <f aca="false">IF(D111="","",IFERROR(INDEX(ProjCodes,MATCH(D111,ProjNames,0)),""))</f>
        <v/>
      </c>
      <c r="G111" s="32"/>
      <c r="H111" s="11"/>
      <c r="I111" s="33"/>
      <c r="J111" s="8" t="str">
        <f aca="false">IF(COUNTA(B111,D111,G111,H111,I111)=0,"",IF(B111="","Enter date",IF(OR(B111&lt;$AC$2,B111&gt;$AC$3),"Date not in January",IF(D111="","Pick project",IF(ISNA(MATCH(D111,ProjNames,0)),"Project not in list",IF(G111="","Add task description",IF(H111="","Pick NTIME or P6",IF(N(I111)&lt;=0,"Enter hours",IF(AND(AllowOT&lt;&gt;"Yes",SUMIF($B$7:$B$256,B111,$I$7:$I$256)&gt;INDEX($O$58:$O$88,DAY(B111))),"Day over "&amp;INDEX($O$58:$O$88,DAY(B111))&amp;" h","✓")))))))))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tr">
        <f aca="false">IF(Projects!B109="","",Projects!B109)</f>
        <v/>
      </c>
      <c r="X111" s="1" t="n">
        <f aca="false">IF(W111="",0,SUMIFS($I$7:$I$256,$D$7:$D$256,W111,$H$7:$H$256,"NTIME"))</f>
        <v>0</v>
      </c>
      <c r="Y111" s="1" t="n">
        <f aca="false">IF(W111="",0,SUMIFS($I$7:$I$256,$D$7:$D$256,W111,$H$7:$H$256,"P6"))</f>
        <v>0</v>
      </c>
      <c r="Z111" s="1" t="n">
        <f aca="false">X111+Y111</f>
        <v>0</v>
      </c>
      <c r="AA111" s="1" t="n">
        <f aca="false">IF(Z111&gt;0,Z111+(201-105)/10^6,0)</f>
        <v>0</v>
      </c>
      <c r="AB111" s="1"/>
      <c r="AC111" s="1"/>
      <c r="AD111" s="1"/>
      <c r="AE111" s="1"/>
      <c r="AF111" s="1"/>
      <c r="AG111" s="1"/>
      <c r="AH111" s="1"/>
    </row>
    <row r="112" customFormat="false" ht="15" hidden="false" customHeight="false" outlineLevel="0" collapsed="false">
      <c r="A112" s="1"/>
      <c r="B112" s="10"/>
      <c r="C112" s="31" t="str">
        <f aca="false">IF(B112="","",TEXT(B112,"ddd"))</f>
        <v/>
      </c>
      <c r="D112" s="11"/>
      <c r="E112" s="8" t="str">
        <f aca="false">IF(D112="","",IFERROR(INDEX(ProjNumbers,MATCH(D112,ProjNames,0)),""))</f>
        <v/>
      </c>
      <c r="F112" s="8" t="str">
        <f aca="false">IF(D112="","",IFERROR(INDEX(ProjCodes,MATCH(D112,ProjNames,0)),""))</f>
        <v/>
      </c>
      <c r="G112" s="32"/>
      <c r="H112" s="11"/>
      <c r="I112" s="33"/>
      <c r="J112" s="8" t="str">
        <f aca="false">IF(COUNTA(B112,D112,G112,H112,I112)=0,"",IF(B112="","Enter date",IF(OR(B112&lt;$AC$2,B112&gt;$AC$3),"Date not in January",IF(D112="","Pick project",IF(ISNA(MATCH(D112,ProjNames,0)),"Project not in list",IF(G112="","Add task description",IF(H112="","Pick NTIME or P6",IF(N(I112)&lt;=0,"Enter hours",IF(AND(AllowOT&lt;&gt;"Yes",SUMIF($B$7:$B$256,B112,$I$7:$I$256)&gt;INDEX($O$58:$O$88,DAY(B112))),"Day over "&amp;INDEX($O$58:$O$88,DAY(B112))&amp;" h","✓")))))))))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tr">
        <f aca="false">IF(Projects!B110="","",Projects!B110)</f>
        <v/>
      </c>
      <c r="X112" s="1" t="n">
        <f aca="false">IF(W112="",0,SUMIFS($I$7:$I$256,$D$7:$D$256,W112,$H$7:$H$256,"NTIME"))</f>
        <v>0</v>
      </c>
      <c r="Y112" s="1" t="n">
        <f aca="false">IF(W112="",0,SUMIFS($I$7:$I$256,$D$7:$D$256,W112,$H$7:$H$256,"P6"))</f>
        <v>0</v>
      </c>
      <c r="Z112" s="1" t="n">
        <f aca="false">X112+Y112</f>
        <v>0</v>
      </c>
      <c r="AA112" s="1" t="n">
        <f aca="false">IF(Z112&gt;0,Z112+(201-106)/10^6,0)</f>
        <v>0</v>
      </c>
      <c r="AB112" s="1"/>
      <c r="AC112" s="1"/>
      <c r="AD112" s="1"/>
      <c r="AE112" s="1"/>
      <c r="AF112" s="1"/>
      <c r="AG112" s="1"/>
      <c r="AH112" s="1"/>
    </row>
    <row r="113" customFormat="false" ht="15" hidden="false" customHeight="false" outlineLevel="0" collapsed="false">
      <c r="A113" s="1"/>
      <c r="B113" s="10"/>
      <c r="C113" s="31" t="str">
        <f aca="false">IF(B113="","",TEXT(B113,"ddd"))</f>
        <v/>
      </c>
      <c r="D113" s="11"/>
      <c r="E113" s="8" t="str">
        <f aca="false">IF(D113="","",IFERROR(INDEX(ProjNumbers,MATCH(D113,ProjNames,0)),""))</f>
        <v/>
      </c>
      <c r="F113" s="8" t="str">
        <f aca="false">IF(D113="","",IFERROR(INDEX(ProjCodes,MATCH(D113,ProjNames,0)),""))</f>
        <v/>
      </c>
      <c r="G113" s="32"/>
      <c r="H113" s="11"/>
      <c r="I113" s="33"/>
      <c r="J113" s="8" t="str">
        <f aca="false">IF(COUNTA(B113,D113,G113,H113,I113)=0,"",IF(B113="","Enter date",IF(OR(B113&lt;$AC$2,B113&gt;$AC$3),"Date not in January",IF(D113="","Pick project",IF(ISNA(MATCH(D113,ProjNames,0)),"Project not in list",IF(G113="","Add task description",IF(H113="","Pick NTIME or P6",IF(N(I113)&lt;=0,"Enter hours",IF(AND(AllowOT&lt;&gt;"Yes",SUMIF($B$7:$B$256,B113,$I$7:$I$256)&gt;INDEX($O$58:$O$88,DAY(B113))),"Day over "&amp;INDEX($O$58:$O$88,DAY(B113))&amp;" h","✓")))))))))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tr">
        <f aca="false">IF(Projects!B111="","",Projects!B111)</f>
        <v/>
      </c>
      <c r="X113" s="1" t="n">
        <f aca="false">IF(W113="",0,SUMIFS($I$7:$I$256,$D$7:$D$256,W113,$H$7:$H$256,"NTIME"))</f>
        <v>0</v>
      </c>
      <c r="Y113" s="1" t="n">
        <f aca="false">IF(W113="",0,SUMIFS($I$7:$I$256,$D$7:$D$256,W113,$H$7:$H$256,"P6"))</f>
        <v>0</v>
      </c>
      <c r="Z113" s="1" t="n">
        <f aca="false">X113+Y113</f>
        <v>0</v>
      </c>
      <c r="AA113" s="1" t="n">
        <f aca="false">IF(Z113&gt;0,Z113+(201-107)/10^6,0)</f>
        <v>0</v>
      </c>
      <c r="AB113" s="1"/>
      <c r="AC113" s="1"/>
      <c r="AD113" s="1"/>
      <c r="AE113" s="1"/>
      <c r="AF113" s="1"/>
      <c r="AG113" s="1"/>
      <c r="AH113" s="1"/>
    </row>
    <row r="114" customFormat="false" ht="15" hidden="false" customHeight="false" outlineLevel="0" collapsed="false">
      <c r="A114" s="1"/>
      <c r="B114" s="10"/>
      <c r="C114" s="31" t="str">
        <f aca="false">IF(B114="","",TEXT(B114,"ddd"))</f>
        <v/>
      </c>
      <c r="D114" s="11"/>
      <c r="E114" s="8" t="str">
        <f aca="false">IF(D114="","",IFERROR(INDEX(ProjNumbers,MATCH(D114,ProjNames,0)),""))</f>
        <v/>
      </c>
      <c r="F114" s="8" t="str">
        <f aca="false">IF(D114="","",IFERROR(INDEX(ProjCodes,MATCH(D114,ProjNames,0)),""))</f>
        <v/>
      </c>
      <c r="G114" s="32"/>
      <c r="H114" s="11"/>
      <c r="I114" s="33"/>
      <c r="J114" s="8" t="str">
        <f aca="false">IF(COUNTA(B114,D114,G114,H114,I114)=0,"",IF(B114="","Enter date",IF(OR(B114&lt;$AC$2,B114&gt;$AC$3),"Date not in January",IF(D114="","Pick project",IF(ISNA(MATCH(D114,ProjNames,0)),"Project not in list",IF(G114="","Add task description",IF(H114="","Pick NTIME or P6",IF(N(I114)&lt;=0,"Enter hours",IF(AND(AllowOT&lt;&gt;"Yes",SUMIF($B$7:$B$256,B114,$I$7:$I$256)&gt;INDEX($O$58:$O$88,DAY(B114))),"Day over "&amp;INDEX($O$58:$O$88,DAY(B114))&amp;" h","✓")))))))))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tr">
        <f aca="false">IF(Projects!B112="","",Projects!B112)</f>
        <v/>
      </c>
      <c r="X114" s="1" t="n">
        <f aca="false">IF(W114="",0,SUMIFS($I$7:$I$256,$D$7:$D$256,W114,$H$7:$H$256,"NTIME"))</f>
        <v>0</v>
      </c>
      <c r="Y114" s="1" t="n">
        <f aca="false">IF(W114="",0,SUMIFS($I$7:$I$256,$D$7:$D$256,W114,$H$7:$H$256,"P6"))</f>
        <v>0</v>
      </c>
      <c r="Z114" s="1" t="n">
        <f aca="false">X114+Y114</f>
        <v>0</v>
      </c>
      <c r="AA114" s="1" t="n">
        <f aca="false">IF(Z114&gt;0,Z114+(201-108)/10^6,0)</f>
        <v>0</v>
      </c>
      <c r="AB114" s="1"/>
      <c r="AC114" s="1"/>
      <c r="AD114" s="1"/>
      <c r="AE114" s="1"/>
      <c r="AF114" s="1"/>
      <c r="AG114" s="1"/>
      <c r="AH114" s="1"/>
    </row>
    <row r="115" customFormat="false" ht="15" hidden="false" customHeight="false" outlineLevel="0" collapsed="false">
      <c r="A115" s="1"/>
      <c r="B115" s="10"/>
      <c r="C115" s="31" t="str">
        <f aca="false">IF(B115="","",TEXT(B115,"ddd"))</f>
        <v/>
      </c>
      <c r="D115" s="11"/>
      <c r="E115" s="8" t="str">
        <f aca="false">IF(D115="","",IFERROR(INDEX(ProjNumbers,MATCH(D115,ProjNames,0)),""))</f>
        <v/>
      </c>
      <c r="F115" s="8" t="str">
        <f aca="false">IF(D115="","",IFERROR(INDEX(ProjCodes,MATCH(D115,ProjNames,0)),""))</f>
        <v/>
      </c>
      <c r="G115" s="32"/>
      <c r="H115" s="11"/>
      <c r="I115" s="33"/>
      <c r="J115" s="8" t="str">
        <f aca="false">IF(COUNTA(B115,D115,G115,H115,I115)=0,"",IF(B115="","Enter date",IF(OR(B115&lt;$AC$2,B115&gt;$AC$3),"Date not in January",IF(D115="","Pick project",IF(ISNA(MATCH(D115,ProjNames,0)),"Project not in list",IF(G115="","Add task description",IF(H115="","Pick NTIME or P6",IF(N(I115)&lt;=0,"Enter hours",IF(AND(AllowOT&lt;&gt;"Yes",SUMIF($B$7:$B$256,B115,$I$7:$I$256)&gt;INDEX($O$58:$O$88,DAY(B115))),"Day over "&amp;INDEX($O$58:$O$88,DAY(B115))&amp;" h","✓")))))))))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tr">
        <f aca="false">IF(Projects!B113="","",Projects!B113)</f>
        <v/>
      </c>
      <c r="X115" s="1" t="n">
        <f aca="false">IF(W115="",0,SUMIFS($I$7:$I$256,$D$7:$D$256,W115,$H$7:$H$256,"NTIME"))</f>
        <v>0</v>
      </c>
      <c r="Y115" s="1" t="n">
        <f aca="false">IF(W115="",0,SUMIFS($I$7:$I$256,$D$7:$D$256,W115,$H$7:$H$256,"P6"))</f>
        <v>0</v>
      </c>
      <c r="Z115" s="1" t="n">
        <f aca="false">X115+Y115</f>
        <v>0</v>
      </c>
      <c r="AA115" s="1" t="n">
        <f aca="false">IF(Z115&gt;0,Z115+(201-109)/10^6,0)</f>
        <v>0</v>
      </c>
      <c r="AB115" s="1"/>
      <c r="AC115" s="1"/>
      <c r="AD115" s="1"/>
      <c r="AE115" s="1"/>
      <c r="AF115" s="1"/>
      <c r="AG115" s="1"/>
      <c r="AH115" s="1"/>
    </row>
    <row r="116" customFormat="false" ht="15" hidden="false" customHeight="false" outlineLevel="0" collapsed="false">
      <c r="A116" s="1"/>
      <c r="B116" s="10"/>
      <c r="C116" s="31" t="str">
        <f aca="false">IF(B116="","",TEXT(B116,"ddd"))</f>
        <v/>
      </c>
      <c r="D116" s="11"/>
      <c r="E116" s="8" t="str">
        <f aca="false">IF(D116="","",IFERROR(INDEX(ProjNumbers,MATCH(D116,ProjNames,0)),""))</f>
        <v/>
      </c>
      <c r="F116" s="8" t="str">
        <f aca="false">IF(D116="","",IFERROR(INDEX(ProjCodes,MATCH(D116,ProjNames,0)),""))</f>
        <v/>
      </c>
      <c r="G116" s="32"/>
      <c r="H116" s="11"/>
      <c r="I116" s="33"/>
      <c r="J116" s="8" t="str">
        <f aca="false">IF(COUNTA(B116,D116,G116,H116,I116)=0,"",IF(B116="","Enter date",IF(OR(B116&lt;$AC$2,B116&gt;$AC$3),"Date not in January",IF(D116="","Pick project",IF(ISNA(MATCH(D116,ProjNames,0)),"Project not in list",IF(G116="","Add task description",IF(H116="","Pick NTIME or P6",IF(N(I116)&lt;=0,"Enter hours",IF(AND(AllowOT&lt;&gt;"Yes",SUMIF($B$7:$B$256,B116,$I$7:$I$256)&gt;INDEX($O$58:$O$88,DAY(B116))),"Day over "&amp;INDEX($O$58:$O$88,DAY(B116))&amp;" h","✓")))))))))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tr">
        <f aca="false">IF(Projects!B114="","",Projects!B114)</f>
        <v/>
      </c>
      <c r="X116" s="1" t="n">
        <f aca="false">IF(W116="",0,SUMIFS($I$7:$I$256,$D$7:$D$256,W116,$H$7:$H$256,"NTIME"))</f>
        <v>0</v>
      </c>
      <c r="Y116" s="1" t="n">
        <f aca="false">IF(W116="",0,SUMIFS($I$7:$I$256,$D$7:$D$256,W116,$H$7:$H$256,"P6"))</f>
        <v>0</v>
      </c>
      <c r="Z116" s="1" t="n">
        <f aca="false">X116+Y116</f>
        <v>0</v>
      </c>
      <c r="AA116" s="1" t="n">
        <f aca="false">IF(Z116&gt;0,Z116+(201-110)/10^6,0)</f>
        <v>0</v>
      </c>
      <c r="AB116" s="1"/>
      <c r="AC116" s="1"/>
      <c r="AD116" s="1"/>
      <c r="AE116" s="1"/>
      <c r="AF116" s="1"/>
      <c r="AG116" s="1"/>
      <c r="AH116" s="1"/>
    </row>
    <row r="117" customFormat="false" ht="15" hidden="false" customHeight="false" outlineLevel="0" collapsed="false">
      <c r="A117" s="1"/>
      <c r="B117" s="10"/>
      <c r="C117" s="31" t="str">
        <f aca="false">IF(B117="","",TEXT(B117,"ddd"))</f>
        <v/>
      </c>
      <c r="D117" s="11"/>
      <c r="E117" s="8" t="str">
        <f aca="false">IF(D117="","",IFERROR(INDEX(ProjNumbers,MATCH(D117,ProjNames,0)),""))</f>
        <v/>
      </c>
      <c r="F117" s="8" t="str">
        <f aca="false">IF(D117="","",IFERROR(INDEX(ProjCodes,MATCH(D117,ProjNames,0)),""))</f>
        <v/>
      </c>
      <c r="G117" s="32"/>
      <c r="H117" s="11"/>
      <c r="I117" s="33"/>
      <c r="J117" s="8" t="str">
        <f aca="false">IF(COUNTA(B117,D117,G117,H117,I117)=0,"",IF(B117="","Enter date",IF(OR(B117&lt;$AC$2,B117&gt;$AC$3),"Date not in January",IF(D117="","Pick project",IF(ISNA(MATCH(D117,ProjNames,0)),"Project not in list",IF(G117="","Add task description",IF(H117="","Pick NTIME or P6",IF(N(I117)&lt;=0,"Enter hours",IF(AND(AllowOT&lt;&gt;"Yes",SUMIF($B$7:$B$256,B117,$I$7:$I$256)&gt;INDEX($O$58:$O$88,DAY(B117))),"Day over "&amp;INDEX($O$58:$O$88,DAY(B117))&amp;" h","✓")))))))))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tr">
        <f aca="false">IF(Projects!B115="","",Projects!B115)</f>
        <v/>
      </c>
      <c r="X117" s="1" t="n">
        <f aca="false">IF(W117="",0,SUMIFS($I$7:$I$256,$D$7:$D$256,W117,$H$7:$H$256,"NTIME"))</f>
        <v>0</v>
      </c>
      <c r="Y117" s="1" t="n">
        <f aca="false">IF(W117="",0,SUMIFS($I$7:$I$256,$D$7:$D$256,W117,$H$7:$H$256,"P6"))</f>
        <v>0</v>
      </c>
      <c r="Z117" s="1" t="n">
        <f aca="false">X117+Y117</f>
        <v>0</v>
      </c>
      <c r="AA117" s="1" t="n">
        <f aca="false">IF(Z117&gt;0,Z117+(201-111)/10^6,0)</f>
        <v>0</v>
      </c>
      <c r="AB117" s="1"/>
      <c r="AC117" s="1"/>
      <c r="AD117" s="1"/>
      <c r="AE117" s="1"/>
      <c r="AF117" s="1"/>
      <c r="AG117" s="1"/>
      <c r="AH117" s="1"/>
    </row>
    <row r="118" customFormat="false" ht="15" hidden="false" customHeight="false" outlineLevel="0" collapsed="false">
      <c r="A118" s="1"/>
      <c r="B118" s="10"/>
      <c r="C118" s="31" t="str">
        <f aca="false">IF(B118="","",TEXT(B118,"ddd"))</f>
        <v/>
      </c>
      <c r="D118" s="11"/>
      <c r="E118" s="8" t="str">
        <f aca="false">IF(D118="","",IFERROR(INDEX(ProjNumbers,MATCH(D118,ProjNames,0)),""))</f>
        <v/>
      </c>
      <c r="F118" s="8" t="str">
        <f aca="false">IF(D118="","",IFERROR(INDEX(ProjCodes,MATCH(D118,ProjNames,0)),""))</f>
        <v/>
      </c>
      <c r="G118" s="32"/>
      <c r="H118" s="11"/>
      <c r="I118" s="33"/>
      <c r="J118" s="8" t="str">
        <f aca="false">IF(COUNTA(B118,D118,G118,H118,I118)=0,"",IF(B118="","Enter date",IF(OR(B118&lt;$AC$2,B118&gt;$AC$3),"Date not in January",IF(D118="","Pick project",IF(ISNA(MATCH(D118,ProjNames,0)),"Project not in list",IF(G118="","Add task description",IF(H118="","Pick NTIME or P6",IF(N(I118)&lt;=0,"Enter hours",IF(AND(AllowOT&lt;&gt;"Yes",SUMIF($B$7:$B$256,B118,$I$7:$I$256)&gt;INDEX($O$58:$O$88,DAY(B118))),"Day over "&amp;INDEX($O$58:$O$88,DAY(B118))&amp;" h","✓")))))))))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tr">
        <f aca="false">IF(Projects!B116="","",Projects!B116)</f>
        <v/>
      </c>
      <c r="X118" s="1" t="n">
        <f aca="false">IF(W118="",0,SUMIFS($I$7:$I$256,$D$7:$D$256,W118,$H$7:$H$256,"NTIME"))</f>
        <v>0</v>
      </c>
      <c r="Y118" s="1" t="n">
        <f aca="false">IF(W118="",0,SUMIFS($I$7:$I$256,$D$7:$D$256,W118,$H$7:$H$256,"P6"))</f>
        <v>0</v>
      </c>
      <c r="Z118" s="1" t="n">
        <f aca="false">X118+Y118</f>
        <v>0</v>
      </c>
      <c r="AA118" s="1" t="n">
        <f aca="false">IF(Z118&gt;0,Z118+(201-112)/10^6,0)</f>
        <v>0</v>
      </c>
      <c r="AB118" s="1"/>
      <c r="AC118" s="1"/>
      <c r="AD118" s="1"/>
      <c r="AE118" s="1"/>
      <c r="AF118" s="1"/>
      <c r="AG118" s="1"/>
      <c r="AH118" s="1"/>
    </row>
    <row r="119" customFormat="false" ht="15" hidden="false" customHeight="false" outlineLevel="0" collapsed="false">
      <c r="A119" s="1"/>
      <c r="B119" s="10"/>
      <c r="C119" s="31" t="str">
        <f aca="false">IF(B119="","",TEXT(B119,"ddd"))</f>
        <v/>
      </c>
      <c r="D119" s="11"/>
      <c r="E119" s="8" t="str">
        <f aca="false">IF(D119="","",IFERROR(INDEX(ProjNumbers,MATCH(D119,ProjNames,0)),""))</f>
        <v/>
      </c>
      <c r="F119" s="8" t="str">
        <f aca="false">IF(D119="","",IFERROR(INDEX(ProjCodes,MATCH(D119,ProjNames,0)),""))</f>
        <v/>
      </c>
      <c r="G119" s="32"/>
      <c r="H119" s="11"/>
      <c r="I119" s="33"/>
      <c r="J119" s="8" t="str">
        <f aca="false">IF(COUNTA(B119,D119,G119,H119,I119)=0,"",IF(B119="","Enter date",IF(OR(B119&lt;$AC$2,B119&gt;$AC$3),"Date not in January",IF(D119="","Pick project",IF(ISNA(MATCH(D119,ProjNames,0)),"Project not in list",IF(G119="","Add task description",IF(H119="","Pick NTIME or P6",IF(N(I119)&lt;=0,"Enter hours",IF(AND(AllowOT&lt;&gt;"Yes",SUMIF($B$7:$B$256,B119,$I$7:$I$256)&gt;INDEX($O$58:$O$88,DAY(B119))),"Day over "&amp;INDEX($O$58:$O$88,DAY(B119))&amp;" h","✓")))))))))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 aca="false">IF(Projects!B117="","",Projects!B117)</f>
        <v/>
      </c>
      <c r="X119" s="1" t="n">
        <f aca="false">IF(W119="",0,SUMIFS($I$7:$I$256,$D$7:$D$256,W119,$H$7:$H$256,"NTIME"))</f>
        <v>0</v>
      </c>
      <c r="Y119" s="1" t="n">
        <f aca="false">IF(W119="",0,SUMIFS($I$7:$I$256,$D$7:$D$256,W119,$H$7:$H$256,"P6"))</f>
        <v>0</v>
      </c>
      <c r="Z119" s="1" t="n">
        <f aca="false">X119+Y119</f>
        <v>0</v>
      </c>
      <c r="AA119" s="1" t="n">
        <f aca="false">IF(Z119&gt;0,Z119+(201-113)/10^6,0)</f>
        <v>0</v>
      </c>
      <c r="AB119" s="1"/>
      <c r="AC119" s="1"/>
      <c r="AD119" s="1"/>
      <c r="AE119" s="1"/>
      <c r="AF119" s="1"/>
      <c r="AG119" s="1"/>
      <c r="AH119" s="1"/>
    </row>
    <row r="120" customFormat="false" ht="15" hidden="false" customHeight="false" outlineLevel="0" collapsed="false">
      <c r="A120" s="1"/>
      <c r="B120" s="10"/>
      <c r="C120" s="31" t="str">
        <f aca="false">IF(B120="","",TEXT(B120,"ddd"))</f>
        <v/>
      </c>
      <c r="D120" s="11"/>
      <c r="E120" s="8" t="str">
        <f aca="false">IF(D120="","",IFERROR(INDEX(ProjNumbers,MATCH(D120,ProjNames,0)),""))</f>
        <v/>
      </c>
      <c r="F120" s="8" t="str">
        <f aca="false">IF(D120="","",IFERROR(INDEX(ProjCodes,MATCH(D120,ProjNames,0)),""))</f>
        <v/>
      </c>
      <c r="G120" s="32"/>
      <c r="H120" s="11"/>
      <c r="I120" s="33"/>
      <c r="J120" s="8" t="str">
        <f aca="false">IF(COUNTA(B120,D120,G120,H120,I120)=0,"",IF(B120="","Enter date",IF(OR(B120&lt;$AC$2,B120&gt;$AC$3),"Date not in January",IF(D120="","Pick project",IF(ISNA(MATCH(D120,ProjNames,0)),"Project not in list",IF(G120="","Add task description",IF(H120="","Pick NTIME or P6",IF(N(I120)&lt;=0,"Enter hours",IF(AND(AllowOT&lt;&gt;"Yes",SUMIF($B$7:$B$256,B120,$I$7:$I$256)&gt;INDEX($O$58:$O$88,DAY(B120))),"Day over "&amp;INDEX($O$58:$O$88,DAY(B120))&amp;" h","✓")))))))))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tr">
        <f aca="false">IF(Projects!B118="","",Projects!B118)</f>
        <v/>
      </c>
      <c r="X120" s="1" t="n">
        <f aca="false">IF(W120="",0,SUMIFS($I$7:$I$256,$D$7:$D$256,W120,$H$7:$H$256,"NTIME"))</f>
        <v>0</v>
      </c>
      <c r="Y120" s="1" t="n">
        <f aca="false">IF(W120="",0,SUMIFS($I$7:$I$256,$D$7:$D$256,W120,$H$7:$H$256,"P6"))</f>
        <v>0</v>
      </c>
      <c r="Z120" s="1" t="n">
        <f aca="false">X120+Y120</f>
        <v>0</v>
      </c>
      <c r="AA120" s="1" t="n">
        <f aca="false">IF(Z120&gt;0,Z120+(201-114)/10^6,0)</f>
        <v>0</v>
      </c>
      <c r="AB120" s="1"/>
      <c r="AC120" s="1"/>
      <c r="AD120" s="1"/>
      <c r="AE120" s="1"/>
      <c r="AF120" s="1"/>
      <c r="AG120" s="1"/>
      <c r="AH120" s="1"/>
    </row>
    <row r="121" customFormat="false" ht="15" hidden="false" customHeight="false" outlineLevel="0" collapsed="false">
      <c r="A121" s="1"/>
      <c r="B121" s="10"/>
      <c r="C121" s="31" t="str">
        <f aca="false">IF(B121="","",TEXT(B121,"ddd"))</f>
        <v/>
      </c>
      <c r="D121" s="11"/>
      <c r="E121" s="8" t="str">
        <f aca="false">IF(D121="","",IFERROR(INDEX(ProjNumbers,MATCH(D121,ProjNames,0)),""))</f>
        <v/>
      </c>
      <c r="F121" s="8" t="str">
        <f aca="false">IF(D121="","",IFERROR(INDEX(ProjCodes,MATCH(D121,ProjNames,0)),""))</f>
        <v/>
      </c>
      <c r="G121" s="32"/>
      <c r="H121" s="11"/>
      <c r="I121" s="33"/>
      <c r="J121" s="8" t="str">
        <f aca="false">IF(COUNTA(B121,D121,G121,H121,I121)=0,"",IF(B121="","Enter date",IF(OR(B121&lt;$AC$2,B121&gt;$AC$3),"Date not in January",IF(D121="","Pick project",IF(ISNA(MATCH(D121,ProjNames,0)),"Project not in list",IF(G121="","Add task description",IF(H121="","Pick NTIME or P6",IF(N(I121)&lt;=0,"Enter hours",IF(AND(AllowOT&lt;&gt;"Yes",SUMIF($B$7:$B$256,B121,$I$7:$I$256)&gt;INDEX($O$58:$O$88,DAY(B121))),"Day over "&amp;INDEX($O$58:$O$88,DAY(B121))&amp;" h","✓")))))))))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tr">
        <f aca="false">IF(Projects!B119="","",Projects!B119)</f>
        <v/>
      </c>
      <c r="X121" s="1" t="n">
        <f aca="false">IF(W121="",0,SUMIFS($I$7:$I$256,$D$7:$D$256,W121,$H$7:$H$256,"NTIME"))</f>
        <v>0</v>
      </c>
      <c r="Y121" s="1" t="n">
        <f aca="false">IF(W121="",0,SUMIFS($I$7:$I$256,$D$7:$D$256,W121,$H$7:$H$256,"P6"))</f>
        <v>0</v>
      </c>
      <c r="Z121" s="1" t="n">
        <f aca="false">X121+Y121</f>
        <v>0</v>
      </c>
      <c r="AA121" s="1" t="n">
        <f aca="false">IF(Z121&gt;0,Z121+(201-115)/10^6,0)</f>
        <v>0</v>
      </c>
      <c r="AB121" s="1"/>
      <c r="AC121" s="1"/>
      <c r="AD121" s="1"/>
      <c r="AE121" s="1"/>
      <c r="AF121" s="1"/>
      <c r="AG121" s="1"/>
      <c r="AH121" s="1"/>
    </row>
    <row r="122" customFormat="false" ht="15" hidden="false" customHeight="false" outlineLevel="0" collapsed="false">
      <c r="A122" s="1"/>
      <c r="B122" s="10"/>
      <c r="C122" s="31" t="str">
        <f aca="false">IF(B122="","",TEXT(B122,"ddd"))</f>
        <v/>
      </c>
      <c r="D122" s="11"/>
      <c r="E122" s="8" t="str">
        <f aca="false">IF(D122="","",IFERROR(INDEX(ProjNumbers,MATCH(D122,ProjNames,0)),""))</f>
        <v/>
      </c>
      <c r="F122" s="8" t="str">
        <f aca="false">IF(D122="","",IFERROR(INDEX(ProjCodes,MATCH(D122,ProjNames,0)),""))</f>
        <v/>
      </c>
      <c r="G122" s="32"/>
      <c r="H122" s="11"/>
      <c r="I122" s="33"/>
      <c r="J122" s="8" t="str">
        <f aca="false">IF(COUNTA(B122,D122,G122,H122,I122)=0,"",IF(B122="","Enter date",IF(OR(B122&lt;$AC$2,B122&gt;$AC$3),"Date not in January",IF(D122="","Pick project",IF(ISNA(MATCH(D122,ProjNames,0)),"Project not in list",IF(G122="","Add task description",IF(H122="","Pick NTIME or P6",IF(N(I122)&lt;=0,"Enter hours",IF(AND(AllowOT&lt;&gt;"Yes",SUMIF($B$7:$B$256,B122,$I$7:$I$256)&gt;INDEX($O$58:$O$88,DAY(B122))),"Day over "&amp;INDEX($O$58:$O$88,DAY(B122))&amp;" h","✓")))))))))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tr">
        <f aca="false">IF(Projects!B120="","",Projects!B120)</f>
        <v/>
      </c>
      <c r="X122" s="1" t="n">
        <f aca="false">IF(W122="",0,SUMIFS($I$7:$I$256,$D$7:$D$256,W122,$H$7:$H$256,"NTIME"))</f>
        <v>0</v>
      </c>
      <c r="Y122" s="1" t="n">
        <f aca="false">IF(W122="",0,SUMIFS($I$7:$I$256,$D$7:$D$256,W122,$H$7:$H$256,"P6"))</f>
        <v>0</v>
      </c>
      <c r="Z122" s="1" t="n">
        <f aca="false">X122+Y122</f>
        <v>0</v>
      </c>
      <c r="AA122" s="1" t="n">
        <f aca="false">IF(Z122&gt;0,Z122+(201-116)/10^6,0)</f>
        <v>0</v>
      </c>
      <c r="AB122" s="1"/>
      <c r="AC122" s="1"/>
      <c r="AD122" s="1"/>
      <c r="AE122" s="1"/>
      <c r="AF122" s="1"/>
      <c r="AG122" s="1"/>
      <c r="AH122" s="1"/>
    </row>
    <row r="123" customFormat="false" ht="15" hidden="false" customHeight="false" outlineLevel="0" collapsed="false">
      <c r="A123" s="1"/>
      <c r="B123" s="10"/>
      <c r="C123" s="31" t="str">
        <f aca="false">IF(B123="","",TEXT(B123,"ddd"))</f>
        <v/>
      </c>
      <c r="D123" s="11"/>
      <c r="E123" s="8" t="str">
        <f aca="false">IF(D123="","",IFERROR(INDEX(ProjNumbers,MATCH(D123,ProjNames,0)),""))</f>
        <v/>
      </c>
      <c r="F123" s="8" t="str">
        <f aca="false">IF(D123="","",IFERROR(INDEX(ProjCodes,MATCH(D123,ProjNames,0)),""))</f>
        <v/>
      </c>
      <c r="G123" s="32"/>
      <c r="H123" s="11"/>
      <c r="I123" s="33"/>
      <c r="J123" s="8" t="str">
        <f aca="false">IF(COUNTA(B123,D123,G123,H123,I123)=0,"",IF(B123="","Enter date",IF(OR(B123&lt;$AC$2,B123&gt;$AC$3),"Date not in January",IF(D123="","Pick project",IF(ISNA(MATCH(D123,ProjNames,0)),"Project not in list",IF(G123="","Add task description",IF(H123="","Pick NTIME or P6",IF(N(I123)&lt;=0,"Enter hours",IF(AND(AllowOT&lt;&gt;"Yes",SUMIF($B$7:$B$256,B123,$I$7:$I$256)&gt;INDEX($O$58:$O$88,DAY(B123))),"Day over "&amp;INDEX($O$58:$O$88,DAY(B123))&amp;" h","✓")))))))))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tr">
        <f aca="false">IF(Projects!B121="","",Projects!B121)</f>
        <v/>
      </c>
      <c r="X123" s="1" t="n">
        <f aca="false">IF(W123="",0,SUMIFS($I$7:$I$256,$D$7:$D$256,W123,$H$7:$H$256,"NTIME"))</f>
        <v>0</v>
      </c>
      <c r="Y123" s="1" t="n">
        <f aca="false">IF(W123="",0,SUMIFS($I$7:$I$256,$D$7:$D$256,W123,$H$7:$H$256,"P6"))</f>
        <v>0</v>
      </c>
      <c r="Z123" s="1" t="n">
        <f aca="false">X123+Y123</f>
        <v>0</v>
      </c>
      <c r="AA123" s="1" t="n">
        <f aca="false">IF(Z123&gt;0,Z123+(201-117)/10^6,0)</f>
        <v>0</v>
      </c>
      <c r="AB123" s="1"/>
      <c r="AC123" s="1"/>
      <c r="AD123" s="1"/>
      <c r="AE123" s="1"/>
      <c r="AF123" s="1"/>
      <c r="AG123" s="1"/>
      <c r="AH123" s="1"/>
    </row>
    <row r="124" customFormat="false" ht="15" hidden="false" customHeight="false" outlineLevel="0" collapsed="false">
      <c r="A124" s="1"/>
      <c r="B124" s="10"/>
      <c r="C124" s="31" t="str">
        <f aca="false">IF(B124="","",TEXT(B124,"ddd"))</f>
        <v/>
      </c>
      <c r="D124" s="11"/>
      <c r="E124" s="8" t="str">
        <f aca="false">IF(D124="","",IFERROR(INDEX(ProjNumbers,MATCH(D124,ProjNames,0)),""))</f>
        <v/>
      </c>
      <c r="F124" s="8" t="str">
        <f aca="false">IF(D124="","",IFERROR(INDEX(ProjCodes,MATCH(D124,ProjNames,0)),""))</f>
        <v/>
      </c>
      <c r="G124" s="32"/>
      <c r="H124" s="11"/>
      <c r="I124" s="33"/>
      <c r="J124" s="8" t="str">
        <f aca="false">IF(COUNTA(B124,D124,G124,H124,I124)=0,"",IF(B124="","Enter date",IF(OR(B124&lt;$AC$2,B124&gt;$AC$3),"Date not in January",IF(D124="","Pick project",IF(ISNA(MATCH(D124,ProjNames,0)),"Project not in list",IF(G124="","Add task description",IF(H124="","Pick NTIME or P6",IF(N(I124)&lt;=0,"Enter hours",IF(AND(AllowOT&lt;&gt;"Yes",SUMIF($B$7:$B$256,B124,$I$7:$I$256)&gt;INDEX($O$58:$O$88,DAY(B124))),"Day over "&amp;INDEX($O$58:$O$88,DAY(B124))&amp;" h","✓")))))))))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tr">
        <f aca="false">IF(Projects!B122="","",Projects!B122)</f>
        <v/>
      </c>
      <c r="X124" s="1" t="n">
        <f aca="false">IF(W124="",0,SUMIFS($I$7:$I$256,$D$7:$D$256,W124,$H$7:$H$256,"NTIME"))</f>
        <v>0</v>
      </c>
      <c r="Y124" s="1" t="n">
        <f aca="false">IF(W124="",0,SUMIFS($I$7:$I$256,$D$7:$D$256,W124,$H$7:$H$256,"P6"))</f>
        <v>0</v>
      </c>
      <c r="Z124" s="1" t="n">
        <f aca="false">X124+Y124</f>
        <v>0</v>
      </c>
      <c r="AA124" s="1" t="n">
        <f aca="false">IF(Z124&gt;0,Z124+(201-118)/10^6,0)</f>
        <v>0</v>
      </c>
      <c r="AB124" s="1"/>
      <c r="AC124" s="1"/>
      <c r="AD124" s="1"/>
      <c r="AE124" s="1"/>
      <c r="AF124" s="1"/>
      <c r="AG124" s="1"/>
      <c r="AH124" s="1"/>
    </row>
    <row r="125" customFormat="false" ht="15" hidden="false" customHeight="false" outlineLevel="0" collapsed="false">
      <c r="A125" s="1"/>
      <c r="B125" s="10"/>
      <c r="C125" s="31" t="str">
        <f aca="false">IF(B125="","",TEXT(B125,"ddd"))</f>
        <v/>
      </c>
      <c r="D125" s="11"/>
      <c r="E125" s="8" t="str">
        <f aca="false">IF(D125="","",IFERROR(INDEX(ProjNumbers,MATCH(D125,ProjNames,0)),""))</f>
        <v/>
      </c>
      <c r="F125" s="8" t="str">
        <f aca="false">IF(D125="","",IFERROR(INDEX(ProjCodes,MATCH(D125,ProjNames,0)),""))</f>
        <v/>
      </c>
      <c r="G125" s="32"/>
      <c r="H125" s="11"/>
      <c r="I125" s="33"/>
      <c r="J125" s="8" t="str">
        <f aca="false">IF(COUNTA(B125,D125,G125,H125,I125)=0,"",IF(B125="","Enter date",IF(OR(B125&lt;$AC$2,B125&gt;$AC$3),"Date not in January",IF(D125="","Pick project",IF(ISNA(MATCH(D125,ProjNames,0)),"Project not in list",IF(G125="","Add task description",IF(H125="","Pick NTIME or P6",IF(N(I125)&lt;=0,"Enter hours",IF(AND(AllowOT&lt;&gt;"Yes",SUMIF($B$7:$B$256,B125,$I$7:$I$256)&gt;INDEX($O$58:$O$88,DAY(B125))),"Day over "&amp;INDEX($O$58:$O$88,DAY(B125))&amp;" h","✓")))))))))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tr">
        <f aca="false">IF(Projects!B123="","",Projects!B123)</f>
        <v/>
      </c>
      <c r="X125" s="1" t="n">
        <f aca="false">IF(W125="",0,SUMIFS($I$7:$I$256,$D$7:$D$256,W125,$H$7:$H$256,"NTIME"))</f>
        <v>0</v>
      </c>
      <c r="Y125" s="1" t="n">
        <f aca="false">IF(W125="",0,SUMIFS($I$7:$I$256,$D$7:$D$256,W125,$H$7:$H$256,"P6"))</f>
        <v>0</v>
      </c>
      <c r="Z125" s="1" t="n">
        <f aca="false">X125+Y125</f>
        <v>0</v>
      </c>
      <c r="AA125" s="1" t="n">
        <f aca="false">IF(Z125&gt;0,Z125+(201-119)/10^6,0)</f>
        <v>0</v>
      </c>
      <c r="AB125" s="1"/>
      <c r="AC125" s="1"/>
      <c r="AD125" s="1"/>
      <c r="AE125" s="1"/>
      <c r="AF125" s="1"/>
      <c r="AG125" s="1"/>
      <c r="AH125" s="1"/>
    </row>
    <row r="126" customFormat="false" ht="15" hidden="false" customHeight="false" outlineLevel="0" collapsed="false">
      <c r="A126" s="1"/>
      <c r="B126" s="10"/>
      <c r="C126" s="31" t="str">
        <f aca="false">IF(B126="","",TEXT(B126,"ddd"))</f>
        <v/>
      </c>
      <c r="D126" s="11"/>
      <c r="E126" s="8" t="str">
        <f aca="false">IF(D126="","",IFERROR(INDEX(ProjNumbers,MATCH(D126,ProjNames,0)),""))</f>
        <v/>
      </c>
      <c r="F126" s="8" t="str">
        <f aca="false">IF(D126="","",IFERROR(INDEX(ProjCodes,MATCH(D126,ProjNames,0)),""))</f>
        <v/>
      </c>
      <c r="G126" s="32"/>
      <c r="H126" s="11"/>
      <c r="I126" s="33"/>
      <c r="J126" s="8" t="str">
        <f aca="false">IF(COUNTA(B126,D126,G126,H126,I126)=0,"",IF(B126="","Enter date",IF(OR(B126&lt;$AC$2,B126&gt;$AC$3),"Date not in January",IF(D126="","Pick project",IF(ISNA(MATCH(D126,ProjNames,0)),"Project not in list",IF(G126="","Add task description",IF(H126="","Pick NTIME or P6",IF(N(I126)&lt;=0,"Enter hours",IF(AND(AllowOT&lt;&gt;"Yes",SUMIF($B$7:$B$256,B126,$I$7:$I$256)&gt;INDEX($O$58:$O$88,DAY(B126))),"Day over "&amp;INDEX($O$58:$O$88,DAY(B126))&amp;" h","✓")))))))))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tr">
        <f aca="false">IF(Projects!B124="","",Projects!B124)</f>
        <v/>
      </c>
      <c r="X126" s="1" t="n">
        <f aca="false">IF(W126="",0,SUMIFS($I$7:$I$256,$D$7:$D$256,W126,$H$7:$H$256,"NTIME"))</f>
        <v>0</v>
      </c>
      <c r="Y126" s="1" t="n">
        <f aca="false">IF(W126="",0,SUMIFS($I$7:$I$256,$D$7:$D$256,W126,$H$7:$H$256,"P6"))</f>
        <v>0</v>
      </c>
      <c r="Z126" s="1" t="n">
        <f aca="false">X126+Y126</f>
        <v>0</v>
      </c>
      <c r="AA126" s="1" t="n">
        <f aca="false">IF(Z126&gt;0,Z126+(201-120)/10^6,0)</f>
        <v>0</v>
      </c>
      <c r="AB126" s="1"/>
      <c r="AC126" s="1"/>
      <c r="AD126" s="1"/>
      <c r="AE126" s="1"/>
      <c r="AF126" s="1"/>
      <c r="AG126" s="1"/>
      <c r="AH126" s="1"/>
    </row>
    <row r="127" customFormat="false" ht="15" hidden="false" customHeight="false" outlineLevel="0" collapsed="false">
      <c r="A127" s="1"/>
      <c r="B127" s="10"/>
      <c r="C127" s="31" t="str">
        <f aca="false">IF(B127="","",TEXT(B127,"ddd"))</f>
        <v/>
      </c>
      <c r="D127" s="11"/>
      <c r="E127" s="8" t="str">
        <f aca="false">IF(D127="","",IFERROR(INDEX(ProjNumbers,MATCH(D127,ProjNames,0)),""))</f>
        <v/>
      </c>
      <c r="F127" s="8" t="str">
        <f aca="false">IF(D127="","",IFERROR(INDEX(ProjCodes,MATCH(D127,ProjNames,0)),""))</f>
        <v/>
      </c>
      <c r="G127" s="32"/>
      <c r="H127" s="11"/>
      <c r="I127" s="33"/>
      <c r="J127" s="8" t="str">
        <f aca="false">IF(COUNTA(B127,D127,G127,H127,I127)=0,"",IF(B127="","Enter date",IF(OR(B127&lt;$AC$2,B127&gt;$AC$3),"Date not in January",IF(D127="","Pick project",IF(ISNA(MATCH(D127,ProjNames,0)),"Project not in list",IF(G127="","Add task description",IF(H127="","Pick NTIME or P6",IF(N(I127)&lt;=0,"Enter hours",IF(AND(AllowOT&lt;&gt;"Yes",SUMIF($B$7:$B$256,B127,$I$7:$I$256)&gt;INDEX($O$58:$O$88,DAY(B127))),"Day over "&amp;INDEX($O$58:$O$88,DAY(B127))&amp;" h","✓")))))))))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tr">
        <f aca="false">IF(Projects!B125="","",Projects!B125)</f>
        <v/>
      </c>
      <c r="X127" s="1" t="n">
        <f aca="false">IF(W127="",0,SUMIFS($I$7:$I$256,$D$7:$D$256,W127,$H$7:$H$256,"NTIME"))</f>
        <v>0</v>
      </c>
      <c r="Y127" s="1" t="n">
        <f aca="false">IF(W127="",0,SUMIFS($I$7:$I$256,$D$7:$D$256,W127,$H$7:$H$256,"P6"))</f>
        <v>0</v>
      </c>
      <c r="Z127" s="1" t="n">
        <f aca="false">X127+Y127</f>
        <v>0</v>
      </c>
      <c r="AA127" s="1" t="n">
        <f aca="false">IF(Z127&gt;0,Z127+(201-121)/10^6,0)</f>
        <v>0</v>
      </c>
      <c r="AB127" s="1"/>
      <c r="AC127" s="1"/>
      <c r="AD127" s="1"/>
      <c r="AE127" s="1"/>
      <c r="AF127" s="1"/>
      <c r="AG127" s="1"/>
      <c r="AH127" s="1"/>
    </row>
    <row r="128" customFormat="false" ht="15" hidden="false" customHeight="false" outlineLevel="0" collapsed="false">
      <c r="A128" s="1"/>
      <c r="B128" s="10"/>
      <c r="C128" s="31" t="str">
        <f aca="false">IF(B128="","",TEXT(B128,"ddd"))</f>
        <v/>
      </c>
      <c r="D128" s="11"/>
      <c r="E128" s="8" t="str">
        <f aca="false">IF(D128="","",IFERROR(INDEX(ProjNumbers,MATCH(D128,ProjNames,0)),""))</f>
        <v/>
      </c>
      <c r="F128" s="8" t="str">
        <f aca="false">IF(D128="","",IFERROR(INDEX(ProjCodes,MATCH(D128,ProjNames,0)),""))</f>
        <v/>
      </c>
      <c r="G128" s="32"/>
      <c r="H128" s="11"/>
      <c r="I128" s="33"/>
      <c r="J128" s="8" t="str">
        <f aca="false">IF(COUNTA(B128,D128,G128,H128,I128)=0,"",IF(B128="","Enter date",IF(OR(B128&lt;$AC$2,B128&gt;$AC$3),"Date not in January",IF(D128="","Pick project",IF(ISNA(MATCH(D128,ProjNames,0)),"Project not in list",IF(G128="","Add task description",IF(H128="","Pick NTIME or P6",IF(N(I128)&lt;=0,"Enter hours",IF(AND(AllowOT&lt;&gt;"Yes",SUMIF($B$7:$B$256,B128,$I$7:$I$256)&gt;INDEX($O$58:$O$88,DAY(B128))),"Day over "&amp;INDEX($O$58:$O$88,DAY(B128))&amp;" h","✓")))))))))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tr">
        <f aca="false">IF(Projects!B126="","",Projects!B126)</f>
        <v/>
      </c>
      <c r="X128" s="1" t="n">
        <f aca="false">IF(W128="",0,SUMIFS($I$7:$I$256,$D$7:$D$256,W128,$H$7:$H$256,"NTIME"))</f>
        <v>0</v>
      </c>
      <c r="Y128" s="1" t="n">
        <f aca="false">IF(W128="",0,SUMIFS($I$7:$I$256,$D$7:$D$256,W128,$H$7:$H$256,"P6"))</f>
        <v>0</v>
      </c>
      <c r="Z128" s="1" t="n">
        <f aca="false">X128+Y128</f>
        <v>0</v>
      </c>
      <c r="AA128" s="1" t="n">
        <f aca="false">IF(Z128&gt;0,Z128+(201-122)/10^6,0)</f>
        <v>0</v>
      </c>
      <c r="AB128" s="1"/>
      <c r="AC128" s="1"/>
      <c r="AD128" s="1"/>
      <c r="AE128" s="1"/>
      <c r="AF128" s="1"/>
      <c r="AG128" s="1"/>
      <c r="AH128" s="1"/>
    </row>
    <row r="129" customFormat="false" ht="15" hidden="false" customHeight="false" outlineLevel="0" collapsed="false">
      <c r="A129" s="1"/>
      <c r="B129" s="10"/>
      <c r="C129" s="31" t="str">
        <f aca="false">IF(B129="","",TEXT(B129,"ddd"))</f>
        <v/>
      </c>
      <c r="D129" s="11"/>
      <c r="E129" s="8" t="str">
        <f aca="false">IF(D129="","",IFERROR(INDEX(ProjNumbers,MATCH(D129,ProjNames,0)),""))</f>
        <v/>
      </c>
      <c r="F129" s="8" t="str">
        <f aca="false">IF(D129="","",IFERROR(INDEX(ProjCodes,MATCH(D129,ProjNames,0)),""))</f>
        <v/>
      </c>
      <c r="G129" s="32"/>
      <c r="H129" s="11"/>
      <c r="I129" s="33"/>
      <c r="J129" s="8" t="str">
        <f aca="false">IF(COUNTA(B129,D129,G129,H129,I129)=0,"",IF(B129="","Enter date",IF(OR(B129&lt;$AC$2,B129&gt;$AC$3),"Date not in January",IF(D129="","Pick project",IF(ISNA(MATCH(D129,ProjNames,0)),"Project not in list",IF(G129="","Add task description",IF(H129="","Pick NTIME or P6",IF(N(I129)&lt;=0,"Enter hours",IF(AND(AllowOT&lt;&gt;"Yes",SUMIF($B$7:$B$256,B129,$I$7:$I$256)&gt;INDEX($O$58:$O$88,DAY(B129))),"Day over "&amp;INDEX($O$58:$O$88,DAY(B129))&amp;" h","✓")))))))))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tr">
        <f aca="false">IF(Projects!B127="","",Projects!B127)</f>
        <v/>
      </c>
      <c r="X129" s="1" t="n">
        <f aca="false">IF(W129="",0,SUMIFS($I$7:$I$256,$D$7:$D$256,W129,$H$7:$H$256,"NTIME"))</f>
        <v>0</v>
      </c>
      <c r="Y129" s="1" t="n">
        <f aca="false">IF(W129="",0,SUMIFS($I$7:$I$256,$D$7:$D$256,W129,$H$7:$H$256,"P6"))</f>
        <v>0</v>
      </c>
      <c r="Z129" s="1" t="n">
        <f aca="false">X129+Y129</f>
        <v>0</v>
      </c>
      <c r="AA129" s="1" t="n">
        <f aca="false">IF(Z129&gt;0,Z129+(201-123)/10^6,0)</f>
        <v>0</v>
      </c>
      <c r="AB129" s="1"/>
      <c r="AC129" s="1"/>
      <c r="AD129" s="1"/>
      <c r="AE129" s="1"/>
      <c r="AF129" s="1"/>
      <c r="AG129" s="1"/>
      <c r="AH129" s="1"/>
    </row>
    <row r="130" customFormat="false" ht="15" hidden="false" customHeight="false" outlineLevel="0" collapsed="false">
      <c r="A130" s="1"/>
      <c r="B130" s="10"/>
      <c r="C130" s="31" t="str">
        <f aca="false">IF(B130="","",TEXT(B130,"ddd"))</f>
        <v/>
      </c>
      <c r="D130" s="11"/>
      <c r="E130" s="8" t="str">
        <f aca="false">IF(D130="","",IFERROR(INDEX(ProjNumbers,MATCH(D130,ProjNames,0)),""))</f>
        <v/>
      </c>
      <c r="F130" s="8" t="str">
        <f aca="false">IF(D130="","",IFERROR(INDEX(ProjCodes,MATCH(D130,ProjNames,0)),""))</f>
        <v/>
      </c>
      <c r="G130" s="32"/>
      <c r="H130" s="11"/>
      <c r="I130" s="33"/>
      <c r="J130" s="8" t="str">
        <f aca="false">IF(COUNTA(B130,D130,G130,H130,I130)=0,"",IF(B130="","Enter date",IF(OR(B130&lt;$AC$2,B130&gt;$AC$3),"Date not in January",IF(D130="","Pick project",IF(ISNA(MATCH(D130,ProjNames,0)),"Project not in list",IF(G130="","Add task description",IF(H130="","Pick NTIME or P6",IF(N(I130)&lt;=0,"Enter hours",IF(AND(AllowOT&lt;&gt;"Yes",SUMIF($B$7:$B$256,B130,$I$7:$I$256)&gt;INDEX($O$58:$O$88,DAY(B130))),"Day over "&amp;INDEX($O$58:$O$88,DAY(B130))&amp;" h","✓")))))))))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tr">
        <f aca="false">IF(Projects!B128="","",Projects!B128)</f>
        <v/>
      </c>
      <c r="X130" s="1" t="n">
        <f aca="false">IF(W130="",0,SUMIFS($I$7:$I$256,$D$7:$D$256,W130,$H$7:$H$256,"NTIME"))</f>
        <v>0</v>
      </c>
      <c r="Y130" s="1" t="n">
        <f aca="false">IF(W130="",0,SUMIFS($I$7:$I$256,$D$7:$D$256,W130,$H$7:$H$256,"P6"))</f>
        <v>0</v>
      </c>
      <c r="Z130" s="1" t="n">
        <f aca="false">X130+Y130</f>
        <v>0</v>
      </c>
      <c r="AA130" s="1" t="n">
        <f aca="false">IF(Z130&gt;0,Z130+(201-124)/10^6,0)</f>
        <v>0</v>
      </c>
      <c r="AB130" s="1"/>
      <c r="AC130" s="1"/>
      <c r="AD130" s="1"/>
      <c r="AE130" s="1"/>
      <c r="AF130" s="1"/>
      <c r="AG130" s="1"/>
      <c r="AH130" s="1"/>
    </row>
    <row r="131" customFormat="false" ht="15" hidden="false" customHeight="false" outlineLevel="0" collapsed="false">
      <c r="A131" s="1"/>
      <c r="B131" s="10"/>
      <c r="C131" s="31" t="str">
        <f aca="false">IF(B131="","",TEXT(B131,"ddd"))</f>
        <v/>
      </c>
      <c r="D131" s="11"/>
      <c r="E131" s="8" t="str">
        <f aca="false">IF(D131="","",IFERROR(INDEX(ProjNumbers,MATCH(D131,ProjNames,0)),""))</f>
        <v/>
      </c>
      <c r="F131" s="8" t="str">
        <f aca="false">IF(D131="","",IFERROR(INDEX(ProjCodes,MATCH(D131,ProjNames,0)),""))</f>
        <v/>
      </c>
      <c r="G131" s="32"/>
      <c r="H131" s="11"/>
      <c r="I131" s="33"/>
      <c r="J131" s="8" t="str">
        <f aca="false">IF(COUNTA(B131,D131,G131,H131,I131)=0,"",IF(B131="","Enter date",IF(OR(B131&lt;$AC$2,B131&gt;$AC$3),"Date not in January",IF(D131="","Pick project",IF(ISNA(MATCH(D131,ProjNames,0)),"Project not in list",IF(G131="","Add task description",IF(H131="","Pick NTIME or P6",IF(N(I131)&lt;=0,"Enter hours",IF(AND(AllowOT&lt;&gt;"Yes",SUMIF($B$7:$B$256,B131,$I$7:$I$256)&gt;INDEX($O$58:$O$88,DAY(B131))),"Day over "&amp;INDEX($O$58:$O$88,DAY(B131))&amp;" h","✓")))))))))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tr">
        <f aca="false">IF(Projects!B129="","",Projects!B129)</f>
        <v/>
      </c>
      <c r="X131" s="1" t="n">
        <f aca="false">IF(W131="",0,SUMIFS($I$7:$I$256,$D$7:$D$256,W131,$H$7:$H$256,"NTIME"))</f>
        <v>0</v>
      </c>
      <c r="Y131" s="1" t="n">
        <f aca="false">IF(W131="",0,SUMIFS($I$7:$I$256,$D$7:$D$256,W131,$H$7:$H$256,"P6"))</f>
        <v>0</v>
      </c>
      <c r="Z131" s="1" t="n">
        <f aca="false">X131+Y131</f>
        <v>0</v>
      </c>
      <c r="AA131" s="1" t="n">
        <f aca="false">IF(Z131&gt;0,Z131+(201-125)/10^6,0)</f>
        <v>0</v>
      </c>
      <c r="AB131" s="1"/>
      <c r="AC131" s="1"/>
      <c r="AD131" s="1"/>
      <c r="AE131" s="1"/>
      <c r="AF131" s="1"/>
      <c r="AG131" s="1"/>
      <c r="AH131" s="1"/>
    </row>
    <row r="132" customFormat="false" ht="15" hidden="false" customHeight="false" outlineLevel="0" collapsed="false">
      <c r="A132" s="1"/>
      <c r="B132" s="10"/>
      <c r="C132" s="31" t="str">
        <f aca="false">IF(B132="","",TEXT(B132,"ddd"))</f>
        <v/>
      </c>
      <c r="D132" s="11"/>
      <c r="E132" s="8" t="str">
        <f aca="false">IF(D132="","",IFERROR(INDEX(ProjNumbers,MATCH(D132,ProjNames,0)),""))</f>
        <v/>
      </c>
      <c r="F132" s="8" t="str">
        <f aca="false">IF(D132="","",IFERROR(INDEX(ProjCodes,MATCH(D132,ProjNames,0)),""))</f>
        <v/>
      </c>
      <c r="G132" s="32"/>
      <c r="H132" s="11"/>
      <c r="I132" s="33"/>
      <c r="J132" s="8" t="str">
        <f aca="false">IF(COUNTA(B132,D132,G132,H132,I132)=0,"",IF(B132="","Enter date",IF(OR(B132&lt;$AC$2,B132&gt;$AC$3),"Date not in January",IF(D132="","Pick project",IF(ISNA(MATCH(D132,ProjNames,0)),"Project not in list",IF(G132="","Add task description",IF(H132="","Pick NTIME or P6",IF(N(I132)&lt;=0,"Enter hours",IF(AND(AllowOT&lt;&gt;"Yes",SUMIF($B$7:$B$256,B132,$I$7:$I$256)&gt;INDEX($O$58:$O$88,DAY(B132))),"Day over "&amp;INDEX($O$58:$O$88,DAY(B132))&amp;" h","✓")))))))))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tr">
        <f aca="false">IF(Projects!B130="","",Projects!B130)</f>
        <v/>
      </c>
      <c r="X132" s="1" t="n">
        <f aca="false">IF(W132="",0,SUMIFS($I$7:$I$256,$D$7:$D$256,W132,$H$7:$H$256,"NTIME"))</f>
        <v>0</v>
      </c>
      <c r="Y132" s="1" t="n">
        <f aca="false">IF(W132="",0,SUMIFS($I$7:$I$256,$D$7:$D$256,W132,$H$7:$H$256,"P6"))</f>
        <v>0</v>
      </c>
      <c r="Z132" s="1" t="n">
        <f aca="false">X132+Y132</f>
        <v>0</v>
      </c>
      <c r="AA132" s="1" t="n">
        <f aca="false">IF(Z132&gt;0,Z132+(201-126)/10^6,0)</f>
        <v>0</v>
      </c>
      <c r="AB132" s="1"/>
      <c r="AC132" s="1"/>
      <c r="AD132" s="1"/>
      <c r="AE132" s="1"/>
      <c r="AF132" s="1"/>
      <c r="AG132" s="1"/>
      <c r="AH132" s="1"/>
    </row>
    <row r="133" customFormat="false" ht="15" hidden="false" customHeight="false" outlineLevel="0" collapsed="false">
      <c r="A133" s="1"/>
      <c r="B133" s="10"/>
      <c r="C133" s="31" t="str">
        <f aca="false">IF(B133="","",TEXT(B133,"ddd"))</f>
        <v/>
      </c>
      <c r="D133" s="11"/>
      <c r="E133" s="8" t="str">
        <f aca="false">IF(D133="","",IFERROR(INDEX(ProjNumbers,MATCH(D133,ProjNames,0)),""))</f>
        <v/>
      </c>
      <c r="F133" s="8" t="str">
        <f aca="false">IF(D133="","",IFERROR(INDEX(ProjCodes,MATCH(D133,ProjNames,0)),""))</f>
        <v/>
      </c>
      <c r="G133" s="32"/>
      <c r="H133" s="11"/>
      <c r="I133" s="33"/>
      <c r="J133" s="8" t="str">
        <f aca="false">IF(COUNTA(B133,D133,G133,H133,I133)=0,"",IF(B133="","Enter date",IF(OR(B133&lt;$AC$2,B133&gt;$AC$3),"Date not in January",IF(D133="","Pick project",IF(ISNA(MATCH(D133,ProjNames,0)),"Project not in list",IF(G133="","Add task description",IF(H133="","Pick NTIME or P6",IF(N(I133)&lt;=0,"Enter hours",IF(AND(AllowOT&lt;&gt;"Yes",SUMIF($B$7:$B$256,B133,$I$7:$I$256)&gt;INDEX($O$58:$O$88,DAY(B133))),"Day over "&amp;INDEX($O$58:$O$88,DAY(B133))&amp;" h","✓")))))))))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tr">
        <f aca="false">IF(Projects!B131="","",Projects!B131)</f>
        <v/>
      </c>
      <c r="X133" s="1" t="n">
        <f aca="false">IF(W133="",0,SUMIFS($I$7:$I$256,$D$7:$D$256,W133,$H$7:$H$256,"NTIME"))</f>
        <v>0</v>
      </c>
      <c r="Y133" s="1" t="n">
        <f aca="false">IF(W133="",0,SUMIFS($I$7:$I$256,$D$7:$D$256,W133,$H$7:$H$256,"P6"))</f>
        <v>0</v>
      </c>
      <c r="Z133" s="1" t="n">
        <f aca="false">X133+Y133</f>
        <v>0</v>
      </c>
      <c r="AA133" s="1" t="n">
        <f aca="false">IF(Z133&gt;0,Z133+(201-127)/10^6,0)</f>
        <v>0</v>
      </c>
      <c r="AB133" s="1"/>
      <c r="AC133" s="1"/>
      <c r="AD133" s="1"/>
      <c r="AE133" s="1"/>
      <c r="AF133" s="1"/>
      <c r="AG133" s="1"/>
      <c r="AH133" s="1"/>
    </row>
    <row r="134" customFormat="false" ht="15" hidden="false" customHeight="false" outlineLevel="0" collapsed="false">
      <c r="A134" s="1"/>
      <c r="B134" s="10"/>
      <c r="C134" s="31" t="str">
        <f aca="false">IF(B134="","",TEXT(B134,"ddd"))</f>
        <v/>
      </c>
      <c r="D134" s="11"/>
      <c r="E134" s="8" t="str">
        <f aca="false">IF(D134="","",IFERROR(INDEX(ProjNumbers,MATCH(D134,ProjNames,0)),""))</f>
        <v/>
      </c>
      <c r="F134" s="8" t="str">
        <f aca="false">IF(D134="","",IFERROR(INDEX(ProjCodes,MATCH(D134,ProjNames,0)),""))</f>
        <v/>
      </c>
      <c r="G134" s="32"/>
      <c r="H134" s="11"/>
      <c r="I134" s="33"/>
      <c r="J134" s="8" t="str">
        <f aca="false">IF(COUNTA(B134,D134,G134,H134,I134)=0,"",IF(B134="","Enter date",IF(OR(B134&lt;$AC$2,B134&gt;$AC$3),"Date not in January",IF(D134="","Pick project",IF(ISNA(MATCH(D134,ProjNames,0)),"Project not in list",IF(G134="","Add task description",IF(H134="","Pick NTIME or P6",IF(N(I134)&lt;=0,"Enter hours",IF(AND(AllowOT&lt;&gt;"Yes",SUMIF($B$7:$B$256,B134,$I$7:$I$256)&gt;INDEX($O$58:$O$88,DAY(B134))),"Day over "&amp;INDEX($O$58:$O$88,DAY(B134))&amp;" h","✓")))))))))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tr">
        <f aca="false">IF(Projects!B132="","",Projects!B132)</f>
        <v/>
      </c>
      <c r="X134" s="1" t="n">
        <f aca="false">IF(W134="",0,SUMIFS($I$7:$I$256,$D$7:$D$256,W134,$H$7:$H$256,"NTIME"))</f>
        <v>0</v>
      </c>
      <c r="Y134" s="1" t="n">
        <f aca="false">IF(W134="",0,SUMIFS($I$7:$I$256,$D$7:$D$256,W134,$H$7:$H$256,"P6"))</f>
        <v>0</v>
      </c>
      <c r="Z134" s="1" t="n">
        <f aca="false">X134+Y134</f>
        <v>0</v>
      </c>
      <c r="AA134" s="1" t="n">
        <f aca="false">IF(Z134&gt;0,Z134+(201-128)/10^6,0)</f>
        <v>0</v>
      </c>
      <c r="AB134" s="1"/>
      <c r="AC134" s="1"/>
      <c r="AD134" s="1"/>
      <c r="AE134" s="1"/>
      <c r="AF134" s="1"/>
      <c r="AG134" s="1"/>
      <c r="AH134" s="1"/>
    </row>
    <row r="135" customFormat="false" ht="15" hidden="false" customHeight="false" outlineLevel="0" collapsed="false">
      <c r="A135" s="1"/>
      <c r="B135" s="10"/>
      <c r="C135" s="31" t="str">
        <f aca="false">IF(B135="","",TEXT(B135,"ddd"))</f>
        <v/>
      </c>
      <c r="D135" s="11"/>
      <c r="E135" s="8" t="str">
        <f aca="false">IF(D135="","",IFERROR(INDEX(ProjNumbers,MATCH(D135,ProjNames,0)),""))</f>
        <v/>
      </c>
      <c r="F135" s="8" t="str">
        <f aca="false">IF(D135="","",IFERROR(INDEX(ProjCodes,MATCH(D135,ProjNames,0)),""))</f>
        <v/>
      </c>
      <c r="G135" s="32"/>
      <c r="H135" s="11"/>
      <c r="I135" s="33"/>
      <c r="J135" s="8" t="str">
        <f aca="false">IF(COUNTA(B135,D135,G135,H135,I135)=0,"",IF(B135="","Enter date",IF(OR(B135&lt;$AC$2,B135&gt;$AC$3),"Date not in January",IF(D135="","Pick project",IF(ISNA(MATCH(D135,ProjNames,0)),"Project not in list",IF(G135="","Add task description",IF(H135="","Pick NTIME or P6",IF(N(I135)&lt;=0,"Enter hours",IF(AND(AllowOT&lt;&gt;"Yes",SUMIF($B$7:$B$256,B135,$I$7:$I$256)&gt;INDEX($O$58:$O$88,DAY(B135))),"Day over "&amp;INDEX($O$58:$O$88,DAY(B135))&amp;" h","✓")))))))))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tr">
        <f aca="false">IF(Projects!B133="","",Projects!B133)</f>
        <v/>
      </c>
      <c r="X135" s="1" t="n">
        <f aca="false">IF(W135="",0,SUMIFS($I$7:$I$256,$D$7:$D$256,W135,$H$7:$H$256,"NTIME"))</f>
        <v>0</v>
      </c>
      <c r="Y135" s="1" t="n">
        <f aca="false">IF(W135="",0,SUMIFS($I$7:$I$256,$D$7:$D$256,W135,$H$7:$H$256,"P6"))</f>
        <v>0</v>
      </c>
      <c r="Z135" s="1" t="n">
        <f aca="false">X135+Y135</f>
        <v>0</v>
      </c>
      <c r="AA135" s="1" t="n">
        <f aca="false">IF(Z135&gt;0,Z135+(201-129)/10^6,0)</f>
        <v>0</v>
      </c>
      <c r="AB135" s="1"/>
      <c r="AC135" s="1"/>
      <c r="AD135" s="1"/>
      <c r="AE135" s="1"/>
      <c r="AF135" s="1"/>
      <c r="AG135" s="1"/>
      <c r="AH135" s="1"/>
    </row>
    <row r="136" customFormat="false" ht="15" hidden="false" customHeight="false" outlineLevel="0" collapsed="false">
      <c r="A136" s="1"/>
      <c r="B136" s="10"/>
      <c r="C136" s="31" t="str">
        <f aca="false">IF(B136="","",TEXT(B136,"ddd"))</f>
        <v/>
      </c>
      <c r="D136" s="11"/>
      <c r="E136" s="8" t="str">
        <f aca="false">IF(D136="","",IFERROR(INDEX(ProjNumbers,MATCH(D136,ProjNames,0)),""))</f>
        <v/>
      </c>
      <c r="F136" s="8" t="str">
        <f aca="false">IF(D136="","",IFERROR(INDEX(ProjCodes,MATCH(D136,ProjNames,0)),""))</f>
        <v/>
      </c>
      <c r="G136" s="32"/>
      <c r="H136" s="11"/>
      <c r="I136" s="33"/>
      <c r="J136" s="8" t="str">
        <f aca="false">IF(COUNTA(B136,D136,G136,H136,I136)=0,"",IF(B136="","Enter date",IF(OR(B136&lt;$AC$2,B136&gt;$AC$3),"Date not in January",IF(D136="","Pick project",IF(ISNA(MATCH(D136,ProjNames,0)),"Project not in list",IF(G136="","Add task description",IF(H136="","Pick NTIME or P6",IF(N(I136)&lt;=0,"Enter hours",IF(AND(AllowOT&lt;&gt;"Yes",SUMIF($B$7:$B$256,B136,$I$7:$I$256)&gt;INDEX($O$58:$O$88,DAY(B136))),"Day over "&amp;INDEX($O$58:$O$88,DAY(B136))&amp;" h","✓")))))))))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tr">
        <f aca="false">IF(Projects!B134="","",Projects!B134)</f>
        <v/>
      </c>
      <c r="X136" s="1" t="n">
        <f aca="false">IF(W136="",0,SUMIFS($I$7:$I$256,$D$7:$D$256,W136,$H$7:$H$256,"NTIME"))</f>
        <v>0</v>
      </c>
      <c r="Y136" s="1" t="n">
        <f aca="false">IF(W136="",0,SUMIFS($I$7:$I$256,$D$7:$D$256,W136,$H$7:$H$256,"P6"))</f>
        <v>0</v>
      </c>
      <c r="Z136" s="1" t="n">
        <f aca="false">X136+Y136</f>
        <v>0</v>
      </c>
      <c r="AA136" s="1" t="n">
        <f aca="false">IF(Z136&gt;0,Z136+(201-130)/10^6,0)</f>
        <v>0</v>
      </c>
      <c r="AB136" s="1"/>
      <c r="AC136" s="1"/>
      <c r="AD136" s="1"/>
      <c r="AE136" s="1"/>
      <c r="AF136" s="1"/>
      <c r="AG136" s="1"/>
      <c r="AH136" s="1"/>
    </row>
    <row r="137" customFormat="false" ht="15" hidden="false" customHeight="false" outlineLevel="0" collapsed="false">
      <c r="A137" s="1"/>
      <c r="B137" s="10"/>
      <c r="C137" s="31" t="str">
        <f aca="false">IF(B137="","",TEXT(B137,"ddd"))</f>
        <v/>
      </c>
      <c r="D137" s="11"/>
      <c r="E137" s="8" t="str">
        <f aca="false">IF(D137="","",IFERROR(INDEX(ProjNumbers,MATCH(D137,ProjNames,0)),""))</f>
        <v/>
      </c>
      <c r="F137" s="8" t="str">
        <f aca="false">IF(D137="","",IFERROR(INDEX(ProjCodes,MATCH(D137,ProjNames,0)),""))</f>
        <v/>
      </c>
      <c r="G137" s="32"/>
      <c r="H137" s="11"/>
      <c r="I137" s="33"/>
      <c r="J137" s="8" t="str">
        <f aca="false">IF(COUNTA(B137,D137,G137,H137,I137)=0,"",IF(B137="","Enter date",IF(OR(B137&lt;$AC$2,B137&gt;$AC$3),"Date not in January",IF(D137="","Pick project",IF(ISNA(MATCH(D137,ProjNames,0)),"Project not in list",IF(G137="","Add task description",IF(H137="","Pick NTIME or P6",IF(N(I137)&lt;=0,"Enter hours",IF(AND(AllowOT&lt;&gt;"Yes",SUMIF($B$7:$B$256,B137,$I$7:$I$256)&gt;INDEX($O$58:$O$88,DAY(B137))),"Day over "&amp;INDEX($O$58:$O$88,DAY(B137))&amp;" h","✓")))))))))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tr">
        <f aca="false">IF(Projects!B135="","",Projects!B135)</f>
        <v/>
      </c>
      <c r="X137" s="1" t="n">
        <f aca="false">IF(W137="",0,SUMIFS($I$7:$I$256,$D$7:$D$256,W137,$H$7:$H$256,"NTIME"))</f>
        <v>0</v>
      </c>
      <c r="Y137" s="1" t="n">
        <f aca="false">IF(W137="",0,SUMIFS($I$7:$I$256,$D$7:$D$256,W137,$H$7:$H$256,"P6"))</f>
        <v>0</v>
      </c>
      <c r="Z137" s="1" t="n">
        <f aca="false">X137+Y137</f>
        <v>0</v>
      </c>
      <c r="AA137" s="1" t="n">
        <f aca="false">IF(Z137&gt;0,Z137+(201-131)/10^6,0)</f>
        <v>0</v>
      </c>
      <c r="AB137" s="1"/>
      <c r="AC137" s="1"/>
      <c r="AD137" s="1"/>
      <c r="AE137" s="1"/>
      <c r="AF137" s="1"/>
      <c r="AG137" s="1"/>
      <c r="AH137" s="1"/>
    </row>
    <row r="138" customFormat="false" ht="15" hidden="false" customHeight="false" outlineLevel="0" collapsed="false">
      <c r="A138" s="1"/>
      <c r="B138" s="10"/>
      <c r="C138" s="31" t="str">
        <f aca="false">IF(B138="","",TEXT(B138,"ddd"))</f>
        <v/>
      </c>
      <c r="D138" s="11"/>
      <c r="E138" s="8" t="str">
        <f aca="false">IF(D138="","",IFERROR(INDEX(ProjNumbers,MATCH(D138,ProjNames,0)),""))</f>
        <v/>
      </c>
      <c r="F138" s="8" t="str">
        <f aca="false">IF(D138="","",IFERROR(INDEX(ProjCodes,MATCH(D138,ProjNames,0)),""))</f>
        <v/>
      </c>
      <c r="G138" s="32"/>
      <c r="H138" s="11"/>
      <c r="I138" s="33"/>
      <c r="J138" s="8" t="str">
        <f aca="false">IF(COUNTA(B138,D138,G138,H138,I138)=0,"",IF(B138="","Enter date",IF(OR(B138&lt;$AC$2,B138&gt;$AC$3),"Date not in January",IF(D138="","Pick project",IF(ISNA(MATCH(D138,ProjNames,0)),"Project not in list",IF(G138="","Add task description",IF(H138="","Pick NTIME or P6",IF(N(I138)&lt;=0,"Enter hours",IF(AND(AllowOT&lt;&gt;"Yes",SUMIF($B$7:$B$256,B138,$I$7:$I$256)&gt;INDEX($O$58:$O$88,DAY(B138))),"Day over "&amp;INDEX($O$58:$O$88,DAY(B138))&amp;" h","✓")))))))))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tr">
        <f aca="false">IF(Projects!B136="","",Projects!B136)</f>
        <v/>
      </c>
      <c r="X138" s="1" t="n">
        <f aca="false">IF(W138="",0,SUMIFS($I$7:$I$256,$D$7:$D$256,W138,$H$7:$H$256,"NTIME"))</f>
        <v>0</v>
      </c>
      <c r="Y138" s="1" t="n">
        <f aca="false">IF(W138="",0,SUMIFS($I$7:$I$256,$D$7:$D$256,W138,$H$7:$H$256,"P6"))</f>
        <v>0</v>
      </c>
      <c r="Z138" s="1" t="n">
        <f aca="false">X138+Y138</f>
        <v>0</v>
      </c>
      <c r="AA138" s="1" t="n">
        <f aca="false">IF(Z138&gt;0,Z138+(201-132)/10^6,0)</f>
        <v>0</v>
      </c>
      <c r="AB138" s="1"/>
      <c r="AC138" s="1"/>
      <c r="AD138" s="1"/>
      <c r="AE138" s="1"/>
      <c r="AF138" s="1"/>
      <c r="AG138" s="1"/>
      <c r="AH138" s="1"/>
    </row>
    <row r="139" customFormat="false" ht="15" hidden="false" customHeight="false" outlineLevel="0" collapsed="false">
      <c r="A139" s="1"/>
      <c r="B139" s="10"/>
      <c r="C139" s="31" t="str">
        <f aca="false">IF(B139="","",TEXT(B139,"ddd"))</f>
        <v/>
      </c>
      <c r="D139" s="11"/>
      <c r="E139" s="8" t="str">
        <f aca="false">IF(D139="","",IFERROR(INDEX(ProjNumbers,MATCH(D139,ProjNames,0)),""))</f>
        <v/>
      </c>
      <c r="F139" s="8" t="str">
        <f aca="false">IF(D139="","",IFERROR(INDEX(ProjCodes,MATCH(D139,ProjNames,0)),""))</f>
        <v/>
      </c>
      <c r="G139" s="32"/>
      <c r="H139" s="11"/>
      <c r="I139" s="33"/>
      <c r="J139" s="8" t="str">
        <f aca="false">IF(COUNTA(B139,D139,G139,H139,I139)=0,"",IF(B139="","Enter date",IF(OR(B139&lt;$AC$2,B139&gt;$AC$3),"Date not in January",IF(D139="","Pick project",IF(ISNA(MATCH(D139,ProjNames,0)),"Project not in list",IF(G139="","Add task description",IF(H139="","Pick NTIME or P6",IF(N(I139)&lt;=0,"Enter hours",IF(AND(AllowOT&lt;&gt;"Yes",SUMIF($B$7:$B$256,B139,$I$7:$I$256)&gt;INDEX($O$58:$O$88,DAY(B139))),"Day over "&amp;INDEX($O$58:$O$88,DAY(B139))&amp;" h","✓")))))))))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tr">
        <f aca="false">IF(Projects!B137="","",Projects!B137)</f>
        <v/>
      </c>
      <c r="X139" s="1" t="n">
        <f aca="false">IF(W139="",0,SUMIFS($I$7:$I$256,$D$7:$D$256,W139,$H$7:$H$256,"NTIME"))</f>
        <v>0</v>
      </c>
      <c r="Y139" s="1" t="n">
        <f aca="false">IF(W139="",0,SUMIFS($I$7:$I$256,$D$7:$D$256,W139,$H$7:$H$256,"P6"))</f>
        <v>0</v>
      </c>
      <c r="Z139" s="1" t="n">
        <f aca="false">X139+Y139</f>
        <v>0</v>
      </c>
      <c r="AA139" s="1" t="n">
        <f aca="false">IF(Z139&gt;0,Z139+(201-133)/10^6,0)</f>
        <v>0</v>
      </c>
      <c r="AB139" s="1"/>
      <c r="AC139" s="1"/>
      <c r="AD139" s="1"/>
      <c r="AE139" s="1"/>
      <c r="AF139" s="1"/>
      <c r="AG139" s="1"/>
      <c r="AH139" s="1"/>
    </row>
    <row r="140" customFormat="false" ht="15" hidden="false" customHeight="false" outlineLevel="0" collapsed="false">
      <c r="A140" s="1"/>
      <c r="B140" s="10"/>
      <c r="C140" s="31" t="str">
        <f aca="false">IF(B140="","",TEXT(B140,"ddd"))</f>
        <v/>
      </c>
      <c r="D140" s="11"/>
      <c r="E140" s="8" t="str">
        <f aca="false">IF(D140="","",IFERROR(INDEX(ProjNumbers,MATCH(D140,ProjNames,0)),""))</f>
        <v/>
      </c>
      <c r="F140" s="8" t="str">
        <f aca="false">IF(D140="","",IFERROR(INDEX(ProjCodes,MATCH(D140,ProjNames,0)),""))</f>
        <v/>
      </c>
      <c r="G140" s="32"/>
      <c r="H140" s="11"/>
      <c r="I140" s="33"/>
      <c r="J140" s="8" t="str">
        <f aca="false">IF(COUNTA(B140,D140,G140,H140,I140)=0,"",IF(B140="","Enter date",IF(OR(B140&lt;$AC$2,B140&gt;$AC$3),"Date not in January",IF(D140="","Pick project",IF(ISNA(MATCH(D140,ProjNames,0)),"Project not in list",IF(G140="","Add task description",IF(H140="","Pick NTIME or P6",IF(N(I140)&lt;=0,"Enter hours",IF(AND(AllowOT&lt;&gt;"Yes",SUMIF($B$7:$B$256,B140,$I$7:$I$256)&gt;INDEX($O$58:$O$88,DAY(B140))),"Day over "&amp;INDEX($O$58:$O$88,DAY(B140))&amp;" h","✓")))))))))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tr">
        <f aca="false">IF(Projects!B138="","",Projects!B138)</f>
        <v/>
      </c>
      <c r="X140" s="1" t="n">
        <f aca="false">IF(W140="",0,SUMIFS($I$7:$I$256,$D$7:$D$256,W140,$H$7:$H$256,"NTIME"))</f>
        <v>0</v>
      </c>
      <c r="Y140" s="1" t="n">
        <f aca="false">IF(W140="",0,SUMIFS($I$7:$I$256,$D$7:$D$256,W140,$H$7:$H$256,"P6"))</f>
        <v>0</v>
      </c>
      <c r="Z140" s="1" t="n">
        <f aca="false">X140+Y140</f>
        <v>0</v>
      </c>
      <c r="AA140" s="1" t="n">
        <f aca="false">IF(Z140&gt;0,Z140+(201-134)/10^6,0)</f>
        <v>0</v>
      </c>
      <c r="AB140" s="1"/>
      <c r="AC140" s="1"/>
      <c r="AD140" s="1"/>
      <c r="AE140" s="1"/>
      <c r="AF140" s="1"/>
      <c r="AG140" s="1"/>
      <c r="AH140" s="1"/>
    </row>
    <row r="141" customFormat="false" ht="15" hidden="false" customHeight="false" outlineLevel="0" collapsed="false">
      <c r="A141" s="1"/>
      <c r="B141" s="10"/>
      <c r="C141" s="31" t="str">
        <f aca="false">IF(B141="","",TEXT(B141,"ddd"))</f>
        <v/>
      </c>
      <c r="D141" s="11"/>
      <c r="E141" s="8" t="str">
        <f aca="false">IF(D141="","",IFERROR(INDEX(ProjNumbers,MATCH(D141,ProjNames,0)),""))</f>
        <v/>
      </c>
      <c r="F141" s="8" t="str">
        <f aca="false">IF(D141="","",IFERROR(INDEX(ProjCodes,MATCH(D141,ProjNames,0)),""))</f>
        <v/>
      </c>
      <c r="G141" s="32"/>
      <c r="H141" s="11"/>
      <c r="I141" s="33"/>
      <c r="J141" s="8" t="str">
        <f aca="false">IF(COUNTA(B141,D141,G141,H141,I141)=0,"",IF(B141="","Enter date",IF(OR(B141&lt;$AC$2,B141&gt;$AC$3),"Date not in January",IF(D141="","Pick project",IF(ISNA(MATCH(D141,ProjNames,0)),"Project not in list",IF(G141="","Add task description",IF(H141="","Pick NTIME or P6",IF(N(I141)&lt;=0,"Enter hours",IF(AND(AllowOT&lt;&gt;"Yes",SUMIF($B$7:$B$256,B141,$I$7:$I$256)&gt;INDEX($O$58:$O$88,DAY(B141))),"Day over "&amp;INDEX($O$58:$O$88,DAY(B141))&amp;" h","✓")))))))))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tr">
        <f aca="false">IF(Projects!B139="","",Projects!B139)</f>
        <v/>
      </c>
      <c r="X141" s="1" t="n">
        <f aca="false">IF(W141="",0,SUMIFS($I$7:$I$256,$D$7:$D$256,W141,$H$7:$H$256,"NTIME"))</f>
        <v>0</v>
      </c>
      <c r="Y141" s="1" t="n">
        <f aca="false">IF(W141="",0,SUMIFS($I$7:$I$256,$D$7:$D$256,W141,$H$7:$H$256,"P6"))</f>
        <v>0</v>
      </c>
      <c r="Z141" s="1" t="n">
        <f aca="false">X141+Y141</f>
        <v>0</v>
      </c>
      <c r="AA141" s="1" t="n">
        <f aca="false">IF(Z141&gt;0,Z141+(201-135)/10^6,0)</f>
        <v>0</v>
      </c>
      <c r="AB141" s="1"/>
      <c r="AC141" s="1"/>
      <c r="AD141" s="1"/>
      <c r="AE141" s="1"/>
      <c r="AF141" s="1"/>
      <c r="AG141" s="1"/>
      <c r="AH141" s="1"/>
    </row>
    <row r="142" customFormat="false" ht="15" hidden="false" customHeight="false" outlineLevel="0" collapsed="false">
      <c r="A142" s="1"/>
      <c r="B142" s="10"/>
      <c r="C142" s="31" t="str">
        <f aca="false">IF(B142="","",TEXT(B142,"ddd"))</f>
        <v/>
      </c>
      <c r="D142" s="11"/>
      <c r="E142" s="8" t="str">
        <f aca="false">IF(D142="","",IFERROR(INDEX(ProjNumbers,MATCH(D142,ProjNames,0)),""))</f>
        <v/>
      </c>
      <c r="F142" s="8" t="str">
        <f aca="false">IF(D142="","",IFERROR(INDEX(ProjCodes,MATCH(D142,ProjNames,0)),""))</f>
        <v/>
      </c>
      <c r="G142" s="32"/>
      <c r="H142" s="11"/>
      <c r="I142" s="33"/>
      <c r="J142" s="8" t="str">
        <f aca="false">IF(COUNTA(B142,D142,G142,H142,I142)=0,"",IF(B142="","Enter date",IF(OR(B142&lt;$AC$2,B142&gt;$AC$3),"Date not in January",IF(D142="","Pick project",IF(ISNA(MATCH(D142,ProjNames,0)),"Project not in list",IF(G142="","Add task description",IF(H142="","Pick NTIME or P6",IF(N(I142)&lt;=0,"Enter hours",IF(AND(AllowOT&lt;&gt;"Yes",SUMIF($B$7:$B$256,B142,$I$7:$I$256)&gt;INDEX($O$58:$O$88,DAY(B142))),"Day over "&amp;INDEX($O$58:$O$88,DAY(B142))&amp;" h","✓")))))))))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tr">
        <f aca="false">IF(Projects!B140="","",Projects!B140)</f>
        <v/>
      </c>
      <c r="X142" s="1" t="n">
        <f aca="false">IF(W142="",0,SUMIFS($I$7:$I$256,$D$7:$D$256,W142,$H$7:$H$256,"NTIME"))</f>
        <v>0</v>
      </c>
      <c r="Y142" s="1" t="n">
        <f aca="false">IF(W142="",0,SUMIFS($I$7:$I$256,$D$7:$D$256,W142,$H$7:$H$256,"P6"))</f>
        <v>0</v>
      </c>
      <c r="Z142" s="1" t="n">
        <f aca="false">X142+Y142</f>
        <v>0</v>
      </c>
      <c r="AA142" s="1" t="n">
        <f aca="false">IF(Z142&gt;0,Z142+(201-136)/10^6,0)</f>
        <v>0</v>
      </c>
      <c r="AB142" s="1"/>
      <c r="AC142" s="1"/>
      <c r="AD142" s="1"/>
      <c r="AE142" s="1"/>
      <c r="AF142" s="1"/>
      <c r="AG142" s="1"/>
      <c r="AH142" s="1"/>
    </row>
    <row r="143" customFormat="false" ht="15" hidden="false" customHeight="false" outlineLevel="0" collapsed="false">
      <c r="A143" s="1"/>
      <c r="B143" s="10"/>
      <c r="C143" s="31" t="str">
        <f aca="false">IF(B143="","",TEXT(B143,"ddd"))</f>
        <v/>
      </c>
      <c r="D143" s="11"/>
      <c r="E143" s="8" t="str">
        <f aca="false">IF(D143="","",IFERROR(INDEX(ProjNumbers,MATCH(D143,ProjNames,0)),""))</f>
        <v/>
      </c>
      <c r="F143" s="8" t="str">
        <f aca="false">IF(D143="","",IFERROR(INDEX(ProjCodes,MATCH(D143,ProjNames,0)),""))</f>
        <v/>
      </c>
      <c r="G143" s="32"/>
      <c r="H143" s="11"/>
      <c r="I143" s="33"/>
      <c r="J143" s="8" t="str">
        <f aca="false">IF(COUNTA(B143,D143,G143,H143,I143)=0,"",IF(B143="","Enter date",IF(OR(B143&lt;$AC$2,B143&gt;$AC$3),"Date not in January",IF(D143="","Pick project",IF(ISNA(MATCH(D143,ProjNames,0)),"Project not in list",IF(G143="","Add task description",IF(H143="","Pick NTIME or P6",IF(N(I143)&lt;=0,"Enter hours",IF(AND(AllowOT&lt;&gt;"Yes",SUMIF($B$7:$B$256,B143,$I$7:$I$256)&gt;INDEX($O$58:$O$88,DAY(B143))),"Day over "&amp;INDEX($O$58:$O$88,DAY(B143))&amp;" h","✓")))))))))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tr">
        <f aca="false">IF(Projects!B141="","",Projects!B141)</f>
        <v/>
      </c>
      <c r="X143" s="1" t="n">
        <f aca="false">IF(W143="",0,SUMIFS($I$7:$I$256,$D$7:$D$256,W143,$H$7:$H$256,"NTIME"))</f>
        <v>0</v>
      </c>
      <c r="Y143" s="1" t="n">
        <f aca="false">IF(W143="",0,SUMIFS($I$7:$I$256,$D$7:$D$256,W143,$H$7:$H$256,"P6"))</f>
        <v>0</v>
      </c>
      <c r="Z143" s="1" t="n">
        <f aca="false">X143+Y143</f>
        <v>0</v>
      </c>
      <c r="AA143" s="1" t="n">
        <f aca="false">IF(Z143&gt;0,Z143+(201-137)/10^6,0)</f>
        <v>0</v>
      </c>
      <c r="AB143" s="1"/>
      <c r="AC143" s="1"/>
      <c r="AD143" s="1"/>
      <c r="AE143" s="1"/>
      <c r="AF143" s="1"/>
      <c r="AG143" s="1"/>
      <c r="AH143" s="1"/>
    </row>
    <row r="144" customFormat="false" ht="15" hidden="false" customHeight="false" outlineLevel="0" collapsed="false">
      <c r="A144" s="1"/>
      <c r="B144" s="10"/>
      <c r="C144" s="31" t="str">
        <f aca="false">IF(B144="","",TEXT(B144,"ddd"))</f>
        <v/>
      </c>
      <c r="D144" s="11"/>
      <c r="E144" s="8" t="str">
        <f aca="false">IF(D144="","",IFERROR(INDEX(ProjNumbers,MATCH(D144,ProjNames,0)),""))</f>
        <v/>
      </c>
      <c r="F144" s="8" t="str">
        <f aca="false">IF(D144="","",IFERROR(INDEX(ProjCodes,MATCH(D144,ProjNames,0)),""))</f>
        <v/>
      </c>
      <c r="G144" s="32"/>
      <c r="H144" s="11"/>
      <c r="I144" s="33"/>
      <c r="J144" s="8" t="str">
        <f aca="false">IF(COUNTA(B144,D144,G144,H144,I144)=0,"",IF(B144="","Enter date",IF(OR(B144&lt;$AC$2,B144&gt;$AC$3),"Date not in January",IF(D144="","Pick project",IF(ISNA(MATCH(D144,ProjNames,0)),"Project not in list",IF(G144="","Add task description",IF(H144="","Pick NTIME or P6",IF(N(I144)&lt;=0,"Enter hours",IF(AND(AllowOT&lt;&gt;"Yes",SUMIF($B$7:$B$256,B144,$I$7:$I$256)&gt;INDEX($O$58:$O$88,DAY(B144))),"Day over "&amp;INDEX($O$58:$O$88,DAY(B144))&amp;" h","✓")))))))))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tr">
        <f aca="false">IF(Projects!B142="","",Projects!B142)</f>
        <v/>
      </c>
      <c r="X144" s="1" t="n">
        <f aca="false">IF(W144="",0,SUMIFS($I$7:$I$256,$D$7:$D$256,W144,$H$7:$H$256,"NTIME"))</f>
        <v>0</v>
      </c>
      <c r="Y144" s="1" t="n">
        <f aca="false">IF(W144="",0,SUMIFS($I$7:$I$256,$D$7:$D$256,W144,$H$7:$H$256,"P6"))</f>
        <v>0</v>
      </c>
      <c r="Z144" s="1" t="n">
        <f aca="false">X144+Y144</f>
        <v>0</v>
      </c>
      <c r="AA144" s="1" t="n">
        <f aca="false">IF(Z144&gt;0,Z144+(201-138)/10^6,0)</f>
        <v>0</v>
      </c>
      <c r="AB144" s="1"/>
      <c r="AC144" s="1"/>
      <c r="AD144" s="1"/>
      <c r="AE144" s="1"/>
      <c r="AF144" s="1"/>
      <c r="AG144" s="1"/>
      <c r="AH144" s="1"/>
    </row>
    <row r="145" customFormat="false" ht="15" hidden="false" customHeight="false" outlineLevel="0" collapsed="false">
      <c r="A145" s="1"/>
      <c r="B145" s="10"/>
      <c r="C145" s="31" t="str">
        <f aca="false">IF(B145="","",TEXT(B145,"ddd"))</f>
        <v/>
      </c>
      <c r="D145" s="11"/>
      <c r="E145" s="8" t="str">
        <f aca="false">IF(D145="","",IFERROR(INDEX(ProjNumbers,MATCH(D145,ProjNames,0)),""))</f>
        <v/>
      </c>
      <c r="F145" s="8" t="str">
        <f aca="false">IF(D145="","",IFERROR(INDEX(ProjCodes,MATCH(D145,ProjNames,0)),""))</f>
        <v/>
      </c>
      <c r="G145" s="32"/>
      <c r="H145" s="11"/>
      <c r="I145" s="33"/>
      <c r="J145" s="8" t="str">
        <f aca="false">IF(COUNTA(B145,D145,G145,H145,I145)=0,"",IF(B145="","Enter date",IF(OR(B145&lt;$AC$2,B145&gt;$AC$3),"Date not in January",IF(D145="","Pick project",IF(ISNA(MATCH(D145,ProjNames,0)),"Project not in list",IF(G145="","Add task description",IF(H145="","Pick NTIME or P6",IF(N(I145)&lt;=0,"Enter hours",IF(AND(AllowOT&lt;&gt;"Yes",SUMIF($B$7:$B$256,B145,$I$7:$I$256)&gt;INDEX($O$58:$O$88,DAY(B145))),"Day over "&amp;INDEX($O$58:$O$88,DAY(B145))&amp;" h","✓")))))))))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tr">
        <f aca="false">IF(Projects!B143="","",Projects!B143)</f>
        <v/>
      </c>
      <c r="X145" s="1" t="n">
        <f aca="false">IF(W145="",0,SUMIFS($I$7:$I$256,$D$7:$D$256,W145,$H$7:$H$256,"NTIME"))</f>
        <v>0</v>
      </c>
      <c r="Y145" s="1" t="n">
        <f aca="false">IF(W145="",0,SUMIFS($I$7:$I$256,$D$7:$D$256,W145,$H$7:$H$256,"P6"))</f>
        <v>0</v>
      </c>
      <c r="Z145" s="1" t="n">
        <f aca="false">X145+Y145</f>
        <v>0</v>
      </c>
      <c r="AA145" s="1" t="n">
        <f aca="false">IF(Z145&gt;0,Z145+(201-139)/10^6,0)</f>
        <v>0</v>
      </c>
      <c r="AB145" s="1"/>
      <c r="AC145" s="1"/>
      <c r="AD145" s="1"/>
      <c r="AE145" s="1"/>
      <c r="AF145" s="1"/>
      <c r="AG145" s="1"/>
      <c r="AH145" s="1"/>
    </row>
    <row r="146" customFormat="false" ht="15" hidden="false" customHeight="false" outlineLevel="0" collapsed="false">
      <c r="A146" s="1"/>
      <c r="B146" s="10"/>
      <c r="C146" s="31" t="str">
        <f aca="false">IF(B146="","",TEXT(B146,"ddd"))</f>
        <v/>
      </c>
      <c r="D146" s="11"/>
      <c r="E146" s="8" t="str">
        <f aca="false">IF(D146="","",IFERROR(INDEX(ProjNumbers,MATCH(D146,ProjNames,0)),""))</f>
        <v/>
      </c>
      <c r="F146" s="8" t="str">
        <f aca="false">IF(D146="","",IFERROR(INDEX(ProjCodes,MATCH(D146,ProjNames,0)),""))</f>
        <v/>
      </c>
      <c r="G146" s="32"/>
      <c r="H146" s="11"/>
      <c r="I146" s="33"/>
      <c r="J146" s="8" t="str">
        <f aca="false">IF(COUNTA(B146,D146,G146,H146,I146)=0,"",IF(B146="","Enter date",IF(OR(B146&lt;$AC$2,B146&gt;$AC$3),"Date not in January",IF(D146="","Pick project",IF(ISNA(MATCH(D146,ProjNames,0)),"Project not in list",IF(G146="","Add task description",IF(H146="","Pick NTIME or P6",IF(N(I146)&lt;=0,"Enter hours",IF(AND(AllowOT&lt;&gt;"Yes",SUMIF($B$7:$B$256,B146,$I$7:$I$256)&gt;INDEX($O$58:$O$88,DAY(B146))),"Day over "&amp;INDEX($O$58:$O$88,DAY(B146))&amp;" h","✓")))))))))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tr">
        <f aca="false">IF(Projects!B144="","",Projects!B144)</f>
        <v/>
      </c>
      <c r="X146" s="1" t="n">
        <f aca="false">IF(W146="",0,SUMIFS($I$7:$I$256,$D$7:$D$256,W146,$H$7:$H$256,"NTIME"))</f>
        <v>0</v>
      </c>
      <c r="Y146" s="1" t="n">
        <f aca="false">IF(W146="",0,SUMIFS($I$7:$I$256,$D$7:$D$256,W146,$H$7:$H$256,"P6"))</f>
        <v>0</v>
      </c>
      <c r="Z146" s="1" t="n">
        <f aca="false">X146+Y146</f>
        <v>0</v>
      </c>
      <c r="AA146" s="1" t="n">
        <f aca="false">IF(Z146&gt;0,Z146+(201-140)/10^6,0)</f>
        <v>0</v>
      </c>
      <c r="AB146" s="1"/>
      <c r="AC146" s="1"/>
      <c r="AD146" s="1"/>
      <c r="AE146" s="1"/>
      <c r="AF146" s="1"/>
      <c r="AG146" s="1"/>
      <c r="AH146" s="1"/>
    </row>
    <row r="147" customFormat="false" ht="15" hidden="false" customHeight="false" outlineLevel="0" collapsed="false">
      <c r="A147" s="1"/>
      <c r="B147" s="10"/>
      <c r="C147" s="31" t="str">
        <f aca="false">IF(B147="","",TEXT(B147,"ddd"))</f>
        <v/>
      </c>
      <c r="D147" s="11"/>
      <c r="E147" s="8" t="str">
        <f aca="false">IF(D147="","",IFERROR(INDEX(ProjNumbers,MATCH(D147,ProjNames,0)),""))</f>
        <v/>
      </c>
      <c r="F147" s="8" t="str">
        <f aca="false">IF(D147="","",IFERROR(INDEX(ProjCodes,MATCH(D147,ProjNames,0)),""))</f>
        <v/>
      </c>
      <c r="G147" s="32"/>
      <c r="H147" s="11"/>
      <c r="I147" s="33"/>
      <c r="J147" s="8" t="str">
        <f aca="false">IF(COUNTA(B147,D147,G147,H147,I147)=0,"",IF(B147="","Enter date",IF(OR(B147&lt;$AC$2,B147&gt;$AC$3),"Date not in January",IF(D147="","Pick project",IF(ISNA(MATCH(D147,ProjNames,0)),"Project not in list",IF(G147="","Add task description",IF(H147="","Pick NTIME or P6",IF(N(I147)&lt;=0,"Enter hours",IF(AND(AllowOT&lt;&gt;"Yes",SUMIF($B$7:$B$256,B147,$I$7:$I$256)&gt;INDEX($O$58:$O$88,DAY(B147))),"Day over "&amp;INDEX($O$58:$O$88,DAY(B147))&amp;" h","✓")))))))))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tr">
        <f aca="false">IF(Projects!B145="","",Projects!B145)</f>
        <v/>
      </c>
      <c r="X147" s="1" t="n">
        <f aca="false">IF(W147="",0,SUMIFS($I$7:$I$256,$D$7:$D$256,W147,$H$7:$H$256,"NTIME"))</f>
        <v>0</v>
      </c>
      <c r="Y147" s="1" t="n">
        <f aca="false">IF(W147="",0,SUMIFS($I$7:$I$256,$D$7:$D$256,W147,$H$7:$H$256,"P6"))</f>
        <v>0</v>
      </c>
      <c r="Z147" s="1" t="n">
        <f aca="false">X147+Y147</f>
        <v>0</v>
      </c>
      <c r="AA147" s="1" t="n">
        <f aca="false">IF(Z147&gt;0,Z147+(201-141)/10^6,0)</f>
        <v>0</v>
      </c>
      <c r="AB147" s="1"/>
      <c r="AC147" s="1"/>
      <c r="AD147" s="1"/>
      <c r="AE147" s="1"/>
      <c r="AF147" s="1"/>
      <c r="AG147" s="1"/>
      <c r="AH147" s="1"/>
    </row>
    <row r="148" customFormat="false" ht="15" hidden="false" customHeight="false" outlineLevel="0" collapsed="false">
      <c r="A148" s="1"/>
      <c r="B148" s="10"/>
      <c r="C148" s="31" t="str">
        <f aca="false">IF(B148="","",TEXT(B148,"ddd"))</f>
        <v/>
      </c>
      <c r="D148" s="11"/>
      <c r="E148" s="8" t="str">
        <f aca="false">IF(D148="","",IFERROR(INDEX(ProjNumbers,MATCH(D148,ProjNames,0)),""))</f>
        <v/>
      </c>
      <c r="F148" s="8" t="str">
        <f aca="false">IF(D148="","",IFERROR(INDEX(ProjCodes,MATCH(D148,ProjNames,0)),""))</f>
        <v/>
      </c>
      <c r="G148" s="32"/>
      <c r="H148" s="11"/>
      <c r="I148" s="33"/>
      <c r="J148" s="8" t="str">
        <f aca="false">IF(COUNTA(B148,D148,G148,H148,I148)=0,"",IF(B148="","Enter date",IF(OR(B148&lt;$AC$2,B148&gt;$AC$3),"Date not in January",IF(D148="","Pick project",IF(ISNA(MATCH(D148,ProjNames,0)),"Project not in list",IF(G148="","Add task description",IF(H148="","Pick NTIME or P6",IF(N(I148)&lt;=0,"Enter hours",IF(AND(AllowOT&lt;&gt;"Yes",SUMIF($B$7:$B$256,B148,$I$7:$I$256)&gt;INDEX($O$58:$O$88,DAY(B148))),"Day over "&amp;INDEX($O$58:$O$88,DAY(B148))&amp;" h","✓")))))))))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tr">
        <f aca="false">IF(Projects!B146="","",Projects!B146)</f>
        <v/>
      </c>
      <c r="X148" s="1" t="n">
        <f aca="false">IF(W148="",0,SUMIFS($I$7:$I$256,$D$7:$D$256,W148,$H$7:$H$256,"NTIME"))</f>
        <v>0</v>
      </c>
      <c r="Y148" s="1" t="n">
        <f aca="false">IF(W148="",0,SUMIFS($I$7:$I$256,$D$7:$D$256,W148,$H$7:$H$256,"P6"))</f>
        <v>0</v>
      </c>
      <c r="Z148" s="1" t="n">
        <f aca="false">X148+Y148</f>
        <v>0</v>
      </c>
      <c r="AA148" s="1" t="n">
        <f aca="false">IF(Z148&gt;0,Z148+(201-142)/10^6,0)</f>
        <v>0</v>
      </c>
      <c r="AB148" s="1"/>
      <c r="AC148" s="1"/>
      <c r="AD148" s="1"/>
      <c r="AE148" s="1"/>
      <c r="AF148" s="1"/>
      <c r="AG148" s="1"/>
      <c r="AH148" s="1"/>
    </row>
    <row r="149" customFormat="false" ht="15" hidden="false" customHeight="false" outlineLevel="0" collapsed="false">
      <c r="A149" s="1"/>
      <c r="B149" s="10"/>
      <c r="C149" s="31" t="str">
        <f aca="false">IF(B149="","",TEXT(B149,"ddd"))</f>
        <v/>
      </c>
      <c r="D149" s="11"/>
      <c r="E149" s="8" t="str">
        <f aca="false">IF(D149="","",IFERROR(INDEX(ProjNumbers,MATCH(D149,ProjNames,0)),""))</f>
        <v/>
      </c>
      <c r="F149" s="8" t="str">
        <f aca="false">IF(D149="","",IFERROR(INDEX(ProjCodes,MATCH(D149,ProjNames,0)),""))</f>
        <v/>
      </c>
      <c r="G149" s="32"/>
      <c r="H149" s="11"/>
      <c r="I149" s="33"/>
      <c r="J149" s="8" t="str">
        <f aca="false">IF(COUNTA(B149,D149,G149,H149,I149)=0,"",IF(B149="","Enter date",IF(OR(B149&lt;$AC$2,B149&gt;$AC$3),"Date not in January",IF(D149="","Pick project",IF(ISNA(MATCH(D149,ProjNames,0)),"Project not in list",IF(G149="","Add task description",IF(H149="","Pick NTIME or P6",IF(N(I149)&lt;=0,"Enter hours",IF(AND(AllowOT&lt;&gt;"Yes",SUMIF($B$7:$B$256,B149,$I$7:$I$256)&gt;INDEX($O$58:$O$88,DAY(B149))),"Day over "&amp;INDEX($O$58:$O$88,DAY(B149))&amp;" h","✓")))))))))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tr">
        <f aca="false">IF(Projects!B147="","",Projects!B147)</f>
        <v/>
      </c>
      <c r="X149" s="1" t="n">
        <f aca="false">IF(W149="",0,SUMIFS($I$7:$I$256,$D$7:$D$256,W149,$H$7:$H$256,"NTIME"))</f>
        <v>0</v>
      </c>
      <c r="Y149" s="1" t="n">
        <f aca="false">IF(W149="",0,SUMIFS($I$7:$I$256,$D$7:$D$256,W149,$H$7:$H$256,"P6"))</f>
        <v>0</v>
      </c>
      <c r="Z149" s="1" t="n">
        <f aca="false">X149+Y149</f>
        <v>0</v>
      </c>
      <c r="AA149" s="1" t="n">
        <f aca="false">IF(Z149&gt;0,Z149+(201-143)/10^6,0)</f>
        <v>0</v>
      </c>
      <c r="AB149" s="1"/>
      <c r="AC149" s="1"/>
      <c r="AD149" s="1"/>
      <c r="AE149" s="1"/>
      <c r="AF149" s="1"/>
      <c r="AG149" s="1"/>
      <c r="AH149" s="1"/>
    </row>
    <row r="150" customFormat="false" ht="15" hidden="false" customHeight="false" outlineLevel="0" collapsed="false">
      <c r="A150" s="1"/>
      <c r="B150" s="10"/>
      <c r="C150" s="31" t="str">
        <f aca="false">IF(B150="","",TEXT(B150,"ddd"))</f>
        <v/>
      </c>
      <c r="D150" s="11"/>
      <c r="E150" s="8" t="str">
        <f aca="false">IF(D150="","",IFERROR(INDEX(ProjNumbers,MATCH(D150,ProjNames,0)),""))</f>
        <v/>
      </c>
      <c r="F150" s="8" t="str">
        <f aca="false">IF(D150="","",IFERROR(INDEX(ProjCodes,MATCH(D150,ProjNames,0)),""))</f>
        <v/>
      </c>
      <c r="G150" s="32"/>
      <c r="H150" s="11"/>
      <c r="I150" s="33"/>
      <c r="J150" s="8" t="str">
        <f aca="false">IF(COUNTA(B150,D150,G150,H150,I150)=0,"",IF(B150="","Enter date",IF(OR(B150&lt;$AC$2,B150&gt;$AC$3),"Date not in January",IF(D150="","Pick project",IF(ISNA(MATCH(D150,ProjNames,0)),"Project not in list",IF(G150="","Add task description",IF(H150="","Pick NTIME or P6",IF(N(I150)&lt;=0,"Enter hours",IF(AND(AllowOT&lt;&gt;"Yes",SUMIF($B$7:$B$256,B150,$I$7:$I$256)&gt;INDEX($O$58:$O$88,DAY(B150))),"Day over "&amp;INDEX($O$58:$O$88,DAY(B150))&amp;" h","✓")))))))))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tr">
        <f aca="false">IF(Projects!B148="","",Projects!B148)</f>
        <v/>
      </c>
      <c r="X150" s="1" t="n">
        <f aca="false">IF(W150="",0,SUMIFS($I$7:$I$256,$D$7:$D$256,W150,$H$7:$H$256,"NTIME"))</f>
        <v>0</v>
      </c>
      <c r="Y150" s="1" t="n">
        <f aca="false">IF(W150="",0,SUMIFS($I$7:$I$256,$D$7:$D$256,W150,$H$7:$H$256,"P6"))</f>
        <v>0</v>
      </c>
      <c r="Z150" s="1" t="n">
        <f aca="false">X150+Y150</f>
        <v>0</v>
      </c>
      <c r="AA150" s="1" t="n">
        <f aca="false">IF(Z150&gt;0,Z150+(201-144)/10^6,0)</f>
        <v>0</v>
      </c>
      <c r="AB150" s="1"/>
      <c r="AC150" s="1"/>
      <c r="AD150" s="1"/>
      <c r="AE150" s="1"/>
      <c r="AF150" s="1"/>
      <c r="AG150" s="1"/>
      <c r="AH150" s="1"/>
    </row>
    <row r="151" customFormat="false" ht="15" hidden="false" customHeight="false" outlineLevel="0" collapsed="false">
      <c r="A151" s="1"/>
      <c r="B151" s="10"/>
      <c r="C151" s="31" t="str">
        <f aca="false">IF(B151="","",TEXT(B151,"ddd"))</f>
        <v/>
      </c>
      <c r="D151" s="11"/>
      <c r="E151" s="8" t="str">
        <f aca="false">IF(D151="","",IFERROR(INDEX(ProjNumbers,MATCH(D151,ProjNames,0)),""))</f>
        <v/>
      </c>
      <c r="F151" s="8" t="str">
        <f aca="false">IF(D151="","",IFERROR(INDEX(ProjCodes,MATCH(D151,ProjNames,0)),""))</f>
        <v/>
      </c>
      <c r="G151" s="32"/>
      <c r="H151" s="11"/>
      <c r="I151" s="33"/>
      <c r="J151" s="8" t="str">
        <f aca="false">IF(COUNTA(B151,D151,G151,H151,I151)=0,"",IF(B151="","Enter date",IF(OR(B151&lt;$AC$2,B151&gt;$AC$3),"Date not in January",IF(D151="","Pick project",IF(ISNA(MATCH(D151,ProjNames,0)),"Project not in list",IF(G151="","Add task description",IF(H151="","Pick NTIME or P6",IF(N(I151)&lt;=0,"Enter hours",IF(AND(AllowOT&lt;&gt;"Yes",SUMIF($B$7:$B$256,B151,$I$7:$I$256)&gt;INDEX($O$58:$O$88,DAY(B151))),"Day over "&amp;INDEX($O$58:$O$88,DAY(B151))&amp;" h","✓")))))))))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tr">
        <f aca="false">IF(Projects!B149="","",Projects!B149)</f>
        <v/>
      </c>
      <c r="X151" s="1" t="n">
        <f aca="false">IF(W151="",0,SUMIFS($I$7:$I$256,$D$7:$D$256,W151,$H$7:$H$256,"NTIME"))</f>
        <v>0</v>
      </c>
      <c r="Y151" s="1" t="n">
        <f aca="false">IF(W151="",0,SUMIFS($I$7:$I$256,$D$7:$D$256,W151,$H$7:$H$256,"P6"))</f>
        <v>0</v>
      </c>
      <c r="Z151" s="1" t="n">
        <f aca="false">X151+Y151</f>
        <v>0</v>
      </c>
      <c r="AA151" s="1" t="n">
        <f aca="false">IF(Z151&gt;0,Z151+(201-145)/10^6,0)</f>
        <v>0</v>
      </c>
      <c r="AB151" s="1"/>
      <c r="AC151" s="1"/>
      <c r="AD151" s="1"/>
      <c r="AE151" s="1"/>
      <c r="AF151" s="1"/>
      <c r="AG151" s="1"/>
      <c r="AH151" s="1"/>
    </row>
    <row r="152" customFormat="false" ht="15" hidden="false" customHeight="false" outlineLevel="0" collapsed="false">
      <c r="A152" s="1"/>
      <c r="B152" s="10"/>
      <c r="C152" s="31" t="str">
        <f aca="false">IF(B152="","",TEXT(B152,"ddd"))</f>
        <v/>
      </c>
      <c r="D152" s="11"/>
      <c r="E152" s="8" t="str">
        <f aca="false">IF(D152="","",IFERROR(INDEX(ProjNumbers,MATCH(D152,ProjNames,0)),""))</f>
        <v/>
      </c>
      <c r="F152" s="8" t="str">
        <f aca="false">IF(D152="","",IFERROR(INDEX(ProjCodes,MATCH(D152,ProjNames,0)),""))</f>
        <v/>
      </c>
      <c r="G152" s="32"/>
      <c r="H152" s="11"/>
      <c r="I152" s="33"/>
      <c r="J152" s="8" t="str">
        <f aca="false">IF(COUNTA(B152,D152,G152,H152,I152)=0,"",IF(B152="","Enter date",IF(OR(B152&lt;$AC$2,B152&gt;$AC$3),"Date not in January",IF(D152="","Pick project",IF(ISNA(MATCH(D152,ProjNames,0)),"Project not in list",IF(G152="","Add task description",IF(H152="","Pick NTIME or P6",IF(N(I152)&lt;=0,"Enter hours",IF(AND(AllowOT&lt;&gt;"Yes",SUMIF($B$7:$B$256,B152,$I$7:$I$256)&gt;INDEX($O$58:$O$88,DAY(B152))),"Day over "&amp;INDEX($O$58:$O$88,DAY(B152))&amp;" h","✓")))))))))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tr">
        <f aca="false">IF(Projects!B150="","",Projects!B150)</f>
        <v/>
      </c>
      <c r="X152" s="1" t="n">
        <f aca="false">IF(W152="",0,SUMIFS($I$7:$I$256,$D$7:$D$256,W152,$H$7:$H$256,"NTIME"))</f>
        <v>0</v>
      </c>
      <c r="Y152" s="1" t="n">
        <f aca="false">IF(W152="",0,SUMIFS($I$7:$I$256,$D$7:$D$256,W152,$H$7:$H$256,"P6"))</f>
        <v>0</v>
      </c>
      <c r="Z152" s="1" t="n">
        <f aca="false">X152+Y152</f>
        <v>0</v>
      </c>
      <c r="AA152" s="1" t="n">
        <f aca="false">IF(Z152&gt;0,Z152+(201-146)/10^6,0)</f>
        <v>0</v>
      </c>
      <c r="AB152" s="1"/>
      <c r="AC152" s="1"/>
      <c r="AD152" s="1"/>
      <c r="AE152" s="1"/>
      <c r="AF152" s="1"/>
      <c r="AG152" s="1"/>
      <c r="AH152" s="1"/>
    </row>
    <row r="153" customFormat="false" ht="15" hidden="false" customHeight="false" outlineLevel="0" collapsed="false">
      <c r="A153" s="1"/>
      <c r="B153" s="10"/>
      <c r="C153" s="31" t="str">
        <f aca="false">IF(B153="","",TEXT(B153,"ddd"))</f>
        <v/>
      </c>
      <c r="D153" s="11"/>
      <c r="E153" s="8" t="str">
        <f aca="false">IF(D153="","",IFERROR(INDEX(ProjNumbers,MATCH(D153,ProjNames,0)),""))</f>
        <v/>
      </c>
      <c r="F153" s="8" t="str">
        <f aca="false">IF(D153="","",IFERROR(INDEX(ProjCodes,MATCH(D153,ProjNames,0)),""))</f>
        <v/>
      </c>
      <c r="G153" s="32"/>
      <c r="H153" s="11"/>
      <c r="I153" s="33"/>
      <c r="J153" s="8" t="str">
        <f aca="false">IF(COUNTA(B153,D153,G153,H153,I153)=0,"",IF(B153="","Enter date",IF(OR(B153&lt;$AC$2,B153&gt;$AC$3),"Date not in January",IF(D153="","Pick project",IF(ISNA(MATCH(D153,ProjNames,0)),"Project not in list",IF(G153="","Add task description",IF(H153="","Pick NTIME or P6",IF(N(I153)&lt;=0,"Enter hours",IF(AND(AllowOT&lt;&gt;"Yes",SUMIF($B$7:$B$256,B153,$I$7:$I$256)&gt;INDEX($O$58:$O$88,DAY(B153))),"Day over "&amp;INDEX($O$58:$O$88,DAY(B153))&amp;" h","✓")))))))))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tr">
        <f aca="false">IF(Projects!B151="","",Projects!B151)</f>
        <v/>
      </c>
      <c r="X153" s="1" t="n">
        <f aca="false">IF(W153="",0,SUMIFS($I$7:$I$256,$D$7:$D$256,W153,$H$7:$H$256,"NTIME"))</f>
        <v>0</v>
      </c>
      <c r="Y153" s="1" t="n">
        <f aca="false">IF(W153="",0,SUMIFS($I$7:$I$256,$D$7:$D$256,W153,$H$7:$H$256,"P6"))</f>
        <v>0</v>
      </c>
      <c r="Z153" s="1" t="n">
        <f aca="false">X153+Y153</f>
        <v>0</v>
      </c>
      <c r="AA153" s="1" t="n">
        <f aca="false">IF(Z153&gt;0,Z153+(201-147)/10^6,0)</f>
        <v>0</v>
      </c>
      <c r="AB153" s="1"/>
      <c r="AC153" s="1"/>
      <c r="AD153" s="1"/>
      <c r="AE153" s="1"/>
      <c r="AF153" s="1"/>
      <c r="AG153" s="1"/>
      <c r="AH153" s="1"/>
    </row>
    <row r="154" customFormat="false" ht="15" hidden="false" customHeight="false" outlineLevel="0" collapsed="false">
      <c r="A154" s="1"/>
      <c r="B154" s="10"/>
      <c r="C154" s="31" t="str">
        <f aca="false">IF(B154="","",TEXT(B154,"ddd"))</f>
        <v/>
      </c>
      <c r="D154" s="11"/>
      <c r="E154" s="8" t="str">
        <f aca="false">IF(D154="","",IFERROR(INDEX(ProjNumbers,MATCH(D154,ProjNames,0)),""))</f>
        <v/>
      </c>
      <c r="F154" s="8" t="str">
        <f aca="false">IF(D154="","",IFERROR(INDEX(ProjCodes,MATCH(D154,ProjNames,0)),""))</f>
        <v/>
      </c>
      <c r="G154" s="32"/>
      <c r="H154" s="11"/>
      <c r="I154" s="33"/>
      <c r="J154" s="8" t="str">
        <f aca="false">IF(COUNTA(B154,D154,G154,H154,I154)=0,"",IF(B154="","Enter date",IF(OR(B154&lt;$AC$2,B154&gt;$AC$3),"Date not in January",IF(D154="","Pick project",IF(ISNA(MATCH(D154,ProjNames,0)),"Project not in list",IF(G154="","Add task description",IF(H154="","Pick NTIME or P6",IF(N(I154)&lt;=0,"Enter hours",IF(AND(AllowOT&lt;&gt;"Yes",SUMIF($B$7:$B$256,B154,$I$7:$I$256)&gt;INDEX($O$58:$O$88,DAY(B154))),"Day over "&amp;INDEX($O$58:$O$88,DAY(B154))&amp;" h","✓")))))))))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tr">
        <f aca="false">IF(Projects!B152="","",Projects!B152)</f>
        <v/>
      </c>
      <c r="X154" s="1" t="n">
        <f aca="false">IF(W154="",0,SUMIFS($I$7:$I$256,$D$7:$D$256,W154,$H$7:$H$256,"NTIME"))</f>
        <v>0</v>
      </c>
      <c r="Y154" s="1" t="n">
        <f aca="false">IF(W154="",0,SUMIFS($I$7:$I$256,$D$7:$D$256,W154,$H$7:$H$256,"P6"))</f>
        <v>0</v>
      </c>
      <c r="Z154" s="1" t="n">
        <f aca="false">X154+Y154</f>
        <v>0</v>
      </c>
      <c r="AA154" s="1" t="n">
        <f aca="false">IF(Z154&gt;0,Z154+(201-148)/10^6,0)</f>
        <v>0</v>
      </c>
      <c r="AB154" s="1"/>
      <c r="AC154" s="1"/>
      <c r="AD154" s="1"/>
      <c r="AE154" s="1"/>
      <c r="AF154" s="1"/>
      <c r="AG154" s="1"/>
      <c r="AH154" s="1"/>
    </row>
    <row r="155" customFormat="false" ht="15" hidden="false" customHeight="false" outlineLevel="0" collapsed="false">
      <c r="A155" s="1"/>
      <c r="B155" s="10"/>
      <c r="C155" s="31" t="str">
        <f aca="false">IF(B155="","",TEXT(B155,"ddd"))</f>
        <v/>
      </c>
      <c r="D155" s="11"/>
      <c r="E155" s="8" t="str">
        <f aca="false">IF(D155="","",IFERROR(INDEX(ProjNumbers,MATCH(D155,ProjNames,0)),""))</f>
        <v/>
      </c>
      <c r="F155" s="8" t="str">
        <f aca="false">IF(D155="","",IFERROR(INDEX(ProjCodes,MATCH(D155,ProjNames,0)),""))</f>
        <v/>
      </c>
      <c r="G155" s="32"/>
      <c r="H155" s="11"/>
      <c r="I155" s="33"/>
      <c r="J155" s="8" t="str">
        <f aca="false">IF(COUNTA(B155,D155,G155,H155,I155)=0,"",IF(B155="","Enter date",IF(OR(B155&lt;$AC$2,B155&gt;$AC$3),"Date not in January",IF(D155="","Pick project",IF(ISNA(MATCH(D155,ProjNames,0)),"Project not in list",IF(G155="","Add task description",IF(H155="","Pick NTIME or P6",IF(N(I155)&lt;=0,"Enter hours",IF(AND(AllowOT&lt;&gt;"Yes",SUMIF($B$7:$B$256,B155,$I$7:$I$256)&gt;INDEX($O$58:$O$88,DAY(B155))),"Day over "&amp;INDEX($O$58:$O$88,DAY(B155))&amp;" h","✓")))))))))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tr">
        <f aca="false">IF(Projects!B153="","",Projects!B153)</f>
        <v/>
      </c>
      <c r="X155" s="1" t="n">
        <f aca="false">IF(W155="",0,SUMIFS($I$7:$I$256,$D$7:$D$256,W155,$H$7:$H$256,"NTIME"))</f>
        <v>0</v>
      </c>
      <c r="Y155" s="1" t="n">
        <f aca="false">IF(W155="",0,SUMIFS($I$7:$I$256,$D$7:$D$256,W155,$H$7:$H$256,"P6"))</f>
        <v>0</v>
      </c>
      <c r="Z155" s="1" t="n">
        <f aca="false">X155+Y155</f>
        <v>0</v>
      </c>
      <c r="AA155" s="1" t="n">
        <f aca="false">IF(Z155&gt;0,Z155+(201-149)/10^6,0)</f>
        <v>0</v>
      </c>
      <c r="AB155" s="1"/>
      <c r="AC155" s="1"/>
      <c r="AD155" s="1"/>
      <c r="AE155" s="1"/>
      <c r="AF155" s="1"/>
      <c r="AG155" s="1"/>
      <c r="AH155" s="1"/>
    </row>
    <row r="156" customFormat="false" ht="15" hidden="false" customHeight="false" outlineLevel="0" collapsed="false">
      <c r="A156" s="1"/>
      <c r="B156" s="10"/>
      <c r="C156" s="31" t="str">
        <f aca="false">IF(B156="","",TEXT(B156,"ddd"))</f>
        <v/>
      </c>
      <c r="D156" s="11"/>
      <c r="E156" s="8" t="str">
        <f aca="false">IF(D156="","",IFERROR(INDEX(ProjNumbers,MATCH(D156,ProjNames,0)),""))</f>
        <v/>
      </c>
      <c r="F156" s="8" t="str">
        <f aca="false">IF(D156="","",IFERROR(INDEX(ProjCodes,MATCH(D156,ProjNames,0)),""))</f>
        <v/>
      </c>
      <c r="G156" s="32"/>
      <c r="H156" s="11"/>
      <c r="I156" s="33"/>
      <c r="J156" s="8" t="str">
        <f aca="false">IF(COUNTA(B156,D156,G156,H156,I156)=0,"",IF(B156="","Enter date",IF(OR(B156&lt;$AC$2,B156&gt;$AC$3),"Date not in January",IF(D156="","Pick project",IF(ISNA(MATCH(D156,ProjNames,0)),"Project not in list",IF(G156="","Add task description",IF(H156="","Pick NTIME or P6",IF(N(I156)&lt;=0,"Enter hours",IF(AND(AllowOT&lt;&gt;"Yes",SUMIF($B$7:$B$256,B156,$I$7:$I$256)&gt;INDEX($O$58:$O$88,DAY(B156))),"Day over "&amp;INDEX($O$58:$O$88,DAY(B156))&amp;" h","✓")))))))))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tr">
        <f aca="false">IF(Projects!B154="","",Projects!B154)</f>
        <v/>
      </c>
      <c r="X156" s="1" t="n">
        <f aca="false">IF(W156="",0,SUMIFS($I$7:$I$256,$D$7:$D$256,W156,$H$7:$H$256,"NTIME"))</f>
        <v>0</v>
      </c>
      <c r="Y156" s="1" t="n">
        <f aca="false">IF(W156="",0,SUMIFS($I$7:$I$256,$D$7:$D$256,W156,$H$7:$H$256,"P6"))</f>
        <v>0</v>
      </c>
      <c r="Z156" s="1" t="n">
        <f aca="false">X156+Y156</f>
        <v>0</v>
      </c>
      <c r="AA156" s="1" t="n">
        <f aca="false">IF(Z156&gt;0,Z156+(201-150)/10^6,0)</f>
        <v>0</v>
      </c>
      <c r="AB156" s="1"/>
      <c r="AC156" s="1"/>
      <c r="AD156" s="1"/>
      <c r="AE156" s="1"/>
      <c r="AF156" s="1"/>
      <c r="AG156" s="1"/>
      <c r="AH156" s="1"/>
    </row>
    <row r="157" customFormat="false" ht="15" hidden="false" customHeight="false" outlineLevel="0" collapsed="false">
      <c r="A157" s="1"/>
      <c r="B157" s="10"/>
      <c r="C157" s="31" t="str">
        <f aca="false">IF(B157="","",TEXT(B157,"ddd"))</f>
        <v/>
      </c>
      <c r="D157" s="11"/>
      <c r="E157" s="8" t="str">
        <f aca="false">IF(D157="","",IFERROR(INDEX(ProjNumbers,MATCH(D157,ProjNames,0)),""))</f>
        <v/>
      </c>
      <c r="F157" s="8" t="str">
        <f aca="false">IF(D157="","",IFERROR(INDEX(ProjCodes,MATCH(D157,ProjNames,0)),""))</f>
        <v/>
      </c>
      <c r="G157" s="32"/>
      <c r="H157" s="11"/>
      <c r="I157" s="33"/>
      <c r="J157" s="8" t="str">
        <f aca="false">IF(COUNTA(B157,D157,G157,H157,I157)=0,"",IF(B157="","Enter date",IF(OR(B157&lt;$AC$2,B157&gt;$AC$3),"Date not in January",IF(D157="","Pick project",IF(ISNA(MATCH(D157,ProjNames,0)),"Project not in list",IF(G157="","Add task description",IF(H157="","Pick NTIME or P6",IF(N(I157)&lt;=0,"Enter hours",IF(AND(AllowOT&lt;&gt;"Yes",SUMIF($B$7:$B$256,B157,$I$7:$I$256)&gt;INDEX($O$58:$O$88,DAY(B157))),"Day over "&amp;INDEX($O$58:$O$88,DAY(B157))&amp;" h","✓")))))))))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tr">
        <f aca="false">IF(Projects!B155="","",Projects!B155)</f>
        <v/>
      </c>
      <c r="X157" s="1" t="n">
        <f aca="false">IF(W157="",0,SUMIFS($I$7:$I$256,$D$7:$D$256,W157,$H$7:$H$256,"NTIME"))</f>
        <v>0</v>
      </c>
      <c r="Y157" s="1" t="n">
        <f aca="false">IF(W157="",0,SUMIFS($I$7:$I$256,$D$7:$D$256,W157,$H$7:$H$256,"P6"))</f>
        <v>0</v>
      </c>
      <c r="Z157" s="1" t="n">
        <f aca="false">X157+Y157</f>
        <v>0</v>
      </c>
      <c r="AA157" s="1" t="n">
        <f aca="false">IF(Z157&gt;0,Z157+(201-151)/10^6,0)</f>
        <v>0</v>
      </c>
      <c r="AB157" s="1"/>
      <c r="AC157" s="1"/>
      <c r="AD157" s="1"/>
      <c r="AE157" s="1"/>
      <c r="AF157" s="1"/>
      <c r="AG157" s="1"/>
      <c r="AH157" s="1"/>
    </row>
    <row r="158" customFormat="false" ht="15" hidden="false" customHeight="false" outlineLevel="0" collapsed="false">
      <c r="A158" s="1"/>
      <c r="B158" s="10"/>
      <c r="C158" s="31" t="str">
        <f aca="false">IF(B158="","",TEXT(B158,"ddd"))</f>
        <v/>
      </c>
      <c r="D158" s="11"/>
      <c r="E158" s="8" t="str">
        <f aca="false">IF(D158="","",IFERROR(INDEX(ProjNumbers,MATCH(D158,ProjNames,0)),""))</f>
        <v/>
      </c>
      <c r="F158" s="8" t="str">
        <f aca="false">IF(D158="","",IFERROR(INDEX(ProjCodes,MATCH(D158,ProjNames,0)),""))</f>
        <v/>
      </c>
      <c r="G158" s="32"/>
      <c r="H158" s="11"/>
      <c r="I158" s="33"/>
      <c r="J158" s="8" t="str">
        <f aca="false">IF(COUNTA(B158,D158,G158,H158,I158)=0,"",IF(B158="","Enter date",IF(OR(B158&lt;$AC$2,B158&gt;$AC$3),"Date not in January",IF(D158="","Pick project",IF(ISNA(MATCH(D158,ProjNames,0)),"Project not in list",IF(G158="","Add task description",IF(H158="","Pick NTIME or P6",IF(N(I158)&lt;=0,"Enter hours",IF(AND(AllowOT&lt;&gt;"Yes",SUMIF($B$7:$B$256,B158,$I$7:$I$256)&gt;INDEX($O$58:$O$88,DAY(B158))),"Day over "&amp;INDEX($O$58:$O$88,DAY(B158))&amp;" h","✓")))))))))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tr">
        <f aca="false">IF(Projects!B156="","",Projects!B156)</f>
        <v/>
      </c>
      <c r="X158" s="1" t="n">
        <f aca="false">IF(W158="",0,SUMIFS($I$7:$I$256,$D$7:$D$256,W158,$H$7:$H$256,"NTIME"))</f>
        <v>0</v>
      </c>
      <c r="Y158" s="1" t="n">
        <f aca="false">IF(W158="",0,SUMIFS($I$7:$I$256,$D$7:$D$256,W158,$H$7:$H$256,"P6"))</f>
        <v>0</v>
      </c>
      <c r="Z158" s="1" t="n">
        <f aca="false">X158+Y158</f>
        <v>0</v>
      </c>
      <c r="AA158" s="1" t="n">
        <f aca="false">IF(Z158&gt;0,Z158+(201-152)/10^6,0)</f>
        <v>0</v>
      </c>
      <c r="AB158" s="1"/>
      <c r="AC158" s="1"/>
      <c r="AD158" s="1"/>
      <c r="AE158" s="1"/>
      <c r="AF158" s="1"/>
      <c r="AG158" s="1"/>
      <c r="AH158" s="1"/>
    </row>
    <row r="159" customFormat="false" ht="15" hidden="false" customHeight="false" outlineLevel="0" collapsed="false">
      <c r="A159" s="1"/>
      <c r="B159" s="10"/>
      <c r="C159" s="31" t="str">
        <f aca="false">IF(B159="","",TEXT(B159,"ddd"))</f>
        <v/>
      </c>
      <c r="D159" s="11"/>
      <c r="E159" s="8" t="str">
        <f aca="false">IF(D159="","",IFERROR(INDEX(ProjNumbers,MATCH(D159,ProjNames,0)),""))</f>
        <v/>
      </c>
      <c r="F159" s="8" t="str">
        <f aca="false">IF(D159="","",IFERROR(INDEX(ProjCodes,MATCH(D159,ProjNames,0)),""))</f>
        <v/>
      </c>
      <c r="G159" s="32"/>
      <c r="H159" s="11"/>
      <c r="I159" s="33"/>
      <c r="J159" s="8" t="str">
        <f aca="false">IF(COUNTA(B159,D159,G159,H159,I159)=0,"",IF(B159="","Enter date",IF(OR(B159&lt;$AC$2,B159&gt;$AC$3),"Date not in January",IF(D159="","Pick project",IF(ISNA(MATCH(D159,ProjNames,0)),"Project not in list",IF(G159="","Add task description",IF(H159="","Pick NTIME or P6",IF(N(I159)&lt;=0,"Enter hours",IF(AND(AllowOT&lt;&gt;"Yes",SUMIF($B$7:$B$256,B159,$I$7:$I$256)&gt;INDEX($O$58:$O$88,DAY(B159))),"Day over "&amp;INDEX($O$58:$O$88,DAY(B159))&amp;" h","✓")))))))))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tr">
        <f aca="false">IF(Projects!B157="","",Projects!B157)</f>
        <v/>
      </c>
      <c r="X159" s="1" t="n">
        <f aca="false">IF(W159="",0,SUMIFS($I$7:$I$256,$D$7:$D$256,W159,$H$7:$H$256,"NTIME"))</f>
        <v>0</v>
      </c>
      <c r="Y159" s="1" t="n">
        <f aca="false">IF(W159="",0,SUMIFS($I$7:$I$256,$D$7:$D$256,W159,$H$7:$H$256,"P6"))</f>
        <v>0</v>
      </c>
      <c r="Z159" s="1" t="n">
        <f aca="false">X159+Y159</f>
        <v>0</v>
      </c>
      <c r="AA159" s="1" t="n">
        <f aca="false">IF(Z159&gt;0,Z159+(201-153)/10^6,0)</f>
        <v>0</v>
      </c>
      <c r="AB159" s="1"/>
      <c r="AC159" s="1"/>
      <c r="AD159" s="1"/>
      <c r="AE159" s="1"/>
      <c r="AF159" s="1"/>
      <c r="AG159" s="1"/>
      <c r="AH159" s="1"/>
    </row>
    <row r="160" customFormat="false" ht="15" hidden="false" customHeight="false" outlineLevel="0" collapsed="false">
      <c r="A160" s="1"/>
      <c r="B160" s="10"/>
      <c r="C160" s="31" t="str">
        <f aca="false">IF(B160="","",TEXT(B160,"ddd"))</f>
        <v/>
      </c>
      <c r="D160" s="11"/>
      <c r="E160" s="8" t="str">
        <f aca="false">IF(D160="","",IFERROR(INDEX(ProjNumbers,MATCH(D160,ProjNames,0)),""))</f>
        <v/>
      </c>
      <c r="F160" s="8" t="str">
        <f aca="false">IF(D160="","",IFERROR(INDEX(ProjCodes,MATCH(D160,ProjNames,0)),""))</f>
        <v/>
      </c>
      <c r="G160" s="32"/>
      <c r="H160" s="11"/>
      <c r="I160" s="33"/>
      <c r="J160" s="8" t="str">
        <f aca="false">IF(COUNTA(B160,D160,G160,H160,I160)=0,"",IF(B160="","Enter date",IF(OR(B160&lt;$AC$2,B160&gt;$AC$3),"Date not in January",IF(D160="","Pick project",IF(ISNA(MATCH(D160,ProjNames,0)),"Project not in list",IF(G160="","Add task description",IF(H160="","Pick NTIME or P6",IF(N(I160)&lt;=0,"Enter hours",IF(AND(AllowOT&lt;&gt;"Yes",SUMIF($B$7:$B$256,B160,$I$7:$I$256)&gt;INDEX($O$58:$O$88,DAY(B160))),"Day over "&amp;INDEX($O$58:$O$88,DAY(B160))&amp;" h","✓")))))))))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tr">
        <f aca="false">IF(Projects!B158="","",Projects!B158)</f>
        <v/>
      </c>
      <c r="X160" s="1" t="n">
        <f aca="false">IF(W160="",0,SUMIFS($I$7:$I$256,$D$7:$D$256,W160,$H$7:$H$256,"NTIME"))</f>
        <v>0</v>
      </c>
      <c r="Y160" s="1" t="n">
        <f aca="false">IF(W160="",0,SUMIFS($I$7:$I$256,$D$7:$D$256,W160,$H$7:$H$256,"P6"))</f>
        <v>0</v>
      </c>
      <c r="Z160" s="1" t="n">
        <f aca="false">X160+Y160</f>
        <v>0</v>
      </c>
      <c r="AA160" s="1" t="n">
        <f aca="false">IF(Z160&gt;0,Z160+(201-154)/10^6,0)</f>
        <v>0</v>
      </c>
      <c r="AB160" s="1"/>
      <c r="AC160" s="1"/>
      <c r="AD160" s="1"/>
      <c r="AE160" s="1"/>
      <c r="AF160" s="1"/>
      <c r="AG160" s="1"/>
      <c r="AH160" s="1"/>
    </row>
    <row r="161" customFormat="false" ht="15" hidden="false" customHeight="false" outlineLevel="0" collapsed="false">
      <c r="A161" s="1"/>
      <c r="B161" s="10"/>
      <c r="C161" s="31" t="str">
        <f aca="false">IF(B161="","",TEXT(B161,"ddd"))</f>
        <v/>
      </c>
      <c r="D161" s="11"/>
      <c r="E161" s="8" t="str">
        <f aca="false">IF(D161="","",IFERROR(INDEX(ProjNumbers,MATCH(D161,ProjNames,0)),""))</f>
        <v/>
      </c>
      <c r="F161" s="8" t="str">
        <f aca="false">IF(D161="","",IFERROR(INDEX(ProjCodes,MATCH(D161,ProjNames,0)),""))</f>
        <v/>
      </c>
      <c r="G161" s="32"/>
      <c r="H161" s="11"/>
      <c r="I161" s="33"/>
      <c r="J161" s="8" t="str">
        <f aca="false">IF(COUNTA(B161,D161,G161,H161,I161)=0,"",IF(B161="","Enter date",IF(OR(B161&lt;$AC$2,B161&gt;$AC$3),"Date not in January",IF(D161="","Pick project",IF(ISNA(MATCH(D161,ProjNames,0)),"Project not in list",IF(G161="","Add task description",IF(H161="","Pick NTIME or P6",IF(N(I161)&lt;=0,"Enter hours",IF(AND(AllowOT&lt;&gt;"Yes",SUMIF($B$7:$B$256,B161,$I$7:$I$256)&gt;INDEX($O$58:$O$88,DAY(B161))),"Day over "&amp;INDEX($O$58:$O$88,DAY(B161))&amp;" h","✓")))))))))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tr">
        <f aca="false">IF(Projects!B159="","",Projects!B159)</f>
        <v/>
      </c>
      <c r="X161" s="1" t="n">
        <f aca="false">IF(W161="",0,SUMIFS($I$7:$I$256,$D$7:$D$256,W161,$H$7:$H$256,"NTIME"))</f>
        <v>0</v>
      </c>
      <c r="Y161" s="1" t="n">
        <f aca="false">IF(W161="",0,SUMIFS($I$7:$I$256,$D$7:$D$256,W161,$H$7:$H$256,"P6"))</f>
        <v>0</v>
      </c>
      <c r="Z161" s="1" t="n">
        <f aca="false">X161+Y161</f>
        <v>0</v>
      </c>
      <c r="AA161" s="1" t="n">
        <f aca="false">IF(Z161&gt;0,Z161+(201-155)/10^6,0)</f>
        <v>0</v>
      </c>
      <c r="AB161" s="1"/>
      <c r="AC161" s="1"/>
      <c r="AD161" s="1"/>
      <c r="AE161" s="1"/>
      <c r="AF161" s="1"/>
      <c r="AG161" s="1"/>
      <c r="AH161" s="1"/>
    </row>
    <row r="162" customFormat="false" ht="15" hidden="false" customHeight="false" outlineLevel="0" collapsed="false">
      <c r="A162" s="1"/>
      <c r="B162" s="10"/>
      <c r="C162" s="31" t="str">
        <f aca="false">IF(B162="","",TEXT(B162,"ddd"))</f>
        <v/>
      </c>
      <c r="D162" s="11"/>
      <c r="E162" s="8" t="str">
        <f aca="false">IF(D162="","",IFERROR(INDEX(ProjNumbers,MATCH(D162,ProjNames,0)),""))</f>
        <v/>
      </c>
      <c r="F162" s="8" t="str">
        <f aca="false">IF(D162="","",IFERROR(INDEX(ProjCodes,MATCH(D162,ProjNames,0)),""))</f>
        <v/>
      </c>
      <c r="G162" s="32"/>
      <c r="H162" s="11"/>
      <c r="I162" s="33"/>
      <c r="J162" s="8" t="str">
        <f aca="false">IF(COUNTA(B162,D162,G162,H162,I162)=0,"",IF(B162="","Enter date",IF(OR(B162&lt;$AC$2,B162&gt;$AC$3),"Date not in January",IF(D162="","Pick project",IF(ISNA(MATCH(D162,ProjNames,0)),"Project not in list",IF(G162="","Add task description",IF(H162="","Pick NTIME or P6",IF(N(I162)&lt;=0,"Enter hours",IF(AND(AllowOT&lt;&gt;"Yes",SUMIF($B$7:$B$256,B162,$I$7:$I$256)&gt;INDEX($O$58:$O$88,DAY(B162))),"Day over "&amp;INDEX($O$58:$O$88,DAY(B162))&amp;" h","✓")))))))))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tr">
        <f aca="false">IF(Projects!B160="","",Projects!B160)</f>
        <v/>
      </c>
      <c r="X162" s="1" t="n">
        <f aca="false">IF(W162="",0,SUMIFS($I$7:$I$256,$D$7:$D$256,W162,$H$7:$H$256,"NTIME"))</f>
        <v>0</v>
      </c>
      <c r="Y162" s="1" t="n">
        <f aca="false">IF(W162="",0,SUMIFS($I$7:$I$256,$D$7:$D$256,W162,$H$7:$H$256,"P6"))</f>
        <v>0</v>
      </c>
      <c r="Z162" s="1" t="n">
        <f aca="false">X162+Y162</f>
        <v>0</v>
      </c>
      <c r="AA162" s="1" t="n">
        <f aca="false">IF(Z162&gt;0,Z162+(201-156)/10^6,0)</f>
        <v>0</v>
      </c>
      <c r="AB162" s="1"/>
      <c r="AC162" s="1"/>
      <c r="AD162" s="1"/>
      <c r="AE162" s="1"/>
      <c r="AF162" s="1"/>
      <c r="AG162" s="1"/>
      <c r="AH162" s="1"/>
    </row>
    <row r="163" customFormat="false" ht="15" hidden="false" customHeight="false" outlineLevel="0" collapsed="false">
      <c r="A163" s="1"/>
      <c r="B163" s="10"/>
      <c r="C163" s="31" t="str">
        <f aca="false">IF(B163="","",TEXT(B163,"ddd"))</f>
        <v/>
      </c>
      <c r="D163" s="11"/>
      <c r="E163" s="8" t="str">
        <f aca="false">IF(D163="","",IFERROR(INDEX(ProjNumbers,MATCH(D163,ProjNames,0)),""))</f>
        <v/>
      </c>
      <c r="F163" s="8" t="str">
        <f aca="false">IF(D163="","",IFERROR(INDEX(ProjCodes,MATCH(D163,ProjNames,0)),""))</f>
        <v/>
      </c>
      <c r="G163" s="32"/>
      <c r="H163" s="11"/>
      <c r="I163" s="33"/>
      <c r="J163" s="8" t="str">
        <f aca="false">IF(COUNTA(B163,D163,G163,H163,I163)=0,"",IF(B163="","Enter date",IF(OR(B163&lt;$AC$2,B163&gt;$AC$3),"Date not in January",IF(D163="","Pick project",IF(ISNA(MATCH(D163,ProjNames,0)),"Project not in list",IF(G163="","Add task description",IF(H163="","Pick NTIME or P6",IF(N(I163)&lt;=0,"Enter hours",IF(AND(AllowOT&lt;&gt;"Yes",SUMIF($B$7:$B$256,B163,$I$7:$I$256)&gt;INDEX($O$58:$O$88,DAY(B163))),"Day over "&amp;INDEX($O$58:$O$88,DAY(B163))&amp;" h","✓")))))))))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tr">
        <f aca="false">IF(Projects!B161="","",Projects!B161)</f>
        <v/>
      </c>
      <c r="X163" s="1" t="n">
        <f aca="false">IF(W163="",0,SUMIFS($I$7:$I$256,$D$7:$D$256,W163,$H$7:$H$256,"NTIME"))</f>
        <v>0</v>
      </c>
      <c r="Y163" s="1" t="n">
        <f aca="false">IF(W163="",0,SUMIFS($I$7:$I$256,$D$7:$D$256,W163,$H$7:$H$256,"P6"))</f>
        <v>0</v>
      </c>
      <c r="Z163" s="1" t="n">
        <f aca="false">X163+Y163</f>
        <v>0</v>
      </c>
      <c r="AA163" s="1" t="n">
        <f aca="false">IF(Z163&gt;0,Z163+(201-157)/10^6,0)</f>
        <v>0</v>
      </c>
      <c r="AB163" s="1"/>
      <c r="AC163" s="1"/>
      <c r="AD163" s="1"/>
      <c r="AE163" s="1"/>
      <c r="AF163" s="1"/>
      <c r="AG163" s="1"/>
      <c r="AH163" s="1"/>
    </row>
    <row r="164" customFormat="false" ht="15" hidden="false" customHeight="false" outlineLevel="0" collapsed="false">
      <c r="A164" s="1"/>
      <c r="B164" s="10"/>
      <c r="C164" s="31" t="str">
        <f aca="false">IF(B164="","",TEXT(B164,"ddd"))</f>
        <v/>
      </c>
      <c r="D164" s="11"/>
      <c r="E164" s="8" t="str">
        <f aca="false">IF(D164="","",IFERROR(INDEX(ProjNumbers,MATCH(D164,ProjNames,0)),""))</f>
        <v/>
      </c>
      <c r="F164" s="8" t="str">
        <f aca="false">IF(D164="","",IFERROR(INDEX(ProjCodes,MATCH(D164,ProjNames,0)),""))</f>
        <v/>
      </c>
      <c r="G164" s="32"/>
      <c r="H164" s="11"/>
      <c r="I164" s="33"/>
      <c r="J164" s="8" t="str">
        <f aca="false">IF(COUNTA(B164,D164,G164,H164,I164)=0,"",IF(B164="","Enter date",IF(OR(B164&lt;$AC$2,B164&gt;$AC$3),"Date not in January",IF(D164="","Pick project",IF(ISNA(MATCH(D164,ProjNames,0)),"Project not in list",IF(G164="","Add task description",IF(H164="","Pick NTIME or P6",IF(N(I164)&lt;=0,"Enter hours",IF(AND(AllowOT&lt;&gt;"Yes",SUMIF($B$7:$B$256,B164,$I$7:$I$256)&gt;INDEX($O$58:$O$88,DAY(B164))),"Day over "&amp;INDEX($O$58:$O$88,DAY(B164))&amp;" h","✓")))))))))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tr">
        <f aca="false">IF(Projects!B162="","",Projects!B162)</f>
        <v/>
      </c>
      <c r="X164" s="1" t="n">
        <f aca="false">IF(W164="",0,SUMIFS($I$7:$I$256,$D$7:$D$256,W164,$H$7:$H$256,"NTIME"))</f>
        <v>0</v>
      </c>
      <c r="Y164" s="1" t="n">
        <f aca="false">IF(W164="",0,SUMIFS($I$7:$I$256,$D$7:$D$256,W164,$H$7:$H$256,"P6"))</f>
        <v>0</v>
      </c>
      <c r="Z164" s="1" t="n">
        <f aca="false">X164+Y164</f>
        <v>0</v>
      </c>
      <c r="AA164" s="1" t="n">
        <f aca="false">IF(Z164&gt;0,Z164+(201-158)/10^6,0)</f>
        <v>0</v>
      </c>
      <c r="AB164" s="1"/>
      <c r="AC164" s="1"/>
      <c r="AD164" s="1"/>
      <c r="AE164" s="1"/>
      <c r="AF164" s="1"/>
      <c r="AG164" s="1"/>
      <c r="AH164" s="1"/>
    </row>
    <row r="165" customFormat="false" ht="15" hidden="false" customHeight="false" outlineLevel="0" collapsed="false">
      <c r="A165" s="1"/>
      <c r="B165" s="10"/>
      <c r="C165" s="31" t="str">
        <f aca="false">IF(B165="","",TEXT(B165,"ddd"))</f>
        <v/>
      </c>
      <c r="D165" s="11"/>
      <c r="E165" s="8" t="str">
        <f aca="false">IF(D165="","",IFERROR(INDEX(ProjNumbers,MATCH(D165,ProjNames,0)),""))</f>
        <v/>
      </c>
      <c r="F165" s="8" t="str">
        <f aca="false">IF(D165="","",IFERROR(INDEX(ProjCodes,MATCH(D165,ProjNames,0)),""))</f>
        <v/>
      </c>
      <c r="G165" s="32"/>
      <c r="H165" s="11"/>
      <c r="I165" s="33"/>
      <c r="J165" s="8" t="str">
        <f aca="false">IF(COUNTA(B165,D165,G165,H165,I165)=0,"",IF(B165="","Enter date",IF(OR(B165&lt;$AC$2,B165&gt;$AC$3),"Date not in January",IF(D165="","Pick project",IF(ISNA(MATCH(D165,ProjNames,0)),"Project not in list",IF(G165="","Add task description",IF(H165="","Pick NTIME or P6",IF(N(I165)&lt;=0,"Enter hours",IF(AND(AllowOT&lt;&gt;"Yes",SUMIF($B$7:$B$256,B165,$I$7:$I$256)&gt;INDEX($O$58:$O$88,DAY(B165))),"Day over "&amp;INDEX($O$58:$O$88,DAY(B165))&amp;" h","✓")))))))))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tr">
        <f aca="false">IF(Projects!B163="","",Projects!B163)</f>
        <v/>
      </c>
      <c r="X165" s="1" t="n">
        <f aca="false">IF(W165="",0,SUMIFS($I$7:$I$256,$D$7:$D$256,W165,$H$7:$H$256,"NTIME"))</f>
        <v>0</v>
      </c>
      <c r="Y165" s="1" t="n">
        <f aca="false">IF(W165="",0,SUMIFS($I$7:$I$256,$D$7:$D$256,W165,$H$7:$H$256,"P6"))</f>
        <v>0</v>
      </c>
      <c r="Z165" s="1" t="n">
        <f aca="false">X165+Y165</f>
        <v>0</v>
      </c>
      <c r="AA165" s="1" t="n">
        <f aca="false">IF(Z165&gt;0,Z165+(201-159)/10^6,0)</f>
        <v>0</v>
      </c>
      <c r="AB165" s="1"/>
      <c r="AC165" s="1"/>
      <c r="AD165" s="1"/>
      <c r="AE165" s="1"/>
      <c r="AF165" s="1"/>
      <c r="AG165" s="1"/>
      <c r="AH165" s="1"/>
    </row>
    <row r="166" customFormat="false" ht="15" hidden="false" customHeight="false" outlineLevel="0" collapsed="false">
      <c r="A166" s="1"/>
      <c r="B166" s="10"/>
      <c r="C166" s="31" t="str">
        <f aca="false">IF(B166="","",TEXT(B166,"ddd"))</f>
        <v/>
      </c>
      <c r="D166" s="11"/>
      <c r="E166" s="8" t="str">
        <f aca="false">IF(D166="","",IFERROR(INDEX(ProjNumbers,MATCH(D166,ProjNames,0)),""))</f>
        <v/>
      </c>
      <c r="F166" s="8" t="str">
        <f aca="false">IF(D166="","",IFERROR(INDEX(ProjCodes,MATCH(D166,ProjNames,0)),""))</f>
        <v/>
      </c>
      <c r="G166" s="32"/>
      <c r="H166" s="11"/>
      <c r="I166" s="33"/>
      <c r="J166" s="8" t="str">
        <f aca="false">IF(COUNTA(B166,D166,G166,H166,I166)=0,"",IF(B166="","Enter date",IF(OR(B166&lt;$AC$2,B166&gt;$AC$3),"Date not in January",IF(D166="","Pick project",IF(ISNA(MATCH(D166,ProjNames,0)),"Project not in list",IF(G166="","Add task description",IF(H166="","Pick NTIME or P6",IF(N(I166)&lt;=0,"Enter hours",IF(AND(AllowOT&lt;&gt;"Yes",SUMIF($B$7:$B$256,B166,$I$7:$I$256)&gt;INDEX($O$58:$O$88,DAY(B166))),"Day over "&amp;INDEX($O$58:$O$88,DAY(B166))&amp;" h","✓")))))))))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tr">
        <f aca="false">IF(Projects!B164="","",Projects!B164)</f>
        <v/>
      </c>
      <c r="X166" s="1" t="n">
        <f aca="false">IF(W166="",0,SUMIFS($I$7:$I$256,$D$7:$D$256,W166,$H$7:$H$256,"NTIME"))</f>
        <v>0</v>
      </c>
      <c r="Y166" s="1" t="n">
        <f aca="false">IF(W166="",0,SUMIFS($I$7:$I$256,$D$7:$D$256,W166,$H$7:$H$256,"P6"))</f>
        <v>0</v>
      </c>
      <c r="Z166" s="1" t="n">
        <f aca="false">X166+Y166</f>
        <v>0</v>
      </c>
      <c r="AA166" s="1" t="n">
        <f aca="false">IF(Z166&gt;0,Z166+(201-160)/10^6,0)</f>
        <v>0</v>
      </c>
      <c r="AB166" s="1"/>
      <c r="AC166" s="1"/>
      <c r="AD166" s="1"/>
      <c r="AE166" s="1"/>
      <c r="AF166" s="1"/>
      <c r="AG166" s="1"/>
      <c r="AH166" s="1"/>
    </row>
    <row r="167" customFormat="false" ht="15" hidden="false" customHeight="false" outlineLevel="0" collapsed="false">
      <c r="A167" s="1"/>
      <c r="B167" s="10"/>
      <c r="C167" s="31" t="str">
        <f aca="false">IF(B167="","",TEXT(B167,"ddd"))</f>
        <v/>
      </c>
      <c r="D167" s="11"/>
      <c r="E167" s="8" t="str">
        <f aca="false">IF(D167="","",IFERROR(INDEX(ProjNumbers,MATCH(D167,ProjNames,0)),""))</f>
        <v/>
      </c>
      <c r="F167" s="8" t="str">
        <f aca="false">IF(D167="","",IFERROR(INDEX(ProjCodes,MATCH(D167,ProjNames,0)),""))</f>
        <v/>
      </c>
      <c r="G167" s="32"/>
      <c r="H167" s="11"/>
      <c r="I167" s="33"/>
      <c r="J167" s="8" t="str">
        <f aca="false">IF(COUNTA(B167,D167,G167,H167,I167)=0,"",IF(B167="","Enter date",IF(OR(B167&lt;$AC$2,B167&gt;$AC$3),"Date not in January",IF(D167="","Pick project",IF(ISNA(MATCH(D167,ProjNames,0)),"Project not in list",IF(G167="","Add task description",IF(H167="","Pick NTIME or P6",IF(N(I167)&lt;=0,"Enter hours",IF(AND(AllowOT&lt;&gt;"Yes",SUMIF($B$7:$B$256,B167,$I$7:$I$256)&gt;INDEX($O$58:$O$88,DAY(B167))),"Day over "&amp;INDEX($O$58:$O$88,DAY(B167))&amp;" h","✓")))))))))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 aca="false">IF(Projects!B165="","",Projects!B165)</f>
        <v/>
      </c>
      <c r="X167" s="1" t="n">
        <f aca="false">IF(W167="",0,SUMIFS($I$7:$I$256,$D$7:$D$256,W167,$H$7:$H$256,"NTIME"))</f>
        <v>0</v>
      </c>
      <c r="Y167" s="1" t="n">
        <f aca="false">IF(W167="",0,SUMIFS($I$7:$I$256,$D$7:$D$256,W167,$H$7:$H$256,"P6"))</f>
        <v>0</v>
      </c>
      <c r="Z167" s="1" t="n">
        <f aca="false">X167+Y167</f>
        <v>0</v>
      </c>
      <c r="AA167" s="1" t="n">
        <f aca="false">IF(Z167&gt;0,Z167+(201-161)/10^6,0)</f>
        <v>0</v>
      </c>
      <c r="AB167" s="1"/>
      <c r="AC167" s="1"/>
      <c r="AD167" s="1"/>
      <c r="AE167" s="1"/>
      <c r="AF167" s="1"/>
      <c r="AG167" s="1"/>
      <c r="AH167" s="1"/>
    </row>
    <row r="168" customFormat="false" ht="15" hidden="false" customHeight="false" outlineLevel="0" collapsed="false">
      <c r="A168" s="1"/>
      <c r="B168" s="10"/>
      <c r="C168" s="31" t="str">
        <f aca="false">IF(B168="","",TEXT(B168,"ddd"))</f>
        <v/>
      </c>
      <c r="D168" s="11"/>
      <c r="E168" s="8" t="str">
        <f aca="false">IF(D168="","",IFERROR(INDEX(ProjNumbers,MATCH(D168,ProjNames,0)),""))</f>
        <v/>
      </c>
      <c r="F168" s="8" t="str">
        <f aca="false">IF(D168="","",IFERROR(INDEX(ProjCodes,MATCH(D168,ProjNames,0)),""))</f>
        <v/>
      </c>
      <c r="G168" s="32"/>
      <c r="H168" s="11"/>
      <c r="I168" s="33"/>
      <c r="J168" s="8" t="str">
        <f aca="false">IF(COUNTA(B168,D168,G168,H168,I168)=0,"",IF(B168="","Enter date",IF(OR(B168&lt;$AC$2,B168&gt;$AC$3),"Date not in January",IF(D168="","Pick project",IF(ISNA(MATCH(D168,ProjNames,0)),"Project not in list",IF(G168="","Add task description",IF(H168="","Pick NTIME or P6",IF(N(I168)&lt;=0,"Enter hours",IF(AND(AllowOT&lt;&gt;"Yes",SUMIF($B$7:$B$256,B168,$I$7:$I$256)&gt;INDEX($O$58:$O$88,DAY(B168))),"Day over "&amp;INDEX($O$58:$O$88,DAY(B168))&amp;" h","✓")))))))))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tr">
        <f aca="false">IF(Projects!B166="","",Projects!B166)</f>
        <v/>
      </c>
      <c r="X168" s="1" t="n">
        <f aca="false">IF(W168="",0,SUMIFS($I$7:$I$256,$D$7:$D$256,W168,$H$7:$H$256,"NTIME"))</f>
        <v>0</v>
      </c>
      <c r="Y168" s="1" t="n">
        <f aca="false">IF(W168="",0,SUMIFS($I$7:$I$256,$D$7:$D$256,W168,$H$7:$H$256,"P6"))</f>
        <v>0</v>
      </c>
      <c r="Z168" s="1" t="n">
        <f aca="false">X168+Y168</f>
        <v>0</v>
      </c>
      <c r="AA168" s="1" t="n">
        <f aca="false">IF(Z168&gt;0,Z168+(201-162)/10^6,0)</f>
        <v>0</v>
      </c>
      <c r="AB168" s="1"/>
      <c r="AC168" s="1"/>
      <c r="AD168" s="1"/>
      <c r="AE168" s="1"/>
      <c r="AF168" s="1"/>
      <c r="AG168" s="1"/>
      <c r="AH168" s="1"/>
    </row>
    <row r="169" customFormat="false" ht="15" hidden="false" customHeight="false" outlineLevel="0" collapsed="false">
      <c r="A169" s="1"/>
      <c r="B169" s="10"/>
      <c r="C169" s="31" t="str">
        <f aca="false">IF(B169="","",TEXT(B169,"ddd"))</f>
        <v/>
      </c>
      <c r="D169" s="11"/>
      <c r="E169" s="8" t="str">
        <f aca="false">IF(D169="","",IFERROR(INDEX(ProjNumbers,MATCH(D169,ProjNames,0)),""))</f>
        <v/>
      </c>
      <c r="F169" s="8" t="str">
        <f aca="false">IF(D169="","",IFERROR(INDEX(ProjCodes,MATCH(D169,ProjNames,0)),""))</f>
        <v/>
      </c>
      <c r="G169" s="32"/>
      <c r="H169" s="11"/>
      <c r="I169" s="33"/>
      <c r="J169" s="8" t="str">
        <f aca="false">IF(COUNTA(B169,D169,G169,H169,I169)=0,"",IF(B169="","Enter date",IF(OR(B169&lt;$AC$2,B169&gt;$AC$3),"Date not in January",IF(D169="","Pick project",IF(ISNA(MATCH(D169,ProjNames,0)),"Project not in list",IF(G169="","Add task description",IF(H169="","Pick NTIME or P6",IF(N(I169)&lt;=0,"Enter hours",IF(AND(AllowOT&lt;&gt;"Yes",SUMIF($B$7:$B$256,B169,$I$7:$I$256)&gt;INDEX($O$58:$O$88,DAY(B169))),"Day over "&amp;INDEX($O$58:$O$88,DAY(B169))&amp;" h","✓")))))))))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tr">
        <f aca="false">IF(Projects!B167="","",Projects!B167)</f>
        <v/>
      </c>
      <c r="X169" s="1" t="n">
        <f aca="false">IF(W169="",0,SUMIFS($I$7:$I$256,$D$7:$D$256,W169,$H$7:$H$256,"NTIME"))</f>
        <v>0</v>
      </c>
      <c r="Y169" s="1" t="n">
        <f aca="false">IF(W169="",0,SUMIFS($I$7:$I$256,$D$7:$D$256,W169,$H$7:$H$256,"P6"))</f>
        <v>0</v>
      </c>
      <c r="Z169" s="1" t="n">
        <f aca="false">X169+Y169</f>
        <v>0</v>
      </c>
      <c r="AA169" s="1" t="n">
        <f aca="false">IF(Z169&gt;0,Z169+(201-163)/10^6,0)</f>
        <v>0</v>
      </c>
      <c r="AB169" s="1"/>
      <c r="AC169" s="1"/>
      <c r="AD169" s="1"/>
      <c r="AE169" s="1"/>
      <c r="AF169" s="1"/>
      <c r="AG169" s="1"/>
      <c r="AH169" s="1"/>
    </row>
    <row r="170" customFormat="false" ht="15" hidden="false" customHeight="false" outlineLevel="0" collapsed="false">
      <c r="A170" s="1"/>
      <c r="B170" s="10"/>
      <c r="C170" s="31" t="str">
        <f aca="false">IF(B170="","",TEXT(B170,"ddd"))</f>
        <v/>
      </c>
      <c r="D170" s="11"/>
      <c r="E170" s="8" t="str">
        <f aca="false">IF(D170="","",IFERROR(INDEX(ProjNumbers,MATCH(D170,ProjNames,0)),""))</f>
        <v/>
      </c>
      <c r="F170" s="8" t="str">
        <f aca="false">IF(D170="","",IFERROR(INDEX(ProjCodes,MATCH(D170,ProjNames,0)),""))</f>
        <v/>
      </c>
      <c r="G170" s="32"/>
      <c r="H170" s="11"/>
      <c r="I170" s="33"/>
      <c r="J170" s="8" t="str">
        <f aca="false">IF(COUNTA(B170,D170,G170,H170,I170)=0,"",IF(B170="","Enter date",IF(OR(B170&lt;$AC$2,B170&gt;$AC$3),"Date not in January",IF(D170="","Pick project",IF(ISNA(MATCH(D170,ProjNames,0)),"Project not in list",IF(G170="","Add task description",IF(H170="","Pick NTIME or P6",IF(N(I170)&lt;=0,"Enter hours",IF(AND(AllowOT&lt;&gt;"Yes",SUMIF($B$7:$B$256,B170,$I$7:$I$256)&gt;INDEX($O$58:$O$88,DAY(B170))),"Day over "&amp;INDEX($O$58:$O$88,DAY(B170))&amp;" h","✓")))))))))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tr">
        <f aca="false">IF(Projects!B168="","",Projects!B168)</f>
        <v/>
      </c>
      <c r="X170" s="1" t="n">
        <f aca="false">IF(W170="",0,SUMIFS($I$7:$I$256,$D$7:$D$256,W170,$H$7:$H$256,"NTIME"))</f>
        <v>0</v>
      </c>
      <c r="Y170" s="1" t="n">
        <f aca="false">IF(W170="",0,SUMIFS($I$7:$I$256,$D$7:$D$256,W170,$H$7:$H$256,"P6"))</f>
        <v>0</v>
      </c>
      <c r="Z170" s="1" t="n">
        <f aca="false">X170+Y170</f>
        <v>0</v>
      </c>
      <c r="AA170" s="1" t="n">
        <f aca="false">IF(Z170&gt;0,Z170+(201-164)/10^6,0)</f>
        <v>0</v>
      </c>
      <c r="AB170" s="1"/>
      <c r="AC170" s="1"/>
      <c r="AD170" s="1"/>
      <c r="AE170" s="1"/>
      <c r="AF170" s="1"/>
      <c r="AG170" s="1"/>
      <c r="AH170" s="1"/>
    </row>
    <row r="171" customFormat="false" ht="15" hidden="false" customHeight="false" outlineLevel="0" collapsed="false">
      <c r="A171" s="1"/>
      <c r="B171" s="10"/>
      <c r="C171" s="31" t="str">
        <f aca="false">IF(B171="","",TEXT(B171,"ddd"))</f>
        <v/>
      </c>
      <c r="D171" s="11"/>
      <c r="E171" s="8" t="str">
        <f aca="false">IF(D171="","",IFERROR(INDEX(ProjNumbers,MATCH(D171,ProjNames,0)),""))</f>
        <v/>
      </c>
      <c r="F171" s="8" t="str">
        <f aca="false">IF(D171="","",IFERROR(INDEX(ProjCodes,MATCH(D171,ProjNames,0)),""))</f>
        <v/>
      </c>
      <c r="G171" s="32"/>
      <c r="H171" s="11"/>
      <c r="I171" s="33"/>
      <c r="J171" s="8" t="str">
        <f aca="false">IF(COUNTA(B171,D171,G171,H171,I171)=0,"",IF(B171="","Enter date",IF(OR(B171&lt;$AC$2,B171&gt;$AC$3),"Date not in January",IF(D171="","Pick project",IF(ISNA(MATCH(D171,ProjNames,0)),"Project not in list",IF(G171="","Add task description",IF(H171="","Pick NTIME or P6",IF(N(I171)&lt;=0,"Enter hours",IF(AND(AllowOT&lt;&gt;"Yes",SUMIF($B$7:$B$256,B171,$I$7:$I$256)&gt;INDEX($O$58:$O$88,DAY(B171))),"Day over "&amp;INDEX($O$58:$O$88,DAY(B171))&amp;" h","✓")))))))))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tr">
        <f aca="false">IF(Projects!B169="","",Projects!B169)</f>
        <v/>
      </c>
      <c r="X171" s="1" t="n">
        <f aca="false">IF(W171="",0,SUMIFS($I$7:$I$256,$D$7:$D$256,W171,$H$7:$H$256,"NTIME"))</f>
        <v>0</v>
      </c>
      <c r="Y171" s="1" t="n">
        <f aca="false">IF(W171="",0,SUMIFS($I$7:$I$256,$D$7:$D$256,W171,$H$7:$H$256,"P6"))</f>
        <v>0</v>
      </c>
      <c r="Z171" s="1" t="n">
        <f aca="false">X171+Y171</f>
        <v>0</v>
      </c>
      <c r="AA171" s="1" t="n">
        <f aca="false">IF(Z171&gt;0,Z171+(201-165)/10^6,0)</f>
        <v>0</v>
      </c>
      <c r="AB171" s="1"/>
      <c r="AC171" s="1"/>
      <c r="AD171" s="1"/>
      <c r="AE171" s="1"/>
      <c r="AF171" s="1"/>
      <c r="AG171" s="1"/>
      <c r="AH171" s="1"/>
    </row>
    <row r="172" customFormat="false" ht="15" hidden="false" customHeight="false" outlineLevel="0" collapsed="false">
      <c r="A172" s="1"/>
      <c r="B172" s="10"/>
      <c r="C172" s="31" t="str">
        <f aca="false">IF(B172="","",TEXT(B172,"ddd"))</f>
        <v/>
      </c>
      <c r="D172" s="11"/>
      <c r="E172" s="8" t="str">
        <f aca="false">IF(D172="","",IFERROR(INDEX(ProjNumbers,MATCH(D172,ProjNames,0)),""))</f>
        <v/>
      </c>
      <c r="F172" s="8" t="str">
        <f aca="false">IF(D172="","",IFERROR(INDEX(ProjCodes,MATCH(D172,ProjNames,0)),""))</f>
        <v/>
      </c>
      <c r="G172" s="32"/>
      <c r="H172" s="11"/>
      <c r="I172" s="33"/>
      <c r="J172" s="8" t="str">
        <f aca="false">IF(COUNTA(B172,D172,G172,H172,I172)=0,"",IF(B172="","Enter date",IF(OR(B172&lt;$AC$2,B172&gt;$AC$3),"Date not in January",IF(D172="","Pick project",IF(ISNA(MATCH(D172,ProjNames,0)),"Project not in list",IF(G172="","Add task description",IF(H172="","Pick NTIME or P6",IF(N(I172)&lt;=0,"Enter hours",IF(AND(AllowOT&lt;&gt;"Yes",SUMIF($B$7:$B$256,B172,$I$7:$I$256)&gt;INDEX($O$58:$O$88,DAY(B172))),"Day over "&amp;INDEX($O$58:$O$88,DAY(B172))&amp;" h","✓")))))))))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tr">
        <f aca="false">IF(Projects!B170="","",Projects!B170)</f>
        <v/>
      </c>
      <c r="X172" s="1" t="n">
        <f aca="false">IF(W172="",0,SUMIFS($I$7:$I$256,$D$7:$D$256,W172,$H$7:$H$256,"NTIME"))</f>
        <v>0</v>
      </c>
      <c r="Y172" s="1" t="n">
        <f aca="false">IF(W172="",0,SUMIFS($I$7:$I$256,$D$7:$D$256,W172,$H$7:$H$256,"P6"))</f>
        <v>0</v>
      </c>
      <c r="Z172" s="1" t="n">
        <f aca="false">X172+Y172</f>
        <v>0</v>
      </c>
      <c r="AA172" s="1" t="n">
        <f aca="false">IF(Z172&gt;0,Z172+(201-166)/10^6,0)</f>
        <v>0</v>
      </c>
      <c r="AB172" s="1"/>
      <c r="AC172" s="1"/>
      <c r="AD172" s="1"/>
      <c r="AE172" s="1"/>
      <c r="AF172" s="1"/>
      <c r="AG172" s="1"/>
      <c r="AH172" s="1"/>
    </row>
    <row r="173" customFormat="false" ht="15" hidden="false" customHeight="false" outlineLevel="0" collapsed="false">
      <c r="A173" s="1"/>
      <c r="B173" s="10"/>
      <c r="C173" s="31" t="str">
        <f aca="false">IF(B173="","",TEXT(B173,"ddd"))</f>
        <v/>
      </c>
      <c r="D173" s="11"/>
      <c r="E173" s="8" t="str">
        <f aca="false">IF(D173="","",IFERROR(INDEX(ProjNumbers,MATCH(D173,ProjNames,0)),""))</f>
        <v/>
      </c>
      <c r="F173" s="8" t="str">
        <f aca="false">IF(D173="","",IFERROR(INDEX(ProjCodes,MATCH(D173,ProjNames,0)),""))</f>
        <v/>
      </c>
      <c r="G173" s="32"/>
      <c r="H173" s="11"/>
      <c r="I173" s="33"/>
      <c r="J173" s="8" t="str">
        <f aca="false">IF(COUNTA(B173,D173,G173,H173,I173)=0,"",IF(B173="","Enter date",IF(OR(B173&lt;$AC$2,B173&gt;$AC$3),"Date not in January",IF(D173="","Pick project",IF(ISNA(MATCH(D173,ProjNames,0)),"Project not in list",IF(G173="","Add task description",IF(H173="","Pick NTIME or P6",IF(N(I173)&lt;=0,"Enter hours",IF(AND(AllowOT&lt;&gt;"Yes",SUMIF($B$7:$B$256,B173,$I$7:$I$256)&gt;INDEX($O$58:$O$88,DAY(B173))),"Day over "&amp;INDEX($O$58:$O$88,DAY(B173))&amp;" h","✓")))))))))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tr">
        <f aca="false">IF(Projects!B171="","",Projects!B171)</f>
        <v/>
      </c>
      <c r="X173" s="1" t="n">
        <f aca="false">IF(W173="",0,SUMIFS($I$7:$I$256,$D$7:$D$256,W173,$H$7:$H$256,"NTIME"))</f>
        <v>0</v>
      </c>
      <c r="Y173" s="1" t="n">
        <f aca="false">IF(W173="",0,SUMIFS($I$7:$I$256,$D$7:$D$256,W173,$H$7:$H$256,"P6"))</f>
        <v>0</v>
      </c>
      <c r="Z173" s="1" t="n">
        <f aca="false">X173+Y173</f>
        <v>0</v>
      </c>
      <c r="AA173" s="1" t="n">
        <f aca="false">IF(Z173&gt;0,Z173+(201-167)/10^6,0)</f>
        <v>0</v>
      </c>
      <c r="AB173" s="1"/>
      <c r="AC173" s="1"/>
      <c r="AD173" s="1"/>
      <c r="AE173" s="1"/>
      <c r="AF173" s="1"/>
      <c r="AG173" s="1"/>
      <c r="AH173" s="1"/>
    </row>
    <row r="174" customFormat="false" ht="15" hidden="false" customHeight="false" outlineLevel="0" collapsed="false">
      <c r="A174" s="1"/>
      <c r="B174" s="10"/>
      <c r="C174" s="31" t="str">
        <f aca="false">IF(B174="","",TEXT(B174,"ddd"))</f>
        <v/>
      </c>
      <c r="D174" s="11"/>
      <c r="E174" s="8" t="str">
        <f aca="false">IF(D174="","",IFERROR(INDEX(ProjNumbers,MATCH(D174,ProjNames,0)),""))</f>
        <v/>
      </c>
      <c r="F174" s="8" t="str">
        <f aca="false">IF(D174="","",IFERROR(INDEX(ProjCodes,MATCH(D174,ProjNames,0)),""))</f>
        <v/>
      </c>
      <c r="G174" s="32"/>
      <c r="H174" s="11"/>
      <c r="I174" s="33"/>
      <c r="J174" s="8" t="str">
        <f aca="false">IF(COUNTA(B174,D174,G174,H174,I174)=0,"",IF(B174="","Enter date",IF(OR(B174&lt;$AC$2,B174&gt;$AC$3),"Date not in January",IF(D174="","Pick project",IF(ISNA(MATCH(D174,ProjNames,0)),"Project not in list",IF(G174="","Add task description",IF(H174="","Pick NTIME or P6",IF(N(I174)&lt;=0,"Enter hours",IF(AND(AllowOT&lt;&gt;"Yes",SUMIF($B$7:$B$256,B174,$I$7:$I$256)&gt;INDEX($O$58:$O$88,DAY(B174))),"Day over "&amp;INDEX($O$58:$O$88,DAY(B174))&amp;" h","✓")))))))))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tr">
        <f aca="false">IF(Projects!B172="","",Projects!B172)</f>
        <v/>
      </c>
      <c r="X174" s="1" t="n">
        <f aca="false">IF(W174="",0,SUMIFS($I$7:$I$256,$D$7:$D$256,W174,$H$7:$H$256,"NTIME"))</f>
        <v>0</v>
      </c>
      <c r="Y174" s="1" t="n">
        <f aca="false">IF(W174="",0,SUMIFS($I$7:$I$256,$D$7:$D$256,W174,$H$7:$H$256,"P6"))</f>
        <v>0</v>
      </c>
      <c r="Z174" s="1" t="n">
        <f aca="false">X174+Y174</f>
        <v>0</v>
      </c>
      <c r="AA174" s="1" t="n">
        <f aca="false">IF(Z174&gt;0,Z174+(201-168)/10^6,0)</f>
        <v>0</v>
      </c>
      <c r="AB174" s="1"/>
      <c r="AC174" s="1"/>
      <c r="AD174" s="1"/>
      <c r="AE174" s="1"/>
      <c r="AF174" s="1"/>
      <c r="AG174" s="1"/>
      <c r="AH174" s="1"/>
    </row>
    <row r="175" customFormat="false" ht="15" hidden="false" customHeight="false" outlineLevel="0" collapsed="false">
      <c r="A175" s="1"/>
      <c r="B175" s="10"/>
      <c r="C175" s="31" t="str">
        <f aca="false">IF(B175="","",TEXT(B175,"ddd"))</f>
        <v/>
      </c>
      <c r="D175" s="11"/>
      <c r="E175" s="8" t="str">
        <f aca="false">IF(D175="","",IFERROR(INDEX(ProjNumbers,MATCH(D175,ProjNames,0)),""))</f>
        <v/>
      </c>
      <c r="F175" s="8" t="str">
        <f aca="false">IF(D175="","",IFERROR(INDEX(ProjCodes,MATCH(D175,ProjNames,0)),""))</f>
        <v/>
      </c>
      <c r="G175" s="32"/>
      <c r="H175" s="11"/>
      <c r="I175" s="33"/>
      <c r="J175" s="8" t="str">
        <f aca="false">IF(COUNTA(B175,D175,G175,H175,I175)=0,"",IF(B175="","Enter date",IF(OR(B175&lt;$AC$2,B175&gt;$AC$3),"Date not in January",IF(D175="","Pick project",IF(ISNA(MATCH(D175,ProjNames,0)),"Project not in list",IF(G175="","Add task description",IF(H175="","Pick NTIME or P6",IF(N(I175)&lt;=0,"Enter hours",IF(AND(AllowOT&lt;&gt;"Yes",SUMIF($B$7:$B$256,B175,$I$7:$I$256)&gt;INDEX($O$58:$O$88,DAY(B175))),"Day over "&amp;INDEX($O$58:$O$88,DAY(B175))&amp;" h","✓")))))))))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tr">
        <f aca="false">IF(Projects!B173="","",Projects!B173)</f>
        <v/>
      </c>
      <c r="X175" s="1" t="n">
        <f aca="false">IF(W175="",0,SUMIFS($I$7:$I$256,$D$7:$D$256,W175,$H$7:$H$256,"NTIME"))</f>
        <v>0</v>
      </c>
      <c r="Y175" s="1" t="n">
        <f aca="false">IF(W175="",0,SUMIFS($I$7:$I$256,$D$7:$D$256,W175,$H$7:$H$256,"P6"))</f>
        <v>0</v>
      </c>
      <c r="Z175" s="1" t="n">
        <f aca="false">X175+Y175</f>
        <v>0</v>
      </c>
      <c r="AA175" s="1" t="n">
        <f aca="false">IF(Z175&gt;0,Z175+(201-169)/10^6,0)</f>
        <v>0</v>
      </c>
      <c r="AB175" s="1"/>
      <c r="AC175" s="1"/>
      <c r="AD175" s="1"/>
      <c r="AE175" s="1"/>
      <c r="AF175" s="1"/>
      <c r="AG175" s="1"/>
      <c r="AH175" s="1"/>
    </row>
    <row r="176" customFormat="false" ht="15" hidden="false" customHeight="false" outlineLevel="0" collapsed="false">
      <c r="A176" s="1"/>
      <c r="B176" s="10"/>
      <c r="C176" s="31" t="str">
        <f aca="false">IF(B176="","",TEXT(B176,"ddd"))</f>
        <v/>
      </c>
      <c r="D176" s="11"/>
      <c r="E176" s="8" t="str">
        <f aca="false">IF(D176="","",IFERROR(INDEX(ProjNumbers,MATCH(D176,ProjNames,0)),""))</f>
        <v/>
      </c>
      <c r="F176" s="8" t="str">
        <f aca="false">IF(D176="","",IFERROR(INDEX(ProjCodes,MATCH(D176,ProjNames,0)),""))</f>
        <v/>
      </c>
      <c r="G176" s="32"/>
      <c r="H176" s="11"/>
      <c r="I176" s="33"/>
      <c r="J176" s="8" t="str">
        <f aca="false">IF(COUNTA(B176,D176,G176,H176,I176)=0,"",IF(B176="","Enter date",IF(OR(B176&lt;$AC$2,B176&gt;$AC$3),"Date not in January",IF(D176="","Pick project",IF(ISNA(MATCH(D176,ProjNames,0)),"Project not in list",IF(G176="","Add task description",IF(H176="","Pick NTIME or P6",IF(N(I176)&lt;=0,"Enter hours",IF(AND(AllowOT&lt;&gt;"Yes",SUMIF($B$7:$B$256,B176,$I$7:$I$256)&gt;INDEX($O$58:$O$88,DAY(B176))),"Day over "&amp;INDEX($O$58:$O$88,DAY(B176))&amp;" h","✓")))))))))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tr">
        <f aca="false">IF(Projects!B174="","",Projects!B174)</f>
        <v/>
      </c>
      <c r="X176" s="1" t="n">
        <f aca="false">IF(W176="",0,SUMIFS($I$7:$I$256,$D$7:$D$256,W176,$H$7:$H$256,"NTIME"))</f>
        <v>0</v>
      </c>
      <c r="Y176" s="1" t="n">
        <f aca="false">IF(W176="",0,SUMIFS($I$7:$I$256,$D$7:$D$256,W176,$H$7:$H$256,"P6"))</f>
        <v>0</v>
      </c>
      <c r="Z176" s="1" t="n">
        <f aca="false">X176+Y176</f>
        <v>0</v>
      </c>
      <c r="AA176" s="1" t="n">
        <f aca="false">IF(Z176&gt;0,Z176+(201-170)/10^6,0)</f>
        <v>0</v>
      </c>
      <c r="AB176" s="1"/>
      <c r="AC176" s="1"/>
      <c r="AD176" s="1"/>
      <c r="AE176" s="1"/>
      <c r="AF176" s="1"/>
      <c r="AG176" s="1"/>
      <c r="AH176" s="1"/>
    </row>
    <row r="177" customFormat="false" ht="15" hidden="false" customHeight="false" outlineLevel="0" collapsed="false">
      <c r="A177" s="1"/>
      <c r="B177" s="10"/>
      <c r="C177" s="31" t="str">
        <f aca="false">IF(B177="","",TEXT(B177,"ddd"))</f>
        <v/>
      </c>
      <c r="D177" s="11"/>
      <c r="E177" s="8" t="str">
        <f aca="false">IF(D177="","",IFERROR(INDEX(ProjNumbers,MATCH(D177,ProjNames,0)),""))</f>
        <v/>
      </c>
      <c r="F177" s="8" t="str">
        <f aca="false">IF(D177="","",IFERROR(INDEX(ProjCodes,MATCH(D177,ProjNames,0)),""))</f>
        <v/>
      </c>
      <c r="G177" s="32"/>
      <c r="H177" s="11"/>
      <c r="I177" s="33"/>
      <c r="J177" s="8" t="str">
        <f aca="false">IF(COUNTA(B177,D177,G177,H177,I177)=0,"",IF(B177="","Enter date",IF(OR(B177&lt;$AC$2,B177&gt;$AC$3),"Date not in January",IF(D177="","Pick project",IF(ISNA(MATCH(D177,ProjNames,0)),"Project not in list",IF(G177="","Add task description",IF(H177="","Pick NTIME or P6",IF(N(I177)&lt;=0,"Enter hours",IF(AND(AllowOT&lt;&gt;"Yes",SUMIF($B$7:$B$256,B177,$I$7:$I$256)&gt;INDEX($O$58:$O$88,DAY(B177))),"Day over "&amp;INDEX($O$58:$O$88,DAY(B177))&amp;" h","✓")))))))))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tr">
        <f aca="false">IF(Projects!B175="","",Projects!B175)</f>
        <v/>
      </c>
      <c r="X177" s="1" t="n">
        <f aca="false">IF(W177="",0,SUMIFS($I$7:$I$256,$D$7:$D$256,W177,$H$7:$H$256,"NTIME"))</f>
        <v>0</v>
      </c>
      <c r="Y177" s="1" t="n">
        <f aca="false">IF(W177="",0,SUMIFS($I$7:$I$256,$D$7:$D$256,W177,$H$7:$H$256,"P6"))</f>
        <v>0</v>
      </c>
      <c r="Z177" s="1" t="n">
        <f aca="false">X177+Y177</f>
        <v>0</v>
      </c>
      <c r="AA177" s="1" t="n">
        <f aca="false">IF(Z177&gt;0,Z177+(201-171)/10^6,0)</f>
        <v>0</v>
      </c>
      <c r="AB177" s="1"/>
      <c r="AC177" s="1"/>
      <c r="AD177" s="1"/>
      <c r="AE177" s="1"/>
      <c r="AF177" s="1"/>
      <c r="AG177" s="1"/>
      <c r="AH177" s="1"/>
    </row>
    <row r="178" customFormat="false" ht="15" hidden="false" customHeight="false" outlineLevel="0" collapsed="false">
      <c r="A178" s="1"/>
      <c r="B178" s="10"/>
      <c r="C178" s="31" t="str">
        <f aca="false">IF(B178="","",TEXT(B178,"ddd"))</f>
        <v/>
      </c>
      <c r="D178" s="11"/>
      <c r="E178" s="8" t="str">
        <f aca="false">IF(D178="","",IFERROR(INDEX(ProjNumbers,MATCH(D178,ProjNames,0)),""))</f>
        <v/>
      </c>
      <c r="F178" s="8" t="str">
        <f aca="false">IF(D178="","",IFERROR(INDEX(ProjCodes,MATCH(D178,ProjNames,0)),""))</f>
        <v/>
      </c>
      <c r="G178" s="32"/>
      <c r="H178" s="11"/>
      <c r="I178" s="33"/>
      <c r="J178" s="8" t="str">
        <f aca="false">IF(COUNTA(B178,D178,G178,H178,I178)=0,"",IF(B178="","Enter date",IF(OR(B178&lt;$AC$2,B178&gt;$AC$3),"Date not in January",IF(D178="","Pick project",IF(ISNA(MATCH(D178,ProjNames,0)),"Project not in list",IF(G178="","Add task description",IF(H178="","Pick NTIME or P6",IF(N(I178)&lt;=0,"Enter hours",IF(AND(AllowOT&lt;&gt;"Yes",SUMIF($B$7:$B$256,B178,$I$7:$I$256)&gt;INDEX($O$58:$O$88,DAY(B178))),"Day over "&amp;INDEX($O$58:$O$88,DAY(B178))&amp;" h","✓")))))))))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tr">
        <f aca="false">IF(Projects!B176="","",Projects!B176)</f>
        <v/>
      </c>
      <c r="X178" s="1" t="n">
        <f aca="false">IF(W178="",0,SUMIFS($I$7:$I$256,$D$7:$D$256,W178,$H$7:$H$256,"NTIME"))</f>
        <v>0</v>
      </c>
      <c r="Y178" s="1" t="n">
        <f aca="false">IF(W178="",0,SUMIFS($I$7:$I$256,$D$7:$D$256,W178,$H$7:$H$256,"P6"))</f>
        <v>0</v>
      </c>
      <c r="Z178" s="1" t="n">
        <f aca="false">X178+Y178</f>
        <v>0</v>
      </c>
      <c r="AA178" s="1" t="n">
        <f aca="false">IF(Z178&gt;0,Z178+(201-172)/10^6,0)</f>
        <v>0</v>
      </c>
      <c r="AB178" s="1"/>
      <c r="AC178" s="1"/>
      <c r="AD178" s="1"/>
      <c r="AE178" s="1"/>
      <c r="AF178" s="1"/>
      <c r="AG178" s="1"/>
      <c r="AH178" s="1"/>
    </row>
    <row r="179" customFormat="false" ht="15" hidden="false" customHeight="false" outlineLevel="0" collapsed="false">
      <c r="A179" s="1"/>
      <c r="B179" s="10"/>
      <c r="C179" s="31" t="str">
        <f aca="false">IF(B179="","",TEXT(B179,"ddd"))</f>
        <v/>
      </c>
      <c r="D179" s="11"/>
      <c r="E179" s="8" t="str">
        <f aca="false">IF(D179="","",IFERROR(INDEX(ProjNumbers,MATCH(D179,ProjNames,0)),""))</f>
        <v/>
      </c>
      <c r="F179" s="8" t="str">
        <f aca="false">IF(D179="","",IFERROR(INDEX(ProjCodes,MATCH(D179,ProjNames,0)),""))</f>
        <v/>
      </c>
      <c r="G179" s="32"/>
      <c r="H179" s="11"/>
      <c r="I179" s="33"/>
      <c r="J179" s="8" t="str">
        <f aca="false">IF(COUNTA(B179,D179,G179,H179,I179)=0,"",IF(B179="","Enter date",IF(OR(B179&lt;$AC$2,B179&gt;$AC$3),"Date not in January",IF(D179="","Pick project",IF(ISNA(MATCH(D179,ProjNames,0)),"Project not in list",IF(G179="","Add task description",IF(H179="","Pick NTIME or P6",IF(N(I179)&lt;=0,"Enter hours",IF(AND(AllowOT&lt;&gt;"Yes",SUMIF($B$7:$B$256,B179,$I$7:$I$256)&gt;INDEX($O$58:$O$88,DAY(B179))),"Day over "&amp;INDEX($O$58:$O$88,DAY(B179))&amp;" h","✓")))))))))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tr">
        <f aca="false">IF(Projects!B177="","",Projects!B177)</f>
        <v/>
      </c>
      <c r="X179" s="1" t="n">
        <f aca="false">IF(W179="",0,SUMIFS($I$7:$I$256,$D$7:$D$256,W179,$H$7:$H$256,"NTIME"))</f>
        <v>0</v>
      </c>
      <c r="Y179" s="1" t="n">
        <f aca="false">IF(W179="",0,SUMIFS($I$7:$I$256,$D$7:$D$256,W179,$H$7:$H$256,"P6"))</f>
        <v>0</v>
      </c>
      <c r="Z179" s="1" t="n">
        <f aca="false">X179+Y179</f>
        <v>0</v>
      </c>
      <c r="AA179" s="1" t="n">
        <f aca="false">IF(Z179&gt;0,Z179+(201-173)/10^6,0)</f>
        <v>0</v>
      </c>
      <c r="AB179" s="1"/>
      <c r="AC179" s="1"/>
      <c r="AD179" s="1"/>
      <c r="AE179" s="1"/>
      <c r="AF179" s="1"/>
      <c r="AG179" s="1"/>
      <c r="AH179" s="1"/>
    </row>
    <row r="180" customFormat="false" ht="15" hidden="false" customHeight="false" outlineLevel="0" collapsed="false">
      <c r="A180" s="1"/>
      <c r="B180" s="10"/>
      <c r="C180" s="31" t="str">
        <f aca="false">IF(B180="","",TEXT(B180,"ddd"))</f>
        <v/>
      </c>
      <c r="D180" s="11"/>
      <c r="E180" s="8" t="str">
        <f aca="false">IF(D180="","",IFERROR(INDEX(ProjNumbers,MATCH(D180,ProjNames,0)),""))</f>
        <v/>
      </c>
      <c r="F180" s="8" t="str">
        <f aca="false">IF(D180="","",IFERROR(INDEX(ProjCodes,MATCH(D180,ProjNames,0)),""))</f>
        <v/>
      </c>
      <c r="G180" s="32"/>
      <c r="H180" s="11"/>
      <c r="I180" s="33"/>
      <c r="J180" s="8" t="str">
        <f aca="false">IF(COUNTA(B180,D180,G180,H180,I180)=0,"",IF(B180="","Enter date",IF(OR(B180&lt;$AC$2,B180&gt;$AC$3),"Date not in January",IF(D180="","Pick project",IF(ISNA(MATCH(D180,ProjNames,0)),"Project not in list",IF(G180="","Add task description",IF(H180="","Pick NTIME or P6",IF(N(I180)&lt;=0,"Enter hours",IF(AND(AllowOT&lt;&gt;"Yes",SUMIF($B$7:$B$256,B180,$I$7:$I$256)&gt;INDEX($O$58:$O$88,DAY(B180))),"Day over "&amp;INDEX($O$58:$O$88,DAY(B180))&amp;" h","✓")))))))))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tr">
        <f aca="false">IF(Projects!B178="","",Projects!B178)</f>
        <v/>
      </c>
      <c r="X180" s="1" t="n">
        <f aca="false">IF(W180="",0,SUMIFS($I$7:$I$256,$D$7:$D$256,W180,$H$7:$H$256,"NTIME"))</f>
        <v>0</v>
      </c>
      <c r="Y180" s="1" t="n">
        <f aca="false">IF(W180="",0,SUMIFS($I$7:$I$256,$D$7:$D$256,W180,$H$7:$H$256,"P6"))</f>
        <v>0</v>
      </c>
      <c r="Z180" s="1" t="n">
        <f aca="false">X180+Y180</f>
        <v>0</v>
      </c>
      <c r="AA180" s="1" t="n">
        <f aca="false">IF(Z180&gt;0,Z180+(201-174)/10^6,0)</f>
        <v>0</v>
      </c>
      <c r="AB180" s="1"/>
      <c r="AC180" s="1"/>
      <c r="AD180" s="1"/>
      <c r="AE180" s="1"/>
      <c r="AF180" s="1"/>
      <c r="AG180" s="1"/>
      <c r="AH180" s="1"/>
    </row>
    <row r="181" customFormat="false" ht="15" hidden="false" customHeight="false" outlineLevel="0" collapsed="false">
      <c r="A181" s="1"/>
      <c r="B181" s="10"/>
      <c r="C181" s="31" t="str">
        <f aca="false">IF(B181="","",TEXT(B181,"ddd"))</f>
        <v/>
      </c>
      <c r="D181" s="11"/>
      <c r="E181" s="8" t="str">
        <f aca="false">IF(D181="","",IFERROR(INDEX(ProjNumbers,MATCH(D181,ProjNames,0)),""))</f>
        <v/>
      </c>
      <c r="F181" s="8" t="str">
        <f aca="false">IF(D181="","",IFERROR(INDEX(ProjCodes,MATCH(D181,ProjNames,0)),""))</f>
        <v/>
      </c>
      <c r="G181" s="32"/>
      <c r="H181" s="11"/>
      <c r="I181" s="33"/>
      <c r="J181" s="8" t="str">
        <f aca="false">IF(COUNTA(B181,D181,G181,H181,I181)=0,"",IF(B181="","Enter date",IF(OR(B181&lt;$AC$2,B181&gt;$AC$3),"Date not in January",IF(D181="","Pick project",IF(ISNA(MATCH(D181,ProjNames,0)),"Project not in list",IF(G181="","Add task description",IF(H181="","Pick NTIME or P6",IF(N(I181)&lt;=0,"Enter hours",IF(AND(AllowOT&lt;&gt;"Yes",SUMIF($B$7:$B$256,B181,$I$7:$I$256)&gt;INDEX($O$58:$O$88,DAY(B181))),"Day over "&amp;INDEX($O$58:$O$88,DAY(B181))&amp;" h","✓")))))))))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tr">
        <f aca="false">IF(Projects!B179="","",Projects!B179)</f>
        <v/>
      </c>
      <c r="X181" s="1" t="n">
        <f aca="false">IF(W181="",0,SUMIFS($I$7:$I$256,$D$7:$D$256,W181,$H$7:$H$256,"NTIME"))</f>
        <v>0</v>
      </c>
      <c r="Y181" s="1" t="n">
        <f aca="false">IF(W181="",0,SUMIFS($I$7:$I$256,$D$7:$D$256,W181,$H$7:$H$256,"P6"))</f>
        <v>0</v>
      </c>
      <c r="Z181" s="1" t="n">
        <f aca="false">X181+Y181</f>
        <v>0</v>
      </c>
      <c r="AA181" s="1" t="n">
        <f aca="false">IF(Z181&gt;0,Z181+(201-175)/10^6,0)</f>
        <v>0</v>
      </c>
      <c r="AB181" s="1"/>
      <c r="AC181" s="1"/>
      <c r="AD181" s="1"/>
      <c r="AE181" s="1"/>
      <c r="AF181" s="1"/>
      <c r="AG181" s="1"/>
      <c r="AH181" s="1"/>
    </row>
    <row r="182" customFormat="false" ht="15" hidden="false" customHeight="false" outlineLevel="0" collapsed="false">
      <c r="A182" s="1"/>
      <c r="B182" s="10"/>
      <c r="C182" s="31" t="str">
        <f aca="false">IF(B182="","",TEXT(B182,"ddd"))</f>
        <v/>
      </c>
      <c r="D182" s="11"/>
      <c r="E182" s="8" t="str">
        <f aca="false">IF(D182="","",IFERROR(INDEX(ProjNumbers,MATCH(D182,ProjNames,0)),""))</f>
        <v/>
      </c>
      <c r="F182" s="8" t="str">
        <f aca="false">IF(D182="","",IFERROR(INDEX(ProjCodes,MATCH(D182,ProjNames,0)),""))</f>
        <v/>
      </c>
      <c r="G182" s="32"/>
      <c r="H182" s="11"/>
      <c r="I182" s="33"/>
      <c r="J182" s="8" t="str">
        <f aca="false">IF(COUNTA(B182,D182,G182,H182,I182)=0,"",IF(B182="","Enter date",IF(OR(B182&lt;$AC$2,B182&gt;$AC$3),"Date not in January",IF(D182="","Pick project",IF(ISNA(MATCH(D182,ProjNames,0)),"Project not in list",IF(G182="","Add task description",IF(H182="","Pick NTIME or P6",IF(N(I182)&lt;=0,"Enter hours",IF(AND(AllowOT&lt;&gt;"Yes",SUMIF($B$7:$B$256,B182,$I$7:$I$256)&gt;INDEX($O$58:$O$88,DAY(B182))),"Day over "&amp;INDEX($O$58:$O$88,DAY(B182))&amp;" h","✓")))))))))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tr">
        <f aca="false">IF(Projects!B180="","",Projects!B180)</f>
        <v/>
      </c>
      <c r="X182" s="1" t="n">
        <f aca="false">IF(W182="",0,SUMIFS($I$7:$I$256,$D$7:$D$256,W182,$H$7:$H$256,"NTIME"))</f>
        <v>0</v>
      </c>
      <c r="Y182" s="1" t="n">
        <f aca="false">IF(W182="",0,SUMIFS($I$7:$I$256,$D$7:$D$256,W182,$H$7:$H$256,"P6"))</f>
        <v>0</v>
      </c>
      <c r="Z182" s="1" t="n">
        <f aca="false">X182+Y182</f>
        <v>0</v>
      </c>
      <c r="AA182" s="1" t="n">
        <f aca="false">IF(Z182&gt;0,Z182+(201-176)/10^6,0)</f>
        <v>0</v>
      </c>
      <c r="AB182" s="1"/>
      <c r="AC182" s="1"/>
      <c r="AD182" s="1"/>
      <c r="AE182" s="1"/>
      <c r="AF182" s="1"/>
      <c r="AG182" s="1"/>
      <c r="AH182" s="1"/>
    </row>
    <row r="183" customFormat="false" ht="15" hidden="false" customHeight="false" outlineLevel="0" collapsed="false">
      <c r="A183" s="1"/>
      <c r="B183" s="10"/>
      <c r="C183" s="31" t="str">
        <f aca="false">IF(B183="","",TEXT(B183,"ddd"))</f>
        <v/>
      </c>
      <c r="D183" s="11"/>
      <c r="E183" s="8" t="str">
        <f aca="false">IF(D183="","",IFERROR(INDEX(ProjNumbers,MATCH(D183,ProjNames,0)),""))</f>
        <v/>
      </c>
      <c r="F183" s="8" t="str">
        <f aca="false">IF(D183="","",IFERROR(INDEX(ProjCodes,MATCH(D183,ProjNames,0)),""))</f>
        <v/>
      </c>
      <c r="G183" s="32"/>
      <c r="H183" s="11"/>
      <c r="I183" s="33"/>
      <c r="J183" s="8" t="str">
        <f aca="false">IF(COUNTA(B183,D183,G183,H183,I183)=0,"",IF(B183="","Enter date",IF(OR(B183&lt;$AC$2,B183&gt;$AC$3),"Date not in January",IF(D183="","Pick project",IF(ISNA(MATCH(D183,ProjNames,0)),"Project not in list",IF(G183="","Add task description",IF(H183="","Pick NTIME or P6",IF(N(I183)&lt;=0,"Enter hours",IF(AND(AllowOT&lt;&gt;"Yes",SUMIF($B$7:$B$256,B183,$I$7:$I$256)&gt;INDEX($O$58:$O$88,DAY(B183))),"Day over "&amp;INDEX($O$58:$O$88,DAY(B183))&amp;" h","✓")))))))))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tr">
        <f aca="false">IF(Projects!B181="","",Projects!B181)</f>
        <v/>
      </c>
      <c r="X183" s="1" t="n">
        <f aca="false">IF(W183="",0,SUMIFS($I$7:$I$256,$D$7:$D$256,W183,$H$7:$H$256,"NTIME"))</f>
        <v>0</v>
      </c>
      <c r="Y183" s="1" t="n">
        <f aca="false">IF(W183="",0,SUMIFS($I$7:$I$256,$D$7:$D$256,W183,$H$7:$H$256,"P6"))</f>
        <v>0</v>
      </c>
      <c r="Z183" s="1" t="n">
        <f aca="false">X183+Y183</f>
        <v>0</v>
      </c>
      <c r="AA183" s="1" t="n">
        <f aca="false">IF(Z183&gt;0,Z183+(201-177)/10^6,0)</f>
        <v>0</v>
      </c>
      <c r="AB183" s="1"/>
      <c r="AC183" s="1"/>
      <c r="AD183" s="1"/>
      <c r="AE183" s="1"/>
      <c r="AF183" s="1"/>
      <c r="AG183" s="1"/>
      <c r="AH183" s="1"/>
    </row>
    <row r="184" customFormat="false" ht="15" hidden="false" customHeight="false" outlineLevel="0" collapsed="false">
      <c r="A184" s="1"/>
      <c r="B184" s="10"/>
      <c r="C184" s="31" t="str">
        <f aca="false">IF(B184="","",TEXT(B184,"ddd"))</f>
        <v/>
      </c>
      <c r="D184" s="11"/>
      <c r="E184" s="8" t="str">
        <f aca="false">IF(D184="","",IFERROR(INDEX(ProjNumbers,MATCH(D184,ProjNames,0)),""))</f>
        <v/>
      </c>
      <c r="F184" s="8" t="str">
        <f aca="false">IF(D184="","",IFERROR(INDEX(ProjCodes,MATCH(D184,ProjNames,0)),""))</f>
        <v/>
      </c>
      <c r="G184" s="32"/>
      <c r="H184" s="11"/>
      <c r="I184" s="33"/>
      <c r="J184" s="8" t="str">
        <f aca="false">IF(COUNTA(B184,D184,G184,H184,I184)=0,"",IF(B184="","Enter date",IF(OR(B184&lt;$AC$2,B184&gt;$AC$3),"Date not in January",IF(D184="","Pick project",IF(ISNA(MATCH(D184,ProjNames,0)),"Project not in list",IF(G184="","Add task description",IF(H184="","Pick NTIME or P6",IF(N(I184)&lt;=0,"Enter hours",IF(AND(AllowOT&lt;&gt;"Yes",SUMIF($B$7:$B$256,B184,$I$7:$I$256)&gt;INDEX($O$58:$O$88,DAY(B184))),"Day over "&amp;INDEX($O$58:$O$88,DAY(B184))&amp;" h","✓")))))))))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tr">
        <f aca="false">IF(Projects!B182="","",Projects!B182)</f>
        <v/>
      </c>
      <c r="X184" s="1" t="n">
        <f aca="false">IF(W184="",0,SUMIFS($I$7:$I$256,$D$7:$D$256,W184,$H$7:$H$256,"NTIME"))</f>
        <v>0</v>
      </c>
      <c r="Y184" s="1" t="n">
        <f aca="false">IF(W184="",0,SUMIFS($I$7:$I$256,$D$7:$D$256,W184,$H$7:$H$256,"P6"))</f>
        <v>0</v>
      </c>
      <c r="Z184" s="1" t="n">
        <f aca="false">X184+Y184</f>
        <v>0</v>
      </c>
      <c r="AA184" s="1" t="n">
        <f aca="false">IF(Z184&gt;0,Z184+(201-178)/10^6,0)</f>
        <v>0</v>
      </c>
      <c r="AB184" s="1"/>
      <c r="AC184" s="1"/>
      <c r="AD184" s="1"/>
      <c r="AE184" s="1"/>
      <c r="AF184" s="1"/>
      <c r="AG184" s="1"/>
      <c r="AH184" s="1"/>
    </row>
    <row r="185" customFormat="false" ht="15" hidden="false" customHeight="false" outlineLevel="0" collapsed="false">
      <c r="A185" s="1"/>
      <c r="B185" s="10"/>
      <c r="C185" s="31" t="str">
        <f aca="false">IF(B185="","",TEXT(B185,"ddd"))</f>
        <v/>
      </c>
      <c r="D185" s="11"/>
      <c r="E185" s="8" t="str">
        <f aca="false">IF(D185="","",IFERROR(INDEX(ProjNumbers,MATCH(D185,ProjNames,0)),""))</f>
        <v/>
      </c>
      <c r="F185" s="8" t="str">
        <f aca="false">IF(D185="","",IFERROR(INDEX(ProjCodes,MATCH(D185,ProjNames,0)),""))</f>
        <v/>
      </c>
      <c r="G185" s="32"/>
      <c r="H185" s="11"/>
      <c r="I185" s="33"/>
      <c r="J185" s="8" t="str">
        <f aca="false">IF(COUNTA(B185,D185,G185,H185,I185)=0,"",IF(B185="","Enter date",IF(OR(B185&lt;$AC$2,B185&gt;$AC$3),"Date not in January",IF(D185="","Pick project",IF(ISNA(MATCH(D185,ProjNames,0)),"Project not in list",IF(G185="","Add task description",IF(H185="","Pick NTIME or P6",IF(N(I185)&lt;=0,"Enter hours",IF(AND(AllowOT&lt;&gt;"Yes",SUMIF($B$7:$B$256,B185,$I$7:$I$256)&gt;INDEX($O$58:$O$88,DAY(B185))),"Day over "&amp;INDEX($O$58:$O$88,DAY(B185))&amp;" h","✓")))))))))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tr">
        <f aca="false">IF(Projects!B183="","",Projects!B183)</f>
        <v/>
      </c>
      <c r="X185" s="1" t="n">
        <f aca="false">IF(W185="",0,SUMIFS($I$7:$I$256,$D$7:$D$256,W185,$H$7:$H$256,"NTIME"))</f>
        <v>0</v>
      </c>
      <c r="Y185" s="1" t="n">
        <f aca="false">IF(W185="",0,SUMIFS($I$7:$I$256,$D$7:$D$256,W185,$H$7:$H$256,"P6"))</f>
        <v>0</v>
      </c>
      <c r="Z185" s="1" t="n">
        <f aca="false">X185+Y185</f>
        <v>0</v>
      </c>
      <c r="AA185" s="1" t="n">
        <f aca="false">IF(Z185&gt;0,Z185+(201-179)/10^6,0)</f>
        <v>0</v>
      </c>
      <c r="AB185" s="1"/>
      <c r="AC185" s="1"/>
      <c r="AD185" s="1"/>
      <c r="AE185" s="1"/>
      <c r="AF185" s="1"/>
      <c r="AG185" s="1"/>
      <c r="AH185" s="1"/>
    </row>
    <row r="186" customFormat="false" ht="15" hidden="false" customHeight="false" outlineLevel="0" collapsed="false">
      <c r="A186" s="1"/>
      <c r="B186" s="10"/>
      <c r="C186" s="31" t="str">
        <f aca="false">IF(B186="","",TEXT(B186,"ddd"))</f>
        <v/>
      </c>
      <c r="D186" s="11"/>
      <c r="E186" s="8" t="str">
        <f aca="false">IF(D186="","",IFERROR(INDEX(ProjNumbers,MATCH(D186,ProjNames,0)),""))</f>
        <v/>
      </c>
      <c r="F186" s="8" t="str">
        <f aca="false">IF(D186="","",IFERROR(INDEX(ProjCodes,MATCH(D186,ProjNames,0)),""))</f>
        <v/>
      </c>
      <c r="G186" s="32"/>
      <c r="H186" s="11"/>
      <c r="I186" s="33"/>
      <c r="J186" s="8" t="str">
        <f aca="false">IF(COUNTA(B186,D186,G186,H186,I186)=0,"",IF(B186="","Enter date",IF(OR(B186&lt;$AC$2,B186&gt;$AC$3),"Date not in January",IF(D186="","Pick project",IF(ISNA(MATCH(D186,ProjNames,0)),"Project not in list",IF(G186="","Add task description",IF(H186="","Pick NTIME or P6",IF(N(I186)&lt;=0,"Enter hours",IF(AND(AllowOT&lt;&gt;"Yes",SUMIF($B$7:$B$256,B186,$I$7:$I$256)&gt;INDEX($O$58:$O$88,DAY(B186))),"Day over "&amp;INDEX($O$58:$O$88,DAY(B186))&amp;" h","✓")))))))))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tr">
        <f aca="false">IF(Projects!B184="","",Projects!B184)</f>
        <v/>
      </c>
      <c r="X186" s="1" t="n">
        <f aca="false">IF(W186="",0,SUMIFS($I$7:$I$256,$D$7:$D$256,W186,$H$7:$H$256,"NTIME"))</f>
        <v>0</v>
      </c>
      <c r="Y186" s="1" t="n">
        <f aca="false">IF(W186="",0,SUMIFS($I$7:$I$256,$D$7:$D$256,W186,$H$7:$H$256,"P6"))</f>
        <v>0</v>
      </c>
      <c r="Z186" s="1" t="n">
        <f aca="false">X186+Y186</f>
        <v>0</v>
      </c>
      <c r="AA186" s="1" t="n">
        <f aca="false">IF(Z186&gt;0,Z186+(201-180)/10^6,0)</f>
        <v>0</v>
      </c>
      <c r="AB186" s="1"/>
      <c r="AC186" s="1"/>
      <c r="AD186" s="1"/>
      <c r="AE186" s="1"/>
      <c r="AF186" s="1"/>
      <c r="AG186" s="1"/>
      <c r="AH186" s="1"/>
    </row>
    <row r="187" customFormat="false" ht="15" hidden="false" customHeight="false" outlineLevel="0" collapsed="false">
      <c r="A187" s="1"/>
      <c r="B187" s="10"/>
      <c r="C187" s="31" t="str">
        <f aca="false">IF(B187="","",TEXT(B187,"ddd"))</f>
        <v/>
      </c>
      <c r="D187" s="11"/>
      <c r="E187" s="8" t="str">
        <f aca="false">IF(D187="","",IFERROR(INDEX(ProjNumbers,MATCH(D187,ProjNames,0)),""))</f>
        <v/>
      </c>
      <c r="F187" s="8" t="str">
        <f aca="false">IF(D187="","",IFERROR(INDEX(ProjCodes,MATCH(D187,ProjNames,0)),""))</f>
        <v/>
      </c>
      <c r="G187" s="32"/>
      <c r="H187" s="11"/>
      <c r="I187" s="33"/>
      <c r="J187" s="8" t="str">
        <f aca="false">IF(COUNTA(B187,D187,G187,H187,I187)=0,"",IF(B187="","Enter date",IF(OR(B187&lt;$AC$2,B187&gt;$AC$3),"Date not in January",IF(D187="","Pick project",IF(ISNA(MATCH(D187,ProjNames,0)),"Project not in list",IF(G187="","Add task description",IF(H187="","Pick NTIME or P6",IF(N(I187)&lt;=0,"Enter hours",IF(AND(AllowOT&lt;&gt;"Yes",SUMIF($B$7:$B$256,B187,$I$7:$I$256)&gt;INDEX($O$58:$O$88,DAY(B187))),"Day over "&amp;INDEX($O$58:$O$88,DAY(B187))&amp;" h","✓")))))))))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tr">
        <f aca="false">IF(Projects!B185="","",Projects!B185)</f>
        <v/>
      </c>
      <c r="X187" s="1" t="n">
        <f aca="false">IF(W187="",0,SUMIFS($I$7:$I$256,$D$7:$D$256,W187,$H$7:$H$256,"NTIME"))</f>
        <v>0</v>
      </c>
      <c r="Y187" s="1" t="n">
        <f aca="false">IF(W187="",0,SUMIFS($I$7:$I$256,$D$7:$D$256,W187,$H$7:$H$256,"P6"))</f>
        <v>0</v>
      </c>
      <c r="Z187" s="1" t="n">
        <f aca="false">X187+Y187</f>
        <v>0</v>
      </c>
      <c r="AA187" s="1" t="n">
        <f aca="false">IF(Z187&gt;0,Z187+(201-181)/10^6,0)</f>
        <v>0</v>
      </c>
      <c r="AB187" s="1"/>
      <c r="AC187" s="1"/>
      <c r="AD187" s="1"/>
      <c r="AE187" s="1"/>
      <c r="AF187" s="1"/>
      <c r="AG187" s="1"/>
      <c r="AH187" s="1"/>
    </row>
    <row r="188" customFormat="false" ht="15" hidden="false" customHeight="false" outlineLevel="0" collapsed="false">
      <c r="A188" s="1"/>
      <c r="B188" s="10"/>
      <c r="C188" s="31" t="str">
        <f aca="false">IF(B188="","",TEXT(B188,"ddd"))</f>
        <v/>
      </c>
      <c r="D188" s="11"/>
      <c r="E188" s="8" t="str">
        <f aca="false">IF(D188="","",IFERROR(INDEX(ProjNumbers,MATCH(D188,ProjNames,0)),""))</f>
        <v/>
      </c>
      <c r="F188" s="8" t="str">
        <f aca="false">IF(D188="","",IFERROR(INDEX(ProjCodes,MATCH(D188,ProjNames,0)),""))</f>
        <v/>
      </c>
      <c r="G188" s="32"/>
      <c r="H188" s="11"/>
      <c r="I188" s="33"/>
      <c r="J188" s="8" t="str">
        <f aca="false">IF(COUNTA(B188,D188,G188,H188,I188)=0,"",IF(B188="","Enter date",IF(OR(B188&lt;$AC$2,B188&gt;$AC$3),"Date not in January",IF(D188="","Pick project",IF(ISNA(MATCH(D188,ProjNames,0)),"Project not in list",IF(G188="","Add task description",IF(H188="","Pick NTIME or P6",IF(N(I188)&lt;=0,"Enter hours",IF(AND(AllowOT&lt;&gt;"Yes",SUMIF($B$7:$B$256,B188,$I$7:$I$256)&gt;INDEX($O$58:$O$88,DAY(B188))),"Day over "&amp;INDEX($O$58:$O$88,DAY(B188))&amp;" h","✓")))))))))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tr">
        <f aca="false">IF(Projects!B186="","",Projects!B186)</f>
        <v/>
      </c>
      <c r="X188" s="1" t="n">
        <f aca="false">IF(W188="",0,SUMIFS($I$7:$I$256,$D$7:$D$256,W188,$H$7:$H$256,"NTIME"))</f>
        <v>0</v>
      </c>
      <c r="Y188" s="1" t="n">
        <f aca="false">IF(W188="",0,SUMIFS($I$7:$I$256,$D$7:$D$256,W188,$H$7:$H$256,"P6"))</f>
        <v>0</v>
      </c>
      <c r="Z188" s="1" t="n">
        <f aca="false">X188+Y188</f>
        <v>0</v>
      </c>
      <c r="AA188" s="1" t="n">
        <f aca="false">IF(Z188&gt;0,Z188+(201-182)/10^6,0)</f>
        <v>0</v>
      </c>
      <c r="AB188" s="1"/>
      <c r="AC188" s="1"/>
      <c r="AD188" s="1"/>
      <c r="AE188" s="1"/>
      <c r="AF188" s="1"/>
      <c r="AG188" s="1"/>
      <c r="AH188" s="1"/>
    </row>
    <row r="189" customFormat="false" ht="15" hidden="false" customHeight="false" outlineLevel="0" collapsed="false">
      <c r="A189" s="1"/>
      <c r="B189" s="10"/>
      <c r="C189" s="31" t="str">
        <f aca="false">IF(B189="","",TEXT(B189,"ddd"))</f>
        <v/>
      </c>
      <c r="D189" s="11"/>
      <c r="E189" s="8" t="str">
        <f aca="false">IF(D189="","",IFERROR(INDEX(ProjNumbers,MATCH(D189,ProjNames,0)),""))</f>
        <v/>
      </c>
      <c r="F189" s="8" t="str">
        <f aca="false">IF(D189="","",IFERROR(INDEX(ProjCodes,MATCH(D189,ProjNames,0)),""))</f>
        <v/>
      </c>
      <c r="G189" s="32"/>
      <c r="H189" s="11"/>
      <c r="I189" s="33"/>
      <c r="J189" s="8" t="str">
        <f aca="false">IF(COUNTA(B189,D189,G189,H189,I189)=0,"",IF(B189="","Enter date",IF(OR(B189&lt;$AC$2,B189&gt;$AC$3),"Date not in January",IF(D189="","Pick project",IF(ISNA(MATCH(D189,ProjNames,0)),"Project not in list",IF(G189="","Add task description",IF(H189="","Pick NTIME or P6",IF(N(I189)&lt;=0,"Enter hours",IF(AND(AllowOT&lt;&gt;"Yes",SUMIF($B$7:$B$256,B189,$I$7:$I$256)&gt;INDEX($O$58:$O$88,DAY(B189))),"Day over "&amp;INDEX($O$58:$O$88,DAY(B189))&amp;" h","✓")))))))))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tr">
        <f aca="false">IF(Projects!B187="","",Projects!B187)</f>
        <v/>
      </c>
      <c r="X189" s="1" t="n">
        <f aca="false">IF(W189="",0,SUMIFS($I$7:$I$256,$D$7:$D$256,W189,$H$7:$H$256,"NTIME"))</f>
        <v>0</v>
      </c>
      <c r="Y189" s="1" t="n">
        <f aca="false">IF(W189="",0,SUMIFS($I$7:$I$256,$D$7:$D$256,W189,$H$7:$H$256,"P6"))</f>
        <v>0</v>
      </c>
      <c r="Z189" s="1" t="n">
        <f aca="false">X189+Y189</f>
        <v>0</v>
      </c>
      <c r="AA189" s="1" t="n">
        <f aca="false">IF(Z189&gt;0,Z189+(201-183)/10^6,0)</f>
        <v>0</v>
      </c>
      <c r="AB189" s="1"/>
      <c r="AC189" s="1"/>
      <c r="AD189" s="1"/>
      <c r="AE189" s="1"/>
      <c r="AF189" s="1"/>
      <c r="AG189" s="1"/>
      <c r="AH189" s="1"/>
    </row>
    <row r="190" customFormat="false" ht="15" hidden="false" customHeight="false" outlineLevel="0" collapsed="false">
      <c r="A190" s="1"/>
      <c r="B190" s="10"/>
      <c r="C190" s="31" t="str">
        <f aca="false">IF(B190="","",TEXT(B190,"ddd"))</f>
        <v/>
      </c>
      <c r="D190" s="11"/>
      <c r="E190" s="8" t="str">
        <f aca="false">IF(D190="","",IFERROR(INDEX(ProjNumbers,MATCH(D190,ProjNames,0)),""))</f>
        <v/>
      </c>
      <c r="F190" s="8" t="str">
        <f aca="false">IF(D190="","",IFERROR(INDEX(ProjCodes,MATCH(D190,ProjNames,0)),""))</f>
        <v/>
      </c>
      <c r="G190" s="32"/>
      <c r="H190" s="11"/>
      <c r="I190" s="33"/>
      <c r="J190" s="8" t="str">
        <f aca="false">IF(COUNTA(B190,D190,G190,H190,I190)=0,"",IF(B190="","Enter date",IF(OR(B190&lt;$AC$2,B190&gt;$AC$3),"Date not in January",IF(D190="","Pick project",IF(ISNA(MATCH(D190,ProjNames,0)),"Project not in list",IF(G190="","Add task description",IF(H190="","Pick NTIME or P6",IF(N(I190)&lt;=0,"Enter hours",IF(AND(AllowOT&lt;&gt;"Yes",SUMIF($B$7:$B$256,B190,$I$7:$I$256)&gt;INDEX($O$58:$O$88,DAY(B190))),"Day over "&amp;INDEX($O$58:$O$88,DAY(B190))&amp;" h","✓")))))))))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tr">
        <f aca="false">IF(Projects!B188="","",Projects!B188)</f>
        <v/>
      </c>
      <c r="X190" s="1" t="n">
        <f aca="false">IF(W190="",0,SUMIFS($I$7:$I$256,$D$7:$D$256,W190,$H$7:$H$256,"NTIME"))</f>
        <v>0</v>
      </c>
      <c r="Y190" s="1" t="n">
        <f aca="false">IF(W190="",0,SUMIFS($I$7:$I$256,$D$7:$D$256,W190,$H$7:$H$256,"P6"))</f>
        <v>0</v>
      </c>
      <c r="Z190" s="1" t="n">
        <f aca="false">X190+Y190</f>
        <v>0</v>
      </c>
      <c r="AA190" s="1" t="n">
        <f aca="false">IF(Z190&gt;0,Z190+(201-184)/10^6,0)</f>
        <v>0</v>
      </c>
      <c r="AB190" s="1"/>
      <c r="AC190" s="1"/>
      <c r="AD190" s="1"/>
      <c r="AE190" s="1"/>
      <c r="AF190" s="1"/>
      <c r="AG190" s="1"/>
      <c r="AH190" s="1"/>
    </row>
    <row r="191" customFormat="false" ht="15" hidden="false" customHeight="false" outlineLevel="0" collapsed="false">
      <c r="A191" s="1"/>
      <c r="B191" s="10"/>
      <c r="C191" s="31" t="str">
        <f aca="false">IF(B191="","",TEXT(B191,"ddd"))</f>
        <v/>
      </c>
      <c r="D191" s="11"/>
      <c r="E191" s="8" t="str">
        <f aca="false">IF(D191="","",IFERROR(INDEX(ProjNumbers,MATCH(D191,ProjNames,0)),""))</f>
        <v/>
      </c>
      <c r="F191" s="8" t="str">
        <f aca="false">IF(D191="","",IFERROR(INDEX(ProjCodes,MATCH(D191,ProjNames,0)),""))</f>
        <v/>
      </c>
      <c r="G191" s="32"/>
      <c r="H191" s="11"/>
      <c r="I191" s="33"/>
      <c r="J191" s="8" t="str">
        <f aca="false">IF(COUNTA(B191,D191,G191,H191,I191)=0,"",IF(B191="","Enter date",IF(OR(B191&lt;$AC$2,B191&gt;$AC$3),"Date not in January",IF(D191="","Pick project",IF(ISNA(MATCH(D191,ProjNames,0)),"Project not in list",IF(G191="","Add task description",IF(H191="","Pick NTIME or P6",IF(N(I191)&lt;=0,"Enter hours",IF(AND(AllowOT&lt;&gt;"Yes",SUMIF($B$7:$B$256,B191,$I$7:$I$256)&gt;INDEX($O$58:$O$88,DAY(B191))),"Day over "&amp;INDEX($O$58:$O$88,DAY(B191))&amp;" h","✓")))))))))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tr">
        <f aca="false">IF(Projects!B189="","",Projects!B189)</f>
        <v/>
      </c>
      <c r="X191" s="1" t="n">
        <f aca="false">IF(W191="",0,SUMIFS($I$7:$I$256,$D$7:$D$256,W191,$H$7:$H$256,"NTIME"))</f>
        <v>0</v>
      </c>
      <c r="Y191" s="1" t="n">
        <f aca="false">IF(W191="",0,SUMIFS($I$7:$I$256,$D$7:$D$256,W191,$H$7:$H$256,"P6"))</f>
        <v>0</v>
      </c>
      <c r="Z191" s="1" t="n">
        <f aca="false">X191+Y191</f>
        <v>0</v>
      </c>
      <c r="AA191" s="1" t="n">
        <f aca="false">IF(Z191&gt;0,Z191+(201-185)/10^6,0)</f>
        <v>0</v>
      </c>
      <c r="AB191" s="1"/>
      <c r="AC191" s="1"/>
      <c r="AD191" s="1"/>
      <c r="AE191" s="1"/>
      <c r="AF191" s="1"/>
      <c r="AG191" s="1"/>
      <c r="AH191" s="1"/>
    </row>
    <row r="192" customFormat="false" ht="15" hidden="false" customHeight="false" outlineLevel="0" collapsed="false">
      <c r="A192" s="1"/>
      <c r="B192" s="10"/>
      <c r="C192" s="31" t="str">
        <f aca="false">IF(B192="","",TEXT(B192,"ddd"))</f>
        <v/>
      </c>
      <c r="D192" s="11"/>
      <c r="E192" s="8" t="str">
        <f aca="false">IF(D192="","",IFERROR(INDEX(ProjNumbers,MATCH(D192,ProjNames,0)),""))</f>
        <v/>
      </c>
      <c r="F192" s="8" t="str">
        <f aca="false">IF(D192="","",IFERROR(INDEX(ProjCodes,MATCH(D192,ProjNames,0)),""))</f>
        <v/>
      </c>
      <c r="G192" s="32"/>
      <c r="H192" s="11"/>
      <c r="I192" s="33"/>
      <c r="J192" s="8" t="str">
        <f aca="false">IF(COUNTA(B192,D192,G192,H192,I192)=0,"",IF(B192="","Enter date",IF(OR(B192&lt;$AC$2,B192&gt;$AC$3),"Date not in January",IF(D192="","Pick project",IF(ISNA(MATCH(D192,ProjNames,0)),"Project not in list",IF(G192="","Add task description",IF(H192="","Pick NTIME or P6",IF(N(I192)&lt;=0,"Enter hours",IF(AND(AllowOT&lt;&gt;"Yes",SUMIF($B$7:$B$256,B192,$I$7:$I$256)&gt;INDEX($O$58:$O$88,DAY(B192))),"Day over "&amp;INDEX($O$58:$O$88,DAY(B192))&amp;" h","✓")))))))))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tr">
        <f aca="false">IF(Projects!B190="","",Projects!B190)</f>
        <v/>
      </c>
      <c r="X192" s="1" t="n">
        <f aca="false">IF(W192="",0,SUMIFS($I$7:$I$256,$D$7:$D$256,W192,$H$7:$H$256,"NTIME"))</f>
        <v>0</v>
      </c>
      <c r="Y192" s="1" t="n">
        <f aca="false">IF(W192="",0,SUMIFS($I$7:$I$256,$D$7:$D$256,W192,$H$7:$H$256,"P6"))</f>
        <v>0</v>
      </c>
      <c r="Z192" s="1" t="n">
        <f aca="false">X192+Y192</f>
        <v>0</v>
      </c>
      <c r="AA192" s="1" t="n">
        <f aca="false">IF(Z192&gt;0,Z192+(201-186)/10^6,0)</f>
        <v>0</v>
      </c>
      <c r="AB192" s="1"/>
      <c r="AC192" s="1"/>
      <c r="AD192" s="1"/>
      <c r="AE192" s="1"/>
      <c r="AF192" s="1"/>
      <c r="AG192" s="1"/>
      <c r="AH192" s="1"/>
    </row>
    <row r="193" customFormat="false" ht="15" hidden="false" customHeight="false" outlineLevel="0" collapsed="false">
      <c r="A193" s="1"/>
      <c r="B193" s="10"/>
      <c r="C193" s="31" t="str">
        <f aca="false">IF(B193="","",TEXT(B193,"ddd"))</f>
        <v/>
      </c>
      <c r="D193" s="11"/>
      <c r="E193" s="8" t="str">
        <f aca="false">IF(D193="","",IFERROR(INDEX(ProjNumbers,MATCH(D193,ProjNames,0)),""))</f>
        <v/>
      </c>
      <c r="F193" s="8" t="str">
        <f aca="false">IF(D193="","",IFERROR(INDEX(ProjCodes,MATCH(D193,ProjNames,0)),""))</f>
        <v/>
      </c>
      <c r="G193" s="32"/>
      <c r="H193" s="11"/>
      <c r="I193" s="33"/>
      <c r="J193" s="8" t="str">
        <f aca="false">IF(COUNTA(B193,D193,G193,H193,I193)=0,"",IF(B193="","Enter date",IF(OR(B193&lt;$AC$2,B193&gt;$AC$3),"Date not in January",IF(D193="","Pick project",IF(ISNA(MATCH(D193,ProjNames,0)),"Project not in list",IF(G193="","Add task description",IF(H193="","Pick NTIME or P6",IF(N(I193)&lt;=0,"Enter hours",IF(AND(AllowOT&lt;&gt;"Yes",SUMIF($B$7:$B$256,B193,$I$7:$I$256)&gt;INDEX($O$58:$O$88,DAY(B193))),"Day over "&amp;INDEX($O$58:$O$88,DAY(B193))&amp;" h","✓")))))))))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tr">
        <f aca="false">IF(Projects!B191="","",Projects!B191)</f>
        <v/>
      </c>
      <c r="X193" s="1" t="n">
        <f aca="false">IF(W193="",0,SUMIFS($I$7:$I$256,$D$7:$D$256,W193,$H$7:$H$256,"NTIME"))</f>
        <v>0</v>
      </c>
      <c r="Y193" s="1" t="n">
        <f aca="false">IF(W193="",0,SUMIFS($I$7:$I$256,$D$7:$D$256,W193,$H$7:$H$256,"P6"))</f>
        <v>0</v>
      </c>
      <c r="Z193" s="1" t="n">
        <f aca="false">X193+Y193</f>
        <v>0</v>
      </c>
      <c r="AA193" s="1" t="n">
        <f aca="false">IF(Z193&gt;0,Z193+(201-187)/10^6,0)</f>
        <v>0</v>
      </c>
      <c r="AB193" s="1"/>
      <c r="AC193" s="1"/>
      <c r="AD193" s="1"/>
      <c r="AE193" s="1"/>
      <c r="AF193" s="1"/>
      <c r="AG193" s="1"/>
      <c r="AH193" s="1"/>
    </row>
    <row r="194" customFormat="false" ht="15" hidden="false" customHeight="false" outlineLevel="0" collapsed="false">
      <c r="A194" s="1"/>
      <c r="B194" s="10"/>
      <c r="C194" s="31" t="str">
        <f aca="false">IF(B194="","",TEXT(B194,"ddd"))</f>
        <v/>
      </c>
      <c r="D194" s="11"/>
      <c r="E194" s="8" t="str">
        <f aca="false">IF(D194="","",IFERROR(INDEX(ProjNumbers,MATCH(D194,ProjNames,0)),""))</f>
        <v/>
      </c>
      <c r="F194" s="8" t="str">
        <f aca="false">IF(D194="","",IFERROR(INDEX(ProjCodes,MATCH(D194,ProjNames,0)),""))</f>
        <v/>
      </c>
      <c r="G194" s="32"/>
      <c r="H194" s="11"/>
      <c r="I194" s="33"/>
      <c r="J194" s="8" t="str">
        <f aca="false">IF(COUNTA(B194,D194,G194,H194,I194)=0,"",IF(B194="","Enter date",IF(OR(B194&lt;$AC$2,B194&gt;$AC$3),"Date not in January",IF(D194="","Pick project",IF(ISNA(MATCH(D194,ProjNames,0)),"Project not in list",IF(G194="","Add task description",IF(H194="","Pick NTIME or P6",IF(N(I194)&lt;=0,"Enter hours",IF(AND(AllowOT&lt;&gt;"Yes",SUMIF($B$7:$B$256,B194,$I$7:$I$256)&gt;INDEX($O$58:$O$88,DAY(B194))),"Day over "&amp;INDEX($O$58:$O$88,DAY(B194))&amp;" h","✓")))))))))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tr">
        <f aca="false">IF(Projects!B192="","",Projects!B192)</f>
        <v/>
      </c>
      <c r="X194" s="1" t="n">
        <f aca="false">IF(W194="",0,SUMIFS($I$7:$I$256,$D$7:$D$256,W194,$H$7:$H$256,"NTIME"))</f>
        <v>0</v>
      </c>
      <c r="Y194" s="1" t="n">
        <f aca="false">IF(W194="",0,SUMIFS($I$7:$I$256,$D$7:$D$256,W194,$H$7:$H$256,"P6"))</f>
        <v>0</v>
      </c>
      <c r="Z194" s="1" t="n">
        <f aca="false">X194+Y194</f>
        <v>0</v>
      </c>
      <c r="AA194" s="1" t="n">
        <f aca="false">IF(Z194&gt;0,Z194+(201-188)/10^6,0)</f>
        <v>0</v>
      </c>
      <c r="AB194" s="1"/>
      <c r="AC194" s="1"/>
      <c r="AD194" s="1"/>
      <c r="AE194" s="1"/>
      <c r="AF194" s="1"/>
      <c r="AG194" s="1"/>
      <c r="AH194" s="1"/>
    </row>
    <row r="195" customFormat="false" ht="15" hidden="false" customHeight="false" outlineLevel="0" collapsed="false">
      <c r="A195" s="1"/>
      <c r="B195" s="10"/>
      <c r="C195" s="31" t="str">
        <f aca="false">IF(B195="","",TEXT(B195,"ddd"))</f>
        <v/>
      </c>
      <c r="D195" s="11"/>
      <c r="E195" s="8" t="str">
        <f aca="false">IF(D195="","",IFERROR(INDEX(ProjNumbers,MATCH(D195,ProjNames,0)),""))</f>
        <v/>
      </c>
      <c r="F195" s="8" t="str">
        <f aca="false">IF(D195="","",IFERROR(INDEX(ProjCodes,MATCH(D195,ProjNames,0)),""))</f>
        <v/>
      </c>
      <c r="G195" s="32"/>
      <c r="H195" s="11"/>
      <c r="I195" s="33"/>
      <c r="J195" s="8" t="str">
        <f aca="false">IF(COUNTA(B195,D195,G195,H195,I195)=0,"",IF(B195="","Enter date",IF(OR(B195&lt;$AC$2,B195&gt;$AC$3),"Date not in January",IF(D195="","Pick project",IF(ISNA(MATCH(D195,ProjNames,0)),"Project not in list",IF(G195="","Add task description",IF(H195="","Pick NTIME or P6",IF(N(I195)&lt;=0,"Enter hours",IF(AND(AllowOT&lt;&gt;"Yes",SUMIF($B$7:$B$256,B195,$I$7:$I$256)&gt;INDEX($O$58:$O$88,DAY(B195))),"Day over "&amp;INDEX($O$58:$O$88,DAY(B195))&amp;" h","✓")))))))))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tr">
        <f aca="false">IF(Projects!B193="","",Projects!B193)</f>
        <v/>
      </c>
      <c r="X195" s="1" t="n">
        <f aca="false">IF(W195="",0,SUMIFS($I$7:$I$256,$D$7:$D$256,W195,$H$7:$H$256,"NTIME"))</f>
        <v>0</v>
      </c>
      <c r="Y195" s="1" t="n">
        <f aca="false">IF(W195="",0,SUMIFS($I$7:$I$256,$D$7:$D$256,W195,$H$7:$H$256,"P6"))</f>
        <v>0</v>
      </c>
      <c r="Z195" s="1" t="n">
        <f aca="false">X195+Y195</f>
        <v>0</v>
      </c>
      <c r="AA195" s="1" t="n">
        <f aca="false">IF(Z195&gt;0,Z195+(201-189)/10^6,0)</f>
        <v>0</v>
      </c>
      <c r="AB195" s="1"/>
      <c r="AC195" s="1"/>
      <c r="AD195" s="1"/>
      <c r="AE195" s="1"/>
      <c r="AF195" s="1"/>
      <c r="AG195" s="1"/>
      <c r="AH195" s="1"/>
    </row>
    <row r="196" customFormat="false" ht="15" hidden="false" customHeight="false" outlineLevel="0" collapsed="false">
      <c r="A196" s="1"/>
      <c r="B196" s="10"/>
      <c r="C196" s="31" t="str">
        <f aca="false">IF(B196="","",TEXT(B196,"ddd"))</f>
        <v/>
      </c>
      <c r="D196" s="11"/>
      <c r="E196" s="8" t="str">
        <f aca="false">IF(D196="","",IFERROR(INDEX(ProjNumbers,MATCH(D196,ProjNames,0)),""))</f>
        <v/>
      </c>
      <c r="F196" s="8" t="str">
        <f aca="false">IF(D196="","",IFERROR(INDEX(ProjCodes,MATCH(D196,ProjNames,0)),""))</f>
        <v/>
      </c>
      <c r="G196" s="32"/>
      <c r="H196" s="11"/>
      <c r="I196" s="33"/>
      <c r="J196" s="8" t="str">
        <f aca="false">IF(COUNTA(B196,D196,G196,H196,I196)=0,"",IF(B196="","Enter date",IF(OR(B196&lt;$AC$2,B196&gt;$AC$3),"Date not in January",IF(D196="","Pick project",IF(ISNA(MATCH(D196,ProjNames,0)),"Project not in list",IF(G196="","Add task description",IF(H196="","Pick NTIME or P6",IF(N(I196)&lt;=0,"Enter hours",IF(AND(AllowOT&lt;&gt;"Yes",SUMIF($B$7:$B$256,B196,$I$7:$I$256)&gt;INDEX($O$58:$O$88,DAY(B196))),"Day over "&amp;INDEX($O$58:$O$88,DAY(B196))&amp;" h","✓")))))))))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tr">
        <f aca="false">IF(Projects!B194="","",Projects!B194)</f>
        <v/>
      </c>
      <c r="X196" s="1" t="n">
        <f aca="false">IF(W196="",0,SUMIFS($I$7:$I$256,$D$7:$D$256,W196,$H$7:$H$256,"NTIME"))</f>
        <v>0</v>
      </c>
      <c r="Y196" s="1" t="n">
        <f aca="false">IF(W196="",0,SUMIFS($I$7:$I$256,$D$7:$D$256,W196,$H$7:$H$256,"P6"))</f>
        <v>0</v>
      </c>
      <c r="Z196" s="1" t="n">
        <f aca="false">X196+Y196</f>
        <v>0</v>
      </c>
      <c r="AA196" s="1" t="n">
        <f aca="false">IF(Z196&gt;0,Z196+(201-190)/10^6,0)</f>
        <v>0</v>
      </c>
      <c r="AB196" s="1"/>
      <c r="AC196" s="1"/>
      <c r="AD196" s="1"/>
      <c r="AE196" s="1"/>
      <c r="AF196" s="1"/>
      <c r="AG196" s="1"/>
      <c r="AH196" s="1"/>
    </row>
    <row r="197" customFormat="false" ht="15" hidden="false" customHeight="false" outlineLevel="0" collapsed="false">
      <c r="A197" s="1"/>
      <c r="B197" s="10"/>
      <c r="C197" s="31" t="str">
        <f aca="false">IF(B197="","",TEXT(B197,"ddd"))</f>
        <v/>
      </c>
      <c r="D197" s="11"/>
      <c r="E197" s="8" t="str">
        <f aca="false">IF(D197="","",IFERROR(INDEX(ProjNumbers,MATCH(D197,ProjNames,0)),""))</f>
        <v/>
      </c>
      <c r="F197" s="8" t="str">
        <f aca="false">IF(D197="","",IFERROR(INDEX(ProjCodes,MATCH(D197,ProjNames,0)),""))</f>
        <v/>
      </c>
      <c r="G197" s="32"/>
      <c r="H197" s="11"/>
      <c r="I197" s="33"/>
      <c r="J197" s="8" t="str">
        <f aca="false">IF(COUNTA(B197,D197,G197,H197,I197)=0,"",IF(B197="","Enter date",IF(OR(B197&lt;$AC$2,B197&gt;$AC$3),"Date not in January",IF(D197="","Pick project",IF(ISNA(MATCH(D197,ProjNames,0)),"Project not in list",IF(G197="","Add task description",IF(H197="","Pick NTIME or P6",IF(N(I197)&lt;=0,"Enter hours",IF(AND(AllowOT&lt;&gt;"Yes",SUMIF($B$7:$B$256,B197,$I$7:$I$256)&gt;INDEX($O$58:$O$88,DAY(B197))),"Day over "&amp;INDEX($O$58:$O$88,DAY(B197))&amp;" h","✓")))))))))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tr">
        <f aca="false">IF(Projects!B195="","",Projects!B195)</f>
        <v/>
      </c>
      <c r="X197" s="1" t="n">
        <f aca="false">IF(W197="",0,SUMIFS($I$7:$I$256,$D$7:$D$256,W197,$H$7:$H$256,"NTIME"))</f>
        <v>0</v>
      </c>
      <c r="Y197" s="1" t="n">
        <f aca="false">IF(W197="",0,SUMIFS($I$7:$I$256,$D$7:$D$256,W197,$H$7:$H$256,"P6"))</f>
        <v>0</v>
      </c>
      <c r="Z197" s="1" t="n">
        <f aca="false">X197+Y197</f>
        <v>0</v>
      </c>
      <c r="AA197" s="1" t="n">
        <f aca="false">IF(Z197&gt;0,Z197+(201-191)/10^6,0)</f>
        <v>0</v>
      </c>
      <c r="AB197" s="1"/>
      <c r="AC197" s="1"/>
      <c r="AD197" s="1"/>
      <c r="AE197" s="1"/>
      <c r="AF197" s="1"/>
      <c r="AG197" s="1"/>
      <c r="AH197" s="1"/>
    </row>
    <row r="198" customFormat="false" ht="15" hidden="false" customHeight="false" outlineLevel="0" collapsed="false">
      <c r="A198" s="1"/>
      <c r="B198" s="10"/>
      <c r="C198" s="31" t="str">
        <f aca="false">IF(B198="","",TEXT(B198,"ddd"))</f>
        <v/>
      </c>
      <c r="D198" s="11"/>
      <c r="E198" s="8" t="str">
        <f aca="false">IF(D198="","",IFERROR(INDEX(ProjNumbers,MATCH(D198,ProjNames,0)),""))</f>
        <v/>
      </c>
      <c r="F198" s="8" t="str">
        <f aca="false">IF(D198="","",IFERROR(INDEX(ProjCodes,MATCH(D198,ProjNames,0)),""))</f>
        <v/>
      </c>
      <c r="G198" s="32"/>
      <c r="H198" s="11"/>
      <c r="I198" s="33"/>
      <c r="J198" s="8" t="str">
        <f aca="false">IF(COUNTA(B198,D198,G198,H198,I198)=0,"",IF(B198="","Enter date",IF(OR(B198&lt;$AC$2,B198&gt;$AC$3),"Date not in January",IF(D198="","Pick project",IF(ISNA(MATCH(D198,ProjNames,0)),"Project not in list",IF(G198="","Add task description",IF(H198="","Pick NTIME or P6",IF(N(I198)&lt;=0,"Enter hours",IF(AND(AllowOT&lt;&gt;"Yes",SUMIF($B$7:$B$256,B198,$I$7:$I$256)&gt;INDEX($O$58:$O$88,DAY(B198))),"Day over "&amp;INDEX($O$58:$O$88,DAY(B198))&amp;" h","✓")))))))))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tr">
        <f aca="false">IF(Projects!B196="","",Projects!B196)</f>
        <v/>
      </c>
      <c r="X198" s="1" t="n">
        <f aca="false">IF(W198="",0,SUMIFS($I$7:$I$256,$D$7:$D$256,W198,$H$7:$H$256,"NTIME"))</f>
        <v>0</v>
      </c>
      <c r="Y198" s="1" t="n">
        <f aca="false">IF(W198="",0,SUMIFS($I$7:$I$256,$D$7:$D$256,W198,$H$7:$H$256,"P6"))</f>
        <v>0</v>
      </c>
      <c r="Z198" s="1" t="n">
        <f aca="false">X198+Y198</f>
        <v>0</v>
      </c>
      <c r="AA198" s="1" t="n">
        <f aca="false">IF(Z198&gt;0,Z198+(201-192)/10^6,0)</f>
        <v>0</v>
      </c>
      <c r="AB198" s="1"/>
      <c r="AC198" s="1"/>
      <c r="AD198" s="1"/>
      <c r="AE198" s="1"/>
      <c r="AF198" s="1"/>
      <c r="AG198" s="1"/>
      <c r="AH198" s="1"/>
    </row>
    <row r="199" customFormat="false" ht="15" hidden="false" customHeight="false" outlineLevel="0" collapsed="false">
      <c r="A199" s="1"/>
      <c r="B199" s="10"/>
      <c r="C199" s="31" t="str">
        <f aca="false">IF(B199="","",TEXT(B199,"ddd"))</f>
        <v/>
      </c>
      <c r="D199" s="11"/>
      <c r="E199" s="8" t="str">
        <f aca="false">IF(D199="","",IFERROR(INDEX(ProjNumbers,MATCH(D199,ProjNames,0)),""))</f>
        <v/>
      </c>
      <c r="F199" s="8" t="str">
        <f aca="false">IF(D199="","",IFERROR(INDEX(ProjCodes,MATCH(D199,ProjNames,0)),""))</f>
        <v/>
      </c>
      <c r="G199" s="32"/>
      <c r="H199" s="11"/>
      <c r="I199" s="33"/>
      <c r="J199" s="8" t="str">
        <f aca="false">IF(COUNTA(B199,D199,G199,H199,I199)=0,"",IF(B199="","Enter date",IF(OR(B199&lt;$AC$2,B199&gt;$AC$3),"Date not in January",IF(D199="","Pick project",IF(ISNA(MATCH(D199,ProjNames,0)),"Project not in list",IF(G199="","Add task description",IF(H199="","Pick NTIME or P6",IF(N(I199)&lt;=0,"Enter hours",IF(AND(AllowOT&lt;&gt;"Yes",SUMIF($B$7:$B$256,B199,$I$7:$I$256)&gt;INDEX($O$58:$O$88,DAY(B199))),"Day over "&amp;INDEX($O$58:$O$88,DAY(B199))&amp;" h","✓")))))))))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tr">
        <f aca="false">IF(Projects!B197="","",Projects!B197)</f>
        <v/>
      </c>
      <c r="X199" s="1" t="n">
        <f aca="false">IF(W199="",0,SUMIFS($I$7:$I$256,$D$7:$D$256,W199,$H$7:$H$256,"NTIME"))</f>
        <v>0</v>
      </c>
      <c r="Y199" s="1" t="n">
        <f aca="false">IF(W199="",0,SUMIFS($I$7:$I$256,$D$7:$D$256,W199,$H$7:$H$256,"P6"))</f>
        <v>0</v>
      </c>
      <c r="Z199" s="1" t="n">
        <f aca="false">X199+Y199</f>
        <v>0</v>
      </c>
      <c r="AA199" s="1" t="n">
        <f aca="false">IF(Z199&gt;0,Z199+(201-193)/10^6,0)</f>
        <v>0</v>
      </c>
      <c r="AB199" s="1"/>
      <c r="AC199" s="1"/>
      <c r="AD199" s="1"/>
      <c r="AE199" s="1"/>
      <c r="AF199" s="1"/>
      <c r="AG199" s="1"/>
      <c r="AH199" s="1"/>
    </row>
    <row r="200" customFormat="false" ht="15" hidden="false" customHeight="false" outlineLevel="0" collapsed="false">
      <c r="A200" s="1"/>
      <c r="B200" s="10"/>
      <c r="C200" s="31" t="str">
        <f aca="false">IF(B200="","",TEXT(B200,"ddd"))</f>
        <v/>
      </c>
      <c r="D200" s="11"/>
      <c r="E200" s="8" t="str">
        <f aca="false">IF(D200="","",IFERROR(INDEX(ProjNumbers,MATCH(D200,ProjNames,0)),""))</f>
        <v/>
      </c>
      <c r="F200" s="8" t="str">
        <f aca="false">IF(D200="","",IFERROR(INDEX(ProjCodes,MATCH(D200,ProjNames,0)),""))</f>
        <v/>
      </c>
      <c r="G200" s="32"/>
      <c r="H200" s="11"/>
      <c r="I200" s="33"/>
      <c r="J200" s="8" t="str">
        <f aca="false">IF(COUNTA(B200,D200,G200,H200,I200)=0,"",IF(B200="","Enter date",IF(OR(B200&lt;$AC$2,B200&gt;$AC$3),"Date not in January",IF(D200="","Pick project",IF(ISNA(MATCH(D200,ProjNames,0)),"Project not in list",IF(G200="","Add task description",IF(H200="","Pick NTIME or P6",IF(N(I200)&lt;=0,"Enter hours",IF(AND(AllowOT&lt;&gt;"Yes",SUMIF($B$7:$B$256,B200,$I$7:$I$256)&gt;INDEX($O$58:$O$88,DAY(B200))),"Day over "&amp;INDEX($O$58:$O$88,DAY(B200))&amp;" h","✓")))))))))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tr">
        <f aca="false">IF(Projects!B198="","",Projects!B198)</f>
        <v/>
      </c>
      <c r="X200" s="1" t="n">
        <f aca="false">IF(W200="",0,SUMIFS($I$7:$I$256,$D$7:$D$256,W200,$H$7:$H$256,"NTIME"))</f>
        <v>0</v>
      </c>
      <c r="Y200" s="1" t="n">
        <f aca="false">IF(W200="",0,SUMIFS($I$7:$I$256,$D$7:$D$256,W200,$H$7:$H$256,"P6"))</f>
        <v>0</v>
      </c>
      <c r="Z200" s="1" t="n">
        <f aca="false">X200+Y200</f>
        <v>0</v>
      </c>
      <c r="AA200" s="1" t="n">
        <f aca="false">IF(Z200&gt;0,Z200+(201-194)/10^6,0)</f>
        <v>0</v>
      </c>
      <c r="AB200" s="1"/>
      <c r="AC200" s="1"/>
      <c r="AD200" s="1"/>
      <c r="AE200" s="1"/>
      <c r="AF200" s="1"/>
      <c r="AG200" s="1"/>
      <c r="AH200" s="1"/>
    </row>
    <row r="201" customFormat="false" ht="15" hidden="false" customHeight="false" outlineLevel="0" collapsed="false">
      <c r="A201" s="1"/>
      <c r="B201" s="10"/>
      <c r="C201" s="31" t="str">
        <f aca="false">IF(B201="","",TEXT(B201,"ddd"))</f>
        <v/>
      </c>
      <c r="D201" s="11"/>
      <c r="E201" s="8" t="str">
        <f aca="false">IF(D201="","",IFERROR(INDEX(ProjNumbers,MATCH(D201,ProjNames,0)),""))</f>
        <v/>
      </c>
      <c r="F201" s="8" t="str">
        <f aca="false">IF(D201="","",IFERROR(INDEX(ProjCodes,MATCH(D201,ProjNames,0)),""))</f>
        <v/>
      </c>
      <c r="G201" s="32"/>
      <c r="H201" s="11"/>
      <c r="I201" s="33"/>
      <c r="J201" s="8" t="str">
        <f aca="false">IF(COUNTA(B201,D201,G201,H201,I201)=0,"",IF(B201="","Enter date",IF(OR(B201&lt;$AC$2,B201&gt;$AC$3),"Date not in January",IF(D201="","Pick project",IF(ISNA(MATCH(D201,ProjNames,0)),"Project not in list",IF(G201="","Add task description",IF(H201="","Pick NTIME or P6",IF(N(I201)&lt;=0,"Enter hours",IF(AND(AllowOT&lt;&gt;"Yes",SUMIF($B$7:$B$256,B201,$I$7:$I$256)&gt;INDEX($O$58:$O$88,DAY(B201))),"Day over "&amp;INDEX($O$58:$O$88,DAY(B201))&amp;" h","✓")))))))))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tr">
        <f aca="false">IF(Projects!B199="","",Projects!B199)</f>
        <v/>
      </c>
      <c r="X201" s="1" t="n">
        <f aca="false">IF(W201="",0,SUMIFS($I$7:$I$256,$D$7:$D$256,W201,$H$7:$H$256,"NTIME"))</f>
        <v>0</v>
      </c>
      <c r="Y201" s="1" t="n">
        <f aca="false">IF(W201="",0,SUMIFS($I$7:$I$256,$D$7:$D$256,W201,$H$7:$H$256,"P6"))</f>
        <v>0</v>
      </c>
      <c r="Z201" s="1" t="n">
        <f aca="false">X201+Y201</f>
        <v>0</v>
      </c>
      <c r="AA201" s="1" t="n">
        <f aca="false">IF(Z201&gt;0,Z201+(201-195)/10^6,0)</f>
        <v>0</v>
      </c>
      <c r="AB201" s="1"/>
      <c r="AC201" s="1"/>
      <c r="AD201" s="1"/>
      <c r="AE201" s="1"/>
      <c r="AF201" s="1"/>
      <c r="AG201" s="1"/>
      <c r="AH201" s="1"/>
    </row>
    <row r="202" customFormat="false" ht="15" hidden="false" customHeight="false" outlineLevel="0" collapsed="false">
      <c r="A202" s="1"/>
      <c r="B202" s="10"/>
      <c r="C202" s="31" t="str">
        <f aca="false">IF(B202="","",TEXT(B202,"ddd"))</f>
        <v/>
      </c>
      <c r="D202" s="11"/>
      <c r="E202" s="8" t="str">
        <f aca="false">IF(D202="","",IFERROR(INDEX(ProjNumbers,MATCH(D202,ProjNames,0)),""))</f>
        <v/>
      </c>
      <c r="F202" s="8" t="str">
        <f aca="false">IF(D202="","",IFERROR(INDEX(ProjCodes,MATCH(D202,ProjNames,0)),""))</f>
        <v/>
      </c>
      <c r="G202" s="32"/>
      <c r="H202" s="11"/>
      <c r="I202" s="33"/>
      <c r="J202" s="8" t="str">
        <f aca="false">IF(COUNTA(B202,D202,G202,H202,I202)=0,"",IF(B202="","Enter date",IF(OR(B202&lt;$AC$2,B202&gt;$AC$3),"Date not in January",IF(D202="","Pick project",IF(ISNA(MATCH(D202,ProjNames,0)),"Project not in list",IF(G202="","Add task description",IF(H202="","Pick NTIME or P6",IF(N(I202)&lt;=0,"Enter hours",IF(AND(AllowOT&lt;&gt;"Yes",SUMIF($B$7:$B$256,B202,$I$7:$I$256)&gt;INDEX($O$58:$O$88,DAY(B202))),"Day over "&amp;INDEX($O$58:$O$88,DAY(B202))&amp;" h","✓")))))))))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tr">
        <f aca="false">IF(Projects!B200="","",Projects!B200)</f>
        <v/>
      </c>
      <c r="X202" s="1" t="n">
        <f aca="false">IF(W202="",0,SUMIFS($I$7:$I$256,$D$7:$D$256,W202,$H$7:$H$256,"NTIME"))</f>
        <v>0</v>
      </c>
      <c r="Y202" s="1" t="n">
        <f aca="false">IF(W202="",0,SUMIFS($I$7:$I$256,$D$7:$D$256,W202,$H$7:$H$256,"P6"))</f>
        <v>0</v>
      </c>
      <c r="Z202" s="1" t="n">
        <f aca="false">X202+Y202</f>
        <v>0</v>
      </c>
      <c r="AA202" s="1" t="n">
        <f aca="false">IF(Z202&gt;0,Z202+(201-196)/10^6,0)</f>
        <v>0</v>
      </c>
      <c r="AB202" s="1"/>
      <c r="AC202" s="1"/>
      <c r="AD202" s="1"/>
      <c r="AE202" s="1"/>
      <c r="AF202" s="1"/>
      <c r="AG202" s="1"/>
      <c r="AH202" s="1"/>
    </row>
    <row r="203" customFormat="false" ht="15" hidden="false" customHeight="false" outlineLevel="0" collapsed="false">
      <c r="A203" s="1"/>
      <c r="B203" s="10"/>
      <c r="C203" s="31" t="str">
        <f aca="false">IF(B203="","",TEXT(B203,"ddd"))</f>
        <v/>
      </c>
      <c r="D203" s="11"/>
      <c r="E203" s="8" t="str">
        <f aca="false">IF(D203="","",IFERROR(INDEX(ProjNumbers,MATCH(D203,ProjNames,0)),""))</f>
        <v/>
      </c>
      <c r="F203" s="8" t="str">
        <f aca="false">IF(D203="","",IFERROR(INDEX(ProjCodes,MATCH(D203,ProjNames,0)),""))</f>
        <v/>
      </c>
      <c r="G203" s="32"/>
      <c r="H203" s="11"/>
      <c r="I203" s="33"/>
      <c r="J203" s="8" t="str">
        <f aca="false">IF(COUNTA(B203,D203,G203,H203,I203)=0,"",IF(B203="","Enter date",IF(OR(B203&lt;$AC$2,B203&gt;$AC$3),"Date not in January",IF(D203="","Pick project",IF(ISNA(MATCH(D203,ProjNames,0)),"Project not in list",IF(G203="","Add task description",IF(H203="","Pick NTIME or P6",IF(N(I203)&lt;=0,"Enter hours",IF(AND(AllowOT&lt;&gt;"Yes",SUMIF($B$7:$B$256,B203,$I$7:$I$256)&gt;INDEX($O$58:$O$88,DAY(B203))),"Day over "&amp;INDEX($O$58:$O$88,DAY(B203))&amp;" h","✓")))))))))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tr">
        <f aca="false">IF(Projects!B201="","",Projects!B201)</f>
        <v/>
      </c>
      <c r="X203" s="1" t="n">
        <f aca="false">IF(W203="",0,SUMIFS($I$7:$I$256,$D$7:$D$256,W203,$H$7:$H$256,"NTIME"))</f>
        <v>0</v>
      </c>
      <c r="Y203" s="1" t="n">
        <f aca="false">IF(W203="",0,SUMIFS($I$7:$I$256,$D$7:$D$256,W203,$H$7:$H$256,"P6"))</f>
        <v>0</v>
      </c>
      <c r="Z203" s="1" t="n">
        <f aca="false">X203+Y203</f>
        <v>0</v>
      </c>
      <c r="AA203" s="1" t="n">
        <f aca="false">IF(Z203&gt;0,Z203+(201-197)/10^6,0)</f>
        <v>0</v>
      </c>
      <c r="AB203" s="1"/>
      <c r="AC203" s="1"/>
      <c r="AD203" s="1"/>
      <c r="AE203" s="1"/>
      <c r="AF203" s="1"/>
      <c r="AG203" s="1"/>
      <c r="AH203" s="1"/>
    </row>
    <row r="204" customFormat="false" ht="15" hidden="false" customHeight="false" outlineLevel="0" collapsed="false">
      <c r="A204" s="1"/>
      <c r="B204" s="10"/>
      <c r="C204" s="31" t="str">
        <f aca="false">IF(B204="","",TEXT(B204,"ddd"))</f>
        <v/>
      </c>
      <c r="D204" s="11"/>
      <c r="E204" s="8" t="str">
        <f aca="false">IF(D204="","",IFERROR(INDEX(ProjNumbers,MATCH(D204,ProjNames,0)),""))</f>
        <v/>
      </c>
      <c r="F204" s="8" t="str">
        <f aca="false">IF(D204="","",IFERROR(INDEX(ProjCodes,MATCH(D204,ProjNames,0)),""))</f>
        <v/>
      </c>
      <c r="G204" s="32"/>
      <c r="H204" s="11"/>
      <c r="I204" s="33"/>
      <c r="J204" s="8" t="str">
        <f aca="false">IF(COUNTA(B204,D204,G204,H204,I204)=0,"",IF(B204="","Enter date",IF(OR(B204&lt;$AC$2,B204&gt;$AC$3),"Date not in January",IF(D204="","Pick project",IF(ISNA(MATCH(D204,ProjNames,0)),"Project not in list",IF(G204="","Add task description",IF(H204="","Pick NTIME or P6",IF(N(I204)&lt;=0,"Enter hours",IF(AND(AllowOT&lt;&gt;"Yes",SUMIF($B$7:$B$256,B204,$I$7:$I$256)&gt;INDEX($O$58:$O$88,DAY(B204))),"Day over "&amp;INDEX($O$58:$O$88,DAY(B204))&amp;" h","✓")))))))))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tr">
        <f aca="false">IF(Projects!B202="","",Projects!B202)</f>
        <v/>
      </c>
      <c r="X204" s="1" t="n">
        <f aca="false">IF(W204="",0,SUMIFS($I$7:$I$256,$D$7:$D$256,W204,$H$7:$H$256,"NTIME"))</f>
        <v>0</v>
      </c>
      <c r="Y204" s="1" t="n">
        <f aca="false">IF(W204="",0,SUMIFS($I$7:$I$256,$D$7:$D$256,W204,$H$7:$H$256,"P6"))</f>
        <v>0</v>
      </c>
      <c r="Z204" s="1" t="n">
        <f aca="false">X204+Y204</f>
        <v>0</v>
      </c>
      <c r="AA204" s="1" t="n">
        <f aca="false">IF(Z204&gt;0,Z204+(201-198)/10^6,0)</f>
        <v>0</v>
      </c>
      <c r="AB204" s="1"/>
      <c r="AC204" s="1"/>
      <c r="AD204" s="1"/>
      <c r="AE204" s="1"/>
      <c r="AF204" s="1"/>
      <c r="AG204" s="1"/>
      <c r="AH204" s="1"/>
    </row>
    <row r="205" customFormat="false" ht="15" hidden="false" customHeight="false" outlineLevel="0" collapsed="false">
      <c r="A205" s="1"/>
      <c r="B205" s="10"/>
      <c r="C205" s="31" t="str">
        <f aca="false">IF(B205="","",TEXT(B205,"ddd"))</f>
        <v/>
      </c>
      <c r="D205" s="11"/>
      <c r="E205" s="8" t="str">
        <f aca="false">IF(D205="","",IFERROR(INDEX(ProjNumbers,MATCH(D205,ProjNames,0)),""))</f>
        <v/>
      </c>
      <c r="F205" s="8" t="str">
        <f aca="false">IF(D205="","",IFERROR(INDEX(ProjCodes,MATCH(D205,ProjNames,0)),""))</f>
        <v/>
      </c>
      <c r="G205" s="32"/>
      <c r="H205" s="11"/>
      <c r="I205" s="33"/>
      <c r="J205" s="8" t="str">
        <f aca="false">IF(COUNTA(B205,D205,G205,H205,I205)=0,"",IF(B205="","Enter date",IF(OR(B205&lt;$AC$2,B205&gt;$AC$3),"Date not in January",IF(D205="","Pick project",IF(ISNA(MATCH(D205,ProjNames,0)),"Project not in list",IF(G205="","Add task description",IF(H205="","Pick NTIME or P6",IF(N(I205)&lt;=0,"Enter hours",IF(AND(AllowOT&lt;&gt;"Yes",SUMIF($B$7:$B$256,B205,$I$7:$I$256)&gt;INDEX($O$58:$O$88,DAY(B205))),"Day over "&amp;INDEX($O$58:$O$88,DAY(B205))&amp;" h","✓")))))))))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tr">
        <f aca="false">IF(Projects!B203="","",Projects!B203)</f>
        <v/>
      </c>
      <c r="X205" s="1" t="n">
        <f aca="false">IF(W205="",0,SUMIFS($I$7:$I$256,$D$7:$D$256,W205,$H$7:$H$256,"NTIME"))</f>
        <v>0</v>
      </c>
      <c r="Y205" s="1" t="n">
        <f aca="false">IF(W205="",0,SUMIFS($I$7:$I$256,$D$7:$D$256,W205,$H$7:$H$256,"P6"))</f>
        <v>0</v>
      </c>
      <c r="Z205" s="1" t="n">
        <f aca="false">X205+Y205</f>
        <v>0</v>
      </c>
      <c r="AA205" s="1" t="n">
        <f aca="false">IF(Z205&gt;0,Z205+(201-199)/10^6,0)</f>
        <v>0</v>
      </c>
      <c r="AB205" s="1"/>
      <c r="AC205" s="1"/>
      <c r="AD205" s="1"/>
      <c r="AE205" s="1"/>
      <c r="AF205" s="1"/>
      <c r="AG205" s="1"/>
      <c r="AH205" s="1"/>
    </row>
    <row r="206" customFormat="false" ht="15" hidden="false" customHeight="false" outlineLevel="0" collapsed="false">
      <c r="A206" s="1"/>
      <c r="B206" s="10"/>
      <c r="C206" s="31" t="str">
        <f aca="false">IF(B206="","",TEXT(B206,"ddd"))</f>
        <v/>
      </c>
      <c r="D206" s="11"/>
      <c r="E206" s="8" t="str">
        <f aca="false">IF(D206="","",IFERROR(INDEX(ProjNumbers,MATCH(D206,ProjNames,0)),""))</f>
        <v/>
      </c>
      <c r="F206" s="8" t="str">
        <f aca="false">IF(D206="","",IFERROR(INDEX(ProjCodes,MATCH(D206,ProjNames,0)),""))</f>
        <v/>
      </c>
      <c r="G206" s="32"/>
      <c r="H206" s="11"/>
      <c r="I206" s="33"/>
      <c r="J206" s="8" t="str">
        <f aca="false">IF(COUNTA(B206,D206,G206,H206,I206)=0,"",IF(B206="","Enter date",IF(OR(B206&lt;$AC$2,B206&gt;$AC$3),"Date not in January",IF(D206="","Pick project",IF(ISNA(MATCH(D206,ProjNames,0)),"Project not in list",IF(G206="","Add task description",IF(H206="","Pick NTIME or P6",IF(N(I206)&lt;=0,"Enter hours",IF(AND(AllowOT&lt;&gt;"Yes",SUMIF($B$7:$B$256,B206,$I$7:$I$256)&gt;INDEX($O$58:$O$88,DAY(B206))),"Day over "&amp;INDEX($O$58:$O$88,DAY(B206))&amp;" h","✓")))))))))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tr">
        <f aca="false">IF(Projects!B204="","",Projects!B204)</f>
        <v/>
      </c>
      <c r="X206" s="1" t="n">
        <f aca="false">IF(W206="",0,SUMIFS($I$7:$I$256,$D$7:$D$256,W206,$H$7:$H$256,"NTIME"))</f>
        <v>0</v>
      </c>
      <c r="Y206" s="1" t="n">
        <f aca="false">IF(W206="",0,SUMIFS($I$7:$I$256,$D$7:$D$256,W206,$H$7:$H$256,"P6"))</f>
        <v>0</v>
      </c>
      <c r="Z206" s="1" t="n">
        <f aca="false">X206+Y206</f>
        <v>0</v>
      </c>
      <c r="AA206" s="1" t="n">
        <f aca="false">IF(Z206&gt;0,Z206+(201-200)/10^6,0)</f>
        <v>0</v>
      </c>
      <c r="AB206" s="1"/>
      <c r="AC206" s="1"/>
      <c r="AD206" s="1"/>
      <c r="AE206" s="1"/>
      <c r="AF206" s="1"/>
      <c r="AG206" s="1"/>
      <c r="AH206" s="1"/>
    </row>
    <row r="207" customFormat="false" ht="15" hidden="false" customHeight="false" outlineLevel="0" collapsed="false">
      <c r="A207" s="1"/>
      <c r="B207" s="10"/>
      <c r="C207" s="31" t="str">
        <f aca="false">IF(B207="","",TEXT(B207,"ddd"))</f>
        <v/>
      </c>
      <c r="D207" s="11"/>
      <c r="E207" s="8" t="str">
        <f aca="false">IF(D207="","",IFERROR(INDEX(ProjNumbers,MATCH(D207,ProjNames,0)),""))</f>
        <v/>
      </c>
      <c r="F207" s="8" t="str">
        <f aca="false">IF(D207="","",IFERROR(INDEX(ProjCodes,MATCH(D207,ProjNames,0)),""))</f>
        <v/>
      </c>
      <c r="G207" s="32"/>
      <c r="H207" s="11"/>
      <c r="I207" s="33"/>
      <c r="J207" s="8" t="str">
        <f aca="false">IF(COUNTA(B207,D207,G207,H207,I207)=0,"",IF(B207="","Enter date",IF(OR(B207&lt;$AC$2,B207&gt;$AC$3),"Date not in January",IF(D207="","Pick project",IF(ISNA(MATCH(D207,ProjNames,0)),"Project not in list",IF(G207="","Add task description",IF(H207="","Pick NTIME or P6",IF(N(I207)&lt;=0,"Enter hours",IF(AND(AllowOT&lt;&gt;"Yes",SUMIF($B$7:$B$256,B207,$I$7:$I$256)&gt;INDEX($O$58:$O$88,DAY(B207))),"Day over "&amp;INDEX($O$58:$O$88,DAY(B207))&amp;" h","✓")))))))))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5" hidden="false" customHeight="false" outlineLevel="0" collapsed="false">
      <c r="A208" s="1"/>
      <c r="B208" s="10"/>
      <c r="C208" s="31" t="str">
        <f aca="false">IF(B208="","",TEXT(B208,"ddd"))</f>
        <v/>
      </c>
      <c r="D208" s="11"/>
      <c r="E208" s="8" t="str">
        <f aca="false">IF(D208="","",IFERROR(INDEX(ProjNumbers,MATCH(D208,ProjNames,0)),""))</f>
        <v/>
      </c>
      <c r="F208" s="8" t="str">
        <f aca="false">IF(D208="","",IFERROR(INDEX(ProjCodes,MATCH(D208,ProjNames,0)),""))</f>
        <v/>
      </c>
      <c r="G208" s="32"/>
      <c r="H208" s="11"/>
      <c r="I208" s="33"/>
      <c r="J208" s="8" t="str">
        <f aca="false">IF(COUNTA(B208,D208,G208,H208,I208)=0,"",IF(B208="","Enter date",IF(OR(B208&lt;$AC$2,B208&gt;$AC$3),"Date not in January",IF(D208="","Pick project",IF(ISNA(MATCH(D208,ProjNames,0)),"Project not in list",IF(G208="","Add task description",IF(H208="","Pick NTIME or P6",IF(N(I208)&lt;=0,"Enter hours",IF(AND(AllowOT&lt;&gt;"Yes",SUMIF($B$7:$B$256,B208,$I$7:$I$256)&gt;INDEX($O$58:$O$88,DAY(B208))),"Day over "&amp;INDEX($O$58:$O$88,DAY(B208))&amp;" h","✓")))))))))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5" hidden="false" customHeight="false" outlineLevel="0" collapsed="false">
      <c r="A209" s="1"/>
      <c r="B209" s="10"/>
      <c r="C209" s="31" t="str">
        <f aca="false">IF(B209="","",TEXT(B209,"ddd"))</f>
        <v/>
      </c>
      <c r="D209" s="11"/>
      <c r="E209" s="8" t="str">
        <f aca="false">IF(D209="","",IFERROR(INDEX(ProjNumbers,MATCH(D209,ProjNames,0)),""))</f>
        <v/>
      </c>
      <c r="F209" s="8" t="str">
        <f aca="false">IF(D209="","",IFERROR(INDEX(ProjCodes,MATCH(D209,ProjNames,0)),""))</f>
        <v/>
      </c>
      <c r="G209" s="32"/>
      <c r="H209" s="11"/>
      <c r="I209" s="33"/>
      <c r="J209" s="8" t="str">
        <f aca="false">IF(COUNTA(B209,D209,G209,H209,I209)=0,"",IF(B209="","Enter date",IF(OR(B209&lt;$AC$2,B209&gt;$AC$3),"Date not in January",IF(D209="","Pick project",IF(ISNA(MATCH(D209,ProjNames,0)),"Project not in list",IF(G209="","Add task description",IF(H209="","Pick NTIME or P6",IF(N(I209)&lt;=0,"Enter hours",IF(AND(AllowOT&lt;&gt;"Yes",SUMIF($B$7:$B$256,B209,$I$7:$I$256)&gt;INDEX($O$58:$O$88,DAY(B209))),"Day over "&amp;INDEX($O$58:$O$88,DAY(B209))&amp;" h","✓")))))))))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5" hidden="false" customHeight="false" outlineLevel="0" collapsed="false">
      <c r="A210" s="1"/>
      <c r="B210" s="10"/>
      <c r="C210" s="31" t="str">
        <f aca="false">IF(B210="","",TEXT(B210,"ddd"))</f>
        <v/>
      </c>
      <c r="D210" s="11"/>
      <c r="E210" s="8" t="str">
        <f aca="false">IF(D210="","",IFERROR(INDEX(ProjNumbers,MATCH(D210,ProjNames,0)),""))</f>
        <v/>
      </c>
      <c r="F210" s="8" t="str">
        <f aca="false">IF(D210="","",IFERROR(INDEX(ProjCodes,MATCH(D210,ProjNames,0)),""))</f>
        <v/>
      </c>
      <c r="G210" s="32"/>
      <c r="H210" s="11"/>
      <c r="I210" s="33"/>
      <c r="J210" s="8" t="str">
        <f aca="false">IF(COUNTA(B210,D210,G210,H210,I210)=0,"",IF(B210="","Enter date",IF(OR(B210&lt;$AC$2,B210&gt;$AC$3),"Date not in January",IF(D210="","Pick project",IF(ISNA(MATCH(D210,ProjNames,0)),"Project not in list",IF(G210="","Add task description",IF(H210="","Pick NTIME or P6",IF(N(I210)&lt;=0,"Enter hours",IF(AND(AllowOT&lt;&gt;"Yes",SUMIF($B$7:$B$256,B210,$I$7:$I$256)&gt;INDEX($O$58:$O$88,DAY(B210))),"Day over "&amp;INDEX($O$58:$O$88,DAY(B210))&amp;" h","✓")))))))))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5" hidden="false" customHeight="false" outlineLevel="0" collapsed="false">
      <c r="A211" s="1"/>
      <c r="B211" s="10"/>
      <c r="C211" s="31" t="str">
        <f aca="false">IF(B211="","",TEXT(B211,"ddd"))</f>
        <v/>
      </c>
      <c r="D211" s="11"/>
      <c r="E211" s="8" t="str">
        <f aca="false">IF(D211="","",IFERROR(INDEX(ProjNumbers,MATCH(D211,ProjNames,0)),""))</f>
        <v/>
      </c>
      <c r="F211" s="8" t="str">
        <f aca="false">IF(D211="","",IFERROR(INDEX(ProjCodes,MATCH(D211,ProjNames,0)),""))</f>
        <v/>
      </c>
      <c r="G211" s="32"/>
      <c r="H211" s="11"/>
      <c r="I211" s="33"/>
      <c r="J211" s="8" t="str">
        <f aca="false">IF(COUNTA(B211,D211,G211,H211,I211)=0,"",IF(B211="","Enter date",IF(OR(B211&lt;$AC$2,B211&gt;$AC$3),"Date not in January",IF(D211="","Pick project",IF(ISNA(MATCH(D211,ProjNames,0)),"Project not in list",IF(G211="","Add task description",IF(H211="","Pick NTIME or P6",IF(N(I211)&lt;=0,"Enter hours",IF(AND(AllowOT&lt;&gt;"Yes",SUMIF($B$7:$B$256,B211,$I$7:$I$256)&gt;INDEX($O$58:$O$88,DAY(B211))),"Day over "&amp;INDEX($O$58:$O$88,DAY(B211))&amp;" h","✓")))))))))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5" hidden="false" customHeight="false" outlineLevel="0" collapsed="false">
      <c r="A212" s="1"/>
      <c r="B212" s="10"/>
      <c r="C212" s="31" t="str">
        <f aca="false">IF(B212="","",TEXT(B212,"ddd"))</f>
        <v/>
      </c>
      <c r="D212" s="11"/>
      <c r="E212" s="8" t="str">
        <f aca="false">IF(D212="","",IFERROR(INDEX(ProjNumbers,MATCH(D212,ProjNames,0)),""))</f>
        <v/>
      </c>
      <c r="F212" s="8" t="str">
        <f aca="false">IF(D212="","",IFERROR(INDEX(ProjCodes,MATCH(D212,ProjNames,0)),""))</f>
        <v/>
      </c>
      <c r="G212" s="32"/>
      <c r="H212" s="11"/>
      <c r="I212" s="33"/>
      <c r="J212" s="8" t="str">
        <f aca="false">IF(COUNTA(B212,D212,G212,H212,I212)=0,"",IF(B212="","Enter date",IF(OR(B212&lt;$AC$2,B212&gt;$AC$3),"Date not in January",IF(D212="","Pick project",IF(ISNA(MATCH(D212,ProjNames,0)),"Project not in list",IF(G212="","Add task description",IF(H212="","Pick NTIME or P6",IF(N(I212)&lt;=0,"Enter hours",IF(AND(AllowOT&lt;&gt;"Yes",SUMIF($B$7:$B$256,B212,$I$7:$I$256)&gt;INDEX($O$58:$O$88,DAY(B212))),"Day over "&amp;INDEX($O$58:$O$88,DAY(B212))&amp;" h","✓")))))))))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5" hidden="false" customHeight="false" outlineLevel="0" collapsed="false">
      <c r="A213" s="1"/>
      <c r="B213" s="10"/>
      <c r="C213" s="31" t="str">
        <f aca="false">IF(B213="","",TEXT(B213,"ddd"))</f>
        <v/>
      </c>
      <c r="D213" s="11"/>
      <c r="E213" s="8" t="str">
        <f aca="false">IF(D213="","",IFERROR(INDEX(ProjNumbers,MATCH(D213,ProjNames,0)),""))</f>
        <v/>
      </c>
      <c r="F213" s="8" t="str">
        <f aca="false">IF(D213="","",IFERROR(INDEX(ProjCodes,MATCH(D213,ProjNames,0)),""))</f>
        <v/>
      </c>
      <c r="G213" s="32"/>
      <c r="H213" s="11"/>
      <c r="I213" s="33"/>
      <c r="J213" s="8" t="str">
        <f aca="false">IF(COUNTA(B213,D213,G213,H213,I213)=0,"",IF(B213="","Enter date",IF(OR(B213&lt;$AC$2,B213&gt;$AC$3),"Date not in January",IF(D213="","Pick project",IF(ISNA(MATCH(D213,ProjNames,0)),"Project not in list",IF(G213="","Add task description",IF(H213="","Pick NTIME or P6",IF(N(I213)&lt;=0,"Enter hours",IF(AND(AllowOT&lt;&gt;"Yes",SUMIF($B$7:$B$256,B213,$I$7:$I$256)&gt;INDEX($O$58:$O$88,DAY(B213))),"Day over "&amp;INDEX($O$58:$O$88,DAY(B213))&amp;" h","✓")))))))))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5" hidden="false" customHeight="false" outlineLevel="0" collapsed="false">
      <c r="A214" s="1"/>
      <c r="B214" s="10"/>
      <c r="C214" s="31" t="str">
        <f aca="false">IF(B214="","",TEXT(B214,"ddd"))</f>
        <v/>
      </c>
      <c r="D214" s="11"/>
      <c r="E214" s="8" t="str">
        <f aca="false">IF(D214="","",IFERROR(INDEX(ProjNumbers,MATCH(D214,ProjNames,0)),""))</f>
        <v/>
      </c>
      <c r="F214" s="8" t="str">
        <f aca="false">IF(D214="","",IFERROR(INDEX(ProjCodes,MATCH(D214,ProjNames,0)),""))</f>
        <v/>
      </c>
      <c r="G214" s="32"/>
      <c r="H214" s="11"/>
      <c r="I214" s="33"/>
      <c r="J214" s="8" t="str">
        <f aca="false">IF(COUNTA(B214,D214,G214,H214,I214)=0,"",IF(B214="","Enter date",IF(OR(B214&lt;$AC$2,B214&gt;$AC$3),"Date not in January",IF(D214="","Pick project",IF(ISNA(MATCH(D214,ProjNames,0)),"Project not in list",IF(G214="","Add task description",IF(H214="","Pick NTIME or P6",IF(N(I214)&lt;=0,"Enter hours",IF(AND(AllowOT&lt;&gt;"Yes",SUMIF($B$7:$B$256,B214,$I$7:$I$256)&gt;INDEX($O$58:$O$88,DAY(B214))),"Day over "&amp;INDEX($O$58:$O$88,DAY(B214))&amp;" h","✓")))))))))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5" hidden="false" customHeight="false" outlineLevel="0" collapsed="false">
      <c r="A215" s="1"/>
      <c r="B215" s="10"/>
      <c r="C215" s="31" t="str">
        <f aca="false">IF(B215="","",TEXT(B215,"ddd"))</f>
        <v/>
      </c>
      <c r="D215" s="11"/>
      <c r="E215" s="8" t="str">
        <f aca="false">IF(D215="","",IFERROR(INDEX(ProjNumbers,MATCH(D215,ProjNames,0)),""))</f>
        <v/>
      </c>
      <c r="F215" s="8" t="str">
        <f aca="false">IF(D215="","",IFERROR(INDEX(ProjCodes,MATCH(D215,ProjNames,0)),""))</f>
        <v/>
      </c>
      <c r="G215" s="32"/>
      <c r="H215" s="11"/>
      <c r="I215" s="33"/>
      <c r="J215" s="8" t="str">
        <f aca="false">IF(COUNTA(B215,D215,G215,H215,I215)=0,"",IF(B215="","Enter date",IF(OR(B215&lt;$AC$2,B215&gt;$AC$3),"Date not in January",IF(D215="","Pick project",IF(ISNA(MATCH(D215,ProjNames,0)),"Project not in list",IF(G215="","Add task description",IF(H215="","Pick NTIME or P6",IF(N(I215)&lt;=0,"Enter hours",IF(AND(AllowOT&lt;&gt;"Yes",SUMIF($B$7:$B$256,B215,$I$7:$I$256)&gt;INDEX($O$58:$O$88,DAY(B215))),"Day over "&amp;INDEX($O$58:$O$88,DAY(B215))&amp;" h","✓")))))))))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5" hidden="false" customHeight="false" outlineLevel="0" collapsed="false">
      <c r="A216" s="1"/>
      <c r="B216" s="10"/>
      <c r="C216" s="31" t="str">
        <f aca="false">IF(B216="","",TEXT(B216,"ddd"))</f>
        <v/>
      </c>
      <c r="D216" s="11"/>
      <c r="E216" s="8" t="str">
        <f aca="false">IF(D216="","",IFERROR(INDEX(ProjNumbers,MATCH(D216,ProjNames,0)),""))</f>
        <v/>
      </c>
      <c r="F216" s="8" t="str">
        <f aca="false">IF(D216="","",IFERROR(INDEX(ProjCodes,MATCH(D216,ProjNames,0)),""))</f>
        <v/>
      </c>
      <c r="G216" s="32"/>
      <c r="H216" s="11"/>
      <c r="I216" s="33"/>
      <c r="J216" s="8" t="str">
        <f aca="false">IF(COUNTA(B216,D216,G216,H216,I216)=0,"",IF(B216="","Enter date",IF(OR(B216&lt;$AC$2,B216&gt;$AC$3),"Date not in January",IF(D216="","Pick project",IF(ISNA(MATCH(D216,ProjNames,0)),"Project not in list",IF(G216="","Add task description",IF(H216="","Pick NTIME or P6",IF(N(I216)&lt;=0,"Enter hours",IF(AND(AllowOT&lt;&gt;"Yes",SUMIF($B$7:$B$256,B216,$I$7:$I$256)&gt;INDEX($O$58:$O$88,DAY(B216))),"Day over "&amp;INDEX($O$58:$O$88,DAY(B216))&amp;" h","✓")))))))))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5" hidden="false" customHeight="false" outlineLevel="0" collapsed="false">
      <c r="A217" s="1"/>
      <c r="B217" s="10"/>
      <c r="C217" s="31" t="str">
        <f aca="false">IF(B217="","",TEXT(B217,"ddd"))</f>
        <v/>
      </c>
      <c r="D217" s="11"/>
      <c r="E217" s="8" t="str">
        <f aca="false">IF(D217="","",IFERROR(INDEX(ProjNumbers,MATCH(D217,ProjNames,0)),""))</f>
        <v/>
      </c>
      <c r="F217" s="8" t="str">
        <f aca="false">IF(D217="","",IFERROR(INDEX(ProjCodes,MATCH(D217,ProjNames,0)),""))</f>
        <v/>
      </c>
      <c r="G217" s="32"/>
      <c r="H217" s="11"/>
      <c r="I217" s="33"/>
      <c r="J217" s="8" t="str">
        <f aca="false">IF(COUNTA(B217,D217,G217,H217,I217)=0,"",IF(B217="","Enter date",IF(OR(B217&lt;$AC$2,B217&gt;$AC$3),"Date not in January",IF(D217="","Pick project",IF(ISNA(MATCH(D217,ProjNames,0)),"Project not in list",IF(G217="","Add task description",IF(H217="","Pick NTIME or P6",IF(N(I217)&lt;=0,"Enter hours",IF(AND(AllowOT&lt;&gt;"Yes",SUMIF($B$7:$B$256,B217,$I$7:$I$256)&gt;INDEX($O$58:$O$88,DAY(B217))),"Day over "&amp;INDEX($O$58:$O$88,DAY(B217))&amp;" h","✓")))))))))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5" hidden="false" customHeight="false" outlineLevel="0" collapsed="false">
      <c r="A218" s="1"/>
      <c r="B218" s="10"/>
      <c r="C218" s="31" t="str">
        <f aca="false">IF(B218="","",TEXT(B218,"ddd"))</f>
        <v/>
      </c>
      <c r="D218" s="11"/>
      <c r="E218" s="8" t="str">
        <f aca="false">IF(D218="","",IFERROR(INDEX(ProjNumbers,MATCH(D218,ProjNames,0)),""))</f>
        <v/>
      </c>
      <c r="F218" s="8" t="str">
        <f aca="false">IF(D218="","",IFERROR(INDEX(ProjCodes,MATCH(D218,ProjNames,0)),""))</f>
        <v/>
      </c>
      <c r="G218" s="32"/>
      <c r="H218" s="11"/>
      <c r="I218" s="33"/>
      <c r="J218" s="8" t="str">
        <f aca="false">IF(COUNTA(B218,D218,G218,H218,I218)=0,"",IF(B218="","Enter date",IF(OR(B218&lt;$AC$2,B218&gt;$AC$3),"Date not in January",IF(D218="","Pick project",IF(ISNA(MATCH(D218,ProjNames,0)),"Project not in list",IF(G218="","Add task description",IF(H218="","Pick NTIME or P6",IF(N(I218)&lt;=0,"Enter hours",IF(AND(AllowOT&lt;&gt;"Yes",SUMIF($B$7:$B$256,B218,$I$7:$I$256)&gt;INDEX($O$58:$O$88,DAY(B218))),"Day over "&amp;INDEX($O$58:$O$88,DAY(B218))&amp;" h","✓")))))))))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5" hidden="false" customHeight="false" outlineLevel="0" collapsed="false">
      <c r="A219" s="1"/>
      <c r="B219" s="10"/>
      <c r="C219" s="31" t="str">
        <f aca="false">IF(B219="","",TEXT(B219,"ddd"))</f>
        <v/>
      </c>
      <c r="D219" s="11"/>
      <c r="E219" s="8" t="str">
        <f aca="false">IF(D219="","",IFERROR(INDEX(ProjNumbers,MATCH(D219,ProjNames,0)),""))</f>
        <v/>
      </c>
      <c r="F219" s="8" t="str">
        <f aca="false">IF(D219="","",IFERROR(INDEX(ProjCodes,MATCH(D219,ProjNames,0)),""))</f>
        <v/>
      </c>
      <c r="G219" s="32"/>
      <c r="H219" s="11"/>
      <c r="I219" s="33"/>
      <c r="J219" s="8" t="str">
        <f aca="false">IF(COUNTA(B219,D219,G219,H219,I219)=0,"",IF(B219="","Enter date",IF(OR(B219&lt;$AC$2,B219&gt;$AC$3),"Date not in January",IF(D219="","Pick project",IF(ISNA(MATCH(D219,ProjNames,0)),"Project not in list",IF(G219="","Add task description",IF(H219="","Pick NTIME or P6",IF(N(I219)&lt;=0,"Enter hours",IF(AND(AllowOT&lt;&gt;"Yes",SUMIF($B$7:$B$256,B219,$I$7:$I$256)&gt;INDEX($O$58:$O$88,DAY(B219))),"Day over "&amp;INDEX($O$58:$O$88,DAY(B219))&amp;" h","✓")))))))))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5" hidden="false" customHeight="false" outlineLevel="0" collapsed="false">
      <c r="A220" s="1"/>
      <c r="B220" s="10"/>
      <c r="C220" s="31" t="str">
        <f aca="false">IF(B220="","",TEXT(B220,"ddd"))</f>
        <v/>
      </c>
      <c r="D220" s="11"/>
      <c r="E220" s="8" t="str">
        <f aca="false">IF(D220="","",IFERROR(INDEX(ProjNumbers,MATCH(D220,ProjNames,0)),""))</f>
        <v/>
      </c>
      <c r="F220" s="8" t="str">
        <f aca="false">IF(D220="","",IFERROR(INDEX(ProjCodes,MATCH(D220,ProjNames,0)),""))</f>
        <v/>
      </c>
      <c r="G220" s="32"/>
      <c r="H220" s="11"/>
      <c r="I220" s="33"/>
      <c r="J220" s="8" t="str">
        <f aca="false">IF(COUNTA(B220,D220,G220,H220,I220)=0,"",IF(B220="","Enter date",IF(OR(B220&lt;$AC$2,B220&gt;$AC$3),"Date not in January",IF(D220="","Pick project",IF(ISNA(MATCH(D220,ProjNames,0)),"Project not in list",IF(G220="","Add task description",IF(H220="","Pick NTIME or P6",IF(N(I220)&lt;=0,"Enter hours",IF(AND(AllowOT&lt;&gt;"Yes",SUMIF($B$7:$B$256,B220,$I$7:$I$256)&gt;INDEX($O$58:$O$88,DAY(B220))),"Day over "&amp;INDEX($O$58:$O$88,DAY(B220))&amp;" h","✓")))))))))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5" hidden="false" customHeight="false" outlineLevel="0" collapsed="false">
      <c r="A221" s="1"/>
      <c r="B221" s="10"/>
      <c r="C221" s="31" t="str">
        <f aca="false">IF(B221="","",TEXT(B221,"ddd"))</f>
        <v/>
      </c>
      <c r="D221" s="11"/>
      <c r="E221" s="8" t="str">
        <f aca="false">IF(D221="","",IFERROR(INDEX(ProjNumbers,MATCH(D221,ProjNames,0)),""))</f>
        <v/>
      </c>
      <c r="F221" s="8" t="str">
        <f aca="false">IF(D221="","",IFERROR(INDEX(ProjCodes,MATCH(D221,ProjNames,0)),""))</f>
        <v/>
      </c>
      <c r="G221" s="32"/>
      <c r="H221" s="11"/>
      <c r="I221" s="33"/>
      <c r="J221" s="8" t="str">
        <f aca="false">IF(COUNTA(B221,D221,G221,H221,I221)=0,"",IF(B221="","Enter date",IF(OR(B221&lt;$AC$2,B221&gt;$AC$3),"Date not in January",IF(D221="","Pick project",IF(ISNA(MATCH(D221,ProjNames,0)),"Project not in list",IF(G221="","Add task description",IF(H221="","Pick NTIME or P6",IF(N(I221)&lt;=0,"Enter hours",IF(AND(AllowOT&lt;&gt;"Yes",SUMIF($B$7:$B$256,B221,$I$7:$I$256)&gt;INDEX($O$58:$O$88,DAY(B221))),"Day over "&amp;INDEX($O$58:$O$88,DAY(B221))&amp;" h","✓")))))))))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5" hidden="false" customHeight="false" outlineLevel="0" collapsed="false">
      <c r="A222" s="1"/>
      <c r="B222" s="10"/>
      <c r="C222" s="31" t="str">
        <f aca="false">IF(B222="","",TEXT(B222,"ddd"))</f>
        <v/>
      </c>
      <c r="D222" s="11"/>
      <c r="E222" s="8" t="str">
        <f aca="false">IF(D222="","",IFERROR(INDEX(ProjNumbers,MATCH(D222,ProjNames,0)),""))</f>
        <v/>
      </c>
      <c r="F222" s="8" t="str">
        <f aca="false">IF(D222="","",IFERROR(INDEX(ProjCodes,MATCH(D222,ProjNames,0)),""))</f>
        <v/>
      </c>
      <c r="G222" s="32"/>
      <c r="H222" s="11"/>
      <c r="I222" s="33"/>
      <c r="J222" s="8" t="str">
        <f aca="false">IF(COUNTA(B222,D222,G222,H222,I222)=0,"",IF(B222="","Enter date",IF(OR(B222&lt;$AC$2,B222&gt;$AC$3),"Date not in January",IF(D222="","Pick project",IF(ISNA(MATCH(D222,ProjNames,0)),"Project not in list",IF(G222="","Add task description",IF(H222="","Pick NTIME or P6",IF(N(I222)&lt;=0,"Enter hours",IF(AND(AllowOT&lt;&gt;"Yes",SUMIF($B$7:$B$256,B222,$I$7:$I$256)&gt;INDEX($O$58:$O$88,DAY(B222))),"Day over "&amp;INDEX($O$58:$O$88,DAY(B222))&amp;" h","✓")))))))))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5" hidden="false" customHeight="false" outlineLevel="0" collapsed="false">
      <c r="A223" s="1"/>
      <c r="B223" s="10"/>
      <c r="C223" s="31" t="str">
        <f aca="false">IF(B223="","",TEXT(B223,"ddd"))</f>
        <v/>
      </c>
      <c r="D223" s="11"/>
      <c r="E223" s="8" t="str">
        <f aca="false">IF(D223="","",IFERROR(INDEX(ProjNumbers,MATCH(D223,ProjNames,0)),""))</f>
        <v/>
      </c>
      <c r="F223" s="8" t="str">
        <f aca="false">IF(D223="","",IFERROR(INDEX(ProjCodes,MATCH(D223,ProjNames,0)),""))</f>
        <v/>
      </c>
      <c r="G223" s="32"/>
      <c r="H223" s="11"/>
      <c r="I223" s="33"/>
      <c r="J223" s="8" t="str">
        <f aca="false">IF(COUNTA(B223,D223,G223,H223,I223)=0,"",IF(B223="","Enter date",IF(OR(B223&lt;$AC$2,B223&gt;$AC$3),"Date not in January",IF(D223="","Pick project",IF(ISNA(MATCH(D223,ProjNames,0)),"Project not in list",IF(G223="","Add task description",IF(H223="","Pick NTIME or P6",IF(N(I223)&lt;=0,"Enter hours",IF(AND(AllowOT&lt;&gt;"Yes",SUMIF($B$7:$B$256,B223,$I$7:$I$256)&gt;INDEX($O$58:$O$88,DAY(B223))),"Day over "&amp;INDEX($O$58:$O$88,DAY(B223))&amp;" h","✓")))))))))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5" hidden="false" customHeight="false" outlineLevel="0" collapsed="false">
      <c r="A224" s="1"/>
      <c r="B224" s="10"/>
      <c r="C224" s="31" t="str">
        <f aca="false">IF(B224="","",TEXT(B224,"ddd"))</f>
        <v/>
      </c>
      <c r="D224" s="11"/>
      <c r="E224" s="8" t="str">
        <f aca="false">IF(D224="","",IFERROR(INDEX(ProjNumbers,MATCH(D224,ProjNames,0)),""))</f>
        <v/>
      </c>
      <c r="F224" s="8" t="str">
        <f aca="false">IF(D224="","",IFERROR(INDEX(ProjCodes,MATCH(D224,ProjNames,0)),""))</f>
        <v/>
      </c>
      <c r="G224" s="32"/>
      <c r="H224" s="11"/>
      <c r="I224" s="33"/>
      <c r="J224" s="8" t="str">
        <f aca="false">IF(COUNTA(B224,D224,G224,H224,I224)=0,"",IF(B224="","Enter date",IF(OR(B224&lt;$AC$2,B224&gt;$AC$3),"Date not in January",IF(D224="","Pick project",IF(ISNA(MATCH(D224,ProjNames,0)),"Project not in list",IF(G224="","Add task description",IF(H224="","Pick NTIME or P6",IF(N(I224)&lt;=0,"Enter hours",IF(AND(AllowOT&lt;&gt;"Yes",SUMIF($B$7:$B$256,B224,$I$7:$I$256)&gt;INDEX($O$58:$O$88,DAY(B224))),"Day over "&amp;INDEX($O$58:$O$88,DAY(B224))&amp;" h","✓")))))))))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5" hidden="false" customHeight="false" outlineLevel="0" collapsed="false">
      <c r="A225" s="1"/>
      <c r="B225" s="10"/>
      <c r="C225" s="31" t="str">
        <f aca="false">IF(B225="","",TEXT(B225,"ddd"))</f>
        <v/>
      </c>
      <c r="D225" s="11"/>
      <c r="E225" s="8" t="str">
        <f aca="false">IF(D225="","",IFERROR(INDEX(ProjNumbers,MATCH(D225,ProjNames,0)),""))</f>
        <v/>
      </c>
      <c r="F225" s="8" t="str">
        <f aca="false">IF(D225="","",IFERROR(INDEX(ProjCodes,MATCH(D225,ProjNames,0)),""))</f>
        <v/>
      </c>
      <c r="G225" s="32"/>
      <c r="H225" s="11"/>
      <c r="I225" s="33"/>
      <c r="J225" s="8" t="str">
        <f aca="false">IF(COUNTA(B225,D225,G225,H225,I225)=0,"",IF(B225="","Enter date",IF(OR(B225&lt;$AC$2,B225&gt;$AC$3),"Date not in January",IF(D225="","Pick project",IF(ISNA(MATCH(D225,ProjNames,0)),"Project not in list",IF(G225="","Add task description",IF(H225="","Pick NTIME or P6",IF(N(I225)&lt;=0,"Enter hours",IF(AND(AllowOT&lt;&gt;"Yes",SUMIF($B$7:$B$256,B225,$I$7:$I$256)&gt;INDEX($O$58:$O$88,DAY(B225))),"Day over "&amp;INDEX($O$58:$O$88,DAY(B225))&amp;" h","✓")))))))))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5" hidden="false" customHeight="false" outlineLevel="0" collapsed="false">
      <c r="A226" s="1"/>
      <c r="B226" s="10"/>
      <c r="C226" s="31" t="str">
        <f aca="false">IF(B226="","",TEXT(B226,"ddd"))</f>
        <v/>
      </c>
      <c r="D226" s="11"/>
      <c r="E226" s="8" t="str">
        <f aca="false">IF(D226="","",IFERROR(INDEX(ProjNumbers,MATCH(D226,ProjNames,0)),""))</f>
        <v/>
      </c>
      <c r="F226" s="8" t="str">
        <f aca="false">IF(D226="","",IFERROR(INDEX(ProjCodes,MATCH(D226,ProjNames,0)),""))</f>
        <v/>
      </c>
      <c r="G226" s="32"/>
      <c r="H226" s="11"/>
      <c r="I226" s="33"/>
      <c r="J226" s="8" t="str">
        <f aca="false">IF(COUNTA(B226,D226,G226,H226,I226)=0,"",IF(B226="","Enter date",IF(OR(B226&lt;$AC$2,B226&gt;$AC$3),"Date not in January",IF(D226="","Pick project",IF(ISNA(MATCH(D226,ProjNames,0)),"Project not in list",IF(G226="","Add task description",IF(H226="","Pick NTIME or P6",IF(N(I226)&lt;=0,"Enter hours",IF(AND(AllowOT&lt;&gt;"Yes",SUMIF($B$7:$B$256,B226,$I$7:$I$256)&gt;INDEX($O$58:$O$88,DAY(B226))),"Day over "&amp;INDEX($O$58:$O$88,DAY(B226))&amp;" h","✓")))))))))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5" hidden="false" customHeight="false" outlineLevel="0" collapsed="false">
      <c r="A227" s="1"/>
      <c r="B227" s="10"/>
      <c r="C227" s="31" t="str">
        <f aca="false">IF(B227="","",TEXT(B227,"ddd"))</f>
        <v/>
      </c>
      <c r="D227" s="11"/>
      <c r="E227" s="8" t="str">
        <f aca="false">IF(D227="","",IFERROR(INDEX(ProjNumbers,MATCH(D227,ProjNames,0)),""))</f>
        <v/>
      </c>
      <c r="F227" s="8" t="str">
        <f aca="false">IF(D227="","",IFERROR(INDEX(ProjCodes,MATCH(D227,ProjNames,0)),""))</f>
        <v/>
      </c>
      <c r="G227" s="32"/>
      <c r="H227" s="11"/>
      <c r="I227" s="33"/>
      <c r="J227" s="8" t="str">
        <f aca="false">IF(COUNTA(B227,D227,G227,H227,I227)=0,"",IF(B227="","Enter date",IF(OR(B227&lt;$AC$2,B227&gt;$AC$3),"Date not in January",IF(D227="","Pick project",IF(ISNA(MATCH(D227,ProjNames,0)),"Project not in list",IF(G227="","Add task description",IF(H227="","Pick NTIME or P6",IF(N(I227)&lt;=0,"Enter hours",IF(AND(AllowOT&lt;&gt;"Yes",SUMIF($B$7:$B$256,B227,$I$7:$I$256)&gt;INDEX($O$58:$O$88,DAY(B227))),"Day over "&amp;INDEX($O$58:$O$88,DAY(B227))&amp;" h","✓")))))))))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5" hidden="false" customHeight="false" outlineLevel="0" collapsed="false">
      <c r="A228" s="1"/>
      <c r="B228" s="10"/>
      <c r="C228" s="31" t="str">
        <f aca="false">IF(B228="","",TEXT(B228,"ddd"))</f>
        <v/>
      </c>
      <c r="D228" s="11"/>
      <c r="E228" s="8" t="str">
        <f aca="false">IF(D228="","",IFERROR(INDEX(ProjNumbers,MATCH(D228,ProjNames,0)),""))</f>
        <v/>
      </c>
      <c r="F228" s="8" t="str">
        <f aca="false">IF(D228="","",IFERROR(INDEX(ProjCodes,MATCH(D228,ProjNames,0)),""))</f>
        <v/>
      </c>
      <c r="G228" s="32"/>
      <c r="H228" s="11"/>
      <c r="I228" s="33"/>
      <c r="J228" s="8" t="str">
        <f aca="false">IF(COUNTA(B228,D228,G228,H228,I228)=0,"",IF(B228="","Enter date",IF(OR(B228&lt;$AC$2,B228&gt;$AC$3),"Date not in January",IF(D228="","Pick project",IF(ISNA(MATCH(D228,ProjNames,0)),"Project not in list",IF(G228="","Add task description",IF(H228="","Pick NTIME or P6",IF(N(I228)&lt;=0,"Enter hours",IF(AND(AllowOT&lt;&gt;"Yes",SUMIF($B$7:$B$256,B228,$I$7:$I$256)&gt;INDEX($O$58:$O$88,DAY(B228))),"Day over "&amp;INDEX($O$58:$O$88,DAY(B228))&amp;" h","✓")))))))))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5" hidden="false" customHeight="false" outlineLevel="0" collapsed="false">
      <c r="A229" s="1"/>
      <c r="B229" s="10"/>
      <c r="C229" s="31" t="str">
        <f aca="false">IF(B229="","",TEXT(B229,"ddd"))</f>
        <v/>
      </c>
      <c r="D229" s="11"/>
      <c r="E229" s="8" t="str">
        <f aca="false">IF(D229="","",IFERROR(INDEX(ProjNumbers,MATCH(D229,ProjNames,0)),""))</f>
        <v/>
      </c>
      <c r="F229" s="8" t="str">
        <f aca="false">IF(D229="","",IFERROR(INDEX(ProjCodes,MATCH(D229,ProjNames,0)),""))</f>
        <v/>
      </c>
      <c r="G229" s="32"/>
      <c r="H229" s="11"/>
      <c r="I229" s="33"/>
      <c r="J229" s="8" t="str">
        <f aca="false">IF(COUNTA(B229,D229,G229,H229,I229)=0,"",IF(B229="","Enter date",IF(OR(B229&lt;$AC$2,B229&gt;$AC$3),"Date not in January",IF(D229="","Pick project",IF(ISNA(MATCH(D229,ProjNames,0)),"Project not in list",IF(G229="","Add task description",IF(H229="","Pick NTIME or P6",IF(N(I229)&lt;=0,"Enter hours",IF(AND(AllowOT&lt;&gt;"Yes",SUMIF($B$7:$B$256,B229,$I$7:$I$256)&gt;INDEX($O$58:$O$88,DAY(B229))),"Day over "&amp;INDEX($O$58:$O$88,DAY(B229))&amp;" h","✓")))))))))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5" hidden="false" customHeight="false" outlineLevel="0" collapsed="false">
      <c r="A230" s="1"/>
      <c r="B230" s="10"/>
      <c r="C230" s="31" t="str">
        <f aca="false">IF(B230="","",TEXT(B230,"ddd"))</f>
        <v/>
      </c>
      <c r="D230" s="11"/>
      <c r="E230" s="8" t="str">
        <f aca="false">IF(D230="","",IFERROR(INDEX(ProjNumbers,MATCH(D230,ProjNames,0)),""))</f>
        <v/>
      </c>
      <c r="F230" s="8" t="str">
        <f aca="false">IF(D230="","",IFERROR(INDEX(ProjCodes,MATCH(D230,ProjNames,0)),""))</f>
        <v/>
      </c>
      <c r="G230" s="32"/>
      <c r="H230" s="11"/>
      <c r="I230" s="33"/>
      <c r="J230" s="8" t="str">
        <f aca="false">IF(COUNTA(B230,D230,G230,H230,I230)=0,"",IF(B230="","Enter date",IF(OR(B230&lt;$AC$2,B230&gt;$AC$3),"Date not in January",IF(D230="","Pick project",IF(ISNA(MATCH(D230,ProjNames,0)),"Project not in list",IF(G230="","Add task description",IF(H230="","Pick NTIME or P6",IF(N(I230)&lt;=0,"Enter hours",IF(AND(AllowOT&lt;&gt;"Yes",SUMIF($B$7:$B$256,B230,$I$7:$I$256)&gt;INDEX($O$58:$O$88,DAY(B230))),"Day over "&amp;INDEX($O$58:$O$88,DAY(B230))&amp;" h","✓")))))))))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5" hidden="false" customHeight="false" outlineLevel="0" collapsed="false">
      <c r="A231" s="1"/>
      <c r="B231" s="10"/>
      <c r="C231" s="31" t="str">
        <f aca="false">IF(B231="","",TEXT(B231,"ddd"))</f>
        <v/>
      </c>
      <c r="D231" s="11"/>
      <c r="E231" s="8" t="str">
        <f aca="false">IF(D231="","",IFERROR(INDEX(ProjNumbers,MATCH(D231,ProjNames,0)),""))</f>
        <v/>
      </c>
      <c r="F231" s="8" t="str">
        <f aca="false">IF(D231="","",IFERROR(INDEX(ProjCodes,MATCH(D231,ProjNames,0)),""))</f>
        <v/>
      </c>
      <c r="G231" s="32"/>
      <c r="H231" s="11"/>
      <c r="I231" s="33"/>
      <c r="J231" s="8" t="str">
        <f aca="false">IF(COUNTA(B231,D231,G231,H231,I231)=0,"",IF(B231="","Enter date",IF(OR(B231&lt;$AC$2,B231&gt;$AC$3),"Date not in January",IF(D231="","Pick project",IF(ISNA(MATCH(D231,ProjNames,0)),"Project not in list",IF(G231="","Add task description",IF(H231="","Pick NTIME or P6",IF(N(I231)&lt;=0,"Enter hours",IF(AND(AllowOT&lt;&gt;"Yes",SUMIF($B$7:$B$256,B231,$I$7:$I$256)&gt;INDEX($O$58:$O$88,DAY(B231))),"Day over "&amp;INDEX($O$58:$O$88,DAY(B231))&amp;" h","✓")))))))))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5" hidden="false" customHeight="false" outlineLevel="0" collapsed="false">
      <c r="A232" s="1"/>
      <c r="B232" s="10"/>
      <c r="C232" s="31" t="str">
        <f aca="false">IF(B232="","",TEXT(B232,"ddd"))</f>
        <v/>
      </c>
      <c r="D232" s="11"/>
      <c r="E232" s="8" t="str">
        <f aca="false">IF(D232="","",IFERROR(INDEX(ProjNumbers,MATCH(D232,ProjNames,0)),""))</f>
        <v/>
      </c>
      <c r="F232" s="8" t="str">
        <f aca="false">IF(D232="","",IFERROR(INDEX(ProjCodes,MATCH(D232,ProjNames,0)),""))</f>
        <v/>
      </c>
      <c r="G232" s="32"/>
      <c r="H232" s="11"/>
      <c r="I232" s="33"/>
      <c r="J232" s="8" t="str">
        <f aca="false">IF(COUNTA(B232,D232,G232,H232,I232)=0,"",IF(B232="","Enter date",IF(OR(B232&lt;$AC$2,B232&gt;$AC$3),"Date not in January",IF(D232="","Pick project",IF(ISNA(MATCH(D232,ProjNames,0)),"Project not in list",IF(G232="","Add task description",IF(H232="","Pick NTIME or P6",IF(N(I232)&lt;=0,"Enter hours",IF(AND(AllowOT&lt;&gt;"Yes",SUMIF($B$7:$B$256,B232,$I$7:$I$256)&gt;INDEX($O$58:$O$88,DAY(B232))),"Day over "&amp;INDEX($O$58:$O$88,DAY(B232))&amp;" h","✓")))))))))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5" hidden="false" customHeight="false" outlineLevel="0" collapsed="false">
      <c r="A233" s="1"/>
      <c r="B233" s="10"/>
      <c r="C233" s="31" t="str">
        <f aca="false">IF(B233="","",TEXT(B233,"ddd"))</f>
        <v/>
      </c>
      <c r="D233" s="11"/>
      <c r="E233" s="8" t="str">
        <f aca="false">IF(D233="","",IFERROR(INDEX(ProjNumbers,MATCH(D233,ProjNames,0)),""))</f>
        <v/>
      </c>
      <c r="F233" s="8" t="str">
        <f aca="false">IF(D233="","",IFERROR(INDEX(ProjCodes,MATCH(D233,ProjNames,0)),""))</f>
        <v/>
      </c>
      <c r="G233" s="32"/>
      <c r="H233" s="11"/>
      <c r="I233" s="33"/>
      <c r="J233" s="8" t="str">
        <f aca="false">IF(COUNTA(B233,D233,G233,H233,I233)=0,"",IF(B233="","Enter date",IF(OR(B233&lt;$AC$2,B233&gt;$AC$3),"Date not in January",IF(D233="","Pick project",IF(ISNA(MATCH(D233,ProjNames,0)),"Project not in list",IF(G233="","Add task description",IF(H233="","Pick NTIME or P6",IF(N(I233)&lt;=0,"Enter hours",IF(AND(AllowOT&lt;&gt;"Yes",SUMIF($B$7:$B$256,B233,$I$7:$I$256)&gt;INDEX($O$58:$O$88,DAY(B233))),"Day over "&amp;INDEX($O$58:$O$88,DAY(B233))&amp;" h","✓")))))))))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5" hidden="false" customHeight="false" outlineLevel="0" collapsed="false">
      <c r="A234" s="1"/>
      <c r="B234" s="10"/>
      <c r="C234" s="31" t="str">
        <f aca="false">IF(B234="","",TEXT(B234,"ddd"))</f>
        <v/>
      </c>
      <c r="D234" s="11"/>
      <c r="E234" s="8" t="str">
        <f aca="false">IF(D234="","",IFERROR(INDEX(ProjNumbers,MATCH(D234,ProjNames,0)),""))</f>
        <v/>
      </c>
      <c r="F234" s="8" t="str">
        <f aca="false">IF(D234="","",IFERROR(INDEX(ProjCodes,MATCH(D234,ProjNames,0)),""))</f>
        <v/>
      </c>
      <c r="G234" s="32"/>
      <c r="H234" s="11"/>
      <c r="I234" s="33"/>
      <c r="J234" s="8" t="str">
        <f aca="false">IF(COUNTA(B234,D234,G234,H234,I234)=0,"",IF(B234="","Enter date",IF(OR(B234&lt;$AC$2,B234&gt;$AC$3),"Date not in January",IF(D234="","Pick project",IF(ISNA(MATCH(D234,ProjNames,0)),"Project not in list",IF(G234="","Add task description",IF(H234="","Pick NTIME or P6",IF(N(I234)&lt;=0,"Enter hours",IF(AND(AllowOT&lt;&gt;"Yes",SUMIF($B$7:$B$256,B234,$I$7:$I$256)&gt;INDEX($O$58:$O$88,DAY(B234))),"Day over "&amp;INDEX($O$58:$O$88,DAY(B234))&amp;" h","✓")))))))))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5" hidden="false" customHeight="false" outlineLevel="0" collapsed="false">
      <c r="A235" s="1"/>
      <c r="B235" s="10"/>
      <c r="C235" s="31" t="str">
        <f aca="false">IF(B235="","",TEXT(B235,"ddd"))</f>
        <v/>
      </c>
      <c r="D235" s="11"/>
      <c r="E235" s="8" t="str">
        <f aca="false">IF(D235="","",IFERROR(INDEX(ProjNumbers,MATCH(D235,ProjNames,0)),""))</f>
        <v/>
      </c>
      <c r="F235" s="8" t="str">
        <f aca="false">IF(D235="","",IFERROR(INDEX(ProjCodes,MATCH(D235,ProjNames,0)),""))</f>
        <v/>
      </c>
      <c r="G235" s="32"/>
      <c r="H235" s="11"/>
      <c r="I235" s="33"/>
      <c r="J235" s="8" t="str">
        <f aca="false">IF(COUNTA(B235,D235,G235,H235,I235)=0,"",IF(B235="","Enter date",IF(OR(B235&lt;$AC$2,B235&gt;$AC$3),"Date not in January",IF(D235="","Pick project",IF(ISNA(MATCH(D235,ProjNames,0)),"Project not in list",IF(G235="","Add task description",IF(H235="","Pick NTIME or P6",IF(N(I235)&lt;=0,"Enter hours",IF(AND(AllowOT&lt;&gt;"Yes",SUMIF($B$7:$B$256,B235,$I$7:$I$256)&gt;INDEX($O$58:$O$88,DAY(B235))),"Day over "&amp;INDEX($O$58:$O$88,DAY(B235))&amp;" h","✓")))))))))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5" hidden="false" customHeight="false" outlineLevel="0" collapsed="false">
      <c r="A236" s="1"/>
      <c r="B236" s="10"/>
      <c r="C236" s="31" t="str">
        <f aca="false">IF(B236="","",TEXT(B236,"ddd"))</f>
        <v/>
      </c>
      <c r="D236" s="11"/>
      <c r="E236" s="8" t="str">
        <f aca="false">IF(D236="","",IFERROR(INDEX(ProjNumbers,MATCH(D236,ProjNames,0)),""))</f>
        <v/>
      </c>
      <c r="F236" s="8" t="str">
        <f aca="false">IF(D236="","",IFERROR(INDEX(ProjCodes,MATCH(D236,ProjNames,0)),""))</f>
        <v/>
      </c>
      <c r="G236" s="32"/>
      <c r="H236" s="11"/>
      <c r="I236" s="33"/>
      <c r="J236" s="8" t="str">
        <f aca="false">IF(COUNTA(B236,D236,G236,H236,I236)=0,"",IF(B236="","Enter date",IF(OR(B236&lt;$AC$2,B236&gt;$AC$3),"Date not in January",IF(D236="","Pick project",IF(ISNA(MATCH(D236,ProjNames,0)),"Project not in list",IF(G236="","Add task description",IF(H236="","Pick NTIME or P6",IF(N(I236)&lt;=0,"Enter hours",IF(AND(AllowOT&lt;&gt;"Yes",SUMIF($B$7:$B$256,B236,$I$7:$I$256)&gt;INDEX($O$58:$O$88,DAY(B236))),"Day over "&amp;INDEX($O$58:$O$88,DAY(B236))&amp;" h","✓")))))))))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5" hidden="false" customHeight="false" outlineLevel="0" collapsed="false">
      <c r="A237" s="1"/>
      <c r="B237" s="10"/>
      <c r="C237" s="31" t="str">
        <f aca="false">IF(B237="","",TEXT(B237,"ddd"))</f>
        <v/>
      </c>
      <c r="D237" s="11"/>
      <c r="E237" s="8" t="str">
        <f aca="false">IF(D237="","",IFERROR(INDEX(ProjNumbers,MATCH(D237,ProjNames,0)),""))</f>
        <v/>
      </c>
      <c r="F237" s="8" t="str">
        <f aca="false">IF(D237="","",IFERROR(INDEX(ProjCodes,MATCH(D237,ProjNames,0)),""))</f>
        <v/>
      </c>
      <c r="G237" s="32"/>
      <c r="H237" s="11"/>
      <c r="I237" s="33"/>
      <c r="J237" s="8" t="str">
        <f aca="false">IF(COUNTA(B237,D237,G237,H237,I237)=0,"",IF(B237="","Enter date",IF(OR(B237&lt;$AC$2,B237&gt;$AC$3),"Date not in January",IF(D237="","Pick project",IF(ISNA(MATCH(D237,ProjNames,0)),"Project not in list",IF(G237="","Add task description",IF(H237="","Pick NTIME or P6",IF(N(I237)&lt;=0,"Enter hours",IF(AND(AllowOT&lt;&gt;"Yes",SUMIF($B$7:$B$256,B237,$I$7:$I$256)&gt;INDEX($O$58:$O$88,DAY(B237))),"Day over "&amp;INDEX($O$58:$O$88,DAY(B237))&amp;" h","✓")))))))))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5" hidden="false" customHeight="false" outlineLevel="0" collapsed="false">
      <c r="A238" s="1"/>
      <c r="B238" s="10"/>
      <c r="C238" s="31" t="str">
        <f aca="false">IF(B238="","",TEXT(B238,"ddd"))</f>
        <v/>
      </c>
      <c r="D238" s="11"/>
      <c r="E238" s="8" t="str">
        <f aca="false">IF(D238="","",IFERROR(INDEX(ProjNumbers,MATCH(D238,ProjNames,0)),""))</f>
        <v/>
      </c>
      <c r="F238" s="8" t="str">
        <f aca="false">IF(D238="","",IFERROR(INDEX(ProjCodes,MATCH(D238,ProjNames,0)),""))</f>
        <v/>
      </c>
      <c r="G238" s="32"/>
      <c r="H238" s="11"/>
      <c r="I238" s="33"/>
      <c r="J238" s="8" t="str">
        <f aca="false">IF(COUNTA(B238,D238,G238,H238,I238)=0,"",IF(B238="","Enter date",IF(OR(B238&lt;$AC$2,B238&gt;$AC$3),"Date not in January",IF(D238="","Pick project",IF(ISNA(MATCH(D238,ProjNames,0)),"Project not in list",IF(G238="","Add task description",IF(H238="","Pick NTIME or P6",IF(N(I238)&lt;=0,"Enter hours",IF(AND(AllowOT&lt;&gt;"Yes",SUMIF($B$7:$B$256,B238,$I$7:$I$256)&gt;INDEX($O$58:$O$88,DAY(B238))),"Day over "&amp;INDEX($O$58:$O$88,DAY(B238))&amp;" h","✓")))))))))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5" hidden="false" customHeight="false" outlineLevel="0" collapsed="false">
      <c r="A239" s="1"/>
      <c r="B239" s="10"/>
      <c r="C239" s="31" t="str">
        <f aca="false">IF(B239="","",TEXT(B239,"ddd"))</f>
        <v/>
      </c>
      <c r="D239" s="11"/>
      <c r="E239" s="8" t="str">
        <f aca="false">IF(D239="","",IFERROR(INDEX(ProjNumbers,MATCH(D239,ProjNames,0)),""))</f>
        <v/>
      </c>
      <c r="F239" s="8" t="str">
        <f aca="false">IF(D239="","",IFERROR(INDEX(ProjCodes,MATCH(D239,ProjNames,0)),""))</f>
        <v/>
      </c>
      <c r="G239" s="32"/>
      <c r="H239" s="11"/>
      <c r="I239" s="33"/>
      <c r="J239" s="8" t="str">
        <f aca="false">IF(COUNTA(B239,D239,G239,H239,I239)=0,"",IF(B239="","Enter date",IF(OR(B239&lt;$AC$2,B239&gt;$AC$3),"Date not in January",IF(D239="","Pick project",IF(ISNA(MATCH(D239,ProjNames,0)),"Project not in list",IF(G239="","Add task description",IF(H239="","Pick NTIME or P6",IF(N(I239)&lt;=0,"Enter hours",IF(AND(AllowOT&lt;&gt;"Yes",SUMIF($B$7:$B$256,B239,$I$7:$I$256)&gt;INDEX($O$58:$O$88,DAY(B239))),"Day over "&amp;INDEX($O$58:$O$88,DAY(B239))&amp;" h","✓")))))))))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5" hidden="false" customHeight="false" outlineLevel="0" collapsed="false">
      <c r="A240" s="1"/>
      <c r="B240" s="10"/>
      <c r="C240" s="31" t="str">
        <f aca="false">IF(B240="","",TEXT(B240,"ddd"))</f>
        <v/>
      </c>
      <c r="D240" s="11"/>
      <c r="E240" s="8" t="str">
        <f aca="false">IF(D240="","",IFERROR(INDEX(ProjNumbers,MATCH(D240,ProjNames,0)),""))</f>
        <v/>
      </c>
      <c r="F240" s="8" t="str">
        <f aca="false">IF(D240="","",IFERROR(INDEX(ProjCodes,MATCH(D240,ProjNames,0)),""))</f>
        <v/>
      </c>
      <c r="G240" s="32"/>
      <c r="H240" s="11"/>
      <c r="I240" s="33"/>
      <c r="J240" s="8" t="str">
        <f aca="false">IF(COUNTA(B240,D240,G240,H240,I240)=0,"",IF(B240="","Enter date",IF(OR(B240&lt;$AC$2,B240&gt;$AC$3),"Date not in January",IF(D240="","Pick project",IF(ISNA(MATCH(D240,ProjNames,0)),"Project not in list",IF(G240="","Add task description",IF(H240="","Pick NTIME or P6",IF(N(I240)&lt;=0,"Enter hours",IF(AND(AllowOT&lt;&gt;"Yes",SUMIF($B$7:$B$256,B240,$I$7:$I$256)&gt;INDEX($O$58:$O$88,DAY(B240))),"Day over "&amp;INDEX($O$58:$O$88,DAY(B240))&amp;" h","✓")))))))))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5" hidden="false" customHeight="false" outlineLevel="0" collapsed="false">
      <c r="A241" s="1"/>
      <c r="B241" s="10"/>
      <c r="C241" s="31" t="str">
        <f aca="false">IF(B241="","",TEXT(B241,"ddd"))</f>
        <v/>
      </c>
      <c r="D241" s="11"/>
      <c r="E241" s="8" t="str">
        <f aca="false">IF(D241="","",IFERROR(INDEX(ProjNumbers,MATCH(D241,ProjNames,0)),""))</f>
        <v/>
      </c>
      <c r="F241" s="8" t="str">
        <f aca="false">IF(D241="","",IFERROR(INDEX(ProjCodes,MATCH(D241,ProjNames,0)),""))</f>
        <v/>
      </c>
      <c r="G241" s="32"/>
      <c r="H241" s="11"/>
      <c r="I241" s="33"/>
      <c r="J241" s="8" t="str">
        <f aca="false">IF(COUNTA(B241,D241,G241,H241,I241)=0,"",IF(B241="","Enter date",IF(OR(B241&lt;$AC$2,B241&gt;$AC$3),"Date not in January",IF(D241="","Pick project",IF(ISNA(MATCH(D241,ProjNames,0)),"Project not in list",IF(G241="","Add task description",IF(H241="","Pick NTIME or P6",IF(N(I241)&lt;=0,"Enter hours",IF(AND(AllowOT&lt;&gt;"Yes",SUMIF($B$7:$B$256,B241,$I$7:$I$256)&gt;INDEX($O$58:$O$88,DAY(B241))),"Day over "&amp;INDEX($O$58:$O$88,DAY(B241))&amp;" h","✓")))))))))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5" hidden="false" customHeight="false" outlineLevel="0" collapsed="false">
      <c r="A242" s="1"/>
      <c r="B242" s="10"/>
      <c r="C242" s="31" t="str">
        <f aca="false">IF(B242="","",TEXT(B242,"ddd"))</f>
        <v/>
      </c>
      <c r="D242" s="11"/>
      <c r="E242" s="8" t="str">
        <f aca="false">IF(D242="","",IFERROR(INDEX(ProjNumbers,MATCH(D242,ProjNames,0)),""))</f>
        <v/>
      </c>
      <c r="F242" s="8" t="str">
        <f aca="false">IF(D242="","",IFERROR(INDEX(ProjCodes,MATCH(D242,ProjNames,0)),""))</f>
        <v/>
      </c>
      <c r="G242" s="32"/>
      <c r="H242" s="11"/>
      <c r="I242" s="33"/>
      <c r="J242" s="8" t="str">
        <f aca="false">IF(COUNTA(B242,D242,G242,H242,I242)=0,"",IF(B242="","Enter date",IF(OR(B242&lt;$AC$2,B242&gt;$AC$3),"Date not in January",IF(D242="","Pick project",IF(ISNA(MATCH(D242,ProjNames,0)),"Project not in list",IF(G242="","Add task description",IF(H242="","Pick NTIME or P6",IF(N(I242)&lt;=0,"Enter hours",IF(AND(AllowOT&lt;&gt;"Yes",SUMIF($B$7:$B$256,B242,$I$7:$I$256)&gt;INDEX($O$58:$O$88,DAY(B242))),"Day over "&amp;INDEX($O$58:$O$88,DAY(B242))&amp;" h","✓")))))))))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5" hidden="false" customHeight="false" outlineLevel="0" collapsed="false">
      <c r="A243" s="1"/>
      <c r="B243" s="10"/>
      <c r="C243" s="31" t="str">
        <f aca="false">IF(B243="","",TEXT(B243,"ddd"))</f>
        <v/>
      </c>
      <c r="D243" s="11"/>
      <c r="E243" s="8" t="str">
        <f aca="false">IF(D243="","",IFERROR(INDEX(ProjNumbers,MATCH(D243,ProjNames,0)),""))</f>
        <v/>
      </c>
      <c r="F243" s="8" t="str">
        <f aca="false">IF(D243="","",IFERROR(INDEX(ProjCodes,MATCH(D243,ProjNames,0)),""))</f>
        <v/>
      </c>
      <c r="G243" s="32"/>
      <c r="H243" s="11"/>
      <c r="I243" s="33"/>
      <c r="J243" s="8" t="str">
        <f aca="false">IF(COUNTA(B243,D243,G243,H243,I243)=0,"",IF(B243="","Enter date",IF(OR(B243&lt;$AC$2,B243&gt;$AC$3),"Date not in January",IF(D243="","Pick project",IF(ISNA(MATCH(D243,ProjNames,0)),"Project not in list",IF(G243="","Add task description",IF(H243="","Pick NTIME or P6",IF(N(I243)&lt;=0,"Enter hours",IF(AND(AllowOT&lt;&gt;"Yes",SUMIF($B$7:$B$256,B243,$I$7:$I$256)&gt;INDEX($O$58:$O$88,DAY(B243))),"Day over "&amp;INDEX($O$58:$O$88,DAY(B243))&amp;" h","✓")))))))))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5" hidden="false" customHeight="false" outlineLevel="0" collapsed="false">
      <c r="A244" s="1"/>
      <c r="B244" s="10"/>
      <c r="C244" s="31" t="str">
        <f aca="false">IF(B244="","",TEXT(B244,"ddd"))</f>
        <v/>
      </c>
      <c r="D244" s="11"/>
      <c r="E244" s="8" t="str">
        <f aca="false">IF(D244="","",IFERROR(INDEX(ProjNumbers,MATCH(D244,ProjNames,0)),""))</f>
        <v/>
      </c>
      <c r="F244" s="8" t="str">
        <f aca="false">IF(D244="","",IFERROR(INDEX(ProjCodes,MATCH(D244,ProjNames,0)),""))</f>
        <v/>
      </c>
      <c r="G244" s="32"/>
      <c r="H244" s="11"/>
      <c r="I244" s="33"/>
      <c r="J244" s="8" t="str">
        <f aca="false">IF(COUNTA(B244,D244,G244,H244,I244)=0,"",IF(B244="","Enter date",IF(OR(B244&lt;$AC$2,B244&gt;$AC$3),"Date not in January",IF(D244="","Pick project",IF(ISNA(MATCH(D244,ProjNames,0)),"Project not in list",IF(G244="","Add task description",IF(H244="","Pick NTIME or P6",IF(N(I244)&lt;=0,"Enter hours",IF(AND(AllowOT&lt;&gt;"Yes",SUMIF($B$7:$B$256,B244,$I$7:$I$256)&gt;INDEX($O$58:$O$88,DAY(B244))),"Day over "&amp;INDEX($O$58:$O$88,DAY(B244))&amp;" h","✓")))))))))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5" hidden="false" customHeight="false" outlineLevel="0" collapsed="false">
      <c r="A245" s="1"/>
      <c r="B245" s="10"/>
      <c r="C245" s="31" t="str">
        <f aca="false">IF(B245="","",TEXT(B245,"ddd"))</f>
        <v/>
      </c>
      <c r="D245" s="11"/>
      <c r="E245" s="8" t="str">
        <f aca="false">IF(D245="","",IFERROR(INDEX(ProjNumbers,MATCH(D245,ProjNames,0)),""))</f>
        <v/>
      </c>
      <c r="F245" s="8" t="str">
        <f aca="false">IF(D245="","",IFERROR(INDEX(ProjCodes,MATCH(D245,ProjNames,0)),""))</f>
        <v/>
      </c>
      <c r="G245" s="32"/>
      <c r="H245" s="11"/>
      <c r="I245" s="33"/>
      <c r="J245" s="8" t="str">
        <f aca="false">IF(COUNTA(B245,D245,G245,H245,I245)=0,"",IF(B245="","Enter date",IF(OR(B245&lt;$AC$2,B245&gt;$AC$3),"Date not in January",IF(D245="","Pick project",IF(ISNA(MATCH(D245,ProjNames,0)),"Project not in list",IF(G245="","Add task description",IF(H245="","Pick NTIME or P6",IF(N(I245)&lt;=0,"Enter hours",IF(AND(AllowOT&lt;&gt;"Yes",SUMIF($B$7:$B$256,B245,$I$7:$I$256)&gt;INDEX($O$58:$O$88,DAY(B245))),"Day over "&amp;INDEX($O$58:$O$88,DAY(B245))&amp;" h","✓")))))))))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5" hidden="false" customHeight="false" outlineLevel="0" collapsed="false">
      <c r="A246" s="1"/>
      <c r="B246" s="10"/>
      <c r="C246" s="31" t="str">
        <f aca="false">IF(B246="","",TEXT(B246,"ddd"))</f>
        <v/>
      </c>
      <c r="D246" s="11"/>
      <c r="E246" s="8" t="str">
        <f aca="false">IF(D246="","",IFERROR(INDEX(ProjNumbers,MATCH(D246,ProjNames,0)),""))</f>
        <v/>
      </c>
      <c r="F246" s="8" t="str">
        <f aca="false">IF(D246="","",IFERROR(INDEX(ProjCodes,MATCH(D246,ProjNames,0)),""))</f>
        <v/>
      </c>
      <c r="G246" s="32"/>
      <c r="H246" s="11"/>
      <c r="I246" s="33"/>
      <c r="J246" s="8" t="str">
        <f aca="false">IF(COUNTA(B246,D246,G246,H246,I246)=0,"",IF(B246="","Enter date",IF(OR(B246&lt;$AC$2,B246&gt;$AC$3),"Date not in January",IF(D246="","Pick project",IF(ISNA(MATCH(D246,ProjNames,0)),"Project not in list",IF(G246="","Add task description",IF(H246="","Pick NTIME or P6",IF(N(I246)&lt;=0,"Enter hours",IF(AND(AllowOT&lt;&gt;"Yes",SUMIF($B$7:$B$256,B246,$I$7:$I$256)&gt;INDEX($O$58:$O$88,DAY(B246))),"Day over "&amp;INDEX($O$58:$O$88,DAY(B246))&amp;" h","✓")))))))))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5" hidden="false" customHeight="false" outlineLevel="0" collapsed="false">
      <c r="A247" s="1"/>
      <c r="B247" s="10"/>
      <c r="C247" s="31" t="str">
        <f aca="false">IF(B247="","",TEXT(B247,"ddd"))</f>
        <v/>
      </c>
      <c r="D247" s="11"/>
      <c r="E247" s="8" t="str">
        <f aca="false">IF(D247="","",IFERROR(INDEX(ProjNumbers,MATCH(D247,ProjNames,0)),""))</f>
        <v/>
      </c>
      <c r="F247" s="8" t="str">
        <f aca="false">IF(D247="","",IFERROR(INDEX(ProjCodes,MATCH(D247,ProjNames,0)),""))</f>
        <v/>
      </c>
      <c r="G247" s="32"/>
      <c r="H247" s="11"/>
      <c r="I247" s="33"/>
      <c r="J247" s="8" t="str">
        <f aca="false">IF(COUNTA(B247,D247,G247,H247,I247)=0,"",IF(B247="","Enter date",IF(OR(B247&lt;$AC$2,B247&gt;$AC$3),"Date not in January",IF(D247="","Pick project",IF(ISNA(MATCH(D247,ProjNames,0)),"Project not in list",IF(G247="","Add task description",IF(H247="","Pick NTIME or P6",IF(N(I247)&lt;=0,"Enter hours",IF(AND(AllowOT&lt;&gt;"Yes",SUMIF($B$7:$B$256,B247,$I$7:$I$256)&gt;INDEX($O$58:$O$88,DAY(B247))),"Day over "&amp;INDEX($O$58:$O$88,DAY(B247))&amp;" h","✓")))))))))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5" hidden="false" customHeight="false" outlineLevel="0" collapsed="false">
      <c r="A248" s="1"/>
      <c r="B248" s="10"/>
      <c r="C248" s="31" t="str">
        <f aca="false">IF(B248="","",TEXT(B248,"ddd"))</f>
        <v/>
      </c>
      <c r="D248" s="11"/>
      <c r="E248" s="8" t="str">
        <f aca="false">IF(D248="","",IFERROR(INDEX(ProjNumbers,MATCH(D248,ProjNames,0)),""))</f>
        <v/>
      </c>
      <c r="F248" s="8" t="str">
        <f aca="false">IF(D248="","",IFERROR(INDEX(ProjCodes,MATCH(D248,ProjNames,0)),""))</f>
        <v/>
      </c>
      <c r="G248" s="32"/>
      <c r="H248" s="11"/>
      <c r="I248" s="33"/>
      <c r="J248" s="8" t="str">
        <f aca="false">IF(COUNTA(B248,D248,G248,H248,I248)=0,"",IF(B248="","Enter date",IF(OR(B248&lt;$AC$2,B248&gt;$AC$3),"Date not in January",IF(D248="","Pick project",IF(ISNA(MATCH(D248,ProjNames,0)),"Project not in list",IF(G248="","Add task description",IF(H248="","Pick NTIME or P6",IF(N(I248)&lt;=0,"Enter hours",IF(AND(AllowOT&lt;&gt;"Yes",SUMIF($B$7:$B$256,B248,$I$7:$I$256)&gt;INDEX($O$58:$O$88,DAY(B248))),"Day over "&amp;INDEX($O$58:$O$88,DAY(B248))&amp;" h","✓")))))))))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5" hidden="false" customHeight="false" outlineLevel="0" collapsed="false">
      <c r="A249" s="1"/>
      <c r="B249" s="10"/>
      <c r="C249" s="31" t="str">
        <f aca="false">IF(B249="","",TEXT(B249,"ddd"))</f>
        <v/>
      </c>
      <c r="D249" s="11"/>
      <c r="E249" s="8" t="str">
        <f aca="false">IF(D249="","",IFERROR(INDEX(ProjNumbers,MATCH(D249,ProjNames,0)),""))</f>
        <v/>
      </c>
      <c r="F249" s="8" t="str">
        <f aca="false">IF(D249="","",IFERROR(INDEX(ProjCodes,MATCH(D249,ProjNames,0)),""))</f>
        <v/>
      </c>
      <c r="G249" s="32"/>
      <c r="H249" s="11"/>
      <c r="I249" s="33"/>
      <c r="J249" s="8" t="str">
        <f aca="false">IF(COUNTA(B249,D249,G249,H249,I249)=0,"",IF(B249="","Enter date",IF(OR(B249&lt;$AC$2,B249&gt;$AC$3),"Date not in January",IF(D249="","Pick project",IF(ISNA(MATCH(D249,ProjNames,0)),"Project not in list",IF(G249="","Add task description",IF(H249="","Pick NTIME or P6",IF(N(I249)&lt;=0,"Enter hours",IF(AND(AllowOT&lt;&gt;"Yes",SUMIF($B$7:$B$256,B249,$I$7:$I$256)&gt;INDEX($O$58:$O$88,DAY(B249))),"Day over "&amp;INDEX($O$58:$O$88,DAY(B249))&amp;" h","✓")))))))))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5" hidden="false" customHeight="false" outlineLevel="0" collapsed="false">
      <c r="A250" s="1"/>
      <c r="B250" s="10"/>
      <c r="C250" s="31" t="str">
        <f aca="false">IF(B250="","",TEXT(B250,"ddd"))</f>
        <v/>
      </c>
      <c r="D250" s="11"/>
      <c r="E250" s="8" t="str">
        <f aca="false">IF(D250="","",IFERROR(INDEX(ProjNumbers,MATCH(D250,ProjNames,0)),""))</f>
        <v/>
      </c>
      <c r="F250" s="8" t="str">
        <f aca="false">IF(D250="","",IFERROR(INDEX(ProjCodes,MATCH(D250,ProjNames,0)),""))</f>
        <v/>
      </c>
      <c r="G250" s="32"/>
      <c r="H250" s="11"/>
      <c r="I250" s="33"/>
      <c r="J250" s="8" t="str">
        <f aca="false">IF(COUNTA(B250,D250,G250,H250,I250)=0,"",IF(B250="","Enter date",IF(OR(B250&lt;$AC$2,B250&gt;$AC$3),"Date not in January",IF(D250="","Pick project",IF(ISNA(MATCH(D250,ProjNames,0)),"Project not in list",IF(G250="","Add task description",IF(H250="","Pick NTIME or P6",IF(N(I250)&lt;=0,"Enter hours",IF(AND(AllowOT&lt;&gt;"Yes",SUMIF($B$7:$B$256,B250,$I$7:$I$256)&gt;INDEX($O$58:$O$88,DAY(B250))),"Day over "&amp;INDEX($O$58:$O$88,DAY(B250))&amp;" h","✓")))))))))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5" hidden="false" customHeight="false" outlineLevel="0" collapsed="false">
      <c r="A251" s="1"/>
      <c r="B251" s="10"/>
      <c r="C251" s="31" t="str">
        <f aca="false">IF(B251="","",TEXT(B251,"ddd"))</f>
        <v/>
      </c>
      <c r="D251" s="11"/>
      <c r="E251" s="8" t="str">
        <f aca="false">IF(D251="","",IFERROR(INDEX(ProjNumbers,MATCH(D251,ProjNames,0)),""))</f>
        <v/>
      </c>
      <c r="F251" s="8" t="str">
        <f aca="false">IF(D251="","",IFERROR(INDEX(ProjCodes,MATCH(D251,ProjNames,0)),""))</f>
        <v/>
      </c>
      <c r="G251" s="32"/>
      <c r="H251" s="11"/>
      <c r="I251" s="33"/>
      <c r="J251" s="8" t="str">
        <f aca="false">IF(COUNTA(B251,D251,G251,H251,I251)=0,"",IF(B251="","Enter date",IF(OR(B251&lt;$AC$2,B251&gt;$AC$3),"Date not in January",IF(D251="","Pick project",IF(ISNA(MATCH(D251,ProjNames,0)),"Project not in list",IF(G251="","Add task description",IF(H251="","Pick NTIME or P6",IF(N(I251)&lt;=0,"Enter hours",IF(AND(AllowOT&lt;&gt;"Yes",SUMIF($B$7:$B$256,B251,$I$7:$I$256)&gt;INDEX($O$58:$O$88,DAY(B251))),"Day over "&amp;INDEX($O$58:$O$88,DAY(B251))&amp;" h","✓")))))))))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5" hidden="false" customHeight="false" outlineLevel="0" collapsed="false">
      <c r="A252" s="1"/>
      <c r="B252" s="10"/>
      <c r="C252" s="31" t="str">
        <f aca="false">IF(B252="","",TEXT(B252,"ddd"))</f>
        <v/>
      </c>
      <c r="D252" s="11"/>
      <c r="E252" s="8" t="str">
        <f aca="false">IF(D252="","",IFERROR(INDEX(ProjNumbers,MATCH(D252,ProjNames,0)),""))</f>
        <v/>
      </c>
      <c r="F252" s="8" t="str">
        <f aca="false">IF(D252="","",IFERROR(INDEX(ProjCodes,MATCH(D252,ProjNames,0)),""))</f>
        <v/>
      </c>
      <c r="G252" s="32"/>
      <c r="H252" s="11"/>
      <c r="I252" s="33"/>
      <c r="J252" s="8" t="str">
        <f aca="false">IF(COUNTA(B252,D252,G252,H252,I252)=0,"",IF(B252="","Enter date",IF(OR(B252&lt;$AC$2,B252&gt;$AC$3),"Date not in January",IF(D252="","Pick project",IF(ISNA(MATCH(D252,ProjNames,0)),"Project not in list",IF(G252="","Add task description",IF(H252="","Pick NTIME or P6",IF(N(I252)&lt;=0,"Enter hours",IF(AND(AllowOT&lt;&gt;"Yes",SUMIF($B$7:$B$256,B252,$I$7:$I$256)&gt;INDEX($O$58:$O$88,DAY(B252))),"Day over "&amp;INDEX($O$58:$O$88,DAY(B252))&amp;" h","✓")))))))))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5" hidden="false" customHeight="false" outlineLevel="0" collapsed="false">
      <c r="A253" s="1"/>
      <c r="B253" s="10"/>
      <c r="C253" s="31" t="str">
        <f aca="false">IF(B253="","",TEXT(B253,"ddd"))</f>
        <v/>
      </c>
      <c r="D253" s="11"/>
      <c r="E253" s="8" t="str">
        <f aca="false">IF(D253="","",IFERROR(INDEX(ProjNumbers,MATCH(D253,ProjNames,0)),""))</f>
        <v/>
      </c>
      <c r="F253" s="8" t="str">
        <f aca="false">IF(D253="","",IFERROR(INDEX(ProjCodes,MATCH(D253,ProjNames,0)),""))</f>
        <v/>
      </c>
      <c r="G253" s="32"/>
      <c r="H253" s="11"/>
      <c r="I253" s="33"/>
      <c r="J253" s="8" t="str">
        <f aca="false">IF(COUNTA(B253,D253,G253,H253,I253)=0,"",IF(B253="","Enter date",IF(OR(B253&lt;$AC$2,B253&gt;$AC$3),"Date not in January",IF(D253="","Pick project",IF(ISNA(MATCH(D253,ProjNames,0)),"Project not in list",IF(G253="","Add task description",IF(H253="","Pick NTIME or P6",IF(N(I253)&lt;=0,"Enter hours",IF(AND(AllowOT&lt;&gt;"Yes",SUMIF($B$7:$B$256,B253,$I$7:$I$256)&gt;INDEX($O$58:$O$88,DAY(B253))),"Day over "&amp;INDEX($O$58:$O$88,DAY(B253))&amp;" h","✓")))))))))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5" hidden="false" customHeight="false" outlineLevel="0" collapsed="false">
      <c r="A254" s="1"/>
      <c r="B254" s="10"/>
      <c r="C254" s="31" t="str">
        <f aca="false">IF(B254="","",TEXT(B254,"ddd"))</f>
        <v/>
      </c>
      <c r="D254" s="11"/>
      <c r="E254" s="8" t="str">
        <f aca="false">IF(D254="","",IFERROR(INDEX(ProjNumbers,MATCH(D254,ProjNames,0)),""))</f>
        <v/>
      </c>
      <c r="F254" s="8" t="str">
        <f aca="false">IF(D254="","",IFERROR(INDEX(ProjCodes,MATCH(D254,ProjNames,0)),""))</f>
        <v/>
      </c>
      <c r="G254" s="32"/>
      <c r="H254" s="11"/>
      <c r="I254" s="33"/>
      <c r="J254" s="8" t="str">
        <f aca="false">IF(COUNTA(B254,D254,G254,H254,I254)=0,"",IF(B254="","Enter date",IF(OR(B254&lt;$AC$2,B254&gt;$AC$3),"Date not in January",IF(D254="","Pick project",IF(ISNA(MATCH(D254,ProjNames,0)),"Project not in list",IF(G254="","Add task description",IF(H254="","Pick NTIME or P6",IF(N(I254)&lt;=0,"Enter hours",IF(AND(AllowOT&lt;&gt;"Yes",SUMIF($B$7:$B$256,B254,$I$7:$I$256)&gt;INDEX($O$58:$O$88,DAY(B254))),"Day over "&amp;INDEX($O$58:$O$88,DAY(B254))&amp;" h","✓")))))))))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5" hidden="false" customHeight="false" outlineLevel="0" collapsed="false">
      <c r="A255" s="1"/>
      <c r="B255" s="10"/>
      <c r="C255" s="31" t="str">
        <f aca="false">IF(B255="","",TEXT(B255,"ddd"))</f>
        <v/>
      </c>
      <c r="D255" s="11"/>
      <c r="E255" s="8" t="str">
        <f aca="false">IF(D255="","",IFERROR(INDEX(ProjNumbers,MATCH(D255,ProjNames,0)),""))</f>
        <v/>
      </c>
      <c r="F255" s="8" t="str">
        <f aca="false">IF(D255="","",IFERROR(INDEX(ProjCodes,MATCH(D255,ProjNames,0)),""))</f>
        <v/>
      </c>
      <c r="G255" s="32"/>
      <c r="H255" s="11"/>
      <c r="I255" s="33"/>
      <c r="J255" s="8" t="str">
        <f aca="false">IF(COUNTA(B255,D255,G255,H255,I255)=0,"",IF(B255="","Enter date",IF(OR(B255&lt;$AC$2,B255&gt;$AC$3),"Date not in January",IF(D255="","Pick project",IF(ISNA(MATCH(D255,ProjNames,0)),"Project not in list",IF(G255="","Add task description",IF(H255="","Pick NTIME or P6",IF(N(I255)&lt;=0,"Enter hours",IF(AND(AllowOT&lt;&gt;"Yes",SUMIF($B$7:$B$256,B255,$I$7:$I$256)&gt;INDEX($O$58:$O$88,DAY(B255))),"Day over "&amp;INDEX($O$58:$O$88,DAY(B255))&amp;" h","✓")))))))))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5" hidden="false" customHeight="false" outlineLevel="0" collapsed="false">
      <c r="A256" s="1"/>
      <c r="B256" s="10"/>
      <c r="C256" s="31" t="str">
        <f aca="false">IF(B256="","",TEXT(B256,"ddd"))</f>
        <v/>
      </c>
      <c r="D256" s="11"/>
      <c r="E256" s="8" t="str">
        <f aca="false">IF(D256="","",IFERROR(INDEX(ProjNumbers,MATCH(D256,ProjNames,0)),""))</f>
        <v/>
      </c>
      <c r="F256" s="8" t="str">
        <f aca="false">IF(D256="","",IFERROR(INDEX(ProjCodes,MATCH(D256,ProjNames,0)),""))</f>
        <v/>
      </c>
      <c r="G256" s="32"/>
      <c r="H256" s="11"/>
      <c r="I256" s="33"/>
      <c r="J256" s="8" t="str">
        <f aca="false">IF(COUNTA(B256,D256,G256,H256,I256)=0,"",IF(B256="","Enter date",IF(OR(B256&lt;$AC$2,B256&gt;$AC$3),"Date not in January",IF(D256="","Pick project",IF(ISNA(MATCH(D256,ProjNames,0)),"Project not in list",IF(G256="","Add task description",IF(H256="","Pick NTIME or P6",IF(N(I256)&lt;=0,"Enter hours",IF(AND(AllowOT&lt;&gt;"Yes",SUMIF($B$7:$B$256,B256,$I$7:$I$256)&gt;INDEX($O$58:$O$88,DAY(B256))),"Day over "&amp;INDEX($O$58:$O$88,DAY(B256))&amp;" h","✓")))))))))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</sheetData>
  <conditionalFormatting sqref="J7:J256">
    <cfRule type="expression" priority="2" aboveAverage="0" equalAverage="0" bottom="0" percent="0" rank="0" text="" dxfId="0">
      <formula>AND(J7&lt;&gt;"",J7&lt;&gt;"✓")</formula>
    </cfRule>
  </conditionalFormatting>
  <conditionalFormatting sqref="H7:H256">
    <cfRule type="expression" priority="3" aboveAverage="0" equalAverage="0" bottom="0" percent="0" rank="0" text="" dxfId="1">
      <formula>H7="NTIME"</formula>
    </cfRule>
    <cfRule type="expression" priority="4" aboveAverage="0" equalAverage="0" bottom="0" percent="0" rank="0" text="" dxfId="2">
      <formula>H7="P6"</formula>
    </cfRule>
  </conditionalFormatting>
  <conditionalFormatting sqref="S5">
    <cfRule type="expression" priority="5" aboveAverage="0" equalAverage="0" bottom="0" percent="0" rank="0" text="" dxfId="3">
      <formula>S5&gt;0</formula>
    </cfRule>
  </conditionalFormatting>
  <conditionalFormatting sqref="L52:R52">
    <cfRule type="expression" priority="6" aboveAverage="0" equalAverage="0" bottom="0" percent="0" rank="0" text="" dxfId="4">
      <formula>$Q$52&gt;0</formula>
    </cfRule>
  </conditionalFormatting>
  <conditionalFormatting sqref="L58:U88">
    <cfRule type="expression" priority="7" aboveAverage="0" equalAverage="0" bottom="0" percent="0" rank="0" text="" dxfId="5">
      <formula>$L58=TODAY()</formula>
    </cfRule>
    <cfRule type="expression" priority="8" aboveAverage="0" equalAverage="0" bottom="0" percent="0" rank="0" text="" dxfId="6">
      <formula>OR($N58="Weekend",$N58="Leave",$N58="Public Holiday")</formula>
    </cfRule>
  </conditionalFormatting>
  <conditionalFormatting sqref="U58:U88">
    <cfRule type="expression" priority="9" aboveAverage="0" equalAverage="0" bottom="0" percent="0" rank="0" text="" dxfId="7">
      <formula>OR(U58="Not logged",LEFT(U58,5)="Over ",LEFT(U58,7)="Entries")</formula>
    </cfRule>
    <cfRule type="expression" priority="10" aboveAverage="0" equalAverage="0" bottom="0" percent="0" rank="0" text="" dxfId="8">
      <formula>LEFT(U58,1)="✓"</formula>
    </cfRule>
  </conditionalFormatting>
  <dataValidations count="7">
    <dataValidation allowBlank="false" error="Hours must be more than 0 and at most 24." errorStyle="stop" operator="between" showDropDown="false" showErrorMessage="true" showInputMessage="false" sqref="I7:I256" type="decimal">
      <formula1>0.01</formula1>
      <formula2>24</formula2>
    </dataValidation>
    <dataValidation allowBlank="false" error="Keep the task description to 200 characters." errorStyle="stop" operator="lessThanOrEqual" showDropDown="false" showErrorMessage="true" showInputMessage="false" sqref="G7:G256" type="textLength">
      <formula1>200</formula1>
      <formula2>0</formula2>
    </dataValidation>
    <dataValidation allowBlank="false" errorStyle="stop" operator="between" showDropDown="false" showErrorMessage="true" showInputMessage="false" sqref="O58:O88" type="decimal">
      <formula1>0</formula1>
      <formula2>24</formula2>
    </dataValidation>
    <dataValidation allowBlank="false" error="Enter a date in January 2026." errorStyle="stop" errorTitle="Date" operator="between" showDropDown="false" showErrorMessage="true" showInputMessage="false" sqref="B7:B256" type="date">
      <formula1>DATE(2026,1,1)</formula1>
      <formula2>DATE(2026,1,31)</formula2>
    </dataValidation>
    <dataValidation allowBlank="false" error="Pick a project from the list. Add new projects on the Projects sheet first." errorStyle="stop" errorTitle="Project" operator="between" showDropDown="false" showErrorMessage="true" showInputMessage="false" sqref="D7:D256" type="list">
      <formula1>ProjNames</formula1>
      <formula2>0</formula2>
    </dataValidation>
    <dataValidation allowBlank="false" errorStyle="stop" operator="between" showDropDown="false" showErrorMessage="true" showInputMessage="false" sqref="H7:H256" type="list">
      <formula1>"NTIME,P6"</formula1>
      <formula2>0</formula2>
    </dataValidation>
    <dataValidation allowBlank="false" errorStyle="stop" operator="between" showDropDown="false" showErrorMessage="true" showInputMessage="false" sqref="N58:N88" type="list">
      <formula1>"Working,Overhead only,Leave,Public Holiday,Weekend"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true"/>
  </sheetPr>
  <dimension ref="A1:AH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9" min="15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true" outlineLevel="0" max="34" min="23" style="0" width="13"/>
  </cols>
  <sheetData>
    <row r="1" customFormat="false" ht="22.05" hidden="false" customHeight="false" outlineLevel="0" collapsed="false">
      <c r="A1" s="1"/>
      <c r="B1" s="2" t="s">
        <v>95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75</v>
      </c>
      <c r="AD1" s="1"/>
      <c r="AE1" s="1"/>
      <c r="AF1" s="1"/>
      <c r="AG1" s="1"/>
      <c r="AH1" s="1"/>
    </row>
    <row r="2" customFormat="false" ht="15" hidden="false" customHeight="false" outlineLevel="0" collapsed="false">
      <c r="A2" s="1"/>
      <c r="B2" s="3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0" t="n">
        <v>46054</v>
      </c>
      <c r="AD2" s="1"/>
      <c r="AE2" s="1"/>
      <c r="AF2" s="1"/>
      <c r="AG2" s="1"/>
      <c r="AH2" s="1"/>
    </row>
    <row r="3" customFormat="false" ht="15" hidden="false" customHeight="false" outlineLevel="0" collapsed="false">
      <c r="A3" s="1"/>
      <c r="B3" s="4" t="s">
        <v>77</v>
      </c>
      <c r="C3" s="1"/>
      <c r="D3" s="1"/>
      <c r="E3" s="1"/>
      <c r="F3" s="1"/>
      <c r="G3" s="1"/>
      <c r="H3" s="1"/>
      <c r="I3" s="1"/>
      <c r="J3" s="1"/>
      <c r="K3" s="1"/>
      <c r="L3" s="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0" t="n">
        <v>46081</v>
      </c>
      <c r="AD3" s="1"/>
      <c r="AE3" s="1"/>
      <c r="AF3" s="1"/>
      <c r="AG3" s="1"/>
      <c r="AH3" s="1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3" t="s">
        <v>50</v>
      </c>
      <c r="M4" s="13" t="str">
        <f aca="false">IF(OHSystem="NTIME","NTIME (incl. overhead)","NTIME")</f>
        <v>NTIME</v>
      </c>
      <c r="N4" s="13" t="str">
        <f aca="false">IF(OHSystem="P6","P6 (incl. overhead)","P6")</f>
        <v>P6</v>
      </c>
      <c r="O4" s="13" t="s">
        <v>15</v>
      </c>
      <c r="P4" s="13" t="s">
        <v>24</v>
      </c>
      <c r="Q4" s="13" t="s">
        <v>51</v>
      </c>
      <c r="R4" s="13" t="s">
        <v>52</v>
      </c>
      <c r="S4" s="13" t="s">
        <v>53</v>
      </c>
      <c r="T4" s="1"/>
      <c r="U4" s="1"/>
      <c r="V4" s="1"/>
      <c r="W4" s="1"/>
      <c r="X4" s="1"/>
      <c r="Y4" s="1"/>
      <c r="Z4" s="1"/>
      <c r="AA4" s="1"/>
      <c r="AB4" s="1"/>
      <c r="AC4" s="30" t="n">
        <f aca="false">AC2-MOD(WEEKDAY(AC2,2)-WeekStartNum,7)</f>
        <v>46048</v>
      </c>
      <c r="AD4" s="1"/>
      <c r="AE4" s="1"/>
      <c r="AF4" s="1"/>
      <c r="AG4" s="1"/>
      <c r="AH4" s="1"/>
    </row>
    <row r="5" customFormat="false" ht="30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 t="n">
        <f aca="false">SUM($T$58:$T$85)</f>
        <v>0</v>
      </c>
      <c r="M5" s="15" t="n">
        <f aca="false">SUM($P$58:$P$85)+IF(OHSystem="NTIME",SUM($R$58:$R$85),0)</f>
        <v>0</v>
      </c>
      <c r="N5" s="16" t="n">
        <f aca="false">SUM($Q$58:$Q$85)+IF(OHSystem="P6",SUM($R$58:$R$85),0)</f>
        <v>0</v>
      </c>
      <c r="O5" s="17" t="n">
        <f aca="false">SUM($R$58:$R$85)</f>
        <v>0</v>
      </c>
      <c r="P5" s="14" t="n">
        <f aca="false">SUM($S$58:$S$85)</f>
        <v>0</v>
      </c>
      <c r="Q5" s="18" t="str">
        <f aca="false">IF(L5=0,"-",(SUM($P$58:$P$85)+SUM($Q$58:$Q$85))/L5)</f>
        <v>-</v>
      </c>
      <c r="R5" s="19" t="n">
        <f aca="false">SUMPRODUCT(($N$58:$N$85="Working")*(($P$58:$P$85+$Q$58:$Q$85)&gt;0))+COUNTIF($N$58:$N$85,"Overhead only")</f>
        <v>0</v>
      </c>
      <c r="S5" s="19" t="n">
        <f aca="false">COUNTIF($U$58:$U$85,"Not logged")</f>
        <v>20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5" hidden="false" customHeight="false" outlineLevel="0" collapsed="false">
      <c r="A6" s="1"/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5" hidden="false" customHeight="false" outlineLevel="0" collapsed="false">
      <c r="A7" s="1"/>
      <c r="B7" s="10"/>
      <c r="C7" s="31" t="str">
        <f aca="false">IF(B7="","",TEXT(B7,"ddd"))</f>
        <v/>
      </c>
      <c r="D7" s="11"/>
      <c r="E7" s="8" t="str">
        <f aca="false">IF(D7="","",IFERROR(INDEX(ProjNumbers,MATCH(D7,ProjNames,0)),""))</f>
        <v/>
      </c>
      <c r="F7" s="8" t="str">
        <f aca="false">IF(D7="","",IFERROR(INDEX(ProjCodes,MATCH(D7,ProjNames,0)),""))</f>
        <v/>
      </c>
      <c r="G7" s="32"/>
      <c r="H7" s="11"/>
      <c r="I7" s="33"/>
      <c r="J7" s="8" t="str">
        <f aca="false">IF(COUNTA(B7,D7,G7,H7,I7)=0,"",IF(B7="","Enter date",IF(OR(B7&lt;$AC$2,B7&gt;$AC$3),"Date not in February",IF(D7="","Pick project",IF(ISNA(MATCH(D7,ProjNames,0)),"Project not in list",IF(G7="","Add task description",IF(H7="","Pick NTIME or P6",IF(N(I7)&lt;=0,"Enter hours",IF(AND(AllowOT&lt;&gt;"Yes",SUMIF($B$7:$B$256,B7,$I$7:$I$256)&gt;INDEX($O$58:$O$85,DAY(B7))),"Day over "&amp;INDEX($O$58:$O$85,DAY(B7))&amp;" h","✓")))))))))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tr">
        <f aca="false">IF(Projects!B5="","",Projects!B5)</f>
        <v>Project A</v>
      </c>
      <c r="X7" s="1" t="n">
        <f aca="false">IF(W7="",0,SUMIFS($I$7:$I$256,$D$7:$D$256,W7,$H$7:$H$256,"NTIME"))</f>
        <v>0</v>
      </c>
      <c r="Y7" s="1" t="n">
        <f aca="false">IF(W7="",0,SUMIFS($I$7:$I$256,$D$7:$D$256,W7,$H$7:$H$256,"P6"))</f>
        <v>0</v>
      </c>
      <c r="Z7" s="1" t="n">
        <f aca="false">X7+Y7</f>
        <v>0</v>
      </c>
      <c r="AA7" s="1" t="n">
        <f aca="false">IF(Z7&gt;0,Z7+(201-1)/10^6,0)</f>
        <v>0</v>
      </c>
      <c r="AB7" s="1"/>
      <c r="AC7" s="1"/>
      <c r="AD7" s="1"/>
      <c r="AE7" s="1"/>
      <c r="AF7" s="1"/>
      <c r="AG7" s="1"/>
      <c r="AH7" s="1"/>
    </row>
    <row r="8" customFormat="false" ht="15" hidden="false" customHeight="false" outlineLevel="0" collapsed="false">
      <c r="A8" s="1"/>
      <c r="B8" s="10"/>
      <c r="C8" s="31" t="str">
        <f aca="false">IF(B8="","",TEXT(B8,"ddd"))</f>
        <v/>
      </c>
      <c r="D8" s="11"/>
      <c r="E8" s="8" t="str">
        <f aca="false">IF(D8="","",IFERROR(INDEX(ProjNumbers,MATCH(D8,ProjNames,0)),""))</f>
        <v/>
      </c>
      <c r="F8" s="8" t="str">
        <f aca="false">IF(D8="","",IFERROR(INDEX(ProjCodes,MATCH(D8,ProjNames,0)),""))</f>
        <v/>
      </c>
      <c r="G8" s="32"/>
      <c r="H8" s="11"/>
      <c r="I8" s="33"/>
      <c r="J8" s="8" t="str">
        <f aca="false">IF(COUNTA(B8,D8,G8,H8,I8)=0,"",IF(B8="","Enter date",IF(OR(B8&lt;$AC$2,B8&gt;$AC$3),"Date not in February",IF(D8="","Pick project",IF(ISNA(MATCH(D8,ProjNames,0)),"Project not in list",IF(G8="","Add task description",IF(H8="","Pick NTIME or P6",IF(N(I8)&lt;=0,"Enter hours",IF(AND(AllowOT&lt;&gt;"Yes",SUMIF($B$7:$B$256,B8,$I$7:$I$256)&gt;INDEX($O$58:$O$85,DAY(B8))),"Day over "&amp;INDEX($O$58:$O$85,DAY(B8))&amp;" h","✓")))))))))</f>
        <v/>
      </c>
      <c r="K8" s="1"/>
      <c r="L8" s="4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f aca="false">IF(Projects!B6="","",Projects!B6)</f>
        <v/>
      </c>
      <c r="X8" s="1" t="n">
        <f aca="false">IF(W8="",0,SUMIFS($I$7:$I$256,$D$7:$D$256,W8,$H$7:$H$256,"NTIME"))</f>
        <v>0</v>
      </c>
      <c r="Y8" s="1" t="n">
        <f aca="false">IF(W8="",0,SUMIFS($I$7:$I$256,$D$7:$D$256,W8,$H$7:$H$256,"P6"))</f>
        <v>0</v>
      </c>
      <c r="Z8" s="1" t="n">
        <f aca="false">X8+Y8</f>
        <v>0</v>
      </c>
      <c r="AA8" s="1" t="n">
        <f aca="false">IF(Z8&gt;0,Z8+(201-2)/10^6,0)</f>
        <v>0</v>
      </c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/>
      <c r="B9" s="10"/>
      <c r="C9" s="31" t="str">
        <f aca="false">IF(B9="","",TEXT(B9,"ddd"))</f>
        <v/>
      </c>
      <c r="D9" s="11"/>
      <c r="E9" s="8" t="str">
        <f aca="false">IF(D9="","",IFERROR(INDEX(ProjNumbers,MATCH(D9,ProjNames,0)),""))</f>
        <v/>
      </c>
      <c r="F9" s="8" t="str">
        <f aca="false">IF(D9="","",IFERROR(INDEX(ProjCodes,MATCH(D9,ProjNames,0)),""))</f>
        <v/>
      </c>
      <c r="G9" s="32"/>
      <c r="H9" s="11"/>
      <c r="I9" s="33"/>
      <c r="J9" s="8" t="str">
        <f aca="false">IF(COUNTA(B9,D9,G9,H9,I9)=0,"",IF(B9="","Enter date",IF(OR(B9&lt;$AC$2,B9&gt;$AC$3),"Date not in February",IF(D9="","Pick project",IF(ISNA(MATCH(D9,ProjNames,0)),"Project not in list",IF(G9="","Add task description",IF(H9="","Pick NTIME or P6",IF(N(I9)&lt;=0,"Enter hours",IF(AND(AllowOT&lt;&gt;"Yes",SUMIF($B$7:$B$256,B9,$I$7:$I$256)&gt;INDEX($O$58:$O$85,DAY(B9))),"Day over "&amp;INDEX($O$58:$O$85,DAY(B9))&amp;" h","✓")))))))))</f>
        <v/>
      </c>
      <c r="K9" s="1"/>
      <c r="L9" s="9" t="s">
        <v>81</v>
      </c>
      <c r="M9" s="9" t="s">
        <v>82</v>
      </c>
      <c r="N9" s="9" t="s">
        <v>83</v>
      </c>
      <c r="O9" s="20" t="s">
        <v>46</v>
      </c>
      <c r="P9" s="21" t="s">
        <v>56</v>
      </c>
      <c r="Q9" s="22" t="s">
        <v>15</v>
      </c>
      <c r="R9" s="9" t="s">
        <v>24</v>
      </c>
      <c r="S9" s="9" t="s">
        <v>57</v>
      </c>
      <c r="T9" s="1"/>
      <c r="U9" s="1"/>
      <c r="V9" s="1"/>
      <c r="W9" s="1" t="str">
        <f aca="false">IF(Projects!B7="","",Projects!B7)</f>
        <v/>
      </c>
      <c r="X9" s="1" t="n">
        <f aca="false">IF(W9="",0,SUMIFS($I$7:$I$256,$D$7:$D$256,W9,$H$7:$H$256,"NTIME"))</f>
        <v>0</v>
      </c>
      <c r="Y9" s="1" t="n">
        <f aca="false">IF(W9="",0,SUMIFS($I$7:$I$256,$D$7:$D$256,W9,$H$7:$H$256,"P6"))</f>
        <v>0</v>
      </c>
      <c r="Z9" s="1" t="n">
        <f aca="false">X9+Y9</f>
        <v>0</v>
      </c>
      <c r="AA9" s="1" t="n">
        <f aca="false">IF(Z9&gt;0,Z9+(201-3)/10^6,0)</f>
        <v>0</v>
      </c>
      <c r="AB9" s="1"/>
      <c r="AC9" s="1"/>
      <c r="AD9" s="1"/>
      <c r="AE9" s="1"/>
      <c r="AF9" s="1" t="s">
        <v>46</v>
      </c>
      <c r="AG9" s="1" t="s">
        <v>56</v>
      </c>
      <c r="AH9" s="1" t="s">
        <v>15</v>
      </c>
    </row>
    <row r="10" customFormat="false" ht="15" hidden="false" customHeight="false" outlineLevel="0" collapsed="false">
      <c r="A10" s="1"/>
      <c r="B10" s="10"/>
      <c r="C10" s="31" t="str">
        <f aca="false">IF(B10="","",TEXT(B10,"ddd"))</f>
        <v/>
      </c>
      <c r="D10" s="11"/>
      <c r="E10" s="8" t="str">
        <f aca="false">IF(D10="","",IFERROR(INDEX(ProjNumbers,MATCH(D10,ProjNames,0)),""))</f>
        <v/>
      </c>
      <c r="F10" s="8" t="str">
        <f aca="false">IF(D10="","",IFERROR(INDEX(ProjCodes,MATCH(D10,ProjNames,0)),""))</f>
        <v/>
      </c>
      <c r="G10" s="32"/>
      <c r="H10" s="11"/>
      <c r="I10" s="33"/>
      <c r="J10" s="8" t="str">
        <f aca="false">IF(COUNTA(B10,D10,G10,H10,I10)=0,"",IF(B10="","Enter date",IF(OR(B10&lt;$AC$2,B10&gt;$AC$3),"Date not in February",IF(D10="","Pick project",IF(ISNA(MATCH(D10,ProjNames,0)),"Project not in list",IF(G10="","Add task description",IF(H10="","Pick NTIME or P6",IF(N(I10)&lt;=0,"Enter hours",IF(AND(AllowOT&lt;&gt;"Yes",SUMIF($B$7:$B$256,B10,$I$7:$I$256)&gt;INDEX($O$58:$O$85,DAY(B10))),"Day over "&amp;INDEX($O$58:$O$85,DAY(B10))&amp;" h","✓")))))))))</f>
        <v/>
      </c>
      <c r="K10" s="1"/>
      <c r="L10" s="24" t="str">
        <f aca="false">"Week 1"&amp;IF(M10="",""," ("&amp;DAY(M10)&amp;"–"&amp;DAY(N10)&amp;")")</f>
        <v>Week 1 (1–1)</v>
      </c>
      <c r="M10" s="34" t="n">
        <f aca="false">IF($AC$4+7*0&gt;$AC$3,"",MAX($AC$2,$AC$4+7*0))</f>
        <v>46054</v>
      </c>
      <c r="N10" s="34" t="n">
        <f aca="false">IF(M10="","",MIN($AC$3,$AC$4+7*1-1))</f>
        <v>46054</v>
      </c>
      <c r="O10" s="24" t="n">
        <f aca="false">IF($M10="","",AF10+IF(OHSystem="NTIME",AH10,0))</f>
        <v>0</v>
      </c>
      <c r="P10" s="24" t="n">
        <f aca="false">IF($M10="","",AG10+IF(OHSystem="P6",AH10,0))</f>
        <v>0</v>
      </c>
      <c r="Q10" s="24" t="n">
        <f aca="false">IF($M10="","",AH10)</f>
        <v>0</v>
      </c>
      <c r="R10" s="24" t="n">
        <f aca="false">IF($M10="","",SUMIFS($S$58:$S$85,$L$58:$L$85,"&gt;="&amp;$M10,$L$58:$L$85,"&lt;="&amp;$N10))</f>
        <v>0</v>
      </c>
      <c r="S10" s="24" t="n">
        <f aca="false">IF($M10="","",SUMIFS($T$58:$T$85,$L$58:$L$85,"&gt;="&amp;$M10,$L$58:$L$85,"&lt;="&amp;$N10))</f>
        <v>0</v>
      </c>
      <c r="T10" s="1"/>
      <c r="U10" s="1"/>
      <c r="V10" s="1"/>
      <c r="W10" s="1" t="str">
        <f aca="false">IF(Projects!B8="","",Projects!B8)</f>
        <v/>
      </c>
      <c r="X10" s="1" t="n">
        <f aca="false">IF(W10="",0,SUMIFS($I$7:$I$256,$D$7:$D$256,W10,$H$7:$H$256,"NTIME"))</f>
        <v>0</v>
      </c>
      <c r="Y10" s="1" t="n">
        <f aca="false">IF(W10="",0,SUMIFS($I$7:$I$256,$D$7:$D$256,W10,$H$7:$H$256,"P6"))</f>
        <v>0</v>
      </c>
      <c r="Z10" s="1" t="n">
        <f aca="false">X10+Y10</f>
        <v>0</v>
      </c>
      <c r="AA10" s="1" t="n">
        <f aca="false">IF(Z10&gt;0,Z10+(201-4)/10^6,0)</f>
        <v>0</v>
      </c>
      <c r="AB10" s="1"/>
      <c r="AC10" s="1"/>
      <c r="AD10" s="1"/>
      <c r="AE10" s="1"/>
      <c r="AF10" s="1" t="n">
        <f aca="false">IF($M10="",0,SUMIFS($P$58:$P$85,$L$58:$L$85,"&gt;="&amp;$M10,$L$58:$L$85,"&lt;="&amp;$N10))</f>
        <v>0</v>
      </c>
      <c r="AG10" s="1" t="n">
        <f aca="false">IF($M10="",0,SUMIFS($Q$58:$Q$85,$L$58:$L$85,"&gt;="&amp;$M10,$L$58:$L$85,"&lt;="&amp;$N10))</f>
        <v>0</v>
      </c>
      <c r="AH10" s="1" t="n">
        <f aca="false">IF($M10="",0,SUMIFS($R$58:$R$85,$L$58:$L$85,"&gt;="&amp;$M10,$L$58:$L$85,"&lt;="&amp;$N10))</f>
        <v>0</v>
      </c>
    </row>
    <row r="11" customFormat="false" ht="15" hidden="false" customHeight="false" outlineLevel="0" collapsed="false">
      <c r="A11" s="1"/>
      <c r="B11" s="10"/>
      <c r="C11" s="31" t="str">
        <f aca="false">IF(B11="","",TEXT(B11,"ddd"))</f>
        <v/>
      </c>
      <c r="D11" s="11"/>
      <c r="E11" s="8" t="str">
        <f aca="false">IF(D11="","",IFERROR(INDEX(ProjNumbers,MATCH(D11,ProjNames,0)),""))</f>
        <v/>
      </c>
      <c r="F11" s="8" t="str">
        <f aca="false">IF(D11="","",IFERROR(INDEX(ProjCodes,MATCH(D11,ProjNames,0)),""))</f>
        <v/>
      </c>
      <c r="G11" s="32"/>
      <c r="H11" s="11"/>
      <c r="I11" s="33"/>
      <c r="J11" s="8" t="str">
        <f aca="false">IF(COUNTA(B11,D11,G11,H11,I11)=0,"",IF(B11="","Enter date",IF(OR(B11&lt;$AC$2,B11&gt;$AC$3),"Date not in February",IF(D11="","Pick project",IF(ISNA(MATCH(D11,ProjNames,0)),"Project not in list",IF(G11="","Add task description",IF(H11="","Pick NTIME or P6",IF(N(I11)&lt;=0,"Enter hours",IF(AND(AllowOT&lt;&gt;"Yes",SUMIF($B$7:$B$256,B11,$I$7:$I$256)&gt;INDEX($O$58:$O$85,DAY(B11))),"Day over "&amp;INDEX($O$58:$O$85,DAY(B11))&amp;" h","✓")))))))))</f>
        <v/>
      </c>
      <c r="K11" s="1"/>
      <c r="L11" s="24" t="str">
        <f aca="false">"Week 2"&amp;IF(M11="",""," ("&amp;DAY(M11)&amp;"–"&amp;DAY(N11)&amp;")")</f>
        <v>Week 2 (2–8)</v>
      </c>
      <c r="M11" s="34" t="n">
        <f aca="false">IF($AC$4+7*1&gt;$AC$3,"",MAX($AC$2,$AC$4+7*1))</f>
        <v>46055</v>
      </c>
      <c r="N11" s="34" t="n">
        <f aca="false">IF(M11="","",MIN($AC$3,$AC$4+7*2-1))</f>
        <v>46061</v>
      </c>
      <c r="O11" s="24" t="n">
        <f aca="false">IF($M11="","",AF11+IF(OHSystem="NTIME",AH11,0))</f>
        <v>0</v>
      </c>
      <c r="P11" s="24" t="n">
        <f aca="false">IF($M11="","",AG11+IF(OHSystem="P6",AH11,0))</f>
        <v>0</v>
      </c>
      <c r="Q11" s="24" t="n">
        <f aca="false">IF($M11="","",AH11)</f>
        <v>0</v>
      </c>
      <c r="R11" s="24" t="n">
        <f aca="false">IF($M11="","",SUMIFS($S$58:$S$85,$L$58:$L$85,"&gt;="&amp;$M11,$L$58:$L$85,"&lt;="&amp;$N11))</f>
        <v>0</v>
      </c>
      <c r="S11" s="24" t="n">
        <f aca="false">IF($M11="","",SUMIFS($T$58:$T$85,$L$58:$L$85,"&gt;="&amp;$M11,$L$58:$L$85,"&lt;="&amp;$N11))</f>
        <v>0</v>
      </c>
      <c r="T11" s="1"/>
      <c r="U11" s="1"/>
      <c r="V11" s="1"/>
      <c r="W11" s="1" t="str">
        <f aca="false">IF(Projects!B9="","",Projects!B9)</f>
        <v/>
      </c>
      <c r="X11" s="1" t="n">
        <f aca="false">IF(W11="",0,SUMIFS($I$7:$I$256,$D$7:$D$256,W11,$H$7:$H$256,"NTIME"))</f>
        <v>0</v>
      </c>
      <c r="Y11" s="1" t="n">
        <f aca="false">IF(W11="",0,SUMIFS($I$7:$I$256,$D$7:$D$256,W11,$H$7:$H$256,"P6"))</f>
        <v>0</v>
      </c>
      <c r="Z11" s="1" t="n">
        <f aca="false">X11+Y11</f>
        <v>0</v>
      </c>
      <c r="AA11" s="1" t="n">
        <f aca="false">IF(Z11&gt;0,Z11+(201-5)/10^6,0)</f>
        <v>0</v>
      </c>
      <c r="AB11" s="1"/>
      <c r="AC11" s="1"/>
      <c r="AD11" s="1"/>
      <c r="AE11" s="1"/>
      <c r="AF11" s="1" t="n">
        <f aca="false">IF($M11="",0,SUMIFS($P$58:$P$85,$L$58:$L$85,"&gt;="&amp;$M11,$L$58:$L$85,"&lt;="&amp;$N11))</f>
        <v>0</v>
      </c>
      <c r="AG11" s="1" t="n">
        <f aca="false">IF($M11="",0,SUMIFS($Q$58:$Q$85,$L$58:$L$85,"&gt;="&amp;$M11,$L$58:$L$85,"&lt;="&amp;$N11))</f>
        <v>0</v>
      </c>
      <c r="AH11" s="1" t="n">
        <f aca="false">IF($M11="",0,SUMIFS($R$58:$R$85,$L$58:$L$85,"&gt;="&amp;$M11,$L$58:$L$85,"&lt;="&amp;$N11))</f>
        <v>0</v>
      </c>
    </row>
    <row r="12" customFormat="false" ht="15" hidden="false" customHeight="false" outlineLevel="0" collapsed="false">
      <c r="A12" s="1"/>
      <c r="B12" s="10"/>
      <c r="C12" s="31" t="str">
        <f aca="false">IF(B12="","",TEXT(B12,"ddd"))</f>
        <v/>
      </c>
      <c r="D12" s="11"/>
      <c r="E12" s="8" t="str">
        <f aca="false">IF(D12="","",IFERROR(INDEX(ProjNumbers,MATCH(D12,ProjNames,0)),""))</f>
        <v/>
      </c>
      <c r="F12" s="8" t="str">
        <f aca="false">IF(D12="","",IFERROR(INDEX(ProjCodes,MATCH(D12,ProjNames,0)),""))</f>
        <v/>
      </c>
      <c r="G12" s="32"/>
      <c r="H12" s="11"/>
      <c r="I12" s="33"/>
      <c r="J12" s="8" t="str">
        <f aca="false">IF(COUNTA(B12,D12,G12,H12,I12)=0,"",IF(B12="","Enter date",IF(OR(B12&lt;$AC$2,B12&gt;$AC$3),"Date not in February",IF(D12="","Pick project",IF(ISNA(MATCH(D12,ProjNames,0)),"Project not in list",IF(G12="","Add task description",IF(H12="","Pick NTIME or P6",IF(N(I12)&lt;=0,"Enter hours",IF(AND(AllowOT&lt;&gt;"Yes",SUMIF($B$7:$B$256,B12,$I$7:$I$256)&gt;INDEX($O$58:$O$85,DAY(B12))),"Day over "&amp;INDEX($O$58:$O$85,DAY(B12))&amp;" h","✓")))))))))</f>
        <v/>
      </c>
      <c r="K12" s="1"/>
      <c r="L12" s="24" t="str">
        <f aca="false">"Week 3"&amp;IF(M12="",""," ("&amp;DAY(M12)&amp;"–"&amp;DAY(N12)&amp;")")</f>
        <v>Week 3 (9–15)</v>
      </c>
      <c r="M12" s="34" t="n">
        <f aca="false">IF($AC$4+7*2&gt;$AC$3,"",MAX($AC$2,$AC$4+7*2))</f>
        <v>46062</v>
      </c>
      <c r="N12" s="34" t="n">
        <f aca="false">IF(M12="","",MIN($AC$3,$AC$4+7*3-1))</f>
        <v>46068</v>
      </c>
      <c r="O12" s="24" t="n">
        <f aca="false">IF($M12="","",AF12+IF(OHSystem="NTIME",AH12,0))</f>
        <v>0</v>
      </c>
      <c r="P12" s="24" t="n">
        <f aca="false">IF($M12="","",AG12+IF(OHSystem="P6",AH12,0))</f>
        <v>0</v>
      </c>
      <c r="Q12" s="24" t="n">
        <f aca="false">IF($M12="","",AH12)</f>
        <v>0</v>
      </c>
      <c r="R12" s="24" t="n">
        <f aca="false">IF($M12="","",SUMIFS($S$58:$S$85,$L$58:$L$85,"&gt;="&amp;$M12,$L$58:$L$85,"&lt;="&amp;$N12))</f>
        <v>0</v>
      </c>
      <c r="S12" s="24" t="n">
        <f aca="false">IF($M12="","",SUMIFS($T$58:$T$85,$L$58:$L$85,"&gt;="&amp;$M12,$L$58:$L$85,"&lt;="&amp;$N12))</f>
        <v>0</v>
      </c>
      <c r="T12" s="1"/>
      <c r="U12" s="1"/>
      <c r="V12" s="1"/>
      <c r="W12" s="1" t="str">
        <f aca="false">IF(Projects!B10="","",Projects!B10)</f>
        <v/>
      </c>
      <c r="X12" s="1" t="n">
        <f aca="false">IF(W12="",0,SUMIFS($I$7:$I$256,$D$7:$D$256,W12,$H$7:$H$256,"NTIME"))</f>
        <v>0</v>
      </c>
      <c r="Y12" s="1" t="n">
        <f aca="false">IF(W12="",0,SUMIFS($I$7:$I$256,$D$7:$D$256,W12,$H$7:$H$256,"P6"))</f>
        <v>0</v>
      </c>
      <c r="Z12" s="1" t="n">
        <f aca="false">X12+Y12</f>
        <v>0</v>
      </c>
      <c r="AA12" s="1" t="n">
        <f aca="false">IF(Z12&gt;0,Z12+(201-6)/10^6,0)</f>
        <v>0</v>
      </c>
      <c r="AB12" s="1"/>
      <c r="AC12" s="1"/>
      <c r="AD12" s="1"/>
      <c r="AE12" s="1"/>
      <c r="AF12" s="1" t="n">
        <f aca="false">IF($M12="",0,SUMIFS($P$58:$P$85,$L$58:$L$85,"&gt;="&amp;$M12,$L$58:$L$85,"&lt;="&amp;$N12))</f>
        <v>0</v>
      </c>
      <c r="AG12" s="1" t="n">
        <f aca="false">IF($M12="",0,SUMIFS($Q$58:$Q$85,$L$58:$L$85,"&gt;="&amp;$M12,$L$58:$L$85,"&lt;="&amp;$N12))</f>
        <v>0</v>
      </c>
      <c r="AH12" s="1" t="n">
        <f aca="false">IF($M12="",0,SUMIFS($R$58:$R$85,$L$58:$L$85,"&gt;="&amp;$M12,$L$58:$L$85,"&lt;="&amp;$N12))</f>
        <v>0</v>
      </c>
    </row>
    <row r="13" customFormat="false" ht="15" hidden="false" customHeight="false" outlineLevel="0" collapsed="false">
      <c r="A13" s="1"/>
      <c r="B13" s="10"/>
      <c r="C13" s="31" t="str">
        <f aca="false">IF(B13="","",TEXT(B13,"ddd"))</f>
        <v/>
      </c>
      <c r="D13" s="11"/>
      <c r="E13" s="8" t="str">
        <f aca="false">IF(D13="","",IFERROR(INDEX(ProjNumbers,MATCH(D13,ProjNames,0)),""))</f>
        <v/>
      </c>
      <c r="F13" s="8" t="str">
        <f aca="false">IF(D13="","",IFERROR(INDEX(ProjCodes,MATCH(D13,ProjNames,0)),""))</f>
        <v/>
      </c>
      <c r="G13" s="32"/>
      <c r="H13" s="11"/>
      <c r="I13" s="33"/>
      <c r="J13" s="8" t="str">
        <f aca="false">IF(COUNTA(B13,D13,G13,H13,I13)=0,"",IF(B13="","Enter date",IF(OR(B13&lt;$AC$2,B13&gt;$AC$3),"Date not in February",IF(D13="","Pick project",IF(ISNA(MATCH(D13,ProjNames,0)),"Project not in list",IF(G13="","Add task description",IF(H13="","Pick NTIME or P6",IF(N(I13)&lt;=0,"Enter hours",IF(AND(AllowOT&lt;&gt;"Yes",SUMIF($B$7:$B$256,B13,$I$7:$I$256)&gt;INDEX($O$58:$O$85,DAY(B13))),"Day over "&amp;INDEX($O$58:$O$85,DAY(B13))&amp;" h","✓")))))))))</f>
        <v/>
      </c>
      <c r="K13" s="1"/>
      <c r="L13" s="24" t="str">
        <f aca="false">"Week 4"&amp;IF(M13="",""," ("&amp;DAY(M13)&amp;"–"&amp;DAY(N13)&amp;")")</f>
        <v>Week 4 (16–22)</v>
      </c>
      <c r="M13" s="34" t="n">
        <f aca="false">IF($AC$4+7*3&gt;$AC$3,"",MAX($AC$2,$AC$4+7*3))</f>
        <v>46069</v>
      </c>
      <c r="N13" s="34" t="n">
        <f aca="false">IF(M13="","",MIN($AC$3,$AC$4+7*4-1))</f>
        <v>46075</v>
      </c>
      <c r="O13" s="24" t="n">
        <f aca="false">IF($M13="","",AF13+IF(OHSystem="NTIME",AH13,0))</f>
        <v>0</v>
      </c>
      <c r="P13" s="24" t="n">
        <f aca="false">IF($M13="","",AG13+IF(OHSystem="P6",AH13,0))</f>
        <v>0</v>
      </c>
      <c r="Q13" s="24" t="n">
        <f aca="false">IF($M13="","",AH13)</f>
        <v>0</v>
      </c>
      <c r="R13" s="24" t="n">
        <f aca="false">IF($M13="","",SUMIFS($S$58:$S$85,$L$58:$L$85,"&gt;="&amp;$M13,$L$58:$L$85,"&lt;="&amp;$N13))</f>
        <v>0</v>
      </c>
      <c r="S13" s="24" t="n">
        <f aca="false">IF($M13="","",SUMIFS($T$58:$T$85,$L$58:$L$85,"&gt;="&amp;$M13,$L$58:$L$85,"&lt;="&amp;$N13))</f>
        <v>0</v>
      </c>
      <c r="T13" s="1"/>
      <c r="U13" s="1"/>
      <c r="V13" s="1"/>
      <c r="W13" s="1" t="str">
        <f aca="false">IF(Projects!B11="","",Projects!B11)</f>
        <v/>
      </c>
      <c r="X13" s="1" t="n">
        <f aca="false">IF(W13="",0,SUMIFS($I$7:$I$256,$D$7:$D$256,W13,$H$7:$H$256,"NTIME"))</f>
        <v>0</v>
      </c>
      <c r="Y13" s="1" t="n">
        <f aca="false">IF(W13="",0,SUMIFS($I$7:$I$256,$D$7:$D$256,W13,$H$7:$H$256,"P6"))</f>
        <v>0</v>
      </c>
      <c r="Z13" s="1" t="n">
        <f aca="false">X13+Y13</f>
        <v>0</v>
      </c>
      <c r="AA13" s="1" t="n">
        <f aca="false">IF(Z13&gt;0,Z13+(201-7)/10^6,0)</f>
        <v>0</v>
      </c>
      <c r="AB13" s="1"/>
      <c r="AC13" s="1"/>
      <c r="AD13" s="1"/>
      <c r="AE13" s="1"/>
      <c r="AF13" s="1" t="n">
        <f aca="false">IF($M13="",0,SUMIFS($P$58:$P$85,$L$58:$L$85,"&gt;="&amp;$M13,$L$58:$L$85,"&lt;="&amp;$N13))</f>
        <v>0</v>
      </c>
      <c r="AG13" s="1" t="n">
        <f aca="false">IF($M13="",0,SUMIFS($Q$58:$Q$85,$L$58:$L$85,"&gt;="&amp;$M13,$L$58:$L$85,"&lt;="&amp;$N13))</f>
        <v>0</v>
      </c>
      <c r="AH13" s="1" t="n">
        <f aca="false">IF($M13="",0,SUMIFS($R$58:$R$85,$L$58:$L$85,"&gt;="&amp;$M13,$L$58:$L$85,"&lt;="&amp;$N13))</f>
        <v>0</v>
      </c>
    </row>
    <row r="14" customFormat="false" ht="15" hidden="false" customHeight="false" outlineLevel="0" collapsed="false">
      <c r="A14" s="1"/>
      <c r="B14" s="10"/>
      <c r="C14" s="31" t="str">
        <f aca="false">IF(B14="","",TEXT(B14,"ddd"))</f>
        <v/>
      </c>
      <c r="D14" s="11"/>
      <c r="E14" s="8" t="str">
        <f aca="false">IF(D14="","",IFERROR(INDEX(ProjNumbers,MATCH(D14,ProjNames,0)),""))</f>
        <v/>
      </c>
      <c r="F14" s="8" t="str">
        <f aca="false">IF(D14="","",IFERROR(INDEX(ProjCodes,MATCH(D14,ProjNames,0)),""))</f>
        <v/>
      </c>
      <c r="G14" s="32"/>
      <c r="H14" s="11"/>
      <c r="I14" s="33"/>
      <c r="J14" s="8" t="str">
        <f aca="false">IF(COUNTA(B14,D14,G14,H14,I14)=0,"",IF(B14="","Enter date",IF(OR(B14&lt;$AC$2,B14&gt;$AC$3),"Date not in February",IF(D14="","Pick project",IF(ISNA(MATCH(D14,ProjNames,0)),"Project not in list",IF(G14="","Add task description",IF(H14="","Pick NTIME or P6",IF(N(I14)&lt;=0,"Enter hours",IF(AND(AllowOT&lt;&gt;"Yes",SUMIF($B$7:$B$256,B14,$I$7:$I$256)&gt;INDEX($O$58:$O$85,DAY(B14))),"Day over "&amp;INDEX($O$58:$O$85,DAY(B14))&amp;" h","✓")))))))))</f>
        <v/>
      </c>
      <c r="K14" s="1"/>
      <c r="L14" s="24" t="str">
        <f aca="false">"Week 5"&amp;IF(M14="",""," ("&amp;DAY(M14)&amp;"–"&amp;DAY(N14)&amp;")")</f>
        <v>Week 5 (23–28)</v>
      </c>
      <c r="M14" s="34" t="n">
        <f aca="false">IF($AC$4+7*4&gt;$AC$3,"",MAX($AC$2,$AC$4+7*4))</f>
        <v>46076</v>
      </c>
      <c r="N14" s="34" t="n">
        <f aca="false">IF(M14="","",MIN($AC$3,$AC$4+7*5-1))</f>
        <v>46081</v>
      </c>
      <c r="O14" s="24" t="n">
        <f aca="false">IF($M14="","",AF14+IF(OHSystem="NTIME",AH14,0))</f>
        <v>0</v>
      </c>
      <c r="P14" s="24" t="n">
        <f aca="false">IF($M14="","",AG14+IF(OHSystem="P6",AH14,0))</f>
        <v>0</v>
      </c>
      <c r="Q14" s="24" t="n">
        <f aca="false">IF($M14="","",AH14)</f>
        <v>0</v>
      </c>
      <c r="R14" s="24" t="n">
        <f aca="false">IF($M14="","",SUMIFS($S$58:$S$85,$L$58:$L$85,"&gt;="&amp;$M14,$L$58:$L$85,"&lt;="&amp;$N14))</f>
        <v>0</v>
      </c>
      <c r="S14" s="24" t="n">
        <f aca="false">IF($M14="","",SUMIFS($T$58:$T$85,$L$58:$L$85,"&gt;="&amp;$M14,$L$58:$L$85,"&lt;="&amp;$N14))</f>
        <v>0</v>
      </c>
      <c r="T14" s="1"/>
      <c r="U14" s="1"/>
      <c r="V14" s="1"/>
      <c r="W14" s="1" t="str">
        <f aca="false">IF(Projects!B12="","",Projects!B12)</f>
        <v/>
      </c>
      <c r="X14" s="1" t="n">
        <f aca="false">IF(W14="",0,SUMIFS($I$7:$I$256,$D$7:$D$256,W14,$H$7:$H$256,"NTIME"))</f>
        <v>0</v>
      </c>
      <c r="Y14" s="1" t="n">
        <f aca="false">IF(W14="",0,SUMIFS($I$7:$I$256,$D$7:$D$256,W14,$H$7:$H$256,"P6"))</f>
        <v>0</v>
      </c>
      <c r="Z14" s="1" t="n">
        <f aca="false">X14+Y14</f>
        <v>0</v>
      </c>
      <c r="AA14" s="1" t="n">
        <f aca="false">IF(Z14&gt;0,Z14+(201-8)/10^6,0)</f>
        <v>0</v>
      </c>
      <c r="AB14" s="1"/>
      <c r="AC14" s="1"/>
      <c r="AD14" s="1"/>
      <c r="AE14" s="1"/>
      <c r="AF14" s="1" t="n">
        <f aca="false">IF($M14="",0,SUMIFS($P$58:$P$85,$L$58:$L$85,"&gt;="&amp;$M14,$L$58:$L$85,"&lt;="&amp;$N14))</f>
        <v>0</v>
      </c>
      <c r="AG14" s="1" t="n">
        <f aca="false">IF($M14="",0,SUMIFS($Q$58:$Q$85,$L$58:$L$85,"&gt;="&amp;$M14,$L$58:$L$85,"&lt;="&amp;$N14))</f>
        <v>0</v>
      </c>
      <c r="AH14" s="1" t="n">
        <f aca="false">IF($M14="",0,SUMIFS($R$58:$R$85,$L$58:$L$85,"&gt;="&amp;$M14,$L$58:$L$85,"&lt;="&amp;$N14))</f>
        <v>0</v>
      </c>
    </row>
    <row r="15" customFormat="false" ht="15" hidden="false" customHeight="false" outlineLevel="0" collapsed="false">
      <c r="A15" s="1"/>
      <c r="B15" s="10"/>
      <c r="C15" s="31" t="str">
        <f aca="false">IF(B15="","",TEXT(B15,"ddd"))</f>
        <v/>
      </c>
      <c r="D15" s="11"/>
      <c r="E15" s="8" t="str">
        <f aca="false">IF(D15="","",IFERROR(INDEX(ProjNumbers,MATCH(D15,ProjNames,0)),""))</f>
        <v/>
      </c>
      <c r="F15" s="8" t="str">
        <f aca="false">IF(D15="","",IFERROR(INDEX(ProjCodes,MATCH(D15,ProjNames,0)),""))</f>
        <v/>
      </c>
      <c r="G15" s="32"/>
      <c r="H15" s="11"/>
      <c r="I15" s="33"/>
      <c r="J15" s="8" t="str">
        <f aca="false">IF(COUNTA(B15,D15,G15,H15,I15)=0,"",IF(B15="","Enter date",IF(OR(B15&lt;$AC$2,B15&gt;$AC$3),"Date not in February",IF(D15="","Pick project",IF(ISNA(MATCH(D15,ProjNames,0)),"Project not in list",IF(G15="","Add task description",IF(H15="","Pick NTIME or P6",IF(N(I15)&lt;=0,"Enter hours",IF(AND(AllowOT&lt;&gt;"Yes",SUMIF($B$7:$B$256,B15,$I$7:$I$256)&gt;INDEX($O$58:$O$85,DAY(B15))),"Day over "&amp;INDEX($O$58:$O$85,DAY(B15))&amp;" h","✓")))))))))</f>
        <v/>
      </c>
      <c r="K15" s="1"/>
      <c r="L15" s="24" t="str">
        <f aca="false">"Week 6"&amp;IF(M15="",""," ("&amp;DAY(M15)&amp;"–"&amp;DAY(N15)&amp;")")</f>
        <v>Week 6</v>
      </c>
      <c r="M15" s="34" t="str">
        <f aca="false">IF($AC$4+7*5&gt;$AC$3,"",MAX($AC$2,$AC$4+7*5))</f>
        <v/>
      </c>
      <c r="N15" s="34" t="str">
        <f aca="false">IF(M15="","",MIN($AC$3,$AC$4+7*6-1))</f>
        <v/>
      </c>
      <c r="O15" s="24" t="str">
        <f aca="false">IF($M15="","",AF15+IF(OHSystem="NTIME",AH15,0))</f>
        <v/>
      </c>
      <c r="P15" s="24" t="str">
        <f aca="false">IF($M15="","",AG15+IF(OHSystem="P6",AH15,0))</f>
        <v/>
      </c>
      <c r="Q15" s="24" t="str">
        <f aca="false">IF($M15="","",AH15)</f>
        <v/>
      </c>
      <c r="R15" s="24" t="str">
        <f aca="false">IF($M15="","",SUMIFS($S$58:$S$85,$L$58:$L$85,"&gt;="&amp;$M15,$L$58:$L$85,"&lt;="&amp;$N15))</f>
        <v/>
      </c>
      <c r="S15" s="24" t="str">
        <f aca="false">IF($M15="","",SUMIFS($T$58:$T$85,$L$58:$L$85,"&gt;="&amp;$M15,$L$58:$L$85,"&lt;="&amp;$N15))</f>
        <v/>
      </c>
      <c r="T15" s="1"/>
      <c r="U15" s="1"/>
      <c r="V15" s="1"/>
      <c r="W15" s="1" t="str">
        <f aca="false">IF(Projects!B13="","",Projects!B13)</f>
        <v/>
      </c>
      <c r="X15" s="1" t="n">
        <f aca="false">IF(W15="",0,SUMIFS($I$7:$I$256,$D$7:$D$256,W15,$H$7:$H$256,"NTIME"))</f>
        <v>0</v>
      </c>
      <c r="Y15" s="1" t="n">
        <f aca="false">IF(W15="",0,SUMIFS($I$7:$I$256,$D$7:$D$256,W15,$H$7:$H$256,"P6"))</f>
        <v>0</v>
      </c>
      <c r="Z15" s="1" t="n">
        <f aca="false">X15+Y15</f>
        <v>0</v>
      </c>
      <c r="AA15" s="1" t="n">
        <f aca="false">IF(Z15&gt;0,Z15+(201-9)/10^6,0)</f>
        <v>0</v>
      </c>
      <c r="AB15" s="1"/>
      <c r="AC15" s="1"/>
      <c r="AD15" s="1"/>
      <c r="AE15" s="1"/>
      <c r="AF15" s="1" t="n">
        <f aca="false">IF($M15="",0,SUMIFS($P$58:$P$85,$L$58:$L$85,"&gt;="&amp;$M15,$L$58:$L$85,"&lt;="&amp;$N15))</f>
        <v>0</v>
      </c>
      <c r="AG15" s="1" t="n">
        <f aca="false">IF($M15="",0,SUMIFS($Q$58:$Q$85,$L$58:$L$85,"&gt;="&amp;$M15,$L$58:$L$85,"&lt;="&amp;$N15))</f>
        <v>0</v>
      </c>
      <c r="AH15" s="1" t="n">
        <f aca="false">IF($M15="",0,SUMIFS($R$58:$R$85,$L$58:$L$85,"&gt;="&amp;$M15,$L$58:$L$85,"&lt;="&amp;$N15))</f>
        <v>0</v>
      </c>
    </row>
    <row r="16" customFormat="false" ht="15" hidden="false" customHeight="false" outlineLevel="0" collapsed="false">
      <c r="A16" s="1"/>
      <c r="B16" s="10"/>
      <c r="C16" s="31" t="str">
        <f aca="false">IF(B16="","",TEXT(B16,"ddd"))</f>
        <v/>
      </c>
      <c r="D16" s="11"/>
      <c r="E16" s="8" t="str">
        <f aca="false">IF(D16="","",IFERROR(INDEX(ProjNumbers,MATCH(D16,ProjNames,0)),""))</f>
        <v/>
      </c>
      <c r="F16" s="8" t="str">
        <f aca="false">IF(D16="","",IFERROR(INDEX(ProjCodes,MATCH(D16,ProjNames,0)),""))</f>
        <v/>
      </c>
      <c r="G16" s="32"/>
      <c r="H16" s="11"/>
      <c r="I16" s="33"/>
      <c r="J16" s="8" t="str">
        <f aca="false">IF(COUNTA(B16,D16,G16,H16,I16)=0,"",IF(B16="","Enter date",IF(OR(B16&lt;$AC$2,B16&gt;$AC$3),"Date not in February",IF(D16="","Pick project",IF(ISNA(MATCH(D16,ProjNames,0)),"Project not in list",IF(G16="","Add task description",IF(H16="","Pick NTIME or P6",IF(N(I16)&lt;=0,"Enter hours",IF(AND(AllowOT&lt;&gt;"Yes",SUMIF($B$7:$B$256,B16,$I$7:$I$256)&gt;INDEX($O$58:$O$85,DAY(B16))),"Day over "&amp;INDEX($O$58:$O$85,DAY(B16))&amp;" h","✓")))))))))</f>
        <v/>
      </c>
      <c r="K16" s="1"/>
      <c r="L16" s="27" t="s">
        <v>84</v>
      </c>
      <c r="M16" s="27"/>
      <c r="N16" s="27"/>
      <c r="O16" s="27" t="n">
        <f aca="false">SUM(O10:O15)</f>
        <v>0</v>
      </c>
      <c r="P16" s="27" t="n">
        <f aca="false">SUM(P10:P15)</f>
        <v>0</v>
      </c>
      <c r="Q16" s="27" t="n">
        <f aca="false">SUM(Q10:Q15)</f>
        <v>0</v>
      </c>
      <c r="R16" s="27" t="n">
        <f aca="false">SUM(R10:R15)</f>
        <v>0</v>
      </c>
      <c r="S16" s="27" t="n">
        <f aca="false">SUM(S10:S15)</f>
        <v>0</v>
      </c>
      <c r="T16" s="1"/>
      <c r="U16" s="1"/>
      <c r="V16" s="1"/>
      <c r="W16" s="1" t="str">
        <f aca="false">IF(Projects!B14="","",Projects!B14)</f>
        <v/>
      </c>
      <c r="X16" s="1" t="n">
        <f aca="false">IF(W16="",0,SUMIFS($I$7:$I$256,$D$7:$D$256,W16,$H$7:$H$256,"NTIME"))</f>
        <v>0</v>
      </c>
      <c r="Y16" s="1" t="n">
        <f aca="false">IF(W16="",0,SUMIFS($I$7:$I$256,$D$7:$D$256,W16,$H$7:$H$256,"P6"))</f>
        <v>0</v>
      </c>
      <c r="Z16" s="1" t="n">
        <f aca="false">X16+Y16</f>
        <v>0</v>
      </c>
      <c r="AA16" s="1" t="n">
        <f aca="false">IF(Z16&gt;0,Z16+(201-10)/10^6,0)</f>
        <v>0</v>
      </c>
      <c r="AB16" s="1"/>
      <c r="AC16" s="1"/>
      <c r="AD16" s="1"/>
      <c r="AE16" s="1"/>
      <c r="AF16" s="1" t="n">
        <f aca="false">SUM(AF10:AF15)</f>
        <v>0</v>
      </c>
      <c r="AG16" s="1" t="n">
        <f aca="false">SUM(AG10:AG15)</f>
        <v>0</v>
      </c>
      <c r="AH16" s="1" t="n">
        <f aca="false">SUM(AH10:AH15)</f>
        <v>0</v>
      </c>
    </row>
    <row r="17" customFormat="false" ht="15" hidden="false" customHeight="false" outlineLevel="0" collapsed="false">
      <c r="A17" s="1"/>
      <c r="B17" s="10"/>
      <c r="C17" s="31" t="str">
        <f aca="false">IF(B17="","",TEXT(B17,"ddd"))</f>
        <v/>
      </c>
      <c r="D17" s="11"/>
      <c r="E17" s="8" t="str">
        <f aca="false">IF(D17="","",IFERROR(INDEX(ProjNumbers,MATCH(D17,ProjNames,0)),""))</f>
        <v/>
      </c>
      <c r="F17" s="8" t="str">
        <f aca="false">IF(D17="","",IFERROR(INDEX(ProjCodes,MATCH(D17,ProjNames,0)),""))</f>
        <v/>
      </c>
      <c r="G17" s="32"/>
      <c r="H17" s="11"/>
      <c r="I17" s="33"/>
      <c r="J17" s="8" t="str">
        <f aca="false">IF(COUNTA(B17,D17,G17,H17,I17)=0,"",IF(B17="","Enter date",IF(OR(B17&lt;$AC$2,B17&gt;$AC$3),"Date not in February",IF(D17="","Pick project",IF(ISNA(MATCH(D17,ProjNames,0)),"Project not in list",IF(G17="","Add task description",IF(H17="","Pick NTIME or P6",IF(N(I17)&lt;=0,"Enter hours",IF(AND(AllowOT&lt;&gt;"Yes",SUMIF($B$7:$B$256,B17,$I$7:$I$256)&gt;INDEX($O$58:$O$85,DAY(B17))),"Day over "&amp;INDEX($O$58:$O$85,DAY(B17))&amp;" h","✓")))))))))</f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tr">
        <f aca="false">IF(Projects!B15="","",Projects!B15)</f>
        <v/>
      </c>
      <c r="X17" s="1" t="n">
        <f aca="false">IF(W17="",0,SUMIFS($I$7:$I$256,$D$7:$D$256,W17,$H$7:$H$256,"NTIME"))</f>
        <v>0</v>
      </c>
      <c r="Y17" s="1" t="n">
        <f aca="false">IF(W17="",0,SUMIFS($I$7:$I$256,$D$7:$D$256,W17,$H$7:$H$256,"P6"))</f>
        <v>0</v>
      </c>
      <c r="Z17" s="1" t="n">
        <f aca="false">X17+Y17</f>
        <v>0</v>
      </c>
      <c r="AA17" s="1" t="n">
        <f aca="false">IF(Z17&gt;0,Z17+(201-11)/10^6,0)</f>
        <v>0</v>
      </c>
      <c r="AB17" s="1"/>
      <c r="AC17" s="1"/>
      <c r="AD17" s="1"/>
      <c r="AE17" s="1"/>
      <c r="AF17" s="1"/>
      <c r="AG17" s="1"/>
      <c r="AH17" s="1"/>
    </row>
    <row r="18" customFormat="false" ht="15" hidden="false" customHeight="false" outlineLevel="0" collapsed="false">
      <c r="A18" s="1"/>
      <c r="B18" s="10"/>
      <c r="C18" s="31" t="str">
        <f aca="false">IF(B18="","",TEXT(B18,"ddd"))</f>
        <v/>
      </c>
      <c r="D18" s="11"/>
      <c r="E18" s="8" t="str">
        <f aca="false">IF(D18="","",IFERROR(INDEX(ProjNumbers,MATCH(D18,ProjNames,0)),""))</f>
        <v/>
      </c>
      <c r="F18" s="8" t="str">
        <f aca="false">IF(D18="","",IFERROR(INDEX(ProjCodes,MATCH(D18,ProjNames,0)),""))</f>
        <v/>
      </c>
      <c r="G18" s="32"/>
      <c r="H18" s="11"/>
      <c r="I18" s="33"/>
      <c r="J18" s="8" t="str">
        <f aca="false">IF(COUNTA(B18,D18,G18,H18,I18)=0,"",IF(B18="","Enter date",IF(OR(B18&lt;$AC$2,B18&gt;$AC$3),"Date not in February",IF(D18="","Pick project",IF(ISNA(MATCH(D18,ProjNames,0)),"Project not in list",IF(G18="","Add task description",IF(H18="","Pick NTIME or P6",IF(N(I18)&lt;=0,"Enter hours",IF(AND(AllowOT&lt;&gt;"Yes",SUMIF($B$7:$B$256,B18,$I$7:$I$256)&gt;INDEX($O$58:$O$85,DAY(B18))),"Day over "&amp;INDEX($O$58:$O$85,DAY(B18))&amp;" h","✓")))))))))</f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 aca="false">IF(Projects!B16="","",Projects!B16)</f>
        <v/>
      </c>
      <c r="X18" s="1" t="n">
        <f aca="false">IF(W18="",0,SUMIFS($I$7:$I$256,$D$7:$D$256,W18,$H$7:$H$256,"NTIME"))</f>
        <v>0</v>
      </c>
      <c r="Y18" s="1" t="n">
        <f aca="false">IF(W18="",0,SUMIFS($I$7:$I$256,$D$7:$D$256,W18,$H$7:$H$256,"P6"))</f>
        <v>0</v>
      </c>
      <c r="Z18" s="1" t="n">
        <f aca="false">X18+Y18</f>
        <v>0</v>
      </c>
      <c r="AA18" s="1" t="n">
        <f aca="false">IF(Z18&gt;0,Z18+(201-12)/10^6,0)</f>
        <v>0</v>
      </c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/>
      <c r="B19" s="10"/>
      <c r="C19" s="31" t="str">
        <f aca="false">IF(B19="","",TEXT(B19,"ddd"))</f>
        <v/>
      </c>
      <c r="D19" s="11"/>
      <c r="E19" s="8" t="str">
        <f aca="false">IF(D19="","",IFERROR(INDEX(ProjNumbers,MATCH(D19,ProjNames,0)),""))</f>
        <v/>
      </c>
      <c r="F19" s="8" t="str">
        <f aca="false">IF(D19="","",IFERROR(INDEX(ProjCodes,MATCH(D19,ProjNames,0)),""))</f>
        <v/>
      </c>
      <c r="G19" s="32"/>
      <c r="H19" s="11"/>
      <c r="I19" s="33"/>
      <c r="J19" s="8" t="str">
        <f aca="false">IF(COUNTA(B19,D19,G19,H19,I19)=0,"",IF(B19="","Enter date",IF(OR(B19&lt;$AC$2,B19&gt;$AC$3),"Date not in February",IF(D19="","Pick project",IF(ISNA(MATCH(D19,ProjNames,0)),"Project not in list",IF(G19="","Add task description",IF(H19="","Pick NTIME or P6",IF(N(I19)&lt;=0,"Enter hours",IF(AND(AllowOT&lt;&gt;"Yes",SUMIF($B$7:$B$256,B19,$I$7:$I$256)&gt;INDEX($O$58:$O$85,DAY(B19))),"Day over "&amp;INDEX($O$58:$O$85,DAY(B19))&amp;" h","✓")))))))))</f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tr">
        <f aca="false">IF(Projects!B17="","",Projects!B17)</f>
        <v/>
      </c>
      <c r="X19" s="1" t="n">
        <f aca="false">IF(W19="",0,SUMIFS($I$7:$I$256,$D$7:$D$256,W19,$H$7:$H$256,"NTIME"))</f>
        <v>0</v>
      </c>
      <c r="Y19" s="1" t="n">
        <f aca="false">IF(W19="",0,SUMIFS($I$7:$I$256,$D$7:$D$256,W19,$H$7:$H$256,"P6"))</f>
        <v>0</v>
      </c>
      <c r="Z19" s="1" t="n">
        <f aca="false">X19+Y19</f>
        <v>0</v>
      </c>
      <c r="AA19" s="1" t="n">
        <f aca="false">IF(Z19&gt;0,Z19+(201-13)/10^6,0)</f>
        <v>0</v>
      </c>
      <c r="AB19" s="1"/>
      <c r="AC19" s="1"/>
      <c r="AD19" s="1"/>
      <c r="AE19" s="1"/>
      <c r="AF19" s="1"/>
      <c r="AG19" s="1"/>
      <c r="AH19" s="1"/>
    </row>
    <row r="20" customFormat="false" ht="15" hidden="false" customHeight="false" outlineLevel="0" collapsed="false">
      <c r="A20" s="1"/>
      <c r="B20" s="10"/>
      <c r="C20" s="31" t="str">
        <f aca="false">IF(B20="","",TEXT(B20,"ddd"))</f>
        <v/>
      </c>
      <c r="D20" s="11"/>
      <c r="E20" s="8" t="str">
        <f aca="false">IF(D20="","",IFERROR(INDEX(ProjNumbers,MATCH(D20,ProjNames,0)),""))</f>
        <v/>
      </c>
      <c r="F20" s="8" t="str">
        <f aca="false">IF(D20="","",IFERROR(INDEX(ProjCodes,MATCH(D20,ProjNames,0)),""))</f>
        <v/>
      </c>
      <c r="G20" s="32"/>
      <c r="H20" s="11"/>
      <c r="I20" s="33"/>
      <c r="J20" s="8" t="str">
        <f aca="false">IF(COUNTA(B20,D20,G20,H20,I20)=0,"",IF(B20="","Enter date",IF(OR(B20&lt;$AC$2,B20&gt;$AC$3),"Date not in February",IF(D20="","Pick project",IF(ISNA(MATCH(D20,ProjNames,0)),"Project not in list",IF(G20="","Add task description",IF(H20="","Pick NTIME or P6",IF(N(I20)&lt;=0,"Enter hours",IF(AND(AllowOT&lt;&gt;"Yes",SUMIF($B$7:$B$256,B20,$I$7:$I$256)&gt;INDEX($O$58:$O$85,DAY(B20))),"Day over "&amp;INDEX($O$58:$O$85,DAY(B20))&amp;" h","✓")))))))))</f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tr">
        <f aca="false">IF(Projects!B18="","",Projects!B18)</f>
        <v/>
      </c>
      <c r="X20" s="1" t="n">
        <f aca="false">IF(W20="",0,SUMIFS($I$7:$I$256,$D$7:$D$256,W20,$H$7:$H$256,"NTIME"))</f>
        <v>0</v>
      </c>
      <c r="Y20" s="1" t="n">
        <f aca="false">IF(W20="",0,SUMIFS($I$7:$I$256,$D$7:$D$256,W20,$H$7:$H$256,"P6"))</f>
        <v>0</v>
      </c>
      <c r="Z20" s="1" t="n">
        <f aca="false">X20+Y20</f>
        <v>0</v>
      </c>
      <c r="AA20" s="1" t="n">
        <f aca="false">IF(Z20&gt;0,Z20+(201-14)/10^6,0)</f>
        <v>0</v>
      </c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/>
      <c r="B21" s="10"/>
      <c r="C21" s="31" t="str">
        <f aca="false">IF(B21="","",TEXT(B21,"ddd"))</f>
        <v/>
      </c>
      <c r="D21" s="11"/>
      <c r="E21" s="8" t="str">
        <f aca="false">IF(D21="","",IFERROR(INDEX(ProjNumbers,MATCH(D21,ProjNames,0)),""))</f>
        <v/>
      </c>
      <c r="F21" s="8" t="str">
        <f aca="false">IF(D21="","",IFERROR(INDEX(ProjCodes,MATCH(D21,ProjNames,0)),""))</f>
        <v/>
      </c>
      <c r="G21" s="32"/>
      <c r="H21" s="11"/>
      <c r="I21" s="33"/>
      <c r="J21" s="8" t="str">
        <f aca="false">IF(COUNTA(B21,D21,G21,H21,I21)=0,"",IF(B21="","Enter date",IF(OR(B21&lt;$AC$2,B21&gt;$AC$3),"Date not in February",IF(D21="","Pick project",IF(ISNA(MATCH(D21,ProjNames,0)),"Project not in list",IF(G21="","Add task description",IF(H21="","Pick NTIME or P6",IF(N(I21)&lt;=0,"Enter hours",IF(AND(AllowOT&lt;&gt;"Yes",SUMIF($B$7:$B$256,B21,$I$7:$I$256)&gt;INDEX($O$58:$O$85,DAY(B21))),"Day over "&amp;INDEX($O$58:$O$85,DAY(B21))&amp;" h","✓")))))))))</f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tr">
        <f aca="false">IF(Projects!B19="","",Projects!B19)</f>
        <v/>
      </c>
      <c r="X21" s="1" t="n">
        <f aca="false">IF(W21="",0,SUMIFS($I$7:$I$256,$D$7:$D$256,W21,$H$7:$H$256,"NTIME"))</f>
        <v>0</v>
      </c>
      <c r="Y21" s="1" t="n">
        <f aca="false">IF(W21="",0,SUMIFS($I$7:$I$256,$D$7:$D$256,W21,$H$7:$H$256,"P6"))</f>
        <v>0</v>
      </c>
      <c r="Z21" s="1" t="n">
        <f aca="false">X21+Y21</f>
        <v>0</v>
      </c>
      <c r="AA21" s="1" t="n">
        <f aca="false">IF(Z21&gt;0,Z21+(201-15)/10^6,0)</f>
        <v>0</v>
      </c>
      <c r="AB21" s="1"/>
      <c r="AC21" s="1"/>
      <c r="AD21" s="1"/>
      <c r="AE21" s="1"/>
      <c r="AF21" s="1"/>
      <c r="AG21" s="1"/>
      <c r="AH21" s="1"/>
    </row>
    <row r="22" customFormat="false" ht="15" hidden="false" customHeight="false" outlineLevel="0" collapsed="false">
      <c r="A22" s="1"/>
      <c r="B22" s="10"/>
      <c r="C22" s="31" t="str">
        <f aca="false">IF(B22="","",TEXT(B22,"ddd"))</f>
        <v/>
      </c>
      <c r="D22" s="11"/>
      <c r="E22" s="8" t="str">
        <f aca="false">IF(D22="","",IFERROR(INDEX(ProjNumbers,MATCH(D22,ProjNames,0)),""))</f>
        <v/>
      </c>
      <c r="F22" s="8" t="str">
        <f aca="false">IF(D22="","",IFERROR(INDEX(ProjCodes,MATCH(D22,ProjNames,0)),""))</f>
        <v/>
      </c>
      <c r="G22" s="32"/>
      <c r="H22" s="11"/>
      <c r="I22" s="33"/>
      <c r="J22" s="8" t="str">
        <f aca="false">IF(COUNTA(B22,D22,G22,H22,I22)=0,"",IF(B22="","Enter date",IF(OR(B22&lt;$AC$2,B22&gt;$AC$3),"Date not in February",IF(D22="","Pick project",IF(ISNA(MATCH(D22,ProjNames,0)),"Project not in list",IF(G22="","Add task description",IF(H22="","Pick NTIME or P6",IF(N(I22)&lt;=0,"Enter hours",IF(AND(AllowOT&lt;&gt;"Yes",SUMIF($B$7:$B$256,B22,$I$7:$I$256)&gt;INDEX($O$58:$O$85,DAY(B22))),"Day over "&amp;INDEX($O$58:$O$85,DAY(B22))&amp;" h","✓")))))))))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tr">
        <f aca="false">IF(Projects!B20="","",Projects!B20)</f>
        <v/>
      </c>
      <c r="X22" s="1" t="n">
        <f aca="false">IF(W22="",0,SUMIFS($I$7:$I$256,$D$7:$D$256,W22,$H$7:$H$256,"NTIME"))</f>
        <v>0</v>
      </c>
      <c r="Y22" s="1" t="n">
        <f aca="false">IF(W22="",0,SUMIFS($I$7:$I$256,$D$7:$D$256,W22,$H$7:$H$256,"P6"))</f>
        <v>0</v>
      </c>
      <c r="Z22" s="1" t="n">
        <f aca="false">X22+Y22</f>
        <v>0</v>
      </c>
      <c r="AA22" s="1" t="n">
        <f aca="false">IF(Z22&gt;0,Z22+(201-16)/10^6,0)</f>
        <v>0</v>
      </c>
      <c r="AB22" s="1"/>
      <c r="AC22" s="1"/>
      <c r="AD22" s="1"/>
      <c r="AE22" s="1"/>
      <c r="AF22" s="1"/>
      <c r="AG22" s="1"/>
      <c r="AH22" s="1"/>
    </row>
    <row r="23" customFormat="false" ht="15" hidden="false" customHeight="false" outlineLevel="0" collapsed="false">
      <c r="A23" s="1"/>
      <c r="B23" s="10"/>
      <c r="C23" s="31" t="str">
        <f aca="false">IF(B23="","",TEXT(B23,"ddd"))</f>
        <v/>
      </c>
      <c r="D23" s="11"/>
      <c r="E23" s="8" t="str">
        <f aca="false">IF(D23="","",IFERROR(INDEX(ProjNumbers,MATCH(D23,ProjNames,0)),""))</f>
        <v/>
      </c>
      <c r="F23" s="8" t="str">
        <f aca="false">IF(D23="","",IFERROR(INDEX(ProjCodes,MATCH(D23,ProjNames,0)),""))</f>
        <v/>
      </c>
      <c r="G23" s="32"/>
      <c r="H23" s="11"/>
      <c r="I23" s="33"/>
      <c r="J23" s="8" t="str">
        <f aca="false">IF(COUNTA(B23,D23,G23,H23,I23)=0,"",IF(B23="","Enter date",IF(OR(B23&lt;$AC$2,B23&gt;$AC$3),"Date not in February",IF(D23="","Pick project",IF(ISNA(MATCH(D23,ProjNames,0)),"Project not in list",IF(G23="","Add task description",IF(H23="","Pick NTIME or P6",IF(N(I23)&lt;=0,"Enter hours",IF(AND(AllowOT&lt;&gt;"Yes",SUMIF($B$7:$B$256,B23,$I$7:$I$256)&gt;INDEX($O$58:$O$85,DAY(B23))),"Day over "&amp;INDEX($O$58:$O$85,DAY(B23))&amp;" h","✓")))))))))</f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tr">
        <f aca="false">IF(Projects!B21="","",Projects!B21)</f>
        <v/>
      </c>
      <c r="X23" s="1" t="n">
        <f aca="false">IF(W23="",0,SUMIFS($I$7:$I$256,$D$7:$D$256,W23,$H$7:$H$256,"NTIME"))</f>
        <v>0</v>
      </c>
      <c r="Y23" s="1" t="n">
        <f aca="false">IF(W23="",0,SUMIFS($I$7:$I$256,$D$7:$D$256,W23,$H$7:$H$256,"P6"))</f>
        <v>0</v>
      </c>
      <c r="Z23" s="1" t="n">
        <f aca="false">X23+Y23</f>
        <v>0</v>
      </c>
      <c r="AA23" s="1" t="n">
        <f aca="false">IF(Z23&gt;0,Z23+(201-17)/10^6,0)</f>
        <v>0</v>
      </c>
      <c r="AB23" s="1"/>
      <c r="AC23" s="1"/>
      <c r="AD23" s="1"/>
      <c r="AE23" s="1"/>
      <c r="AF23" s="1"/>
      <c r="AG23" s="1"/>
      <c r="AH23" s="1"/>
    </row>
    <row r="24" customFormat="false" ht="15" hidden="false" customHeight="false" outlineLevel="0" collapsed="false">
      <c r="A24" s="1"/>
      <c r="B24" s="10"/>
      <c r="C24" s="31" t="str">
        <f aca="false">IF(B24="","",TEXT(B24,"ddd"))</f>
        <v/>
      </c>
      <c r="D24" s="11"/>
      <c r="E24" s="8" t="str">
        <f aca="false">IF(D24="","",IFERROR(INDEX(ProjNumbers,MATCH(D24,ProjNames,0)),""))</f>
        <v/>
      </c>
      <c r="F24" s="8" t="str">
        <f aca="false">IF(D24="","",IFERROR(INDEX(ProjCodes,MATCH(D24,ProjNames,0)),""))</f>
        <v/>
      </c>
      <c r="G24" s="32"/>
      <c r="H24" s="11"/>
      <c r="I24" s="33"/>
      <c r="J24" s="8" t="str">
        <f aca="false">IF(COUNTA(B24,D24,G24,H24,I24)=0,"",IF(B24="","Enter date",IF(OR(B24&lt;$AC$2,B24&gt;$AC$3),"Date not in February",IF(D24="","Pick project",IF(ISNA(MATCH(D24,ProjNames,0)),"Project not in list",IF(G24="","Add task description",IF(H24="","Pick NTIME or P6",IF(N(I24)&lt;=0,"Enter hours",IF(AND(AllowOT&lt;&gt;"Yes",SUMIF($B$7:$B$256,B24,$I$7:$I$256)&gt;INDEX($O$58:$O$85,DAY(B24))),"Day over "&amp;INDEX($O$58:$O$85,DAY(B24))&amp;" h","✓")))))))))</f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tr">
        <f aca="false">IF(Projects!B22="","",Projects!B22)</f>
        <v/>
      </c>
      <c r="X24" s="1" t="n">
        <f aca="false">IF(W24="",0,SUMIFS($I$7:$I$256,$D$7:$D$256,W24,$H$7:$H$256,"NTIME"))</f>
        <v>0</v>
      </c>
      <c r="Y24" s="1" t="n">
        <f aca="false">IF(W24="",0,SUMIFS($I$7:$I$256,$D$7:$D$256,W24,$H$7:$H$256,"P6"))</f>
        <v>0</v>
      </c>
      <c r="Z24" s="1" t="n">
        <f aca="false">X24+Y24</f>
        <v>0</v>
      </c>
      <c r="AA24" s="1" t="n">
        <f aca="false">IF(Z24&gt;0,Z24+(201-18)/10^6,0)</f>
        <v>0</v>
      </c>
      <c r="AB24" s="1"/>
      <c r="AC24" s="1"/>
      <c r="AD24" s="1"/>
      <c r="AE24" s="1"/>
      <c r="AF24" s="1"/>
      <c r="AG24" s="1"/>
      <c r="AH24" s="1"/>
    </row>
    <row r="25" customFormat="false" ht="15" hidden="false" customHeight="false" outlineLevel="0" collapsed="false">
      <c r="A25" s="1"/>
      <c r="B25" s="10"/>
      <c r="C25" s="31" t="str">
        <f aca="false">IF(B25="","",TEXT(B25,"ddd"))</f>
        <v/>
      </c>
      <c r="D25" s="11"/>
      <c r="E25" s="8" t="str">
        <f aca="false">IF(D25="","",IFERROR(INDEX(ProjNumbers,MATCH(D25,ProjNames,0)),""))</f>
        <v/>
      </c>
      <c r="F25" s="8" t="str">
        <f aca="false">IF(D25="","",IFERROR(INDEX(ProjCodes,MATCH(D25,ProjNames,0)),""))</f>
        <v/>
      </c>
      <c r="G25" s="32"/>
      <c r="H25" s="11"/>
      <c r="I25" s="33"/>
      <c r="J25" s="8" t="str">
        <f aca="false">IF(COUNTA(B25,D25,G25,H25,I25)=0,"",IF(B25="","Enter date",IF(OR(B25&lt;$AC$2,B25&gt;$AC$3),"Date not in February",IF(D25="","Pick project",IF(ISNA(MATCH(D25,ProjNames,0)),"Project not in list",IF(G25="","Add task description",IF(H25="","Pick NTIME or P6",IF(N(I25)&lt;=0,"Enter hours",IF(AND(AllowOT&lt;&gt;"Yes",SUMIF($B$7:$B$256,B25,$I$7:$I$256)&gt;INDEX($O$58:$O$85,DAY(B25))),"Day over "&amp;INDEX($O$58:$O$85,DAY(B25))&amp;" h","✓")))))))))</f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tr">
        <f aca="false">IF(Projects!B23="","",Projects!B23)</f>
        <v/>
      </c>
      <c r="X25" s="1" t="n">
        <f aca="false">IF(W25="",0,SUMIFS($I$7:$I$256,$D$7:$D$256,W25,$H$7:$H$256,"NTIME"))</f>
        <v>0</v>
      </c>
      <c r="Y25" s="1" t="n">
        <f aca="false">IF(W25="",0,SUMIFS($I$7:$I$256,$D$7:$D$256,W25,$H$7:$H$256,"P6"))</f>
        <v>0</v>
      </c>
      <c r="Z25" s="1" t="n">
        <f aca="false">X25+Y25</f>
        <v>0</v>
      </c>
      <c r="AA25" s="1" t="n">
        <f aca="false">IF(Z25&gt;0,Z25+(201-19)/10^6,0)</f>
        <v>0</v>
      </c>
      <c r="AB25" s="1"/>
      <c r="AC25" s="1"/>
      <c r="AD25" s="1"/>
      <c r="AE25" s="1"/>
      <c r="AF25" s="1"/>
      <c r="AG25" s="1"/>
      <c r="AH25" s="1"/>
    </row>
    <row r="26" customFormat="false" ht="15" hidden="false" customHeight="false" outlineLevel="0" collapsed="false">
      <c r="A26" s="1"/>
      <c r="B26" s="10"/>
      <c r="C26" s="31" t="str">
        <f aca="false">IF(B26="","",TEXT(B26,"ddd"))</f>
        <v/>
      </c>
      <c r="D26" s="11"/>
      <c r="E26" s="8" t="str">
        <f aca="false">IF(D26="","",IFERROR(INDEX(ProjNumbers,MATCH(D26,ProjNames,0)),""))</f>
        <v/>
      </c>
      <c r="F26" s="8" t="str">
        <f aca="false">IF(D26="","",IFERROR(INDEX(ProjCodes,MATCH(D26,ProjNames,0)),""))</f>
        <v/>
      </c>
      <c r="G26" s="32"/>
      <c r="H26" s="11"/>
      <c r="I26" s="33"/>
      <c r="J26" s="8" t="str">
        <f aca="false">IF(COUNTA(B26,D26,G26,H26,I26)=0,"",IF(B26="","Enter date",IF(OR(B26&lt;$AC$2,B26&gt;$AC$3),"Date not in February",IF(D26="","Pick project",IF(ISNA(MATCH(D26,ProjNames,0)),"Project not in list",IF(G26="","Add task description",IF(H26="","Pick NTIME or P6",IF(N(I26)&lt;=0,"Enter hours",IF(AND(AllowOT&lt;&gt;"Yes",SUMIF($B$7:$B$256,B26,$I$7:$I$256)&gt;INDEX($O$58:$O$85,DAY(B26))),"Day over "&amp;INDEX($O$58:$O$85,DAY(B26))&amp;" h","✓")))))))))</f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tr">
        <f aca="false">IF(Projects!B24="","",Projects!B24)</f>
        <v/>
      </c>
      <c r="X26" s="1" t="n">
        <f aca="false">IF(W26="",0,SUMIFS($I$7:$I$256,$D$7:$D$256,W26,$H$7:$H$256,"NTIME"))</f>
        <v>0</v>
      </c>
      <c r="Y26" s="1" t="n">
        <f aca="false">IF(W26="",0,SUMIFS($I$7:$I$256,$D$7:$D$256,W26,$H$7:$H$256,"P6"))</f>
        <v>0</v>
      </c>
      <c r="Z26" s="1" t="n">
        <f aca="false">X26+Y26</f>
        <v>0</v>
      </c>
      <c r="AA26" s="1" t="n">
        <f aca="false">IF(Z26&gt;0,Z26+(201-20)/10^6,0)</f>
        <v>0</v>
      </c>
      <c r="AB26" s="1"/>
      <c r="AC26" s="1"/>
      <c r="AD26" s="1"/>
      <c r="AE26" s="1"/>
      <c r="AF26" s="1"/>
      <c r="AG26" s="1"/>
      <c r="AH26" s="1"/>
    </row>
    <row r="27" customFormat="false" ht="15" hidden="false" customHeight="false" outlineLevel="0" collapsed="false">
      <c r="A27" s="1"/>
      <c r="B27" s="10"/>
      <c r="C27" s="31" t="str">
        <f aca="false">IF(B27="","",TEXT(B27,"ddd"))</f>
        <v/>
      </c>
      <c r="D27" s="11"/>
      <c r="E27" s="8" t="str">
        <f aca="false">IF(D27="","",IFERROR(INDEX(ProjNumbers,MATCH(D27,ProjNames,0)),""))</f>
        <v/>
      </c>
      <c r="F27" s="8" t="str">
        <f aca="false">IF(D27="","",IFERROR(INDEX(ProjCodes,MATCH(D27,ProjNames,0)),""))</f>
        <v/>
      </c>
      <c r="G27" s="32"/>
      <c r="H27" s="11"/>
      <c r="I27" s="33"/>
      <c r="J27" s="8" t="str">
        <f aca="false">IF(COUNTA(B27,D27,G27,H27,I27)=0,"",IF(B27="","Enter date",IF(OR(B27&lt;$AC$2,B27&gt;$AC$3),"Date not in February",IF(D27="","Pick project",IF(ISNA(MATCH(D27,ProjNames,0)),"Project not in list",IF(G27="","Add task description",IF(H27="","Pick NTIME or P6",IF(N(I27)&lt;=0,"Enter hours",IF(AND(AllowOT&lt;&gt;"Yes",SUMIF($B$7:$B$256,B27,$I$7:$I$256)&gt;INDEX($O$58:$O$85,DAY(B27))),"Day over "&amp;INDEX($O$58:$O$85,DAY(B27))&amp;" h","✓")))))))))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aca="false">IF(Projects!B25="","",Projects!B25)</f>
        <v/>
      </c>
      <c r="X27" s="1" t="n">
        <f aca="false">IF(W27="",0,SUMIFS($I$7:$I$256,$D$7:$D$256,W27,$H$7:$H$256,"NTIME"))</f>
        <v>0</v>
      </c>
      <c r="Y27" s="1" t="n">
        <f aca="false">IF(W27="",0,SUMIFS($I$7:$I$256,$D$7:$D$256,W27,$H$7:$H$256,"P6"))</f>
        <v>0</v>
      </c>
      <c r="Z27" s="1" t="n">
        <f aca="false">X27+Y27</f>
        <v>0</v>
      </c>
      <c r="AA27" s="1" t="n">
        <f aca="false">IF(Z27&gt;0,Z27+(201-21)/10^6,0)</f>
        <v>0</v>
      </c>
      <c r="AB27" s="1"/>
      <c r="AC27" s="1"/>
      <c r="AD27" s="1"/>
      <c r="AE27" s="1"/>
      <c r="AF27" s="1"/>
      <c r="AG27" s="1"/>
      <c r="AH27" s="1"/>
    </row>
    <row r="28" customFormat="false" ht="15" hidden="false" customHeight="false" outlineLevel="0" collapsed="false">
      <c r="A28" s="1"/>
      <c r="B28" s="10"/>
      <c r="C28" s="31" t="str">
        <f aca="false">IF(B28="","",TEXT(B28,"ddd"))</f>
        <v/>
      </c>
      <c r="D28" s="11"/>
      <c r="E28" s="8" t="str">
        <f aca="false">IF(D28="","",IFERROR(INDEX(ProjNumbers,MATCH(D28,ProjNames,0)),""))</f>
        <v/>
      </c>
      <c r="F28" s="8" t="str">
        <f aca="false">IF(D28="","",IFERROR(INDEX(ProjCodes,MATCH(D28,ProjNames,0)),""))</f>
        <v/>
      </c>
      <c r="G28" s="32"/>
      <c r="H28" s="11"/>
      <c r="I28" s="33"/>
      <c r="J28" s="8" t="str">
        <f aca="false">IF(COUNTA(B28,D28,G28,H28,I28)=0,"",IF(B28="","Enter date",IF(OR(B28&lt;$AC$2,B28&gt;$AC$3),"Date not in February",IF(D28="","Pick project",IF(ISNA(MATCH(D28,ProjNames,0)),"Project not in list",IF(G28="","Add task description",IF(H28="","Pick NTIME or P6",IF(N(I28)&lt;=0,"Enter hours",IF(AND(AllowOT&lt;&gt;"Yes",SUMIF($B$7:$B$256,B28,$I$7:$I$256)&gt;INDEX($O$58:$O$85,DAY(B28))),"Day over "&amp;INDEX($O$58:$O$85,DAY(B28))&amp;" h","✓")))))))))</f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tr">
        <f aca="false">IF(Projects!B26="","",Projects!B26)</f>
        <v/>
      </c>
      <c r="X28" s="1" t="n">
        <f aca="false">IF(W28="",0,SUMIFS($I$7:$I$256,$D$7:$D$256,W28,$H$7:$H$256,"NTIME"))</f>
        <v>0</v>
      </c>
      <c r="Y28" s="1" t="n">
        <f aca="false">IF(W28="",0,SUMIFS($I$7:$I$256,$D$7:$D$256,W28,$H$7:$H$256,"P6"))</f>
        <v>0</v>
      </c>
      <c r="Z28" s="1" t="n">
        <f aca="false">X28+Y28</f>
        <v>0</v>
      </c>
      <c r="AA28" s="1" t="n">
        <f aca="false">IF(Z28&gt;0,Z28+(201-22)/10^6,0)</f>
        <v>0</v>
      </c>
      <c r="AB28" s="1"/>
      <c r="AC28" s="1"/>
      <c r="AD28" s="1"/>
      <c r="AE28" s="1"/>
      <c r="AF28" s="1"/>
      <c r="AG28" s="1"/>
      <c r="AH28" s="1"/>
    </row>
    <row r="29" customFormat="false" ht="15" hidden="false" customHeight="false" outlineLevel="0" collapsed="false">
      <c r="A29" s="1"/>
      <c r="B29" s="10"/>
      <c r="C29" s="31" t="str">
        <f aca="false">IF(B29="","",TEXT(B29,"ddd"))</f>
        <v/>
      </c>
      <c r="D29" s="11"/>
      <c r="E29" s="8" t="str">
        <f aca="false">IF(D29="","",IFERROR(INDEX(ProjNumbers,MATCH(D29,ProjNames,0)),""))</f>
        <v/>
      </c>
      <c r="F29" s="8" t="str">
        <f aca="false">IF(D29="","",IFERROR(INDEX(ProjCodes,MATCH(D29,ProjNames,0)),""))</f>
        <v/>
      </c>
      <c r="G29" s="32"/>
      <c r="H29" s="11"/>
      <c r="I29" s="33"/>
      <c r="J29" s="8" t="str">
        <f aca="false">IF(COUNTA(B29,D29,G29,H29,I29)=0,"",IF(B29="","Enter date",IF(OR(B29&lt;$AC$2,B29&gt;$AC$3),"Date not in February",IF(D29="","Pick project",IF(ISNA(MATCH(D29,ProjNames,0)),"Project not in list",IF(G29="","Add task description",IF(H29="","Pick NTIME or P6",IF(N(I29)&lt;=0,"Enter hours",IF(AND(AllowOT&lt;&gt;"Yes",SUMIF($B$7:$B$256,B29,$I$7:$I$256)&gt;INDEX($O$58:$O$85,DAY(B29))),"Day over "&amp;INDEX($O$58:$O$85,DAY(B29))&amp;" h","✓")))))))))</f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tr">
        <f aca="false">IF(Projects!B27="","",Projects!B27)</f>
        <v/>
      </c>
      <c r="X29" s="1" t="n">
        <f aca="false">IF(W29="",0,SUMIFS($I$7:$I$256,$D$7:$D$256,W29,$H$7:$H$256,"NTIME"))</f>
        <v>0</v>
      </c>
      <c r="Y29" s="1" t="n">
        <f aca="false">IF(W29="",0,SUMIFS($I$7:$I$256,$D$7:$D$256,W29,$H$7:$H$256,"P6"))</f>
        <v>0</v>
      </c>
      <c r="Z29" s="1" t="n">
        <f aca="false">X29+Y29</f>
        <v>0</v>
      </c>
      <c r="AA29" s="1" t="n">
        <f aca="false">IF(Z29&gt;0,Z29+(201-23)/10^6,0)</f>
        <v>0</v>
      </c>
      <c r="AB29" s="1"/>
      <c r="AC29" s="1"/>
      <c r="AD29" s="1"/>
      <c r="AE29" s="1"/>
      <c r="AF29" s="1"/>
      <c r="AG29" s="1"/>
      <c r="AH29" s="1"/>
    </row>
    <row r="30" customFormat="false" ht="15" hidden="false" customHeight="false" outlineLevel="0" collapsed="false">
      <c r="A30" s="1"/>
      <c r="B30" s="10"/>
      <c r="C30" s="31" t="str">
        <f aca="false">IF(B30="","",TEXT(B30,"ddd"))</f>
        <v/>
      </c>
      <c r="D30" s="11"/>
      <c r="E30" s="8" t="str">
        <f aca="false">IF(D30="","",IFERROR(INDEX(ProjNumbers,MATCH(D30,ProjNames,0)),""))</f>
        <v/>
      </c>
      <c r="F30" s="8" t="str">
        <f aca="false">IF(D30="","",IFERROR(INDEX(ProjCodes,MATCH(D30,ProjNames,0)),""))</f>
        <v/>
      </c>
      <c r="G30" s="32"/>
      <c r="H30" s="11"/>
      <c r="I30" s="33"/>
      <c r="J30" s="8" t="str">
        <f aca="false">IF(COUNTA(B30,D30,G30,H30,I30)=0,"",IF(B30="","Enter date",IF(OR(B30&lt;$AC$2,B30&gt;$AC$3),"Date not in February",IF(D30="","Pick project",IF(ISNA(MATCH(D30,ProjNames,0)),"Project not in list",IF(G30="","Add task description",IF(H30="","Pick NTIME or P6",IF(N(I30)&lt;=0,"Enter hours",IF(AND(AllowOT&lt;&gt;"Yes",SUMIF($B$7:$B$256,B30,$I$7:$I$256)&gt;INDEX($O$58:$O$85,DAY(B30))),"Day over "&amp;INDEX($O$58:$O$85,DAY(B30))&amp;" h","✓")))))))))</f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tr">
        <f aca="false">IF(Projects!B28="","",Projects!B28)</f>
        <v/>
      </c>
      <c r="X30" s="1" t="n">
        <f aca="false">IF(W30="",0,SUMIFS($I$7:$I$256,$D$7:$D$256,W30,$H$7:$H$256,"NTIME"))</f>
        <v>0</v>
      </c>
      <c r="Y30" s="1" t="n">
        <f aca="false">IF(W30="",0,SUMIFS($I$7:$I$256,$D$7:$D$256,W30,$H$7:$H$256,"P6"))</f>
        <v>0</v>
      </c>
      <c r="Z30" s="1" t="n">
        <f aca="false">X30+Y30</f>
        <v>0</v>
      </c>
      <c r="AA30" s="1" t="n">
        <f aca="false">IF(Z30&gt;0,Z30+(201-24)/10^6,0)</f>
        <v>0</v>
      </c>
      <c r="AB30" s="1"/>
      <c r="AC30" s="1"/>
      <c r="AD30" s="1"/>
      <c r="AE30" s="1"/>
      <c r="AF30" s="1"/>
      <c r="AG30" s="1"/>
      <c r="AH30" s="1"/>
    </row>
    <row r="31" customFormat="false" ht="15" hidden="false" customHeight="false" outlineLevel="0" collapsed="false">
      <c r="A31" s="1"/>
      <c r="B31" s="10"/>
      <c r="C31" s="31" t="str">
        <f aca="false">IF(B31="","",TEXT(B31,"ddd"))</f>
        <v/>
      </c>
      <c r="D31" s="11"/>
      <c r="E31" s="8" t="str">
        <f aca="false">IF(D31="","",IFERROR(INDEX(ProjNumbers,MATCH(D31,ProjNames,0)),""))</f>
        <v/>
      </c>
      <c r="F31" s="8" t="str">
        <f aca="false">IF(D31="","",IFERROR(INDEX(ProjCodes,MATCH(D31,ProjNames,0)),""))</f>
        <v/>
      </c>
      <c r="G31" s="32"/>
      <c r="H31" s="11"/>
      <c r="I31" s="33"/>
      <c r="J31" s="8" t="str">
        <f aca="false">IF(COUNTA(B31,D31,G31,H31,I31)=0,"",IF(B31="","Enter date",IF(OR(B31&lt;$AC$2,B31&gt;$AC$3),"Date not in February",IF(D31="","Pick project",IF(ISNA(MATCH(D31,ProjNames,0)),"Project not in list",IF(G31="","Add task description",IF(H31="","Pick NTIME or P6",IF(N(I31)&lt;=0,"Enter hours",IF(AND(AllowOT&lt;&gt;"Yes",SUMIF($B$7:$B$256,B31,$I$7:$I$256)&gt;INDEX($O$58:$O$85,DAY(B31))),"Day over "&amp;INDEX($O$58:$O$85,DAY(B31))&amp;" h","✓")))))))))</f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tr">
        <f aca="false">IF(Projects!B29="","",Projects!B29)</f>
        <v/>
      </c>
      <c r="X31" s="1" t="n">
        <f aca="false">IF(W31="",0,SUMIFS($I$7:$I$256,$D$7:$D$256,W31,$H$7:$H$256,"NTIME"))</f>
        <v>0</v>
      </c>
      <c r="Y31" s="1" t="n">
        <f aca="false">IF(W31="",0,SUMIFS($I$7:$I$256,$D$7:$D$256,W31,$H$7:$H$256,"P6"))</f>
        <v>0</v>
      </c>
      <c r="Z31" s="1" t="n">
        <f aca="false">X31+Y31</f>
        <v>0</v>
      </c>
      <c r="AA31" s="1" t="n">
        <f aca="false">IF(Z31&gt;0,Z31+(201-25)/10^6,0)</f>
        <v>0</v>
      </c>
      <c r="AB31" s="1"/>
      <c r="AC31" s="1"/>
      <c r="AD31" s="1"/>
      <c r="AE31" s="1"/>
      <c r="AF31" s="1"/>
      <c r="AG31" s="1"/>
      <c r="AH31" s="1"/>
    </row>
    <row r="32" customFormat="false" ht="15" hidden="false" customHeight="false" outlineLevel="0" collapsed="false">
      <c r="A32" s="1"/>
      <c r="B32" s="10"/>
      <c r="C32" s="31" t="str">
        <f aca="false">IF(B32="","",TEXT(B32,"ddd"))</f>
        <v/>
      </c>
      <c r="D32" s="11"/>
      <c r="E32" s="8" t="str">
        <f aca="false">IF(D32="","",IFERROR(INDEX(ProjNumbers,MATCH(D32,ProjNames,0)),""))</f>
        <v/>
      </c>
      <c r="F32" s="8" t="str">
        <f aca="false">IF(D32="","",IFERROR(INDEX(ProjCodes,MATCH(D32,ProjNames,0)),""))</f>
        <v/>
      </c>
      <c r="G32" s="32"/>
      <c r="H32" s="11"/>
      <c r="I32" s="33"/>
      <c r="J32" s="8" t="str">
        <f aca="false">IF(COUNTA(B32,D32,G32,H32,I32)=0,"",IF(B32="","Enter date",IF(OR(B32&lt;$AC$2,B32&gt;$AC$3),"Date not in February",IF(D32="","Pick project",IF(ISNA(MATCH(D32,ProjNames,0)),"Project not in list",IF(G32="","Add task description",IF(H32="","Pick NTIME or P6",IF(N(I32)&lt;=0,"Enter hours",IF(AND(AllowOT&lt;&gt;"Yes",SUMIF($B$7:$B$256,B32,$I$7:$I$256)&gt;INDEX($O$58:$O$85,DAY(B32))),"Day over "&amp;INDEX($O$58:$O$85,DAY(B32))&amp;" h","✓")))))))))</f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tr">
        <f aca="false">IF(Projects!B30="","",Projects!B30)</f>
        <v/>
      </c>
      <c r="X32" s="1" t="n">
        <f aca="false">IF(W32="",0,SUMIFS($I$7:$I$256,$D$7:$D$256,W32,$H$7:$H$256,"NTIME"))</f>
        <v>0</v>
      </c>
      <c r="Y32" s="1" t="n">
        <f aca="false">IF(W32="",0,SUMIFS($I$7:$I$256,$D$7:$D$256,W32,$H$7:$H$256,"P6"))</f>
        <v>0</v>
      </c>
      <c r="Z32" s="1" t="n">
        <f aca="false">X32+Y32</f>
        <v>0</v>
      </c>
      <c r="AA32" s="1" t="n">
        <f aca="false">IF(Z32&gt;0,Z32+(201-26)/10^6,0)</f>
        <v>0</v>
      </c>
      <c r="AB32" s="1"/>
      <c r="AC32" s="1"/>
      <c r="AD32" s="1"/>
      <c r="AE32" s="1"/>
      <c r="AF32" s="1"/>
      <c r="AG32" s="1"/>
      <c r="AH32" s="1"/>
    </row>
    <row r="33" customFormat="false" ht="15" hidden="false" customHeight="false" outlineLevel="0" collapsed="false">
      <c r="A33" s="1"/>
      <c r="B33" s="10"/>
      <c r="C33" s="31" t="str">
        <f aca="false">IF(B33="","",TEXT(B33,"ddd"))</f>
        <v/>
      </c>
      <c r="D33" s="11"/>
      <c r="E33" s="8" t="str">
        <f aca="false">IF(D33="","",IFERROR(INDEX(ProjNumbers,MATCH(D33,ProjNames,0)),""))</f>
        <v/>
      </c>
      <c r="F33" s="8" t="str">
        <f aca="false">IF(D33="","",IFERROR(INDEX(ProjCodes,MATCH(D33,ProjNames,0)),""))</f>
        <v/>
      </c>
      <c r="G33" s="32"/>
      <c r="H33" s="11"/>
      <c r="I33" s="33"/>
      <c r="J33" s="8" t="str">
        <f aca="false">IF(COUNTA(B33,D33,G33,H33,I33)=0,"",IF(B33="","Enter date",IF(OR(B33&lt;$AC$2,B33&gt;$AC$3),"Date not in February",IF(D33="","Pick project",IF(ISNA(MATCH(D33,ProjNames,0)),"Project not in list",IF(G33="","Add task description",IF(H33="","Pick NTIME or P6",IF(N(I33)&lt;=0,"Enter hours",IF(AND(AllowOT&lt;&gt;"Yes",SUMIF($B$7:$B$256,B33,$I$7:$I$256)&gt;INDEX($O$58:$O$85,DAY(B33))),"Day over "&amp;INDEX($O$58:$O$85,DAY(B33))&amp;" h","✓")))))))))</f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tr">
        <f aca="false">IF(Projects!B31="","",Projects!B31)</f>
        <v/>
      </c>
      <c r="X33" s="1" t="n">
        <f aca="false">IF(W33="",0,SUMIFS($I$7:$I$256,$D$7:$D$256,W33,$H$7:$H$256,"NTIME"))</f>
        <v>0</v>
      </c>
      <c r="Y33" s="1" t="n">
        <f aca="false">IF(W33="",0,SUMIFS($I$7:$I$256,$D$7:$D$256,W33,$H$7:$H$256,"P6"))</f>
        <v>0</v>
      </c>
      <c r="Z33" s="1" t="n">
        <f aca="false">X33+Y33</f>
        <v>0</v>
      </c>
      <c r="AA33" s="1" t="n">
        <f aca="false">IF(Z33&gt;0,Z33+(201-27)/10^6,0)</f>
        <v>0</v>
      </c>
      <c r="AB33" s="1"/>
      <c r="AC33" s="1"/>
      <c r="AD33" s="1"/>
      <c r="AE33" s="1"/>
      <c r="AF33" s="1"/>
      <c r="AG33" s="1"/>
      <c r="AH33" s="1"/>
    </row>
    <row r="34" customFormat="false" ht="15" hidden="false" customHeight="false" outlineLevel="0" collapsed="false">
      <c r="A34" s="1"/>
      <c r="B34" s="10"/>
      <c r="C34" s="31" t="str">
        <f aca="false">IF(B34="","",TEXT(B34,"ddd"))</f>
        <v/>
      </c>
      <c r="D34" s="11"/>
      <c r="E34" s="8" t="str">
        <f aca="false">IF(D34="","",IFERROR(INDEX(ProjNumbers,MATCH(D34,ProjNames,0)),""))</f>
        <v/>
      </c>
      <c r="F34" s="8" t="str">
        <f aca="false">IF(D34="","",IFERROR(INDEX(ProjCodes,MATCH(D34,ProjNames,0)),""))</f>
        <v/>
      </c>
      <c r="G34" s="32"/>
      <c r="H34" s="11"/>
      <c r="I34" s="33"/>
      <c r="J34" s="8" t="str">
        <f aca="false">IF(COUNTA(B34,D34,G34,H34,I34)=0,"",IF(B34="","Enter date",IF(OR(B34&lt;$AC$2,B34&gt;$AC$3),"Date not in February",IF(D34="","Pick project",IF(ISNA(MATCH(D34,ProjNames,0)),"Project not in list",IF(G34="","Add task description",IF(H34="","Pick NTIME or P6",IF(N(I34)&lt;=0,"Enter hours",IF(AND(AllowOT&lt;&gt;"Yes",SUMIF($B$7:$B$256,B34,$I$7:$I$256)&gt;INDEX($O$58:$O$85,DAY(B34))),"Day over "&amp;INDEX($O$58:$O$85,DAY(B34))&amp;" h","✓")))))))))</f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tr">
        <f aca="false">IF(Projects!B32="","",Projects!B32)</f>
        <v/>
      </c>
      <c r="X34" s="1" t="n">
        <f aca="false">IF(W34="",0,SUMIFS($I$7:$I$256,$D$7:$D$256,W34,$H$7:$H$256,"NTIME"))</f>
        <v>0</v>
      </c>
      <c r="Y34" s="1" t="n">
        <f aca="false">IF(W34="",0,SUMIFS($I$7:$I$256,$D$7:$D$256,W34,$H$7:$H$256,"P6"))</f>
        <v>0</v>
      </c>
      <c r="Z34" s="1" t="n">
        <f aca="false">X34+Y34</f>
        <v>0</v>
      </c>
      <c r="AA34" s="1" t="n">
        <f aca="false">IF(Z34&gt;0,Z34+(201-28)/10^6,0)</f>
        <v>0</v>
      </c>
      <c r="AB34" s="1"/>
      <c r="AC34" s="1"/>
      <c r="AD34" s="1"/>
      <c r="AE34" s="1"/>
      <c r="AF34" s="1"/>
      <c r="AG34" s="1"/>
      <c r="AH34" s="1"/>
    </row>
    <row r="35" customFormat="false" ht="15" hidden="false" customHeight="false" outlineLevel="0" collapsed="false">
      <c r="A35" s="1"/>
      <c r="B35" s="10"/>
      <c r="C35" s="31" t="str">
        <f aca="false">IF(B35="","",TEXT(B35,"ddd"))</f>
        <v/>
      </c>
      <c r="D35" s="11"/>
      <c r="E35" s="8" t="str">
        <f aca="false">IF(D35="","",IFERROR(INDEX(ProjNumbers,MATCH(D35,ProjNames,0)),""))</f>
        <v/>
      </c>
      <c r="F35" s="8" t="str">
        <f aca="false">IF(D35="","",IFERROR(INDEX(ProjCodes,MATCH(D35,ProjNames,0)),""))</f>
        <v/>
      </c>
      <c r="G35" s="32"/>
      <c r="H35" s="11"/>
      <c r="I35" s="33"/>
      <c r="J35" s="8" t="str">
        <f aca="false">IF(COUNTA(B35,D35,G35,H35,I35)=0,"",IF(B35="","Enter date",IF(OR(B35&lt;$AC$2,B35&gt;$AC$3),"Date not in February",IF(D35="","Pick project",IF(ISNA(MATCH(D35,ProjNames,0)),"Project not in list",IF(G35="","Add task description",IF(H35="","Pick NTIME or P6",IF(N(I35)&lt;=0,"Enter hours",IF(AND(AllowOT&lt;&gt;"Yes",SUMIF($B$7:$B$256,B35,$I$7:$I$256)&gt;INDEX($O$58:$O$85,DAY(B35))),"Day over "&amp;INDEX($O$58:$O$85,DAY(B35))&amp;" h","✓")))))))))</f>
        <v/>
      </c>
      <c r="K35" s="1"/>
      <c r="L35" s="4" t="s">
        <v>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 t="str">
        <f aca="false">IF(Projects!B33="","",Projects!B33)</f>
        <v/>
      </c>
      <c r="X35" s="1" t="n">
        <f aca="false">IF(W35="",0,SUMIFS($I$7:$I$256,$D$7:$D$256,W35,$H$7:$H$256,"NTIME"))</f>
        <v>0</v>
      </c>
      <c r="Y35" s="1" t="n">
        <f aca="false">IF(W35="",0,SUMIFS($I$7:$I$256,$D$7:$D$256,W35,$H$7:$H$256,"P6"))</f>
        <v>0</v>
      </c>
      <c r="Z35" s="1" t="n">
        <f aca="false">X35+Y35</f>
        <v>0</v>
      </c>
      <c r="AA35" s="1" t="n">
        <f aca="false">IF(Z35&gt;0,Z35+(201-29)/10^6,0)</f>
        <v>0</v>
      </c>
      <c r="AB35" s="1"/>
      <c r="AC35" s="1"/>
      <c r="AD35" s="1"/>
      <c r="AE35" s="1"/>
      <c r="AF35" s="1"/>
      <c r="AG35" s="1"/>
      <c r="AH35" s="1"/>
    </row>
    <row r="36" customFormat="false" ht="23.85" hidden="false" customHeight="false" outlineLevel="0" collapsed="false">
      <c r="A36" s="1"/>
      <c r="B36" s="10"/>
      <c r="C36" s="31" t="str">
        <f aca="false">IF(B36="","",TEXT(B36,"ddd"))</f>
        <v/>
      </c>
      <c r="D36" s="11"/>
      <c r="E36" s="8" t="str">
        <f aca="false">IF(D36="","",IFERROR(INDEX(ProjNumbers,MATCH(D36,ProjNames,0)),""))</f>
        <v/>
      </c>
      <c r="F36" s="8" t="str">
        <f aca="false">IF(D36="","",IFERROR(INDEX(ProjCodes,MATCH(D36,ProjNames,0)),""))</f>
        <v/>
      </c>
      <c r="G36" s="32"/>
      <c r="H36" s="11"/>
      <c r="I36" s="33"/>
      <c r="J36" s="8" t="str">
        <f aca="false">IF(COUNTA(B36,D36,G36,H36,I36)=0,"",IF(B36="","Enter date",IF(OR(B36&lt;$AC$2,B36&gt;$AC$3),"Date not in February",IF(D36="","Pick project",IF(ISNA(MATCH(D36,ProjNames,0)),"Project not in list",IF(G36="","Add task description",IF(H36="","Pick NTIME or P6",IF(N(I36)&lt;=0,"Enter hours",IF(AND(AllowOT&lt;&gt;"Yes",SUMIF($B$7:$B$256,B36,$I$7:$I$256)&gt;INDEX($O$58:$O$85,DAY(B36))),"Day over "&amp;INDEX($O$58:$O$85,DAY(B36))&amp;" h","✓")))))))))</f>
        <v/>
      </c>
      <c r="K36" s="1"/>
      <c r="L36" s="9" t="s">
        <v>72</v>
      </c>
      <c r="M36" s="9" t="s">
        <v>36</v>
      </c>
      <c r="N36" s="9" t="s">
        <v>37</v>
      </c>
      <c r="O36" s="20" t="s">
        <v>46</v>
      </c>
      <c r="P36" s="21" t="s">
        <v>56</v>
      </c>
      <c r="Q36" s="9" t="s">
        <v>57</v>
      </c>
      <c r="R36" s="9" t="s">
        <v>86</v>
      </c>
      <c r="S36" s="1"/>
      <c r="T36" s="1"/>
      <c r="U36" s="1"/>
      <c r="V36" s="1"/>
      <c r="W36" s="1" t="str">
        <f aca="false">IF(Projects!B34="","",Projects!B34)</f>
        <v/>
      </c>
      <c r="X36" s="1" t="n">
        <f aca="false">IF(W36="",0,SUMIFS($I$7:$I$256,$D$7:$D$256,W36,$H$7:$H$256,"NTIME"))</f>
        <v>0</v>
      </c>
      <c r="Y36" s="1" t="n">
        <f aca="false">IF(W36="",0,SUMIFS($I$7:$I$256,$D$7:$D$256,W36,$H$7:$H$256,"P6"))</f>
        <v>0</v>
      </c>
      <c r="Z36" s="1" t="n">
        <f aca="false">X36+Y36</f>
        <v>0</v>
      </c>
      <c r="AA36" s="1" t="n">
        <f aca="false">IF(Z36&gt;0,Z36+(201-30)/10^6,0)</f>
        <v>0</v>
      </c>
      <c r="AB36" s="1"/>
      <c r="AC36" s="1"/>
      <c r="AD36" s="1"/>
      <c r="AE36" s="1"/>
      <c r="AF36" s="1"/>
      <c r="AG36" s="1"/>
      <c r="AH36" s="1"/>
    </row>
    <row r="37" customFormat="false" ht="15" hidden="false" customHeight="false" outlineLevel="0" collapsed="false">
      <c r="A37" s="1"/>
      <c r="B37" s="10"/>
      <c r="C37" s="31" t="str">
        <f aca="false">IF(B37="","",TEXT(B37,"ddd"))</f>
        <v/>
      </c>
      <c r="D37" s="11"/>
      <c r="E37" s="8" t="str">
        <f aca="false">IF(D37="","",IFERROR(INDEX(ProjNumbers,MATCH(D37,ProjNames,0)),""))</f>
        <v/>
      </c>
      <c r="F37" s="8" t="str">
        <f aca="false">IF(D37="","",IFERROR(INDEX(ProjCodes,MATCH(D37,ProjNames,0)),""))</f>
        <v/>
      </c>
      <c r="G37" s="32"/>
      <c r="H37" s="11"/>
      <c r="I37" s="33"/>
      <c r="J37" s="8" t="str">
        <f aca="false">IF(COUNTA(B37,D37,G37,H37,I37)=0,"",IF(B37="","Enter date",IF(OR(B37&lt;$AC$2,B37&gt;$AC$3),"Date not in February",IF(D37="","Pick project",IF(ISNA(MATCH(D37,ProjNames,0)),"Project not in list",IF(G37="","Add task description",IF(H37="","Pick NTIME or P6",IF(N(I37)&lt;=0,"Enter hours",IF(AND(AllowOT&lt;&gt;"Yes",SUMIF($B$7:$B$256,B37,$I$7:$I$256)&gt;INDEX($O$58:$O$85,DAY(B37))),"Day over "&amp;INDEX($O$58:$O$85,DAY(B37))&amp;" h","✓")))))))))</f>
        <v/>
      </c>
      <c r="K37" s="1"/>
      <c r="L37" s="24" t="str">
        <f aca="false">IF($AD37=0,"",INDEX($W$7:$W$206,$AD37))</f>
        <v/>
      </c>
      <c r="M37" s="24" t="str">
        <f aca="false">IF($AD37=0,"",INDEX(ProjNumbers,$AD37))</f>
        <v/>
      </c>
      <c r="N37" s="24" t="str">
        <f aca="false">IF($AD37=0,"",INDEX(ProjCodes,$AD37))</f>
        <v/>
      </c>
      <c r="O37" s="24" t="str">
        <f aca="false">IF($AD37=0,"",INDEX($X$7:$X$206,$AD37))</f>
        <v/>
      </c>
      <c r="P37" s="24" t="str">
        <f aca="false">IF($AD37=0,"",INDEX($Y$7:$Y$206,$AD37))</f>
        <v/>
      </c>
      <c r="Q37" s="24" t="str">
        <f aca="false">IF($AD37=0,"",INDEX($Z$7:$Z$206,$AD37))</f>
        <v/>
      </c>
      <c r="R37" s="25" t="str">
        <f aca="false">IF(OR($AD37=0,$L$5=0),"",Q37/$L$5)</f>
        <v/>
      </c>
      <c r="S37" s="1"/>
      <c r="T37" s="1"/>
      <c r="U37" s="1"/>
      <c r="V37" s="1"/>
      <c r="W37" s="1" t="str">
        <f aca="false">IF(Projects!B35="","",Projects!B35)</f>
        <v/>
      </c>
      <c r="X37" s="1" t="n">
        <f aca="false">IF(W37="",0,SUMIFS($I$7:$I$256,$D$7:$D$256,W37,$H$7:$H$256,"NTIME"))</f>
        <v>0</v>
      </c>
      <c r="Y37" s="1" t="n">
        <f aca="false">IF(W37="",0,SUMIFS($I$7:$I$256,$D$7:$D$256,W37,$H$7:$H$256,"P6"))</f>
        <v>0</v>
      </c>
      <c r="Z37" s="1" t="n">
        <f aca="false">X37+Y37</f>
        <v>0</v>
      </c>
      <c r="AA37" s="1" t="n">
        <f aca="false">IF(Z37&gt;0,Z37+(201-31)/10^6,0)</f>
        <v>0</v>
      </c>
      <c r="AB37" s="1"/>
      <c r="AC37" s="1"/>
      <c r="AD37" s="1" t="n">
        <f aca="false">IF(LARGE($AA$7:$AA$206,1)&lt;=0,0,MATCH(LARGE($AA$7:$AA$206,1),$AA$7:$AA$206,0))</f>
        <v>0</v>
      </c>
      <c r="AE37" s="1"/>
      <c r="AF37" s="1"/>
      <c r="AG37" s="1"/>
      <c r="AH37" s="1"/>
    </row>
    <row r="38" customFormat="false" ht="15" hidden="false" customHeight="false" outlineLevel="0" collapsed="false">
      <c r="A38" s="1"/>
      <c r="B38" s="10"/>
      <c r="C38" s="31" t="str">
        <f aca="false">IF(B38="","",TEXT(B38,"ddd"))</f>
        <v/>
      </c>
      <c r="D38" s="11"/>
      <c r="E38" s="8" t="str">
        <f aca="false">IF(D38="","",IFERROR(INDEX(ProjNumbers,MATCH(D38,ProjNames,0)),""))</f>
        <v/>
      </c>
      <c r="F38" s="8" t="str">
        <f aca="false">IF(D38="","",IFERROR(INDEX(ProjCodes,MATCH(D38,ProjNames,0)),""))</f>
        <v/>
      </c>
      <c r="G38" s="32"/>
      <c r="H38" s="11"/>
      <c r="I38" s="33"/>
      <c r="J38" s="8" t="str">
        <f aca="false">IF(COUNTA(B38,D38,G38,H38,I38)=0,"",IF(B38="","Enter date",IF(OR(B38&lt;$AC$2,B38&gt;$AC$3),"Date not in February",IF(D38="","Pick project",IF(ISNA(MATCH(D38,ProjNames,0)),"Project not in list",IF(G38="","Add task description",IF(H38="","Pick NTIME or P6",IF(N(I38)&lt;=0,"Enter hours",IF(AND(AllowOT&lt;&gt;"Yes",SUMIF($B$7:$B$256,B38,$I$7:$I$256)&gt;INDEX($O$58:$O$85,DAY(B38))),"Day over "&amp;INDEX($O$58:$O$85,DAY(B38))&amp;" h","✓")))))))))</f>
        <v/>
      </c>
      <c r="K38" s="1"/>
      <c r="L38" s="24" t="str">
        <f aca="false">IF($AD38=0,"",INDEX($W$7:$W$206,$AD38))</f>
        <v/>
      </c>
      <c r="M38" s="24" t="str">
        <f aca="false">IF($AD38=0,"",INDEX(ProjNumbers,$AD38))</f>
        <v/>
      </c>
      <c r="N38" s="24" t="str">
        <f aca="false">IF($AD38=0,"",INDEX(ProjCodes,$AD38))</f>
        <v/>
      </c>
      <c r="O38" s="24" t="str">
        <f aca="false">IF($AD38=0,"",INDEX($X$7:$X$206,$AD38))</f>
        <v/>
      </c>
      <c r="P38" s="24" t="str">
        <f aca="false">IF($AD38=0,"",INDEX($Y$7:$Y$206,$AD38))</f>
        <v/>
      </c>
      <c r="Q38" s="24" t="str">
        <f aca="false">IF($AD38=0,"",INDEX($Z$7:$Z$206,$AD38))</f>
        <v/>
      </c>
      <c r="R38" s="25" t="str">
        <f aca="false">IF(OR($AD38=0,$L$5=0),"",Q38/$L$5)</f>
        <v/>
      </c>
      <c r="S38" s="1"/>
      <c r="T38" s="1"/>
      <c r="U38" s="1"/>
      <c r="V38" s="1"/>
      <c r="W38" s="1" t="str">
        <f aca="false">IF(Projects!B36="","",Projects!B36)</f>
        <v/>
      </c>
      <c r="X38" s="1" t="n">
        <f aca="false">IF(W38="",0,SUMIFS($I$7:$I$256,$D$7:$D$256,W38,$H$7:$H$256,"NTIME"))</f>
        <v>0</v>
      </c>
      <c r="Y38" s="1" t="n">
        <f aca="false">IF(W38="",0,SUMIFS($I$7:$I$256,$D$7:$D$256,W38,$H$7:$H$256,"P6"))</f>
        <v>0</v>
      </c>
      <c r="Z38" s="1" t="n">
        <f aca="false">X38+Y38</f>
        <v>0</v>
      </c>
      <c r="AA38" s="1" t="n">
        <f aca="false">IF(Z38&gt;0,Z38+(201-32)/10^6,0)</f>
        <v>0</v>
      </c>
      <c r="AB38" s="1"/>
      <c r="AC38" s="1"/>
      <c r="AD38" s="1" t="n">
        <f aca="false">IF(LARGE($AA$7:$AA$206,2)&lt;=0,0,MATCH(LARGE($AA$7:$AA$206,2),$AA$7:$AA$206,0))</f>
        <v>0</v>
      </c>
      <c r="AE38" s="1"/>
      <c r="AF38" s="1"/>
      <c r="AG38" s="1"/>
      <c r="AH38" s="1"/>
    </row>
    <row r="39" customFormat="false" ht="15" hidden="false" customHeight="false" outlineLevel="0" collapsed="false">
      <c r="A39" s="1"/>
      <c r="B39" s="10"/>
      <c r="C39" s="31" t="str">
        <f aca="false">IF(B39="","",TEXT(B39,"ddd"))</f>
        <v/>
      </c>
      <c r="D39" s="11"/>
      <c r="E39" s="8" t="str">
        <f aca="false">IF(D39="","",IFERROR(INDEX(ProjNumbers,MATCH(D39,ProjNames,0)),""))</f>
        <v/>
      </c>
      <c r="F39" s="8" t="str">
        <f aca="false">IF(D39="","",IFERROR(INDEX(ProjCodes,MATCH(D39,ProjNames,0)),""))</f>
        <v/>
      </c>
      <c r="G39" s="32"/>
      <c r="H39" s="11"/>
      <c r="I39" s="33"/>
      <c r="J39" s="8" t="str">
        <f aca="false">IF(COUNTA(B39,D39,G39,H39,I39)=0,"",IF(B39="","Enter date",IF(OR(B39&lt;$AC$2,B39&gt;$AC$3),"Date not in February",IF(D39="","Pick project",IF(ISNA(MATCH(D39,ProjNames,0)),"Project not in list",IF(G39="","Add task description",IF(H39="","Pick NTIME or P6",IF(N(I39)&lt;=0,"Enter hours",IF(AND(AllowOT&lt;&gt;"Yes",SUMIF($B$7:$B$256,B39,$I$7:$I$256)&gt;INDEX($O$58:$O$85,DAY(B39))),"Day over "&amp;INDEX($O$58:$O$85,DAY(B39))&amp;" h","✓")))))))))</f>
        <v/>
      </c>
      <c r="K39" s="1"/>
      <c r="L39" s="24" t="str">
        <f aca="false">IF($AD39=0,"",INDEX($W$7:$W$206,$AD39))</f>
        <v/>
      </c>
      <c r="M39" s="24" t="str">
        <f aca="false">IF($AD39=0,"",INDEX(ProjNumbers,$AD39))</f>
        <v/>
      </c>
      <c r="N39" s="24" t="str">
        <f aca="false">IF($AD39=0,"",INDEX(ProjCodes,$AD39))</f>
        <v/>
      </c>
      <c r="O39" s="24" t="str">
        <f aca="false">IF($AD39=0,"",INDEX($X$7:$X$206,$AD39))</f>
        <v/>
      </c>
      <c r="P39" s="24" t="str">
        <f aca="false">IF($AD39=0,"",INDEX($Y$7:$Y$206,$AD39))</f>
        <v/>
      </c>
      <c r="Q39" s="24" t="str">
        <f aca="false">IF($AD39=0,"",INDEX($Z$7:$Z$206,$AD39))</f>
        <v/>
      </c>
      <c r="R39" s="25" t="str">
        <f aca="false">IF(OR($AD39=0,$L$5=0),"",Q39/$L$5)</f>
        <v/>
      </c>
      <c r="S39" s="1"/>
      <c r="T39" s="1"/>
      <c r="U39" s="1"/>
      <c r="V39" s="1"/>
      <c r="W39" s="1" t="str">
        <f aca="false">IF(Projects!B37="","",Projects!B37)</f>
        <v/>
      </c>
      <c r="X39" s="1" t="n">
        <f aca="false">IF(W39="",0,SUMIFS($I$7:$I$256,$D$7:$D$256,W39,$H$7:$H$256,"NTIME"))</f>
        <v>0</v>
      </c>
      <c r="Y39" s="1" t="n">
        <f aca="false">IF(W39="",0,SUMIFS($I$7:$I$256,$D$7:$D$256,W39,$H$7:$H$256,"P6"))</f>
        <v>0</v>
      </c>
      <c r="Z39" s="1" t="n">
        <f aca="false">X39+Y39</f>
        <v>0</v>
      </c>
      <c r="AA39" s="1" t="n">
        <f aca="false">IF(Z39&gt;0,Z39+(201-33)/10^6,0)</f>
        <v>0</v>
      </c>
      <c r="AB39" s="1"/>
      <c r="AC39" s="1"/>
      <c r="AD39" s="1" t="n">
        <f aca="false">IF(LARGE($AA$7:$AA$206,3)&lt;=0,0,MATCH(LARGE($AA$7:$AA$206,3),$AA$7:$AA$206,0))</f>
        <v>0</v>
      </c>
      <c r="AE39" s="1"/>
      <c r="AF39" s="1"/>
      <c r="AG39" s="1"/>
      <c r="AH39" s="1"/>
    </row>
    <row r="40" customFormat="false" ht="15" hidden="false" customHeight="false" outlineLevel="0" collapsed="false">
      <c r="A40" s="1"/>
      <c r="B40" s="10"/>
      <c r="C40" s="31" t="str">
        <f aca="false">IF(B40="","",TEXT(B40,"ddd"))</f>
        <v/>
      </c>
      <c r="D40" s="11"/>
      <c r="E40" s="8" t="str">
        <f aca="false">IF(D40="","",IFERROR(INDEX(ProjNumbers,MATCH(D40,ProjNames,0)),""))</f>
        <v/>
      </c>
      <c r="F40" s="8" t="str">
        <f aca="false">IF(D40="","",IFERROR(INDEX(ProjCodes,MATCH(D40,ProjNames,0)),""))</f>
        <v/>
      </c>
      <c r="G40" s="32"/>
      <c r="H40" s="11"/>
      <c r="I40" s="33"/>
      <c r="J40" s="8" t="str">
        <f aca="false">IF(COUNTA(B40,D40,G40,H40,I40)=0,"",IF(B40="","Enter date",IF(OR(B40&lt;$AC$2,B40&gt;$AC$3),"Date not in February",IF(D40="","Pick project",IF(ISNA(MATCH(D40,ProjNames,0)),"Project not in list",IF(G40="","Add task description",IF(H40="","Pick NTIME or P6",IF(N(I40)&lt;=0,"Enter hours",IF(AND(AllowOT&lt;&gt;"Yes",SUMIF($B$7:$B$256,B40,$I$7:$I$256)&gt;INDEX($O$58:$O$85,DAY(B40))),"Day over "&amp;INDEX($O$58:$O$85,DAY(B40))&amp;" h","✓")))))))))</f>
        <v/>
      </c>
      <c r="K40" s="1"/>
      <c r="L40" s="24" t="str">
        <f aca="false">IF($AD40=0,"",INDEX($W$7:$W$206,$AD40))</f>
        <v/>
      </c>
      <c r="M40" s="24" t="str">
        <f aca="false">IF($AD40=0,"",INDEX(ProjNumbers,$AD40))</f>
        <v/>
      </c>
      <c r="N40" s="24" t="str">
        <f aca="false">IF($AD40=0,"",INDEX(ProjCodes,$AD40))</f>
        <v/>
      </c>
      <c r="O40" s="24" t="str">
        <f aca="false">IF($AD40=0,"",INDEX($X$7:$X$206,$AD40))</f>
        <v/>
      </c>
      <c r="P40" s="24" t="str">
        <f aca="false">IF($AD40=0,"",INDEX($Y$7:$Y$206,$AD40))</f>
        <v/>
      </c>
      <c r="Q40" s="24" t="str">
        <f aca="false">IF($AD40=0,"",INDEX($Z$7:$Z$206,$AD40))</f>
        <v/>
      </c>
      <c r="R40" s="25" t="str">
        <f aca="false">IF(OR($AD40=0,$L$5=0),"",Q40/$L$5)</f>
        <v/>
      </c>
      <c r="S40" s="1"/>
      <c r="T40" s="1"/>
      <c r="U40" s="1"/>
      <c r="V40" s="1"/>
      <c r="W40" s="1" t="str">
        <f aca="false">IF(Projects!B38="","",Projects!B38)</f>
        <v/>
      </c>
      <c r="X40" s="1" t="n">
        <f aca="false">IF(W40="",0,SUMIFS($I$7:$I$256,$D$7:$D$256,W40,$H$7:$H$256,"NTIME"))</f>
        <v>0</v>
      </c>
      <c r="Y40" s="1" t="n">
        <f aca="false">IF(W40="",0,SUMIFS($I$7:$I$256,$D$7:$D$256,W40,$H$7:$H$256,"P6"))</f>
        <v>0</v>
      </c>
      <c r="Z40" s="1" t="n">
        <f aca="false">X40+Y40</f>
        <v>0</v>
      </c>
      <c r="AA40" s="1" t="n">
        <f aca="false">IF(Z40&gt;0,Z40+(201-34)/10^6,0)</f>
        <v>0</v>
      </c>
      <c r="AB40" s="1"/>
      <c r="AC40" s="1"/>
      <c r="AD40" s="1" t="n">
        <f aca="false">IF(LARGE($AA$7:$AA$206,4)&lt;=0,0,MATCH(LARGE($AA$7:$AA$206,4),$AA$7:$AA$206,0))</f>
        <v>0</v>
      </c>
      <c r="AE40" s="1"/>
      <c r="AF40" s="1"/>
      <c r="AG40" s="1"/>
      <c r="AH40" s="1"/>
    </row>
    <row r="41" customFormat="false" ht="15" hidden="false" customHeight="false" outlineLevel="0" collapsed="false">
      <c r="A41" s="1"/>
      <c r="B41" s="10"/>
      <c r="C41" s="31" t="str">
        <f aca="false">IF(B41="","",TEXT(B41,"ddd"))</f>
        <v/>
      </c>
      <c r="D41" s="11"/>
      <c r="E41" s="8" t="str">
        <f aca="false">IF(D41="","",IFERROR(INDEX(ProjNumbers,MATCH(D41,ProjNames,0)),""))</f>
        <v/>
      </c>
      <c r="F41" s="8" t="str">
        <f aca="false">IF(D41="","",IFERROR(INDEX(ProjCodes,MATCH(D41,ProjNames,0)),""))</f>
        <v/>
      </c>
      <c r="G41" s="32"/>
      <c r="H41" s="11"/>
      <c r="I41" s="33"/>
      <c r="J41" s="8" t="str">
        <f aca="false">IF(COUNTA(B41,D41,G41,H41,I41)=0,"",IF(B41="","Enter date",IF(OR(B41&lt;$AC$2,B41&gt;$AC$3),"Date not in February",IF(D41="","Pick project",IF(ISNA(MATCH(D41,ProjNames,0)),"Project not in list",IF(G41="","Add task description",IF(H41="","Pick NTIME or P6",IF(N(I41)&lt;=0,"Enter hours",IF(AND(AllowOT&lt;&gt;"Yes",SUMIF($B$7:$B$256,B41,$I$7:$I$256)&gt;INDEX($O$58:$O$85,DAY(B41))),"Day over "&amp;INDEX($O$58:$O$85,DAY(B41))&amp;" h","✓")))))))))</f>
        <v/>
      </c>
      <c r="K41" s="1"/>
      <c r="L41" s="24" t="str">
        <f aca="false">IF($AD41=0,"",INDEX($W$7:$W$206,$AD41))</f>
        <v/>
      </c>
      <c r="M41" s="24" t="str">
        <f aca="false">IF($AD41=0,"",INDEX(ProjNumbers,$AD41))</f>
        <v/>
      </c>
      <c r="N41" s="24" t="str">
        <f aca="false">IF($AD41=0,"",INDEX(ProjCodes,$AD41))</f>
        <v/>
      </c>
      <c r="O41" s="24" t="str">
        <f aca="false">IF($AD41=0,"",INDEX($X$7:$X$206,$AD41))</f>
        <v/>
      </c>
      <c r="P41" s="24" t="str">
        <f aca="false">IF($AD41=0,"",INDEX($Y$7:$Y$206,$AD41))</f>
        <v/>
      </c>
      <c r="Q41" s="24" t="str">
        <f aca="false">IF($AD41=0,"",INDEX($Z$7:$Z$206,$AD41))</f>
        <v/>
      </c>
      <c r="R41" s="25" t="str">
        <f aca="false">IF(OR($AD41=0,$L$5=0),"",Q41/$L$5)</f>
        <v/>
      </c>
      <c r="S41" s="1"/>
      <c r="T41" s="1"/>
      <c r="U41" s="1"/>
      <c r="V41" s="1"/>
      <c r="W41" s="1" t="str">
        <f aca="false">IF(Projects!B39="","",Projects!B39)</f>
        <v/>
      </c>
      <c r="X41" s="1" t="n">
        <f aca="false">IF(W41="",0,SUMIFS($I$7:$I$256,$D$7:$D$256,W41,$H$7:$H$256,"NTIME"))</f>
        <v>0</v>
      </c>
      <c r="Y41" s="1" t="n">
        <f aca="false">IF(W41="",0,SUMIFS($I$7:$I$256,$D$7:$D$256,W41,$H$7:$H$256,"P6"))</f>
        <v>0</v>
      </c>
      <c r="Z41" s="1" t="n">
        <f aca="false">X41+Y41</f>
        <v>0</v>
      </c>
      <c r="AA41" s="1" t="n">
        <f aca="false">IF(Z41&gt;0,Z41+(201-35)/10^6,0)</f>
        <v>0</v>
      </c>
      <c r="AB41" s="1"/>
      <c r="AC41" s="1"/>
      <c r="AD41" s="1" t="n">
        <f aca="false">IF(LARGE($AA$7:$AA$206,5)&lt;=0,0,MATCH(LARGE($AA$7:$AA$206,5),$AA$7:$AA$206,0))</f>
        <v>0</v>
      </c>
      <c r="AE41" s="1"/>
      <c r="AF41" s="1"/>
      <c r="AG41" s="1"/>
      <c r="AH41" s="1"/>
    </row>
    <row r="42" customFormat="false" ht="15" hidden="false" customHeight="false" outlineLevel="0" collapsed="false">
      <c r="A42" s="1"/>
      <c r="B42" s="10"/>
      <c r="C42" s="31" t="str">
        <f aca="false">IF(B42="","",TEXT(B42,"ddd"))</f>
        <v/>
      </c>
      <c r="D42" s="11"/>
      <c r="E42" s="8" t="str">
        <f aca="false">IF(D42="","",IFERROR(INDEX(ProjNumbers,MATCH(D42,ProjNames,0)),""))</f>
        <v/>
      </c>
      <c r="F42" s="8" t="str">
        <f aca="false">IF(D42="","",IFERROR(INDEX(ProjCodes,MATCH(D42,ProjNames,0)),""))</f>
        <v/>
      </c>
      <c r="G42" s="32"/>
      <c r="H42" s="11"/>
      <c r="I42" s="33"/>
      <c r="J42" s="8" t="str">
        <f aca="false">IF(COUNTA(B42,D42,G42,H42,I42)=0,"",IF(B42="","Enter date",IF(OR(B42&lt;$AC$2,B42&gt;$AC$3),"Date not in February",IF(D42="","Pick project",IF(ISNA(MATCH(D42,ProjNames,0)),"Project not in list",IF(G42="","Add task description",IF(H42="","Pick NTIME or P6",IF(N(I42)&lt;=0,"Enter hours",IF(AND(AllowOT&lt;&gt;"Yes",SUMIF($B$7:$B$256,B42,$I$7:$I$256)&gt;INDEX($O$58:$O$85,DAY(B42))),"Day over "&amp;INDEX($O$58:$O$85,DAY(B42))&amp;" h","✓")))))))))</f>
        <v/>
      </c>
      <c r="K42" s="1"/>
      <c r="L42" s="24" t="str">
        <f aca="false">IF($AD42=0,"",INDEX($W$7:$W$206,$AD42))</f>
        <v/>
      </c>
      <c r="M42" s="24" t="str">
        <f aca="false">IF($AD42=0,"",INDEX(ProjNumbers,$AD42))</f>
        <v/>
      </c>
      <c r="N42" s="24" t="str">
        <f aca="false">IF($AD42=0,"",INDEX(ProjCodes,$AD42))</f>
        <v/>
      </c>
      <c r="O42" s="24" t="str">
        <f aca="false">IF($AD42=0,"",INDEX($X$7:$X$206,$AD42))</f>
        <v/>
      </c>
      <c r="P42" s="24" t="str">
        <f aca="false">IF($AD42=0,"",INDEX($Y$7:$Y$206,$AD42))</f>
        <v/>
      </c>
      <c r="Q42" s="24" t="str">
        <f aca="false">IF($AD42=0,"",INDEX($Z$7:$Z$206,$AD42))</f>
        <v/>
      </c>
      <c r="R42" s="25" t="str">
        <f aca="false">IF(OR($AD42=0,$L$5=0),"",Q42/$L$5)</f>
        <v/>
      </c>
      <c r="S42" s="1"/>
      <c r="T42" s="1"/>
      <c r="U42" s="1"/>
      <c r="V42" s="1"/>
      <c r="W42" s="1" t="str">
        <f aca="false">IF(Projects!B40="","",Projects!B40)</f>
        <v/>
      </c>
      <c r="X42" s="1" t="n">
        <f aca="false">IF(W42="",0,SUMIFS($I$7:$I$256,$D$7:$D$256,W42,$H$7:$H$256,"NTIME"))</f>
        <v>0</v>
      </c>
      <c r="Y42" s="1" t="n">
        <f aca="false">IF(W42="",0,SUMIFS($I$7:$I$256,$D$7:$D$256,W42,$H$7:$H$256,"P6"))</f>
        <v>0</v>
      </c>
      <c r="Z42" s="1" t="n">
        <f aca="false">X42+Y42</f>
        <v>0</v>
      </c>
      <c r="AA42" s="1" t="n">
        <f aca="false">IF(Z42&gt;0,Z42+(201-36)/10^6,0)</f>
        <v>0</v>
      </c>
      <c r="AB42" s="1"/>
      <c r="AC42" s="1"/>
      <c r="AD42" s="1" t="n">
        <f aca="false">IF(LARGE($AA$7:$AA$206,6)&lt;=0,0,MATCH(LARGE($AA$7:$AA$206,6),$AA$7:$AA$206,0))</f>
        <v>0</v>
      </c>
      <c r="AE42" s="1"/>
      <c r="AF42" s="1"/>
      <c r="AG42" s="1"/>
      <c r="AH42" s="1"/>
    </row>
    <row r="43" customFormat="false" ht="15" hidden="false" customHeight="false" outlineLevel="0" collapsed="false">
      <c r="A43" s="1"/>
      <c r="B43" s="10"/>
      <c r="C43" s="31" t="str">
        <f aca="false">IF(B43="","",TEXT(B43,"ddd"))</f>
        <v/>
      </c>
      <c r="D43" s="11"/>
      <c r="E43" s="8" t="str">
        <f aca="false">IF(D43="","",IFERROR(INDEX(ProjNumbers,MATCH(D43,ProjNames,0)),""))</f>
        <v/>
      </c>
      <c r="F43" s="8" t="str">
        <f aca="false">IF(D43="","",IFERROR(INDEX(ProjCodes,MATCH(D43,ProjNames,0)),""))</f>
        <v/>
      </c>
      <c r="G43" s="32"/>
      <c r="H43" s="11"/>
      <c r="I43" s="33"/>
      <c r="J43" s="8" t="str">
        <f aca="false">IF(COUNTA(B43,D43,G43,H43,I43)=0,"",IF(B43="","Enter date",IF(OR(B43&lt;$AC$2,B43&gt;$AC$3),"Date not in February",IF(D43="","Pick project",IF(ISNA(MATCH(D43,ProjNames,0)),"Project not in list",IF(G43="","Add task description",IF(H43="","Pick NTIME or P6",IF(N(I43)&lt;=0,"Enter hours",IF(AND(AllowOT&lt;&gt;"Yes",SUMIF($B$7:$B$256,B43,$I$7:$I$256)&gt;INDEX($O$58:$O$85,DAY(B43))),"Day over "&amp;INDEX($O$58:$O$85,DAY(B43))&amp;" h","✓")))))))))</f>
        <v/>
      </c>
      <c r="K43" s="1"/>
      <c r="L43" s="24" t="str">
        <f aca="false">IF($AD43=0,"",INDEX($W$7:$W$206,$AD43))</f>
        <v/>
      </c>
      <c r="M43" s="24" t="str">
        <f aca="false">IF($AD43=0,"",INDEX(ProjNumbers,$AD43))</f>
        <v/>
      </c>
      <c r="N43" s="24" t="str">
        <f aca="false">IF($AD43=0,"",INDEX(ProjCodes,$AD43))</f>
        <v/>
      </c>
      <c r="O43" s="24" t="str">
        <f aca="false">IF($AD43=0,"",INDEX($X$7:$X$206,$AD43))</f>
        <v/>
      </c>
      <c r="P43" s="24" t="str">
        <f aca="false">IF($AD43=0,"",INDEX($Y$7:$Y$206,$AD43))</f>
        <v/>
      </c>
      <c r="Q43" s="24" t="str">
        <f aca="false">IF($AD43=0,"",INDEX($Z$7:$Z$206,$AD43))</f>
        <v/>
      </c>
      <c r="R43" s="25" t="str">
        <f aca="false">IF(OR($AD43=0,$L$5=0),"",Q43/$L$5)</f>
        <v/>
      </c>
      <c r="S43" s="1"/>
      <c r="T43" s="1"/>
      <c r="U43" s="1"/>
      <c r="V43" s="1"/>
      <c r="W43" s="1" t="str">
        <f aca="false">IF(Projects!B41="","",Projects!B41)</f>
        <v/>
      </c>
      <c r="X43" s="1" t="n">
        <f aca="false">IF(W43="",0,SUMIFS($I$7:$I$256,$D$7:$D$256,W43,$H$7:$H$256,"NTIME"))</f>
        <v>0</v>
      </c>
      <c r="Y43" s="1" t="n">
        <f aca="false">IF(W43="",0,SUMIFS($I$7:$I$256,$D$7:$D$256,W43,$H$7:$H$256,"P6"))</f>
        <v>0</v>
      </c>
      <c r="Z43" s="1" t="n">
        <f aca="false">X43+Y43</f>
        <v>0</v>
      </c>
      <c r="AA43" s="1" t="n">
        <f aca="false">IF(Z43&gt;0,Z43+(201-37)/10^6,0)</f>
        <v>0</v>
      </c>
      <c r="AB43" s="1"/>
      <c r="AC43" s="1"/>
      <c r="AD43" s="1" t="n">
        <f aca="false">IF(LARGE($AA$7:$AA$206,7)&lt;=0,0,MATCH(LARGE($AA$7:$AA$206,7),$AA$7:$AA$206,0))</f>
        <v>0</v>
      </c>
      <c r="AE43" s="1"/>
      <c r="AF43" s="1"/>
      <c r="AG43" s="1"/>
      <c r="AH43" s="1"/>
    </row>
    <row r="44" customFormat="false" ht="15" hidden="false" customHeight="false" outlineLevel="0" collapsed="false">
      <c r="A44" s="1"/>
      <c r="B44" s="10"/>
      <c r="C44" s="31" t="str">
        <f aca="false">IF(B44="","",TEXT(B44,"ddd"))</f>
        <v/>
      </c>
      <c r="D44" s="11"/>
      <c r="E44" s="8" t="str">
        <f aca="false">IF(D44="","",IFERROR(INDEX(ProjNumbers,MATCH(D44,ProjNames,0)),""))</f>
        <v/>
      </c>
      <c r="F44" s="8" t="str">
        <f aca="false">IF(D44="","",IFERROR(INDEX(ProjCodes,MATCH(D44,ProjNames,0)),""))</f>
        <v/>
      </c>
      <c r="G44" s="32"/>
      <c r="H44" s="11"/>
      <c r="I44" s="33"/>
      <c r="J44" s="8" t="str">
        <f aca="false">IF(COUNTA(B44,D44,G44,H44,I44)=0,"",IF(B44="","Enter date",IF(OR(B44&lt;$AC$2,B44&gt;$AC$3),"Date not in February",IF(D44="","Pick project",IF(ISNA(MATCH(D44,ProjNames,0)),"Project not in list",IF(G44="","Add task description",IF(H44="","Pick NTIME or P6",IF(N(I44)&lt;=0,"Enter hours",IF(AND(AllowOT&lt;&gt;"Yes",SUMIF($B$7:$B$256,B44,$I$7:$I$256)&gt;INDEX($O$58:$O$85,DAY(B44))),"Day over "&amp;INDEX($O$58:$O$85,DAY(B44))&amp;" h","✓")))))))))</f>
        <v/>
      </c>
      <c r="K44" s="1"/>
      <c r="L44" s="24" t="str">
        <f aca="false">IF($AD44=0,"",INDEX($W$7:$W$206,$AD44))</f>
        <v/>
      </c>
      <c r="M44" s="24" t="str">
        <f aca="false">IF($AD44=0,"",INDEX(ProjNumbers,$AD44))</f>
        <v/>
      </c>
      <c r="N44" s="24" t="str">
        <f aca="false">IF($AD44=0,"",INDEX(ProjCodes,$AD44))</f>
        <v/>
      </c>
      <c r="O44" s="24" t="str">
        <f aca="false">IF($AD44=0,"",INDEX($X$7:$X$206,$AD44))</f>
        <v/>
      </c>
      <c r="P44" s="24" t="str">
        <f aca="false">IF($AD44=0,"",INDEX($Y$7:$Y$206,$AD44))</f>
        <v/>
      </c>
      <c r="Q44" s="24" t="str">
        <f aca="false">IF($AD44=0,"",INDEX($Z$7:$Z$206,$AD44))</f>
        <v/>
      </c>
      <c r="R44" s="25" t="str">
        <f aca="false">IF(OR($AD44=0,$L$5=0),"",Q44/$L$5)</f>
        <v/>
      </c>
      <c r="S44" s="1"/>
      <c r="T44" s="1"/>
      <c r="U44" s="1"/>
      <c r="V44" s="1"/>
      <c r="W44" s="1" t="str">
        <f aca="false">IF(Projects!B42="","",Projects!B42)</f>
        <v/>
      </c>
      <c r="X44" s="1" t="n">
        <f aca="false">IF(W44="",0,SUMIFS($I$7:$I$256,$D$7:$D$256,W44,$H$7:$H$256,"NTIME"))</f>
        <v>0</v>
      </c>
      <c r="Y44" s="1" t="n">
        <f aca="false">IF(W44="",0,SUMIFS($I$7:$I$256,$D$7:$D$256,W44,$H$7:$H$256,"P6"))</f>
        <v>0</v>
      </c>
      <c r="Z44" s="1" t="n">
        <f aca="false">X44+Y44</f>
        <v>0</v>
      </c>
      <c r="AA44" s="1" t="n">
        <f aca="false">IF(Z44&gt;0,Z44+(201-38)/10^6,0)</f>
        <v>0</v>
      </c>
      <c r="AB44" s="1"/>
      <c r="AC44" s="1"/>
      <c r="AD44" s="1" t="n">
        <f aca="false">IF(LARGE($AA$7:$AA$206,8)&lt;=0,0,MATCH(LARGE($AA$7:$AA$206,8),$AA$7:$AA$206,0))</f>
        <v>0</v>
      </c>
      <c r="AE44" s="1"/>
      <c r="AF44" s="1"/>
      <c r="AG44" s="1"/>
      <c r="AH44" s="1"/>
    </row>
    <row r="45" customFormat="false" ht="15" hidden="false" customHeight="false" outlineLevel="0" collapsed="false">
      <c r="A45" s="1"/>
      <c r="B45" s="10"/>
      <c r="C45" s="31" t="str">
        <f aca="false">IF(B45="","",TEXT(B45,"ddd"))</f>
        <v/>
      </c>
      <c r="D45" s="11"/>
      <c r="E45" s="8" t="str">
        <f aca="false">IF(D45="","",IFERROR(INDEX(ProjNumbers,MATCH(D45,ProjNames,0)),""))</f>
        <v/>
      </c>
      <c r="F45" s="8" t="str">
        <f aca="false">IF(D45="","",IFERROR(INDEX(ProjCodes,MATCH(D45,ProjNames,0)),""))</f>
        <v/>
      </c>
      <c r="G45" s="32"/>
      <c r="H45" s="11"/>
      <c r="I45" s="33"/>
      <c r="J45" s="8" t="str">
        <f aca="false">IF(COUNTA(B45,D45,G45,H45,I45)=0,"",IF(B45="","Enter date",IF(OR(B45&lt;$AC$2,B45&gt;$AC$3),"Date not in February",IF(D45="","Pick project",IF(ISNA(MATCH(D45,ProjNames,0)),"Project not in list",IF(G45="","Add task description",IF(H45="","Pick NTIME or P6",IF(N(I45)&lt;=0,"Enter hours",IF(AND(AllowOT&lt;&gt;"Yes",SUMIF($B$7:$B$256,B45,$I$7:$I$256)&gt;INDEX($O$58:$O$85,DAY(B45))),"Day over "&amp;INDEX($O$58:$O$85,DAY(B45))&amp;" h","✓")))))))))</f>
        <v/>
      </c>
      <c r="K45" s="1"/>
      <c r="L45" s="24" t="str">
        <f aca="false">IF($AD45=0,"",INDEX($W$7:$W$206,$AD45))</f>
        <v/>
      </c>
      <c r="M45" s="24" t="str">
        <f aca="false">IF($AD45=0,"",INDEX(ProjNumbers,$AD45))</f>
        <v/>
      </c>
      <c r="N45" s="24" t="str">
        <f aca="false">IF($AD45=0,"",INDEX(ProjCodes,$AD45))</f>
        <v/>
      </c>
      <c r="O45" s="24" t="str">
        <f aca="false">IF($AD45=0,"",INDEX($X$7:$X$206,$AD45))</f>
        <v/>
      </c>
      <c r="P45" s="24" t="str">
        <f aca="false">IF($AD45=0,"",INDEX($Y$7:$Y$206,$AD45))</f>
        <v/>
      </c>
      <c r="Q45" s="24" t="str">
        <f aca="false">IF($AD45=0,"",INDEX($Z$7:$Z$206,$AD45))</f>
        <v/>
      </c>
      <c r="R45" s="25" t="str">
        <f aca="false">IF(OR($AD45=0,$L$5=0),"",Q45/$L$5)</f>
        <v/>
      </c>
      <c r="S45" s="1"/>
      <c r="T45" s="1"/>
      <c r="U45" s="1"/>
      <c r="V45" s="1"/>
      <c r="W45" s="1" t="str">
        <f aca="false">IF(Projects!B43="","",Projects!B43)</f>
        <v/>
      </c>
      <c r="X45" s="1" t="n">
        <f aca="false">IF(W45="",0,SUMIFS($I$7:$I$256,$D$7:$D$256,W45,$H$7:$H$256,"NTIME"))</f>
        <v>0</v>
      </c>
      <c r="Y45" s="1" t="n">
        <f aca="false">IF(W45="",0,SUMIFS($I$7:$I$256,$D$7:$D$256,W45,$H$7:$H$256,"P6"))</f>
        <v>0</v>
      </c>
      <c r="Z45" s="1" t="n">
        <f aca="false">X45+Y45</f>
        <v>0</v>
      </c>
      <c r="AA45" s="1" t="n">
        <f aca="false">IF(Z45&gt;0,Z45+(201-39)/10^6,0)</f>
        <v>0</v>
      </c>
      <c r="AB45" s="1"/>
      <c r="AC45" s="1"/>
      <c r="AD45" s="1" t="n">
        <f aca="false">IF(LARGE($AA$7:$AA$206,9)&lt;=0,0,MATCH(LARGE($AA$7:$AA$206,9),$AA$7:$AA$206,0))</f>
        <v>0</v>
      </c>
      <c r="AE45" s="1"/>
      <c r="AF45" s="1"/>
      <c r="AG45" s="1"/>
      <c r="AH45" s="1"/>
    </row>
    <row r="46" customFormat="false" ht="15" hidden="false" customHeight="false" outlineLevel="0" collapsed="false">
      <c r="A46" s="1"/>
      <c r="B46" s="10"/>
      <c r="C46" s="31" t="str">
        <f aca="false">IF(B46="","",TEXT(B46,"ddd"))</f>
        <v/>
      </c>
      <c r="D46" s="11"/>
      <c r="E46" s="8" t="str">
        <f aca="false">IF(D46="","",IFERROR(INDEX(ProjNumbers,MATCH(D46,ProjNames,0)),""))</f>
        <v/>
      </c>
      <c r="F46" s="8" t="str">
        <f aca="false">IF(D46="","",IFERROR(INDEX(ProjCodes,MATCH(D46,ProjNames,0)),""))</f>
        <v/>
      </c>
      <c r="G46" s="32"/>
      <c r="H46" s="11"/>
      <c r="I46" s="33"/>
      <c r="J46" s="8" t="str">
        <f aca="false">IF(COUNTA(B46,D46,G46,H46,I46)=0,"",IF(B46="","Enter date",IF(OR(B46&lt;$AC$2,B46&gt;$AC$3),"Date not in February",IF(D46="","Pick project",IF(ISNA(MATCH(D46,ProjNames,0)),"Project not in list",IF(G46="","Add task description",IF(H46="","Pick NTIME or P6",IF(N(I46)&lt;=0,"Enter hours",IF(AND(AllowOT&lt;&gt;"Yes",SUMIF($B$7:$B$256,B46,$I$7:$I$256)&gt;INDEX($O$58:$O$85,DAY(B46))),"Day over "&amp;INDEX($O$58:$O$85,DAY(B46))&amp;" h","✓")))))))))</f>
        <v/>
      </c>
      <c r="K46" s="1"/>
      <c r="L46" s="24" t="str">
        <f aca="false">IF($AD46=0,"",INDEX($W$7:$W$206,$AD46))</f>
        <v/>
      </c>
      <c r="M46" s="24" t="str">
        <f aca="false">IF($AD46=0,"",INDEX(ProjNumbers,$AD46))</f>
        <v/>
      </c>
      <c r="N46" s="24" t="str">
        <f aca="false">IF($AD46=0,"",INDEX(ProjCodes,$AD46))</f>
        <v/>
      </c>
      <c r="O46" s="24" t="str">
        <f aca="false">IF($AD46=0,"",INDEX($X$7:$X$206,$AD46))</f>
        <v/>
      </c>
      <c r="P46" s="24" t="str">
        <f aca="false">IF($AD46=0,"",INDEX($Y$7:$Y$206,$AD46))</f>
        <v/>
      </c>
      <c r="Q46" s="24" t="str">
        <f aca="false">IF($AD46=0,"",INDEX($Z$7:$Z$206,$AD46))</f>
        <v/>
      </c>
      <c r="R46" s="25" t="str">
        <f aca="false">IF(OR($AD46=0,$L$5=0),"",Q46/$L$5)</f>
        <v/>
      </c>
      <c r="S46" s="1"/>
      <c r="T46" s="1"/>
      <c r="U46" s="1"/>
      <c r="V46" s="1"/>
      <c r="W46" s="1" t="str">
        <f aca="false">IF(Projects!B44="","",Projects!B44)</f>
        <v/>
      </c>
      <c r="X46" s="1" t="n">
        <f aca="false">IF(W46="",0,SUMIFS($I$7:$I$256,$D$7:$D$256,W46,$H$7:$H$256,"NTIME"))</f>
        <v>0</v>
      </c>
      <c r="Y46" s="1" t="n">
        <f aca="false">IF(W46="",0,SUMIFS($I$7:$I$256,$D$7:$D$256,W46,$H$7:$H$256,"P6"))</f>
        <v>0</v>
      </c>
      <c r="Z46" s="1" t="n">
        <f aca="false">X46+Y46</f>
        <v>0</v>
      </c>
      <c r="AA46" s="1" t="n">
        <f aca="false">IF(Z46&gt;0,Z46+(201-40)/10^6,0)</f>
        <v>0</v>
      </c>
      <c r="AB46" s="1"/>
      <c r="AC46" s="1"/>
      <c r="AD46" s="1" t="n">
        <f aca="false">IF(LARGE($AA$7:$AA$206,10)&lt;=0,0,MATCH(LARGE($AA$7:$AA$206,10),$AA$7:$AA$206,0))</f>
        <v>0</v>
      </c>
      <c r="AE46" s="1"/>
      <c r="AF46" s="1"/>
      <c r="AG46" s="1"/>
      <c r="AH46" s="1"/>
    </row>
    <row r="47" customFormat="false" ht="15" hidden="false" customHeight="false" outlineLevel="0" collapsed="false">
      <c r="A47" s="1"/>
      <c r="B47" s="10"/>
      <c r="C47" s="31" t="str">
        <f aca="false">IF(B47="","",TEXT(B47,"ddd"))</f>
        <v/>
      </c>
      <c r="D47" s="11"/>
      <c r="E47" s="8" t="str">
        <f aca="false">IF(D47="","",IFERROR(INDEX(ProjNumbers,MATCH(D47,ProjNames,0)),""))</f>
        <v/>
      </c>
      <c r="F47" s="8" t="str">
        <f aca="false">IF(D47="","",IFERROR(INDEX(ProjCodes,MATCH(D47,ProjNames,0)),""))</f>
        <v/>
      </c>
      <c r="G47" s="32"/>
      <c r="H47" s="11"/>
      <c r="I47" s="33"/>
      <c r="J47" s="8" t="str">
        <f aca="false">IF(COUNTA(B47,D47,G47,H47,I47)=0,"",IF(B47="","Enter date",IF(OR(B47&lt;$AC$2,B47&gt;$AC$3),"Date not in February",IF(D47="","Pick project",IF(ISNA(MATCH(D47,ProjNames,0)),"Project not in list",IF(G47="","Add task description",IF(H47="","Pick NTIME or P6",IF(N(I47)&lt;=0,"Enter hours",IF(AND(AllowOT&lt;&gt;"Yes",SUMIF($B$7:$B$256,B47,$I$7:$I$256)&gt;INDEX($O$58:$O$85,DAY(B47))),"Day over "&amp;INDEX($O$58:$O$85,DAY(B47))&amp;" h","✓")))))))))</f>
        <v/>
      </c>
      <c r="K47" s="1"/>
      <c r="L47" s="24" t="str">
        <f aca="false">IF($AD47=0,"",INDEX($W$7:$W$206,$AD47))</f>
        <v/>
      </c>
      <c r="M47" s="24" t="str">
        <f aca="false">IF($AD47=0,"",INDEX(ProjNumbers,$AD47))</f>
        <v/>
      </c>
      <c r="N47" s="24" t="str">
        <f aca="false">IF($AD47=0,"",INDEX(ProjCodes,$AD47))</f>
        <v/>
      </c>
      <c r="O47" s="24" t="str">
        <f aca="false">IF($AD47=0,"",INDEX($X$7:$X$206,$AD47))</f>
        <v/>
      </c>
      <c r="P47" s="24" t="str">
        <f aca="false">IF($AD47=0,"",INDEX($Y$7:$Y$206,$AD47))</f>
        <v/>
      </c>
      <c r="Q47" s="24" t="str">
        <f aca="false">IF($AD47=0,"",INDEX($Z$7:$Z$206,$AD47))</f>
        <v/>
      </c>
      <c r="R47" s="25" t="str">
        <f aca="false">IF(OR($AD47=0,$L$5=0),"",Q47/$L$5)</f>
        <v/>
      </c>
      <c r="S47" s="1"/>
      <c r="T47" s="1"/>
      <c r="U47" s="1"/>
      <c r="V47" s="1"/>
      <c r="W47" s="1" t="str">
        <f aca="false">IF(Projects!B45="","",Projects!B45)</f>
        <v/>
      </c>
      <c r="X47" s="1" t="n">
        <f aca="false">IF(W47="",0,SUMIFS($I$7:$I$256,$D$7:$D$256,W47,$H$7:$H$256,"NTIME"))</f>
        <v>0</v>
      </c>
      <c r="Y47" s="1" t="n">
        <f aca="false">IF(W47="",0,SUMIFS($I$7:$I$256,$D$7:$D$256,W47,$H$7:$H$256,"P6"))</f>
        <v>0</v>
      </c>
      <c r="Z47" s="1" t="n">
        <f aca="false">X47+Y47</f>
        <v>0</v>
      </c>
      <c r="AA47" s="1" t="n">
        <f aca="false">IF(Z47&gt;0,Z47+(201-41)/10^6,0)</f>
        <v>0</v>
      </c>
      <c r="AB47" s="1"/>
      <c r="AC47" s="1"/>
      <c r="AD47" s="1" t="n">
        <f aca="false">IF(LARGE($AA$7:$AA$206,11)&lt;=0,0,MATCH(LARGE($AA$7:$AA$206,11),$AA$7:$AA$206,0))</f>
        <v>0</v>
      </c>
      <c r="AE47" s="1"/>
      <c r="AF47" s="1"/>
      <c r="AG47" s="1"/>
      <c r="AH47" s="1"/>
    </row>
    <row r="48" customFormat="false" ht="15" hidden="false" customHeight="false" outlineLevel="0" collapsed="false">
      <c r="A48" s="1"/>
      <c r="B48" s="10"/>
      <c r="C48" s="31" t="str">
        <f aca="false">IF(B48="","",TEXT(B48,"ddd"))</f>
        <v/>
      </c>
      <c r="D48" s="11"/>
      <c r="E48" s="8" t="str">
        <f aca="false">IF(D48="","",IFERROR(INDEX(ProjNumbers,MATCH(D48,ProjNames,0)),""))</f>
        <v/>
      </c>
      <c r="F48" s="8" t="str">
        <f aca="false">IF(D48="","",IFERROR(INDEX(ProjCodes,MATCH(D48,ProjNames,0)),""))</f>
        <v/>
      </c>
      <c r="G48" s="32"/>
      <c r="H48" s="11"/>
      <c r="I48" s="33"/>
      <c r="J48" s="8" t="str">
        <f aca="false">IF(COUNTA(B48,D48,G48,H48,I48)=0,"",IF(B48="","Enter date",IF(OR(B48&lt;$AC$2,B48&gt;$AC$3),"Date not in February",IF(D48="","Pick project",IF(ISNA(MATCH(D48,ProjNames,0)),"Project not in list",IF(G48="","Add task description",IF(H48="","Pick NTIME or P6",IF(N(I48)&lt;=0,"Enter hours",IF(AND(AllowOT&lt;&gt;"Yes",SUMIF($B$7:$B$256,B48,$I$7:$I$256)&gt;INDEX($O$58:$O$85,DAY(B48))),"Day over "&amp;INDEX($O$58:$O$85,DAY(B48))&amp;" h","✓")))))))))</f>
        <v/>
      </c>
      <c r="K48" s="1"/>
      <c r="L48" s="24" t="str">
        <f aca="false">IF($AD48=0,"",INDEX($W$7:$W$206,$AD48))</f>
        <v/>
      </c>
      <c r="M48" s="24" t="str">
        <f aca="false">IF($AD48=0,"",INDEX(ProjNumbers,$AD48))</f>
        <v/>
      </c>
      <c r="N48" s="24" t="str">
        <f aca="false">IF($AD48=0,"",INDEX(ProjCodes,$AD48))</f>
        <v/>
      </c>
      <c r="O48" s="24" t="str">
        <f aca="false">IF($AD48=0,"",INDEX($X$7:$X$206,$AD48))</f>
        <v/>
      </c>
      <c r="P48" s="24" t="str">
        <f aca="false">IF($AD48=0,"",INDEX($Y$7:$Y$206,$AD48))</f>
        <v/>
      </c>
      <c r="Q48" s="24" t="str">
        <f aca="false">IF($AD48=0,"",INDEX($Z$7:$Z$206,$AD48))</f>
        <v/>
      </c>
      <c r="R48" s="25" t="str">
        <f aca="false">IF(OR($AD48=0,$L$5=0),"",Q48/$L$5)</f>
        <v/>
      </c>
      <c r="S48" s="1"/>
      <c r="T48" s="1"/>
      <c r="U48" s="1"/>
      <c r="V48" s="1"/>
      <c r="W48" s="1" t="str">
        <f aca="false">IF(Projects!B46="","",Projects!B46)</f>
        <v/>
      </c>
      <c r="X48" s="1" t="n">
        <f aca="false">IF(W48="",0,SUMIFS($I$7:$I$256,$D$7:$D$256,W48,$H$7:$H$256,"NTIME"))</f>
        <v>0</v>
      </c>
      <c r="Y48" s="1" t="n">
        <f aca="false">IF(W48="",0,SUMIFS($I$7:$I$256,$D$7:$D$256,W48,$H$7:$H$256,"P6"))</f>
        <v>0</v>
      </c>
      <c r="Z48" s="1" t="n">
        <f aca="false">X48+Y48</f>
        <v>0</v>
      </c>
      <c r="AA48" s="1" t="n">
        <f aca="false">IF(Z48&gt;0,Z48+(201-42)/10^6,0)</f>
        <v>0</v>
      </c>
      <c r="AB48" s="1"/>
      <c r="AC48" s="1"/>
      <c r="AD48" s="1" t="n">
        <f aca="false">IF(LARGE($AA$7:$AA$206,12)&lt;=0,0,MATCH(LARGE($AA$7:$AA$206,12),$AA$7:$AA$206,0))</f>
        <v>0</v>
      </c>
      <c r="AE48" s="1"/>
      <c r="AF48" s="1"/>
      <c r="AG48" s="1"/>
      <c r="AH48" s="1"/>
    </row>
    <row r="49" customFormat="false" ht="15" hidden="false" customHeight="false" outlineLevel="0" collapsed="false">
      <c r="A49" s="1"/>
      <c r="B49" s="10"/>
      <c r="C49" s="31" t="str">
        <f aca="false">IF(B49="","",TEXT(B49,"ddd"))</f>
        <v/>
      </c>
      <c r="D49" s="11"/>
      <c r="E49" s="8" t="str">
        <f aca="false">IF(D49="","",IFERROR(INDEX(ProjNumbers,MATCH(D49,ProjNames,0)),""))</f>
        <v/>
      </c>
      <c r="F49" s="8" t="str">
        <f aca="false">IF(D49="","",IFERROR(INDEX(ProjCodes,MATCH(D49,ProjNames,0)),""))</f>
        <v/>
      </c>
      <c r="G49" s="32"/>
      <c r="H49" s="11"/>
      <c r="I49" s="33"/>
      <c r="J49" s="8" t="str">
        <f aca="false">IF(COUNTA(B49,D49,G49,H49,I49)=0,"",IF(B49="","Enter date",IF(OR(B49&lt;$AC$2,B49&gt;$AC$3),"Date not in February",IF(D49="","Pick project",IF(ISNA(MATCH(D49,ProjNames,0)),"Project not in list",IF(G49="","Add task description",IF(H49="","Pick NTIME or P6",IF(N(I49)&lt;=0,"Enter hours",IF(AND(AllowOT&lt;&gt;"Yes",SUMIF($B$7:$B$256,B49,$I$7:$I$256)&gt;INDEX($O$58:$O$85,DAY(B49))),"Day over "&amp;INDEX($O$58:$O$85,DAY(B49))&amp;" h","✓")))))))))</f>
        <v/>
      </c>
      <c r="K49" s="1"/>
      <c r="L49" s="24" t="str">
        <f aca="false">IF($AD49=0,"",INDEX($W$7:$W$206,$AD49))</f>
        <v/>
      </c>
      <c r="M49" s="24" t="str">
        <f aca="false">IF($AD49=0,"",INDEX(ProjNumbers,$AD49))</f>
        <v/>
      </c>
      <c r="N49" s="24" t="str">
        <f aca="false">IF($AD49=0,"",INDEX(ProjCodes,$AD49))</f>
        <v/>
      </c>
      <c r="O49" s="24" t="str">
        <f aca="false">IF($AD49=0,"",INDEX($X$7:$X$206,$AD49))</f>
        <v/>
      </c>
      <c r="P49" s="24" t="str">
        <f aca="false">IF($AD49=0,"",INDEX($Y$7:$Y$206,$AD49))</f>
        <v/>
      </c>
      <c r="Q49" s="24" t="str">
        <f aca="false">IF($AD49=0,"",INDEX($Z$7:$Z$206,$AD49))</f>
        <v/>
      </c>
      <c r="R49" s="25" t="str">
        <f aca="false">IF(OR($AD49=0,$L$5=0),"",Q49/$L$5)</f>
        <v/>
      </c>
      <c r="S49" s="1"/>
      <c r="T49" s="1"/>
      <c r="U49" s="1"/>
      <c r="V49" s="1"/>
      <c r="W49" s="1" t="str">
        <f aca="false">IF(Projects!B47="","",Projects!B47)</f>
        <v/>
      </c>
      <c r="X49" s="1" t="n">
        <f aca="false">IF(W49="",0,SUMIFS($I$7:$I$256,$D$7:$D$256,W49,$H$7:$H$256,"NTIME"))</f>
        <v>0</v>
      </c>
      <c r="Y49" s="1" t="n">
        <f aca="false">IF(W49="",0,SUMIFS($I$7:$I$256,$D$7:$D$256,W49,$H$7:$H$256,"P6"))</f>
        <v>0</v>
      </c>
      <c r="Z49" s="1" t="n">
        <f aca="false">X49+Y49</f>
        <v>0</v>
      </c>
      <c r="AA49" s="1" t="n">
        <f aca="false">IF(Z49&gt;0,Z49+(201-43)/10^6,0)</f>
        <v>0</v>
      </c>
      <c r="AB49" s="1"/>
      <c r="AC49" s="1"/>
      <c r="AD49" s="1" t="n">
        <f aca="false">IF(LARGE($AA$7:$AA$206,13)&lt;=0,0,MATCH(LARGE($AA$7:$AA$206,13),$AA$7:$AA$206,0))</f>
        <v>0</v>
      </c>
      <c r="AE49" s="1"/>
      <c r="AF49" s="1"/>
      <c r="AG49" s="1"/>
      <c r="AH49" s="1"/>
    </row>
    <row r="50" customFormat="false" ht="15" hidden="false" customHeight="false" outlineLevel="0" collapsed="false">
      <c r="A50" s="1"/>
      <c r="B50" s="10"/>
      <c r="C50" s="31" t="str">
        <f aca="false">IF(B50="","",TEXT(B50,"ddd"))</f>
        <v/>
      </c>
      <c r="D50" s="11"/>
      <c r="E50" s="8" t="str">
        <f aca="false">IF(D50="","",IFERROR(INDEX(ProjNumbers,MATCH(D50,ProjNames,0)),""))</f>
        <v/>
      </c>
      <c r="F50" s="8" t="str">
        <f aca="false">IF(D50="","",IFERROR(INDEX(ProjCodes,MATCH(D50,ProjNames,0)),""))</f>
        <v/>
      </c>
      <c r="G50" s="32"/>
      <c r="H50" s="11"/>
      <c r="I50" s="33"/>
      <c r="J50" s="8" t="str">
        <f aca="false">IF(COUNTA(B50,D50,G50,H50,I50)=0,"",IF(B50="","Enter date",IF(OR(B50&lt;$AC$2,B50&gt;$AC$3),"Date not in February",IF(D50="","Pick project",IF(ISNA(MATCH(D50,ProjNames,0)),"Project not in list",IF(G50="","Add task description",IF(H50="","Pick NTIME or P6",IF(N(I50)&lt;=0,"Enter hours",IF(AND(AllowOT&lt;&gt;"Yes",SUMIF($B$7:$B$256,B50,$I$7:$I$256)&gt;INDEX($O$58:$O$85,DAY(B50))),"Day over "&amp;INDEX($O$58:$O$85,DAY(B50))&amp;" h","✓")))))))))</f>
        <v/>
      </c>
      <c r="K50" s="1"/>
      <c r="L50" s="24" t="str">
        <f aca="false">IF($AD50=0,"",INDEX($W$7:$W$206,$AD50))</f>
        <v/>
      </c>
      <c r="M50" s="24" t="str">
        <f aca="false">IF($AD50=0,"",INDEX(ProjNumbers,$AD50))</f>
        <v/>
      </c>
      <c r="N50" s="24" t="str">
        <f aca="false">IF($AD50=0,"",INDEX(ProjCodes,$AD50))</f>
        <v/>
      </c>
      <c r="O50" s="24" t="str">
        <f aca="false">IF($AD50=0,"",INDEX($X$7:$X$206,$AD50))</f>
        <v/>
      </c>
      <c r="P50" s="24" t="str">
        <f aca="false">IF($AD50=0,"",INDEX($Y$7:$Y$206,$AD50))</f>
        <v/>
      </c>
      <c r="Q50" s="24" t="str">
        <f aca="false">IF($AD50=0,"",INDEX($Z$7:$Z$206,$AD50))</f>
        <v/>
      </c>
      <c r="R50" s="25" t="str">
        <f aca="false">IF(OR($AD50=0,$L$5=0),"",Q50/$L$5)</f>
        <v/>
      </c>
      <c r="S50" s="1"/>
      <c r="T50" s="1"/>
      <c r="U50" s="1"/>
      <c r="V50" s="1"/>
      <c r="W50" s="1" t="str">
        <f aca="false">IF(Projects!B48="","",Projects!B48)</f>
        <v/>
      </c>
      <c r="X50" s="1" t="n">
        <f aca="false">IF(W50="",0,SUMIFS($I$7:$I$256,$D$7:$D$256,W50,$H$7:$H$256,"NTIME"))</f>
        <v>0</v>
      </c>
      <c r="Y50" s="1" t="n">
        <f aca="false">IF(W50="",0,SUMIFS($I$7:$I$256,$D$7:$D$256,W50,$H$7:$H$256,"P6"))</f>
        <v>0</v>
      </c>
      <c r="Z50" s="1" t="n">
        <f aca="false">X50+Y50</f>
        <v>0</v>
      </c>
      <c r="AA50" s="1" t="n">
        <f aca="false">IF(Z50&gt;0,Z50+(201-44)/10^6,0)</f>
        <v>0</v>
      </c>
      <c r="AB50" s="1"/>
      <c r="AC50" s="1"/>
      <c r="AD50" s="1" t="n">
        <f aca="false">IF(LARGE($AA$7:$AA$206,14)&lt;=0,0,MATCH(LARGE($AA$7:$AA$206,14),$AA$7:$AA$206,0))</f>
        <v>0</v>
      </c>
      <c r="AE50" s="1"/>
      <c r="AF50" s="1"/>
      <c r="AG50" s="1"/>
      <c r="AH50" s="1"/>
    </row>
    <row r="51" customFormat="false" ht="15" hidden="false" customHeight="false" outlineLevel="0" collapsed="false">
      <c r="A51" s="1"/>
      <c r="B51" s="10"/>
      <c r="C51" s="31" t="str">
        <f aca="false">IF(B51="","",TEXT(B51,"ddd"))</f>
        <v/>
      </c>
      <c r="D51" s="11"/>
      <c r="E51" s="8" t="str">
        <f aca="false">IF(D51="","",IFERROR(INDEX(ProjNumbers,MATCH(D51,ProjNames,0)),""))</f>
        <v/>
      </c>
      <c r="F51" s="8" t="str">
        <f aca="false">IF(D51="","",IFERROR(INDEX(ProjCodes,MATCH(D51,ProjNames,0)),""))</f>
        <v/>
      </c>
      <c r="G51" s="32"/>
      <c r="H51" s="11"/>
      <c r="I51" s="33"/>
      <c r="J51" s="8" t="str">
        <f aca="false">IF(COUNTA(B51,D51,G51,H51,I51)=0,"",IF(B51="","Enter date",IF(OR(B51&lt;$AC$2,B51&gt;$AC$3),"Date not in February",IF(D51="","Pick project",IF(ISNA(MATCH(D51,ProjNames,0)),"Project not in list",IF(G51="","Add task description",IF(H51="","Pick NTIME or P6",IF(N(I51)&lt;=0,"Enter hours",IF(AND(AllowOT&lt;&gt;"Yes",SUMIF($B$7:$B$256,B51,$I$7:$I$256)&gt;INDEX($O$58:$O$85,DAY(B51))),"Day over "&amp;INDEX($O$58:$O$85,DAY(B51))&amp;" h","✓")))))))))</f>
        <v/>
      </c>
      <c r="K51" s="1"/>
      <c r="L51" s="24" t="str">
        <f aca="false">IF($AD51=0,"",INDEX($W$7:$W$206,$AD51))</f>
        <v/>
      </c>
      <c r="M51" s="24" t="str">
        <f aca="false">IF($AD51=0,"",INDEX(ProjNumbers,$AD51))</f>
        <v/>
      </c>
      <c r="N51" s="24" t="str">
        <f aca="false">IF($AD51=0,"",INDEX(ProjCodes,$AD51))</f>
        <v/>
      </c>
      <c r="O51" s="24" t="str">
        <f aca="false">IF($AD51=0,"",INDEX($X$7:$X$206,$AD51))</f>
        <v/>
      </c>
      <c r="P51" s="24" t="str">
        <f aca="false">IF($AD51=0,"",INDEX($Y$7:$Y$206,$AD51))</f>
        <v/>
      </c>
      <c r="Q51" s="24" t="str">
        <f aca="false">IF($AD51=0,"",INDEX($Z$7:$Z$206,$AD51))</f>
        <v/>
      </c>
      <c r="R51" s="25" t="str">
        <f aca="false">IF(OR($AD51=0,$L$5=0),"",Q51/$L$5)</f>
        <v/>
      </c>
      <c r="S51" s="1"/>
      <c r="T51" s="1"/>
      <c r="U51" s="1"/>
      <c r="V51" s="1"/>
      <c r="W51" s="1" t="str">
        <f aca="false">IF(Projects!B49="","",Projects!B49)</f>
        <v/>
      </c>
      <c r="X51" s="1" t="n">
        <f aca="false">IF(W51="",0,SUMIFS($I$7:$I$256,$D$7:$D$256,W51,$H$7:$H$256,"NTIME"))</f>
        <v>0</v>
      </c>
      <c r="Y51" s="1" t="n">
        <f aca="false">IF(W51="",0,SUMIFS($I$7:$I$256,$D$7:$D$256,W51,$H$7:$H$256,"P6"))</f>
        <v>0</v>
      </c>
      <c r="Z51" s="1" t="n">
        <f aca="false">X51+Y51</f>
        <v>0</v>
      </c>
      <c r="AA51" s="1" t="n">
        <f aca="false">IF(Z51&gt;0,Z51+(201-45)/10^6,0)</f>
        <v>0</v>
      </c>
      <c r="AB51" s="1"/>
      <c r="AC51" s="1"/>
      <c r="AD51" s="1" t="n">
        <f aca="false">IF(LARGE($AA$7:$AA$206,15)&lt;=0,0,MATCH(LARGE($AA$7:$AA$206,15),$AA$7:$AA$206,0))</f>
        <v>0</v>
      </c>
      <c r="AE51" s="1"/>
      <c r="AF51" s="1"/>
      <c r="AG51" s="1"/>
      <c r="AH51" s="1"/>
    </row>
    <row r="52" customFormat="false" ht="15" hidden="false" customHeight="false" outlineLevel="0" collapsed="false">
      <c r="A52" s="1"/>
      <c r="B52" s="10"/>
      <c r="C52" s="31" t="str">
        <f aca="false">IF(B52="","",TEXT(B52,"ddd"))</f>
        <v/>
      </c>
      <c r="D52" s="11"/>
      <c r="E52" s="8" t="str">
        <f aca="false">IF(D52="","",IFERROR(INDEX(ProjNumbers,MATCH(D52,ProjNames,0)),""))</f>
        <v/>
      </c>
      <c r="F52" s="8" t="str">
        <f aca="false">IF(D52="","",IFERROR(INDEX(ProjCodes,MATCH(D52,ProjNames,0)),""))</f>
        <v/>
      </c>
      <c r="G52" s="32"/>
      <c r="H52" s="11"/>
      <c r="I52" s="33"/>
      <c r="J52" s="8" t="str">
        <f aca="false">IF(COUNTA(B52,D52,G52,H52,I52)=0,"",IF(B52="","Enter date",IF(OR(B52&lt;$AC$2,B52&gt;$AC$3),"Date not in February",IF(D52="","Pick project",IF(ISNA(MATCH(D52,ProjNames,0)),"Project not in list",IF(G52="","Add task description",IF(H52="","Pick NTIME or P6",IF(N(I52)&lt;=0,"Enter hours",IF(AND(AllowOT&lt;&gt;"Yes",SUMIF($B$7:$B$256,B52,$I$7:$I$256)&gt;INDEX($O$58:$O$85,DAY(B52))),"Day over "&amp;INDEX($O$58:$O$85,DAY(B52))&amp;" h","✓")))))))))</f>
        <v/>
      </c>
      <c r="K52" s="1"/>
      <c r="L52" s="24" t="s">
        <v>87</v>
      </c>
      <c r="M52" s="24"/>
      <c r="N52" s="24"/>
      <c r="O52" s="24" t="n">
        <f aca="false">SUM($P$58:$P$85)-SUM($X$7:$X$206)</f>
        <v>0</v>
      </c>
      <c r="P52" s="24" t="n">
        <f aca="false">SUM($Q$58:$Q$85)-SUM($Y$7:$Y$206)</f>
        <v>0</v>
      </c>
      <c r="Q52" s="24" t="n">
        <f aca="false">O52+P52</f>
        <v>0</v>
      </c>
      <c r="R52" s="25" t="str">
        <f aca="false">IF($L$5=0,"",Q52/$L$5)</f>
        <v/>
      </c>
      <c r="S52" s="1"/>
      <c r="T52" s="1"/>
      <c r="U52" s="1"/>
      <c r="V52" s="1"/>
      <c r="W52" s="1" t="str">
        <f aca="false">IF(Projects!B50="","",Projects!B50)</f>
        <v/>
      </c>
      <c r="X52" s="1" t="n">
        <f aca="false">IF(W52="",0,SUMIFS($I$7:$I$256,$D$7:$D$256,W52,$H$7:$H$256,"NTIME"))</f>
        <v>0</v>
      </c>
      <c r="Y52" s="1" t="n">
        <f aca="false">IF(W52="",0,SUMIFS($I$7:$I$256,$D$7:$D$256,W52,$H$7:$H$256,"P6"))</f>
        <v>0</v>
      </c>
      <c r="Z52" s="1" t="n">
        <f aca="false">X52+Y52</f>
        <v>0</v>
      </c>
      <c r="AA52" s="1" t="n">
        <f aca="false">IF(Z52&gt;0,Z52+(201-46)/10^6,0)</f>
        <v>0</v>
      </c>
      <c r="AB52" s="1"/>
      <c r="AC52" s="1"/>
      <c r="AD52" s="1"/>
      <c r="AE52" s="1"/>
      <c r="AF52" s="1"/>
      <c r="AG52" s="1"/>
      <c r="AH52" s="1"/>
    </row>
    <row r="53" customFormat="false" ht="15" hidden="false" customHeight="false" outlineLevel="0" collapsed="false">
      <c r="A53" s="1"/>
      <c r="B53" s="10"/>
      <c r="C53" s="31" t="str">
        <f aca="false">IF(B53="","",TEXT(B53,"ddd"))</f>
        <v/>
      </c>
      <c r="D53" s="11"/>
      <c r="E53" s="8" t="str">
        <f aca="false">IF(D53="","",IFERROR(INDEX(ProjNumbers,MATCH(D53,ProjNames,0)),""))</f>
        <v/>
      </c>
      <c r="F53" s="8" t="str">
        <f aca="false">IF(D53="","",IFERROR(INDEX(ProjCodes,MATCH(D53,ProjNames,0)),""))</f>
        <v/>
      </c>
      <c r="G53" s="32"/>
      <c r="H53" s="11"/>
      <c r="I53" s="33"/>
      <c r="J53" s="8" t="str">
        <f aca="false">IF(COUNTA(B53,D53,G53,H53,I53)=0,"",IF(B53="","Enter date",IF(OR(B53&lt;$AC$2,B53&gt;$AC$3),"Date not in February",IF(D53="","Pick project",IF(ISNA(MATCH(D53,ProjNames,0)),"Project not in list",IF(G53="","Add task description",IF(H53="","Pick NTIME or P6",IF(N(I53)&lt;=0,"Enter hours",IF(AND(AllowOT&lt;&gt;"Yes",SUMIF($B$7:$B$256,B53,$I$7:$I$256)&gt;INDEX($O$58:$O$85,DAY(B53))),"Day over "&amp;INDEX($O$58:$O$85,DAY(B53))&amp;" h","✓")))))))))</f>
        <v/>
      </c>
      <c r="K53" s="1"/>
      <c r="L53" s="24" t="s">
        <v>15</v>
      </c>
      <c r="M53" s="24" t="s">
        <v>88</v>
      </c>
      <c r="N53" s="24"/>
      <c r="O53" s="24" t="str">
        <f aca="false">IF(OHSystem="NTIME",O5,"")</f>
        <v/>
      </c>
      <c r="P53" s="24" t="str">
        <f aca="false">IF(OHSystem="P6",O5,"")</f>
        <v/>
      </c>
      <c r="Q53" s="24" t="n">
        <f aca="false">O5</f>
        <v>0</v>
      </c>
      <c r="R53" s="25" t="str">
        <f aca="false">IF($L$5=0,"",Q53/$L$5)</f>
        <v/>
      </c>
      <c r="S53" s="1"/>
      <c r="T53" s="1"/>
      <c r="U53" s="1"/>
      <c r="V53" s="1"/>
      <c r="W53" s="1" t="str">
        <f aca="false">IF(Projects!B51="","",Projects!B51)</f>
        <v/>
      </c>
      <c r="X53" s="1" t="n">
        <f aca="false">IF(W53="",0,SUMIFS($I$7:$I$256,$D$7:$D$256,W53,$H$7:$H$256,"NTIME"))</f>
        <v>0</v>
      </c>
      <c r="Y53" s="1" t="n">
        <f aca="false">IF(W53="",0,SUMIFS($I$7:$I$256,$D$7:$D$256,W53,$H$7:$H$256,"P6"))</f>
        <v>0</v>
      </c>
      <c r="Z53" s="1" t="n">
        <f aca="false">X53+Y53</f>
        <v>0</v>
      </c>
      <c r="AA53" s="1" t="n">
        <f aca="false">IF(Z53&gt;0,Z53+(201-47)/10^6,0)</f>
        <v>0</v>
      </c>
      <c r="AB53" s="1"/>
      <c r="AC53" s="1"/>
      <c r="AD53" s="1"/>
      <c r="AE53" s="1"/>
      <c r="AF53" s="1"/>
      <c r="AG53" s="1"/>
      <c r="AH53" s="1"/>
    </row>
    <row r="54" customFormat="false" ht="15" hidden="false" customHeight="false" outlineLevel="0" collapsed="false">
      <c r="A54" s="1"/>
      <c r="B54" s="10"/>
      <c r="C54" s="31" t="str">
        <f aca="false">IF(B54="","",TEXT(B54,"ddd"))</f>
        <v/>
      </c>
      <c r="D54" s="11"/>
      <c r="E54" s="8" t="str">
        <f aca="false">IF(D54="","",IFERROR(INDEX(ProjNumbers,MATCH(D54,ProjNames,0)),""))</f>
        <v/>
      </c>
      <c r="F54" s="8" t="str">
        <f aca="false">IF(D54="","",IFERROR(INDEX(ProjCodes,MATCH(D54,ProjNames,0)),""))</f>
        <v/>
      </c>
      <c r="G54" s="32"/>
      <c r="H54" s="11"/>
      <c r="I54" s="33"/>
      <c r="J54" s="8" t="str">
        <f aca="false">IF(COUNTA(B54,D54,G54,H54,I54)=0,"",IF(B54="","Enter date",IF(OR(B54&lt;$AC$2,B54&gt;$AC$3),"Date not in February",IF(D54="","Pick project",IF(ISNA(MATCH(D54,ProjNames,0)),"Project not in list",IF(G54="","Add task description",IF(H54="","Pick NTIME or P6",IF(N(I54)&lt;=0,"Enter hours",IF(AND(AllowOT&lt;&gt;"Yes",SUMIF($B$7:$B$256,B54,$I$7:$I$256)&gt;INDEX($O$58:$O$85,DAY(B54))),"Day over "&amp;INDEX($O$58:$O$85,DAY(B54))&amp;" h","✓")))))))))</f>
        <v/>
      </c>
      <c r="K54" s="1"/>
      <c r="L54" s="27" t="s">
        <v>57</v>
      </c>
      <c r="M54" s="27"/>
      <c r="N54" s="27"/>
      <c r="O54" s="27" t="n">
        <f aca="false">M5</f>
        <v>0</v>
      </c>
      <c r="P54" s="27" t="n">
        <f aca="false">N5</f>
        <v>0</v>
      </c>
      <c r="Q54" s="27" t="n">
        <f aca="false">L5</f>
        <v>0</v>
      </c>
      <c r="R54" s="27"/>
      <c r="S54" s="1"/>
      <c r="T54" s="1"/>
      <c r="U54" s="1"/>
      <c r="V54" s="1"/>
      <c r="W54" s="1" t="str">
        <f aca="false">IF(Projects!B52="","",Projects!B52)</f>
        <v/>
      </c>
      <c r="X54" s="1" t="n">
        <f aca="false">IF(W54="",0,SUMIFS($I$7:$I$256,$D$7:$D$256,W54,$H$7:$H$256,"NTIME"))</f>
        <v>0</v>
      </c>
      <c r="Y54" s="1" t="n">
        <f aca="false">IF(W54="",0,SUMIFS($I$7:$I$256,$D$7:$D$256,W54,$H$7:$H$256,"P6"))</f>
        <v>0</v>
      </c>
      <c r="Z54" s="1" t="n">
        <f aca="false">X54+Y54</f>
        <v>0</v>
      </c>
      <c r="AA54" s="1" t="n">
        <f aca="false">IF(Z54&gt;0,Z54+(201-48)/10^6,0)</f>
        <v>0</v>
      </c>
      <c r="AB54" s="1"/>
      <c r="AC54" s="1"/>
      <c r="AD54" s="1"/>
      <c r="AE54" s="1"/>
      <c r="AF54" s="1"/>
      <c r="AG54" s="1"/>
      <c r="AH54" s="1"/>
    </row>
    <row r="55" customFormat="false" ht="15" hidden="false" customHeight="false" outlineLevel="0" collapsed="false">
      <c r="A55" s="1"/>
      <c r="B55" s="10"/>
      <c r="C55" s="31" t="str">
        <f aca="false">IF(B55="","",TEXT(B55,"ddd"))</f>
        <v/>
      </c>
      <c r="D55" s="11"/>
      <c r="E55" s="8" t="str">
        <f aca="false">IF(D55="","",IFERROR(INDEX(ProjNumbers,MATCH(D55,ProjNames,0)),""))</f>
        <v/>
      </c>
      <c r="F55" s="8" t="str">
        <f aca="false">IF(D55="","",IFERROR(INDEX(ProjCodes,MATCH(D55,ProjNames,0)),""))</f>
        <v/>
      </c>
      <c r="G55" s="32"/>
      <c r="H55" s="11"/>
      <c r="I55" s="33"/>
      <c r="J55" s="8" t="str">
        <f aca="false">IF(COUNTA(B55,D55,G55,H55,I55)=0,"",IF(B55="","Enter date",IF(OR(B55&lt;$AC$2,B55&gt;$AC$3),"Date not in February",IF(D55="","Pick project",IF(ISNA(MATCH(D55,ProjNames,0)),"Project not in list",IF(G55="","Add task description",IF(H55="","Pick NTIME or P6",IF(N(I55)&lt;=0,"Enter hours",IF(AND(AllowOT&lt;&gt;"Yes",SUMIF($B$7:$B$256,B55,$I$7:$I$256)&gt;INDEX($O$58:$O$85,DAY(B55))),"Day over "&amp;INDEX($O$58:$O$85,DAY(B55))&amp;" h","✓")))))))))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tr">
        <f aca="false">IF(Projects!B53="","",Projects!B53)</f>
        <v/>
      </c>
      <c r="X55" s="1" t="n">
        <f aca="false">IF(W55="",0,SUMIFS($I$7:$I$256,$D$7:$D$256,W55,$H$7:$H$256,"NTIME"))</f>
        <v>0</v>
      </c>
      <c r="Y55" s="1" t="n">
        <f aca="false">IF(W55="",0,SUMIFS($I$7:$I$256,$D$7:$D$256,W55,$H$7:$H$256,"P6"))</f>
        <v>0</v>
      </c>
      <c r="Z55" s="1" t="n">
        <f aca="false">X55+Y55</f>
        <v>0</v>
      </c>
      <c r="AA55" s="1" t="n">
        <f aca="false">IF(Z55&gt;0,Z55+(201-49)/10^6,0)</f>
        <v>0</v>
      </c>
      <c r="AB55" s="1"/>
      <c r="AC55" s="1"/>
      <c r="AD55" s="1"/>
      <c r="AE55" s="1"/>
      <c r="AF55" s="1"/>
      <c r="AG55" s="1"/>
      <c r="AH55" s="1"/>
    </row>
    <row r="56" customFormat="false" ht="15" hidden="false" customHeight="false" outlineLevel="0" collapsed="false">
      <c r="A56" s="1"/>
      <c r="B56" s="10"/>
      <c r="C56" s="31" t="str">
        <f aca="false">IF(B56="","",TEXT(B56,"ddd"))</f>
        <v/>
      </c>
      <c r="D56" s="11"/>
      <c r="E56" s="8" t="str">
        <f aca="false">IF(D56="","",IFERROR(INDEX(ProjNumbers,MATCH(D56,ProjNames,0)),""))</f>
        <v/>
      </c>
      <c r="F56" s="8" t="str">
        <f aca="false">IF(D56="","",IFERROR(INDEX(ProjCodes,MATCH(D56,ProjNames,0)),""))</f>
        <v/>
      </c>
      <c r="G56" s="32"/>
      <c r="H56" s="11"/>
      <c r="I56" s="33"/>
      <c r="J56" s="8" t="str">
        <f aca="false">IF(COUNTA(B56,D56,G56,H56,I56)=0,"",IF(B56="","Enter date",IF(OR(B56&lt;$AC$2,B56&gt;$AC$3),"Date not in February",IF(D56="","Pick project",IF(ISNA(MATCH(D56,ProjNames,0)),"Project not in list",IF(G56="","Add task description",IF(H56="","Pick NTIME or P6",IF(N(I56)&lt;=0,"Enter hours",IF(AND(AllowOT&lt;&gt;"Yes",SUMIF($B$7:$B$256,B56,$I$7:$I$256)&gt;INDEX($O$58:$O$85,DAY(B56))),"Day over "&amp;INDEX($O$58:$O$85,DAY(B56))&amp;" h","✓")))))))))</f>
        <v/>
      </c>
      <c r="K56" s="1"/>
      <c r="L56" s="4" t="s">
        <v>89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 aca="false">IF(Projects!B54="","",Projects!B54)</f>
        <v/>
      </c>
      <c r="X56" s="1" t="n">
        <f aca="false">IF(W56="",0,SUMIFS($I$7:$I$256,$D$7:$D$256,W56,$H$7:$H$256,"NTIME"))</f>
        <v>0</v>
      </c>
      <c r="Y56" s="1" t="n">
        <f aca="false">IF(W56="",0,SUMIFS($I$7:$I$256,$D$7:$D$256,W56,$H$7:$H$256,"P6"))</f>
        <v>0</v>
      </c>
      <c r="Z56" s="1" t="n">
        <f aca="false">X56+Y56</f>
        <v>0</v>
      </c>
      <c r="AA56" s="1" t="n">
        <f aca="false">IF(Z56&gt;0,Z56+(201-50)/10^6,0)</f>
        <v>0</v>
      </c>
      <c r="AB56" s="1"/>
      <c r="AC56" s="1"/>
      <c r="AD56" s="1"/>
      <c r="AE56" s="1"/>
      <c r="AF56" s="1"/>
      <c r="AG56" s="1"/>
      <c r="AH56" s="1"/>
    </row>
    <row r="57" customFormat="false" ht="15" hidden="false" customHeight="false" outlineLevel="0" collapsed="false">
      <c r="A57" s="1"/>
      <c r="B57" s="10"/>
      <c r="C57" s="31" t="str">
        <f aca="false">IF(B57="","",TEXT(B57,"ddd"))</f>
        <v/>
      </c>
      <c r="D57" s="11"/>
      <c r="E57" s="8" t="str">
        <f aca="false">IF(D57="","",IFERROR(INDEX(ProjNumbers,MATCH(D57,ProjNames,0)),""))</f>
        <v/>
      </c>
      <c r="F57" s="8" t="str">
        <f aca="false">IF(D57="","",IFERROR(INDEX(ProjCodes,MATCH(D57,ProjNames,0)),""))</f>
        <v/>
      </c>
      <c r="G57" s="32"/>
      <c r="H57" s="11"/>
      <c r="I57" s="33"/>
      <c r="J57" s="8" t="str">
        <f aca="false">IF(COUNTA(B57,D57,G57,H57,I57)=0,"",IF(B57="","Enter date",IF(OR(B57&lt;$AC$2,B57&gt;$AC$3),"Date not in February",IF(D57="","Pick project",IF(ISNA(MATCH(D57,ProjNames,0)),"Project not in list",IF(G57="","Add task description",IF(H57="","Pick NTIME or P6",IF(N(I57)&lt;=0,"Enter hours",IF(AND(AllowOT&lt;&gt;"Yes",SUMIF($B$7:$B$256,B57,$I$7:$I$256)&gt;INDEX($O$58:$O$85,DAY(B57))),"Day over "&amp;INDEX($O$58:$O$85,DAY(B57))&amp;" h","✓")))))))))</f>
        <v/>
      </c>
      <c r="K57" s="1"/>
      <c r="L57" s="9" t="s">
        <v>33</v>
      </c>
      <c r="M57" s="9" t="s">
        <v>34</v>
      </c>
      <c r="N57" s="9" t="s">
        <v>90</v>
      </c>
      <c r="O57" s="9" t="s">
        <v>91</v>
      </c>
      <c r="P57" s="20" t="s">
        <v>46</v>
      </c>
      <c r="Q57" s="21" t="s">
        <v>56</v>
      </c>
      <c r="R57" s="22" t="s">
        <v>15</v>
      </c>
      <c r="S57" s="9" t="s">
        <v>24</v>
      </c>
      <c r="T57" s="9" t="s">
        <v>57</v>
      </c>
      <c r="U57" s="9" t="s">
        <v>92</v>
      </c>
      <c r="V57" s="1"/>
      <c r="W57" s="1" t="str">
        <f aca="false">IF(Projects!B55="","",Projects!B55)</f>
        <v/>
      </c>
      <c r="X57" s="1" t="n">
        <f aca="false">IF(W57="",0,SUMIFS($I$7:$I$256,$D$7:$D$256,W57,$H$7:$H$256,"NTIME"))</f>
        <v>0</v>
      </c>
      <c r="Y57" s="1" t="n">
        <f aca="false">IF(W57="",0,SUMIFS($I$7:$I$256,$D$7:$D$256,W57,$H$7:$H$256,"P6"))</f>
        <v>0</v>
      </c>
      <c r="Z57" s="1" t="n">
        <f aca="false">X57+Y57</f>
        <v>0</v>
      </c>
      <c r="AA57" s="1" t="n">
        <f aca="false">IF(Z57&gt;0,Z57+(201-51)/10^6,0)</f>
        <v>0</v>
      </c>
      <c r="AB57" s="1"/>
      <c r="AC57" s="1"/>
      <c r="AD57" s="1"/>
      <c r="AE57" s="1"/>
      <c r="AF57" s="1"/>
      <c r="AG57" s="1"/>
      <c r="AH57" s="1"/>
    </row>
    <row r="58" customFormat="false" ht="15" hidden="false" customHeight="false" outlineLevel="0" collapsed="false">
      <c r="A58" s="1"/>
      <c r="B58" s="10"/>
      <c r="C58" s="31" t="str">
        <f aca="false">IF(B58="","",TEXT(B58,"ddd"))</f>
        <v/>
      </c>
      <c r="D58" s="11"/>
      <c r="E58" s="8" t="str">
        <f aca="false">IF(D58="","",IFERROR(INDEX(ProjNumbers,MATCH(D58,ProjNames,0)),""))</f>
        <v/>
      </c>
      <c r="F58" s="8" t="str">
        <f aca="false">IF(D58="","",IFERROR(INDEX(ProjCodes,MATCH(D58,ProjNames,0)),""))</f>
        <v/>
      </c>
      <c r="G58" s="32"/>
      <c r="H58" s="11"/>
      <c r="I58" s="33"/>
      <c r="J58" s="8" t="str">
        <f aca="false">IF(COUNTA(B58,D58,G58,H58,I58)=0,"",IF(B58="","Enter date",IF(OR(B58&lt;$AC$2,B58&gt;$AC$3),"Date not in February",IF(D58="","Pick project",IF(ISNA(MATCH(D58,ProjNames,0)),"Project not in list",IF(G58="","Add task description",IF(H58="","Pick NTIME or P6",IF(N(I58)&lt;=0,"Enter hours",IF(AND(AllowOT&lt;&gt;"Yes",SUMIF($B$7:$B$256,B58,$I$7:$I$256)&gt;INDEX($O$58:$O$85,DAY(B58))),"Day over "&amp;INDEX($O$58:$O$85,DAY(B58))&amp;" h","✓")))))))))</f>
        <v/>
      </c>
      <c r="K58" s="1"/>
      <c r="L58" s="35" t="n">
        <v>46054</v>
      </c>
      <c r="M58" s="36" t="str">
        <f aca="false">TEXT(L58,"ddd")</f>
        <v>Sun</v>
      </c>
      <c r="N58" s="37" t="s">
        <v>94</v>
      </c>
      <c r="O58" s="37" t="n">
        <f aca="false">AvailHours</f>
        <v>8</v>
      </c>
      <c r="P58" s="24" t="n">
        <f aca="false">SUMIFS($I$7:$I$256,$B$7:$B$256,L58,$H$7:$H$256,"NTIME")</f>
        <v>0</v>
      </c>
      <c r="Q58" s="24" t="n">
        <f aca="false">SUMIFS($I$7:$I$256,$B$7:$B$256,L58,$H$7:$H$256,"P6")</f>
        <v>0</v>
      </c>
      <c r="R58" s="24" t="n">
        <f aca="false">IF(N58="Overhead only",O58,IF(AND(N58="Working",P58+Q58&gt;0),MAX(0,O58-P58-Q58),0))</f>
        <v>0</v>
      </c>
      <c r="S58" s="24" t="n">
        <f aca="false">IF(OR(N58="Working",N58="Overhead only"),MAX(0,P58+Q58-O58),0)</f>
        <v>0</v>
      </c>
      <c r="T58" s="24" t="n">
        <f aca="false">P58+Q58+R58</f>
        <v>0</v>
      </c>
      <c r="U58" s="24" t="str">
        <f aca="true">IF(N58="Working",IF(P58+Q58=0,IF(L58&lt;=TODAY(),"Not logged",""),IF(P58+Q58&gt;O58,IF(AllowOT="Yes","Overtime","Over "&amp;O58&amp;" h!"),"✓")),IF(N58="Overhead only","✓ Overhead day",IF(P58+Q58&gt;0,"Entries on "&amp;LOWER(N58)&amp;" day",N58)))</f>
        <v>Weekend</v>
      </c>
      <c r="V58" s="1"/>
      <c r="W58" s="1" t="str">
        <f aca="false">IF(Projects!B56="","",Projects!B56)</f>
        <v/>
      </c>
      <c r="X58" s="1" t="n">
        <f aca="false">IF(W58="",0,SUMIFS($I$7:$I$256,$D$7:$D$256,W58,$H$7:$H$256,"NTIME"))</f>
        <v>0</v>
      </c>
      <c r="Y58" s="1" t="n">
        <f aca="false">IF(W58="",0,SUMIFS($I$7:$I$256,$D$7:$D$256,W58,$H$7:$H$256,"P6"))</f>
        <v>0</v>
      </c>
      <c r="Z58" s="1" t="n">
        <f aca="false">X58+Y58</f>
        <v>0</v>
      </c>
      <c r="AA58" s="1" t="n">
        <f aca="false">IF(Z58&gt;0,Z58+(201-52)/10^6,0)</f>
        <v>0</v>
      </c>
      <c r="AB58" s="1"/>
      <c r="AC58" s="1"/>
      <c r="AD58" s="1"/>
      <c r="AE58" s="1"/>
      <c r="AF58" s="1"/>
      <c r="AG58" s="1"/>
      <c r="AH58" s="1"/>
    </row>
    <row r="59" customFormat="false" ht="15" hidden="false" customHeight="false" outlineLevel="0" collapsed="false">
      <c r="A59" s="1"/>
      <c r="B59" s="10"/>
      <c r="C59" s="31" t="str">
        <f aca="false">IF(B59="","",TEXT(B59,"ddd"))</f>
        <v/>
      </c>
      <c r="D59" s="11"/>
      <c r="E59" s="8" t="str">
        <f aca="false">IF(D59="","",IFERROR(INDEX(ProjNumbers,MATCH(D59,ProjNames,0)),""))</f>
        <v/>
      </c>
      <c r="F59" s="8" t="str">
        <f aca="false">IF(D59="","",IFERROR(INDEX(ProjCodes,MATCH(D59,ProjNames,0)),""))</f>
        <v/>
      </c>
      <c r="G59" s="32"/>
      <c r="H59" s="11"/>
      <c r="I59" s="33"/>
      <c r="J59" s="8" t="str">
        <f aca="false">IF(COUNTA(B59,D59,G59,H59,I59)=0,"",IF(B59="","Enter date",IF(OR(B59&lt;$AC$2,B59&gt;$AC$3),"Date not in February",IF(D59="","Pick project",IF(ISNA(MATCH(D59,ProjNames,0)),"Project not in list",IF(G59="","Add task description",IF(H59="","Pick NTIME or P6",IF(N(I59)&lt;=0,"Enter hours",IF(AND(AllowOT&lt;&gt;"Yes",SUMIF($B$7:$B$256,B59,$I$7:$I$256)&gt;INDEX($O$58:$O$85,DAY(B59))),"Day over "&amp;INDEX($O$58:$O$85,DAY(B59))&amp;" h","✓")))))))))</f>
        <v/>
      </c>
      <c r="K59" s="1"/>
      <c r="L59" s="35" t="n">
        <v>46055</v>
      </c>
      <c r="M59" s="36" t="str">
        <f aca="false">TEXT(L59,"ddd")</f>
        <v>Mon</v>
      </c>
      <c r="N59" s="37" t="s">
        <v>93</v>
      </c>
      <c r="O59" s="37" t="n">
        <f aca="false">AvailHours</f>
        <v>8</v>
      </c>
      <c r="P59" s="24" t="n">
        <f aca="false">SUMIFS($I$7:$I$256,$B$7:$B$256,L59,$H$7:$H$256,"NTIME")</f>
        <v>0</v>
      </c>
      <c r="Q59" s="24" t="n">
        <f aca="false">SUMIFS($I$7:$I$256,$B$7:$B$256,L59,$H$7:$H$256,"P6")</f>
        <v>0</v>
      </c>
      <c r="R59" s="24" t="n">
        <f aca="false">IF(N59="Overhead only",O59,IF(AND(N59="Working",P59+Q59&gt;0),MAX(0,O59-P59-Q59),0))</f>
        <v>0</v>
      </c>
      <c r="S59" s="24" t="n">
        <f aca="false">IF(OR(N59="Working",N59="Overhead only"),MAX(0,P59+Q59-O59),0)</f>
        <v>0</v>
      </c>
      <c r="T59" s="24" t="n">
        <f aca="false">P59+Q59+R59</f>
        <v>0</v>
      </c>
      <c r="U59" s="24" t="str">
        <f aca="true">IF(N59="Working",IF(P59+Q59=0,IF(L59&lt;=TODAY(),"Not logged",""),IF(P59+Q59&gt;O59,IF(AllowOT="Yes","Overtime","Over "&amp;O59&amp;" h!"),"✓")),IF(N59="Overhead only","✓ Overhead day",IF(P59+Q59&gt;0,"Entries on "&amp;LOWER(N59)&amp;" day",N59)))</f>
        <v>Not logged</v>
      </c>
      <c r="V59" s="1"/>
      <c r="W59" s="1" t="str">
        <f aca="false">IF(Projects!B57="","",Projects!B57)</f>
        <v/>
      </c>
      <c r="X59" s="1" t="n">
        <f aca="false">IF(W59="",0,SUMIFS($I$7:$I$256,$D$7:$D$256,W59,$H$7:$H$256,"NTIME"))</f>
        <v>0</v>
      </c>
      <c r="Y59" s="1" t="n">
        <f aca="false">IF(W59="",0,SUMIFS($I$7:$I$256,$D$7:$D$256,W59,$H$7:$H$256,"P6"))</f>
        <v>0</v>
      </c>
      <c r="Z59" s="1" t="n">
        <f aca="false">X59+Y59</f>
        <v>0</v>
      </c>
      <c r="AA59" s="1" t="n">
        <f aca="false">IF(Z59&gt;0,Z59+(201-53)/10^6,0)</f>
        <v>0</v>
      </c>
      <c r="AB59" s="1"/>
      <c r="AC59" s="1"/>
      <c r="AD59" s="1"/>
      <c r="AE59" s="1"/>
      <c r="AF59" s="1"/>
      <c r="AG59" s="1"/>
      <c r="AH59" s="1"/>
    </row>
    <row r="60" customFormat="false" ht="15" hidden="false" customHeight="false" outlineLevel="0" collapsed="false">
      <c r="A60" s="1"/>
      <c r="B60" s="10"/>
      <c r="C60" s="31" t="str">
        <f aca="false">IF(B60="","",TEXT(B60,"ddd"))</f>
        <v/>
      </c>
      <c r="D60" s="11"/>
      <c r="E60" s="8" t="str">
        <f aca="false">IF(D60="","",IFERROR(INDEX(ProjNumbers,MATCH(D60,ProjNames,0)),""))</f>
        <v/>
      </c>
      <c r="F60" s="8" t="str">
        <f aca="false">IF(D60="","",IFERROR(INDEX(ProjCodes,MATCH(D60,ProjNames,0)),""))</f>
        <v/>
      </c>
      <c r="G60" s="32"/>
      <c r="H60" s="11"/>
      <c r="I60" s="33"/>
      <c r="J60" s="8" t="str">
        <f aca="false">IF(COUNTA(B60,D60,G60,H60,I60)=0,"",IF(B60="","Enter date",IF(OR(B60&lt;$AC$2,B60&gt;$AC$3),"Date not in February",IF(D60="","Pick project",IF(ISNA(MATCH(D60,ProjNames,0)),"Project not in list",IF(G60="","Add task description",IF(H60="","Pick NTIME or P6",IF(N(I60)&lt;=0,"Enter hours",IF(AND(AllowOT&lt;&gt;"Yes",SUMIF($B$7:$B$256,B60,$I$7:$I$256)&gt;INDEX($O$58:$O$85,DAY(B60))),"Day over "&amp;INDEX($O$58:$O$85,DAY(B60))&amp;" h","✓")))))))))</f>
        <v/>
      </c>
      <c r="K60" s="1"/>
      <c r="L60" s="35" t="n">
        <v>46056</v>
      </c>
      <c r="M60" s="36" t="str">
        <f aca="false">TEXT(L60,"ddd")</f>
        <v>Tue</v>
      </c>
      <c r="N60" s="37" t="s">
        <v>93</v>
      </c>
      <c r="O60" s="37" t="n">
        <f aca="false">AvailHours</f>
        <v>8</v>
      </c>
      <c r="P60" s="24" t="n">
        <f aca="false">SUMIFS($I$7:$I$256,$B$7:$B$256,L60,$H$7:$H$256,"NTIME")</f>
        <v>0</v>
      </c>
      <c r="Q60" s="24" t="n">
        <f aca="false">SUMIFS($I$7:$I$256,$B$7:$B$256,L60,$H$7:$H$256,"P6")</f>
        <v>0</v>
      </c>
      <c r="R60" s="24" t="n">
        <f aca="false">IF(N60="Overhead only",O60,IF(AND(N60="Working",P60+Q60&gt;0),MAX(0,O60-P60-Q60),0))</f>
        <v>0</v>
      </c>
      <c r="S60" s="24" t="n">
        <f aca="false">IF(OR(N60="Working",N60="Overhead only"),MAX(0,P60+Q60-O60),0)</f>
        <v>0</v>
      </c>
      <c r="T60" s="24" t="n">
        <f aca="false">P60+Q60+R60</f>
        <v>0</v>
      </c>
      <c r="U60" s="24" t="str">
        <f aca="true">IF(N60="Working",IF(P60+Q60=0,IF(L60&lt;=TODAY(),"Not logged",""),IF(P60+Q60&gt;O60,IF(AllowOT="Yes","Overtime","Over "&amp;O60&amp;" h!"),"✓")),IF(N60="Overhead only","✓ Overhead day",IF(P60+Q60&gt;0,"Entries on "&amp;LOWER(N60)&amp;" day",N60)))</f>
        <v>Not logged</v>
      </c>
      <c r="V60" s="1"/>
      <c r="W60" s="1" t="str">
        <f aca="false">IF(Projects!B58="","",Projects!B58)</f>
        <v/>
      </c>
      <c r="X60" s="1" t="n">
        <f aca="false">IF(W60="",0,SUMIFS($I$7:$I$256,$D$7:$D$256,W60,$H$7:$H$256,"NTIME"))</f>
        <v>0</v>
      </c>
      <c r="Y60" s="1" t="n">
        <f aca="false">IF(W60="",0,SUMIFS($I$7:$I$256,$D$7:$D$256,W60,$H$7:$H$256,"P6"))</f>
        <v>0</v>
      </c>
      <c r="Z60" s="1" t="n">
        <f aca="false">X60+Y60</f>
        <v>0</v>
      </c>
      <c r="AA60" s="1" t="n">
        <f aca="false">IF(Z60&gt;0,Z60+(201-54)/10^6,0)</f>
        <v>0</v>
      </c>
      <c r="AB60" s="1"/>
      <c r="AC60" s="1"/>
      <c r="AD60" s="1"/>
      <c r="AE60" s="1"/>
      <c r="AF60" s="1"/>
      <c r="AG60" s="1"/>
      <c r="AH60" s="1"/>
    </row>
    <row r="61" customFormat="false" ht="15" hidden="false" customHeight="false" outlineLevel="0" collapsed="false">
      <c r="A61" s="1"/>
      <c r="B61" s="10"/>
      <c r="C61" s="31" t="str">
        <f aca="false">IF(B61="","",TEXT(B61,"ddd"))</f>
        <v/>
      </c>
      <c r="D61" s="11"/>
      <c r="E61" s="8" t="str">
        <f aca="false">IF(D61="","",IFERROR(INDEX(ProjNumbers,MATCH(D61,ProjNames,0)),""))</f>
        <v/>
      </c>
      <c r="F61" s="8" t="str">
        <f aca="false">IF(D61="","",IFERROR(INDEX(ProjCodes,MATCH(D61,ProjNames,0)),""))</f>
        <v/>
      </c>
      <c r="G61" s="32"/>
      <c r="H61" s="11"/>
      <c r="I61" s="33"/>
      <c r="J61" s="8" t="str">
        <f aca="false">IF(COUNTA(B61,D61,G61,H61,I61)=0,"",IF(B61="","Enter date",IF(OR(B61&lt;$AC$2,B61&gt;$AC$3),"Date not in February",IF(D61="","Pick project",IF(ISNA(MATCH(D61,ProjNames,0)),"Project not in list",IF(G61="","Add task description",IF(H61="","Pick NTIME or P6",IF(N(I61)&lt;=0,"Enter hours",IF(AND(AllowOT&lt;&gt;"Yes",SUMIF($B$7:$B$256,B61,$I$7:$I$256)&gt;INDEX($O$58:$O$85,DAY(B61))),"Day over "&amp;INDEX($O$58:$O$85,DAY(B61))&amp;" h","✓")))))))))</f>
        <v/>
      </c>
      <c r="K61" s="1"/>
      <c r="L61" s="35" t="n">
        <v>46057</v>
      </c>
      <c r="M61" s="36" t="str">
        <f aca="false">TEXT(L61,"ddd")</f>
        <v>Wed</v>
      </c>
      <c r="N61" s="37" t="s">
        <v>93</v>
      </c>
      <c r="O61" s="37" t="n">
        <f aca="false">AvailHours</f>
        <v>8</v>
      </c>
      <c r="P61" s="24" t="n">
        <f aca="false">SUMIFS($I$7:$I$256,$B$7:$B$256,L61,$H$7:$H$256,"NTIME")</f>
        <v>0</v>
      </c>
      <c r="Q61" s="24" t="n">
        <f aca="false">SUMIFS($I$7:$I$256,$B$7:$B$256,L61,$H$7:$H$256,"P6")</f>
        <v>0</v>
      </c>
      <c r="R61" s="24" t="n">
        <f aca="false">IF(N61="Overhead only",O61,IF(AND(N61="Working",P61+Q61&gt;0),MAX(0,O61-P61-Q61),0))</f>
        <v>0</v>
      </c>
      <c r="S61" s="24" t="n">
        <f aca="false">IF(OR(N61="Working",N61="Overhead only"),MAX(0,P61+Q61-O61),0)</f>
        <v>0</v>
      </c>
      <c r="T61" s="24" t="n">
        <f aca="false">P61+Q61+R61</f>
        <v>0</v>
      </c>
      <c r="U61" s="24" t="str">
        <f aca="true">IF(N61="Working",IF(P61+Q61=0,IF(L61&lt;=TODAY(),"Not logged",""),IF(P61+Q61&gt;O61,IF(AllowOT="Yes","Overtime","Over "&amp;O61&amp;" h!"),"✓")),IF(N61="Overhead only","✓ Overhead day",IF(P61+Q61&gt;0,"Entries on "&amp;LOWER(N61)&amp;" day",N61)))</f>
        <v>Not logged</v>
      </c>
      <c r="V61" s="1"/>
      <c r="W61" s="1" t="str">
        <f aca="false">IF(Projects!B59="","",Projects!B59)</f>
        <v/>
      </c>
      <c r="X61" s="1" t="n">
        <f aca="false">IF(W61="",0,SUMIFS($I$7:$I$256,$D$7:$D$256,W61,$H$7:$H$256,"NTIME"))</f>
        <v>0</v>
      </c>
      <c r="Y61" s="1" t="n">
        <f aca="false">IF(W61="",0,SUMIFS($I$7:$I$256,$D$7:$D$256,W61,$H$7:$H$256,"P6"))</f>
        <v>0</v>
      </c>
      <c r="Z61" s="1" t="n">
        <f aca="false">X61+Y61</f>
        <v>0</v>
      </c>
      <c r="AA61" s="1" t="n">
        <f aca="false">IF(Z61&gt;0,Z61+(201-55)/10^6,0)</f>
        <v>0</v>
      </c>
      <c r="AB61" s="1"/>
      <c r="AC61" s="1"/>
      <c r="AD61" s="1"/>
      <c r="AE61" s="1"/>
      <c r="AF61" s="1"/>
      <c r="AG61" s="1"/>
      <c r="AH61" s="1"/>
    </row>
    <row r="62" customFormat="false" ht="15" hidden="false" customHeight="false" outlineLevel="0" collapsed="false">
      <c r="A62" s="1"/>
      <c r="B62" s="10"/>
      <c r="C62" s="31" t="str">
        <f aca="false">IF(B62="","",TEXT(B62,"ddd"))</f>
        <v/>
      </c>
      <c r="D62" s="11"/>
      <c r="E62" s="8" t="str">
        <f aca="false">IF(D62="","",IFERROR(INDEX(ProjNumbers,MATCH(D62,ProjNames,0)),""))</f>
        <v/>
      </c>
      <c r="F62" s="8" t="str">
        <f aca="false">IF(D62="","",IFERROR(INDEX(ProjCodes,MATCH(D62,ProjNames,0)),""))</f>
        <v/>
      </c>
      <c r="G62" s="32"/>
      <c r="H62" s="11"/>
      <c r="I62" s="33"/>
      <c r="J62" s="8" t="str">
        <f aca="false">IF(COUNTA(B62,D62,G62,H62,I62)=0,"",IF(B62="","Enter date",IF(OR(B62&lt;$AC$2,B62&gt;$AC$3),"Date not in February",IF(D62="","Pick project",IF(ISNA(MATCH(D62,ProjNames,0)),"Project not in list",IF(G62="","Add task description",IF(H62="","Pick NTIME or P6",IF(N(I62)&lt;=0,"Enter hours",IF(AND(AllowOT&lt;&gt;"Yes",SUMIF($B$7:$B$256,B62,$I$7:$I$256)&gt;INDEX($O$58:$O$85,DAY(B62))),"Day over "&amp;INDEX($O$58:$O$85,DAY(B62))&amp;" h","✓")))))))))</f>
        <v/>
      </c>
      <c r="K62" s="1"/>
      <c r="L62" s="35" t="n">
        <v>46058</v>
      </c>
      <c r="M62" s="36" t="str">
        <f aca="false">TEXT(L62,"ddd")</f>
        <v>Thu</v>
      </c>
      <c r="N62" s="37" t="s">
        <v>93</v>
      </c>
      <c r="O62" s="37" t="n">
        <f aca="false">AvailHours</f>
        <v>8</v>
      </c>
      <c r="P62" s="24" t="n">
        <f aca="false">SUMIFS($I$7:$I$256,$B$7:$B$256,L62,$H$7:$H$256,"NTIME")</f>
        <v>0</v>
      </c>
      <c r="Q62" s="24" t="n">
        <f aca="false">SUMIFS($I$7:$I$256,$B$7:$B$256,L62,$H$7:$H$256,"P6")</f>
        <v>0</v>
      </c>
      <c r="R62" s="24" t="n">
        <f aca="false">IF(N62="Overhead only",O62,IF(AND(N62="Working",P62+Q62&gt;0),MAX(0,O62-P62-Q62),0))</f>
        <v>0</v>
      </c>
      <c r="S62" s="24" t="n">
        <f aca="false">IF(OR(N62="Working",N62="Overhead only"),MAX(0,P62+Q62-O62),0)</f>
        <v>0</v>
      </c>
      <c r="T62" s="24" t="n">
        <f aca="false">P62+Q62+R62</f>
        <v>0</v>
      </c>
      <c r="U62" s="24" t="str">
        <f aca="true">IF(N62="Working",IF(P62+Q62=0,IF(L62&lt;=TODAY(),"Not logged",""),IF(P62+Q62&gt;O62,IF(AllowOT="Yes","Overtime","Over "&amp;O62&amp;" h!"),"✓")),IF(N62="Overhead only","✓ Overhead day",IF(P62+Q62&gt;0,"Entries on "&amp;LOWER(N62)&amp;" day",N62)))</f>
        <v>Not logged</v>
      </c>
      <c r="V62" s="1"/>
      <c r="W62" s="1" t="str">
        <f aca="false">IF(Projects!B60="","",Projects!B60)</f>
        <v/>
      </c>
      <c r="X62" s="1" t="n">
        <f aca="false">IF(W62="",0,SUMIFS($I$7:$I$256,$D$7:$D$256,W62,$H$7:$H$256,"NTIME"))</f>
        <v>0</v>
      </c>
      <c r="Y62" s="1" t="n">
        <f aca="false">IF(W62="",0,SUMIFS($I$7:$I$256,$D$7:$D$256,W62,$H$7:$H$256,"P6"))</f>
        <v>0</v>
      </c>
      <c r="Z62" s="1" t="n">
        <f aca="false">X62+Y62</f>
        <v>0</v>
      </c>
      <c r="AA62" s="1" t="n">
        <f aca="false">IF(Z62&gt;0,Z62+(201-56)/10^6,0)</f>
        <v>0</v>
      </c>
      <c r="AB62" s="1"/>
      <c r="AC62" s="1"/>
      <c r="AD62" s="1"/>
      <c r="AE62" s="1"/>
      <c r="AF62" s="1"/>
      <c r="AG62" s="1"/>
      <c r="AH62" s="1"/>
    </row>
    <row r="63" customFormat="false" ht="15" hidden="false" customHeight="false" outlineLevel="0" collapsed="false">
      <c r="A63" s="1"/>
      <c r="B63" s="10"/>
      <c r="C63" s="31" t="str">
        <f aca="false">IF(B63="","",TEXT(B63,"ddd"))</f>
        <v/>
      </c>
      <c r="D63" s="11"/>
      <c r="E63" s="8" t="str">
        <f aca="false">IF(D63="","",IFERROR(INDEX(ProjNumbers,MATCH(D63,ProjNames,0)),""))</f>
        <v/>
      </c>
      <c r="F63" s="8" t="str">
        <f aca="false">IF(D63="","",IFERROR(INDEX(ProjCodes,MATCH(D63,ProjNames,0)),""))</f>
        <v/>
      </c>
      <c r="G63" s="32"/>
      <c r="H63" s="11"/>
      <c r="I63" s="33"/>
      <c r="J63" s="8" t="str">
        <f aca="false">IF(COUNTA(B63,D63,G63,H63,I63)=0,"",IF(B63="","Enter date",IF(OR(B63&lt;$AC$2,B63&gt;$AC$3),"Date not in February",IF(D63="","Pick project",IF(ISNA(MATCH(D63,ProjNames,0)),"Project not in list",IF(G63="","Add task description",IF(H63="","Pick NTIME or P6",IF(N(I63)&lt;=0,"Enter hours",IF(AND(AllowOT&lt;&gt;"Yes",SUMIF($B$7:$B$256,B63,$I$7:$I$256)&gt;INDEX($O$58:$O$85,DAY(B63))),"Day over "&amp;INDEX($O$58:$O$85,DAY(B63))&amp;" h","✓")))))))))</f>
        <v/>
      </c>
      <c r="K63" s="1"/>
      <c r="L63" s="35" t="n">
        <v>46059</v>
      </c>
      <c r="M63" s="36" t="str">
        <f aca="false">TEXT(L63,"ddd")</f>
        <v>Fri</v>
      </c>
      <c r="N63" s="37" t="s">
        <v>93</v>
      </c>
      <c r="O63" s="37" t="n">
        <f aca="false">AvailHours</f>
        <v>8</v>
      </c>
      <c r="P63" s="24" t="n">
        <f aca="false">SUMIFS($I$7:$I$256,$B$7:$B$256,L63,$H$7:$H$256,"NTIME")</f>
        <v>0</v>
      </c>
      <c r="Q63" s="24" t="n">
        <f aca="false">SUMIFS($I$7:$I$256,$B$7:$B$256,L63,$H$7:$H$256,"P6")</f>
        <v>0</v>
      </c>
      <c r="R63" s="24" t="n">
        <f aca="false">IF(N63="Overhead only",O63,IF(AND(N63="Working",P63+Q63&gt;0),MAX(0,O63-P63-Q63),0))</f>
        <v>0</v>
      </c>
      <c r="S63" s="24" t="n">
        <f aca="false">IF(OR(N63="Working",N63="Overhead only"),MAX(0,P63+Q63-O63),0)</f>
        <v>0</v>
      </c>
      <c r="T63" s="24" t="n">
        <f aca="false">P63+Q63+R63</f>
        <v>0</v>
      </c>
      <c r="U63" s="24" t="str">
        <f aca="true">IF(N63="Working",IF(P63+Q63=0,IF(L63&lt;=TODAY(),"Not logged",""),IF(P63+Q63&gt;O63,IF(AllowOT="Yes","Overtime","Over "&amp;O63&amp;" h!"),"✓")),IF(N63="Overhead only","✓ Overhead day",IF(P63+Q63&gt;0,"Entries on "&amp;LOWER(N63)&amp;" day",N63)))</f>
        <v>Not logged</v>
      </c>
      <c r="V63" s="1"/>
      <c r="W63" s="1" t="str">
        <f aca="false">IF(Projects!B61="","",Projects!B61)</f>
        <v/>
      </c>
      <c r="X63" s="1" t="n">
        <f aca="false">IF(W63="",0,SUMIFS($I$7:$I$256,$D$7:$D$256,W63,$H$7:$H$256,"NTIME"))</f>
        <v>0</v>
      </c>
      <c r="Y63" s="1" t="n">
        <f aca="false">IF(W63="",0,SUMIFS($I$7:$I$256,$D$7:$D$256,W63,$H$7:$H$256,"P6"))</f>
        <v>0</v>
      </c>
      <c r="Z63" s="1" t="n">
        <f aca="false">X63+Y63</f>
        <v>0</v>
      </c>
      <c r="AA63" s="1" t="n">
        <f aca="false">IF(Z63&gt;0,Z63+(201-57)/10^6,0)</f>
        <v>0</v>
      </c>
      <c r="AB63" s="1"/>
      <c r="AC63" s="1"/>
      <c r="AD63" s="1"/>
      <c r="AE63" s="1"/>
      <c r="AF63" s="1"/>
      <c r="AG63" s="1"/>
      <c r="AH63" s="1"/>
    </row>
    <row r="64" customFormat="false" ht="15" hidden="false" customHeight="false" outlineLevel="0" collapsed="false">
      <c r="A64" s="1"/>
      <c r="B64" s="10"/>
      <c r="C64" s="31" t="str">
        <f aca="false">IF(B64="","",TEXT(B64,"ddd"))</f>
        <v/>
      </c>
      <c r="D64" s="11"/>
      <c r="E64" s="8" t="str">
        <f aca="false">IF(D64="","",IFERROR(INDEX(ProjNumbers,MATCH(D64,ProjNames,0)),""))</f>
        <v/>
      </c>
      <c r="F64" s="8" t="str">
        <f aca="false">IF(D64="","",IFERROR(INDEX(ProjCodes,MATCH(D64,ProjNames,0)),""))</f>
        <v/>
      </c>
      <c r="G64" s="32"/>
      <c r="H64" s="11"/>
      <c r="I64" s="33"/>
      <c r="J64" s="8" t="str">
        <f aca="false">IF(COUNTA(B64,D64,G64,H64,I64)=0,"",IF(B64="","Enter date",IF(OR(B64&lt;$AC$2,B64&gt;$AC$3),"Date not in February",IF(D64="","Pick project",IF(ISNA(MATCH(D64,ProjNames,0)),"Project not in list",IF(G64="","Add task description",IF(H64="","Pick NTIME or P6",IF(N(I64)&lt;=0,"Enter hours",IF(AND(AllowOT&lt;&gt;"Yes",SUMIF($B$7:$B$256,B64,$I$7:$I$256)&gt;INDEX($O$58:$O$85,DAY(B64))),"Day over "&amp;INDEX($O$58:$O$85,DAY(B64))&amp;" h","✓")))))))))</f>
        <v/>
      </c>
      <c r="K64" s="1"/>
      <c r="L64" s="35" t="n">
        <v>46060</v>
      </c>
      <c r="M64" s="36" t="str">
        <f aca="false">TEXT(L64,"ddd")</f>
        <v>Sat</v>
      </c>
      <c r="N64" s="37" t="s">
        <v>94</v>
      </c>
      <c r="O64" s="37" t="n">
        <f aca="false">AvailHours</f>
        <v>8</v>
      </c>
      <c r="P64" s="24" t="n">
        <f aca="false">SUMIFS($I$7:$I$256,$B$7:$B$256,L64,$H$7:$H$256,"NTIME")</f>
        <v>0</v>
      </c>
      <c r="Q64" s="24" t="n">
        <f aca="false">SUMIFS($I$7:$I$256,$B$7:$B$256,L64,$H$7:$H$256,"P6")</f>
        <v>0</v>
      </c>
      <c r="R64" s="24" t="n">
        <f aca="false">IF(N64="Overhead only",O64,IF(AND(N64="Working",P64+Q64&gt;0),MAX(0,O64-P64-Q64),0))</f>
        <v>0</v>
      </c>
      <c r="S64" s="24" t="n">
        <f aca="false">IF(OR(N64="Working",N64="Overhead only"),MAX(0,P64+Q64-O64),0)</f>
        <v>0</v>
      </c>
      <c r="T64" s="24" t="n">
        <f aca="false">P64+Q64+R64</f>
        <v>0</v>
      </c>
      <c r="U64" s="24" t="str">
        <f aca="true">IF(N64="Working",IF(P64+Q64=0,IF(L64&lt;=TODAY(),"Not logged",""),IF(P64+Q64&gt;O64,IF(AllowOT="Yes","Overtime","Over "&amp;O64&amp;" h!"),"✓")),IF(N64="Overhead only","✓ Overhead day",IF(P64+Q64&gt;0,"Entries on "&amp;LOWER(N64)&amp;" day",N64)))</f>
        <v>Weekend</v>
      </c>
      <c r="V64" s="1"/>
      <c r="W64" s="1" t="str">
        <f aca="false">IF(Projects!B62="","",Projects!B62)</f>
        <v/>
      </c>
      <c r="X64" s="1" t="n">
        <f aca="false">IF(W64="",0,SUMIFS($I$7:$I$256,$D$7:$D$256,W64,$H$7:$H$256,"NTIME"))</f>
        <v>0</v>
      </c>
      <c r="Y64" s="1" t="n">
        <f aca="false">IF(W64="",0,SUMIFS($I$7:$I$256,$D$7:$D$256,W64,$H$7:$H$256,"P6"))</f>
        <v>0</v>
      </c>
      <c r="Z64" s="1" t="n">
        <f aca="false">X64+Y64</f>
        <v>0</v>
      </c>
      <c r="AA64" s="1" t="n">
        <f aca="false">IF(Z64&gt;0,Z64+(201-58)/10^6,0)</f>
        <v>0</v>
      </c>
      <c r="AB64" s="1"/>
      <c r="AC64" s="1"/>
      <c r="AD64" s="1"/>
      <c r="AE64" s="1"/>
      <c r="AF64" s="1"/>
      <c r="AG64" s="1"/>
      <c r="AH64" s="1"/>
    </row>
    <row r="65" customFormat="false" ht="15" hidden="false" customHeight="false" outlineLevel="0" collapsed="false">
      <c r="A65" s="1"/>
      <c r="B65" s="10"/>
      <c r="C65" s="31" t="str">
        <f aca="false">IF(B65="","",TEXT(B65,"ddd"))</f>
        <v/>
      </c>
      <c r="D65" s="11"/>
      <c r="E65" s="8" t="str">
        <f aca="false">IF(D65="","",IFERROR(INDEX(ProjNumbers,MATCH(D65,ProjNames,0)),""))</f>
        <v/>
      </c>
      <c r="F65" s="8" t="str">
        <f aca="false">IF(D65="","",IFERROR(INDEX(ProjCodes,MATCH(D65,ProjNames,0)),""))</f>
        <v/>
      </c>
      <c r="G65" s="32"/>
      <c r="H65" s="11"/>
      <c r="I65" s="33"/>
      <c r="J65" s="8" t="str">
        <f aca="false">IF(COUNTA(B65,D65,G65,H65,I65)=0,"",IF(B65="","Enter date",IF(OR(B65&lt;$AC$2,B65&gt;$AC$3),"Date not in February",IF(D65="","Pick project",IF(ISNA(MATCH(D65,ProjNames,0)),"Project not in list",IF(G65="","Add task description",IF(H65="","Pick NTIME or P6",IF(N(I65)&lt;=0,"Enter hours",IF(AND(AllowOT&lt;&gt;"Yes",SUMIF($B$7:$B$256,B65,$I$7:$I$256)&gt;INDEX($O$58:$O$85,DAY(B65))),"Day over "&amp;INDEX($O$58:$O$85,DAY(B65))&amp;" h","✓")))))))))</f>
        <v/>
      </c>
      <c r="K65" s="1"/>
      <c r="L65" s="35" t="n">
        <v>46061</v>
      </c>
      <c r="M65" s="36" t="str">
        <f aca="false">TEXT(L65,"ddd")</f>
        <v>Sun</v>
      </c>
      <c r="N65" s="37" t="s">
        <v>94</v>
      </c>
      <c r="O65" s="37" t="n">
        <f aca="false">AvailHours</f>
        <v>8</v>
      </c>
      <c r="P65" s="24" t="n">
        <f aca="false">SUMIFS($I$7:$I$256,$B$7:$B$256,L65,$H$7:$H$256,"NTIME")</f>
        <v>0</v>
      </c>
      <c r="Q65" s="24" t="n">
        <f aca="false">SUMIFS($I$7:$I$256,$B$7:$B$256,L65,$H$7:$H$256,"P6")</f>
        <v>0</v>
      </c>
      <c r="R65" s="24" t="n">
        <f aca="false">IF(N65="Overhead only",O65,IF(AND(N65="Working",P65+Q65&gt;0),MAX(0,O65-P65-Q65),0))</f>
        <v>0</v>
      </c>
      <c r="S65" s="24" t="n">
        <f aca="false">IF(OR(N65="Working",N65="Overhead only"),MAX(0,P65+Q65-O65),0)</f>
        <v>0</v>
      </c>
      <c r="T65" s="24" t="n">
        <f aca="false">P65+Q65+R65</f>
        <v>0</v>
      </c>
      <c r="U65" s="24" t="str">
        <f aca="true">IF(N65="Working",IF(P65+Q65=0,IF(L65&lt;=TODAY(),"Not logged",""),IF(P65+Q65&gt;O65,IF(AllowOT="Yes","Overtime","Over "&amp;O65&amp;" h!"),"✓")),IF(N65="Overhead only","✓ Overhead day",IF(P65+Q65&gt;0,"Entries on "&amp;LOWER(N65)&amp;" day",N65)))</f>
        <v>Weekend</v>
      </c>
      <c r="V65" s="1"/>
      <c r="W65" s="1" t="str">
        <f aca="false">IF(Projects!B63="","",Projects!B63)</f>
        <v/>
      </c>
      <c r="X65" s="1" t="n">
        <f aca="false">IF(W65="",0,SUMIFS($I$7:$I$256,$D$7:$D$256,W65,$H$7:$H$256,"NTIME"))</f>
        <v>0</v>
      </c>
      <c r="Y65" s="1" t="n">
        <f aca="false">IF(W65="",0,SUMIFS($I$7:$I$256,$D$7:$D$256,W65,$H$7:$H$256,"P6"))</f>
        <v>0</v>
      </c>
      <c r="Z65" s="1" t="n">
        <f aca="false">X65+Y65</f>
        <v>0</v>
      </c>
      <c r="AA65" s="1" t="n">
        <f aca="false">IF(Z65&gt;0,Z65+(201-59)/10^6,0)</f>
        <v>0</v>
      </c>
      <c r="AB65" s="1"/>
      <c r="AC65" s="1"/>
      <c r="AD65" s="1"/>
      <c r="AE65" s="1"/>
      <c r="AF65" s="1"/>
      <c r="AG65" s="1"/>
      <c r="AH65" s="1"/>
    </row>
    <row r="66" customFormat="false" ht="15" hidden="false" customHeight="false" outlineLevel="0" collapsed="false">
      <c r="A66" s="1"/>
      <c r="B66" s="10"/>
      <c r="C66" s="31" t="str">
        <f aca="false">IF(B66="","",TEXT(B66,"ddd"))</f>
        <v/>
      </c>
      <c r="D66" s="11"/>
      <c r="E66" s="8" t="str">
        <f aca="false">IF(D66="","",IFERROR(INDEX(ProjNumbers,MATCH(D66,ProjNames,0)),""))</f>
        <v/>
      </c>
      <c r="F66" s="8" t="str">
        <f aca="false">IF(D66="","",IFERROR(INDEX(ProjCodes,MATCH(D66,ProjNames,0)),""))</f>
        <v/>
      </c>
      <c r="G66" s="32"/>
      <c r="H66" s="11"/>
      <c r="I66" s="33"/>
      <c r="J66" s="8" t="str">
        <f aca="false">IF(COUNTA(B66,D66,G66,H66,I66)=0,"",IF(B66="","Enter date",IF(OR(B66&lt;$AC$2,B66&gt;$AC$3),"Date not in February",IF(D66="","Pick project",IF(ISNA(MATCH(D66,ProjNames,0)),"Project not in list",IF(G66="","Add task description",IF(H66="","Pick NTIME or P6",IF(N(I66)&lt;=0,"Enter hours",IF(AND(AllowOT&lt;&gt;"Yes",SUMIF($B$7:$B$256,B66,$I$7:$I$256)&gt;INDEX($O$58:$O$85,DAY(B66))),"Day over "&amp;INDEX($O$58:$O$85,DAY(B66))&amp;" h","✓")))))))))</f>
        <v/>
      </c>
      <c r="K66" s="1"/>
      <c r="L66" s="35" t="n">
        <v>46062</v>
      </c>
      <c r="M66" s="36" t="str">
        <f aca="false">TEXT(L66,"ddd")</f>
        <v>Mon</v>
      </c>
      <c r="N66" s="37" t="s">
        <v>93</v>
      </c>
      <c r="O66" s="37" t="n">
        <f aca="false">AvailHours</f>
        <v>8</v>
      </c>
      <c r="P66" s="24" t="n">
        <f aca="false">SUMIFS($I$7:$I$256,$B$7:$B$256,L66,$H$7:$H$256,"NTIME")</f>
        <v>0</v>
      </c>
      <c r="Q66" s="24" t="n">
        <f aca="false">SUMIFS($I$7:$I$256,$B$7:$B$256,L66,$H$7:$H$256,"P6")</f>
        <v>0</v>
      </c>
      <c r="R66" s="24" t="n">
        <f aca="false">IF(N66="Overhead only",O66,IF(AND(N66="Working",P66+Q66&gt;0),MAX(0,O66-P66-Q66),0))</f>
        <v>0</v>
      </c>
      <c r="S66" s="24" t="n">
        <f aca="false">IF(OR(N66="Working",N66="Overhead only"),MAX(0,P66+Q66-O66),0)</f>
        <v>0</v>
      </c>
      <c r="T66" s="24" t="n">
        <f aca="false">P66+Q66+R66</f>
        <v>0</v>
      </c>
      <c r="U66" s="24" t="str">
        <f aca="true">IF(N66="Working",IF(P66+Q66=0,IF(L66&lt;=TODAY(),"Not logged",""),IF(P66+Q66&gt;O66,IF(AllowOT="Yes","Overtime","Over "&amp;O66&amp;" h!"),"✓")),IF(N66="Overhead only","✓ Overhead day",IF(P66+Q66&gt;0,"Entries on "&amp;LOWER(N66)&amp;" day",N66)))</f>
        <v>Not logged</v>
      </c>
      <c r="V66" s="1"/>
      <c r="W66" s="1" t="str">
        <f aca="false">IF(Projects!B64="","",Projects!B64)</f>
        <v/>
      </c>
      <c r="X66" s="1" t="n">
        <f aca="false">IF(W66="",0,SUMIFS($I$7:$I$256,$D$7:$D$256,W66,$H$7:$H$256,"NTIME"))</f>
        <v>0</v>
      </c>
      <c r="Y66" s="1" t="n">
        <f aca="false">IF(W66="",0,SUMIFS($I$7:$I$256,$D$7:$D$256,W66,$H$7:$H$256,"P6"))</f>
        <v>0</v>
      </c>
      <c r="Z66" s="1" t="n">
        <f aca="false">X66+Y66</f>
        <v>0</v>
      </c>
      <c r="AA66" s="1" t="n">
        <f aca="false">IF(Z66&gt;0,Z66+(201-60)/10^6,0)</f>
        <v>0</v>
      </c>
      <c r="AB66" s="1"/>
      <c r="AC66" s="1"/>
      <c r="AD66" s="1"/>
      <c r="AE66" s="1"/>
      <c r="AF66" s="1"/>
      <c r="AG66" s="1"/>
      <c r="AH66" s="1"/>
    </row>
    <row r="67" customFormat="false" ht="15" hidden="false" customHeight="false" outlineLevel="0" collapsed="false">
      <c r="A67" s="1"/>
      <c r="B67" s="10"/>
      <c r="C67" s="31" t="str">
        <f aca="false">IF(B67="","",TEXT(B67,"ddd"))</f>
        <v/>
      </c>
      <c r="D67" s="11"/>
      <c r="E67" s="8" t="str">
        <f aca="false">IF(D67="","",IFERROR(INDEX(ProjNumbers,MATCH(D67,ProjNames,0)),""))</f>
        <v/>
      </c>
      <c r="F67" s="8" t="str">
        <f aca="false">IF(D67="","",IFERROR(INDEX(ProjCodes,MATCH(D67,ProjNames,0)),""))</f>
        <v/>
      </c>
      <c r="G67" s="32"/>
      <c r="H67" s="11"/>
      <c r="I67" s="33"/>
      <c r="J67" s="8" t="str">
        <f aca="false">IF(COUNTA(B67,D67,G67,H67,I67)=0,"",IF(B67="","Enter date",IF(OR(B67&lt;$AC$2,B67&gt;$AC$3),"Date not in February",IF(D67="","Pick project",IF(ISNA(MATCH(D67,ProjNames,0)),"Project not in list",IF(G67="","Add task description",IF(H67="","Pick NTIME or P6",IF(N(I67)&lt;=0,"Enter hours",IF(AND(AllowOT&lt;&gt;"Yes",SUMIF($B$7:$B$256,B67,$I$7:$I$256)&gt;INDEX($O$58:$O$85,DAY(B67))),"Day over "&amp;INDEX($O$58:$O$85,DAY(B67))&amp;" h","✓")))))))))</f>
        <v/>
      </c>
      <c r="K67" s="1"/>
      <c r="L67" s="35" t="n">
        <v>46063</v>
      </c>
      <c r="M67" s="36" t="str">
        <f aca="false">TEXT(L67,"ddd")</f>
        <v>Tue</v>
      </c>
      <c r="N67" s="37" t="s">
        <v>93</v>
      </c>
      <c r="O67" s="37" t="n">
        <f aca="false">AvailHours</f>
        <v>8</v>
      </c>
      <c r="P67" s="24" t="n">
        <f aca="false">SUMIFS($I$7:$I$256,$B$7:$B$256,L67,$H$7:$H$256,"NTIME")</f>
        <v>0</v>
      </c>
      <c r="Q67" s="24" t="n">
        <f aca="false">SUMIFS($I$7:$I$256,$B$7:$B$256,L67,$H$7:$H$256,"P6")</f>
        <v>0</v>
      </c>
      <c r="R67" s="24" t="n">
        <f aca="false">IF(N67="Overhead only",O67,IF(AND(N67="Working",P67+Q67&gt;0),MAX(0,O67-P67-Q67),0))</f>
        <v>0</v>
      </c>
      <c r="S67" s="24" t="n">
        <f aca="false">IF(OR(N67="Working",N67="Overhead only"),MAX(0,P67+Q67-O67),0)</f>
        <v>0</v>
      </c>
      <c r="T67" s="24" t="n">
        <f aca="false">P67+Q67+R67</f>
        <v>0</v>
      </c>
      <c r="U67" s="24" t="str">
        <f aca="true">IF(N67="Working",IF(P67+Q67=0,IF(L67&lt;=TODAY(),"Not logged",""),IF(P67+Q67&gt;O67,IF(AllowOT="Yes","Overtime","Over "&amp;O67&amp;" h!"),"✓")),IF(N67="Overhead only","✓ Overhead day",IF(P67+Q67&gt;0,"Entries on "&amp;LOWER(N67)&amp;" day",N67)))</f>
        <v>Not logged</v>
      </c>
      <c r="V67" s="1"/>
      <c r="W67" s="1" t="str">
        <f aca="false">IF(Projects!B65="","",Projects!B65)</f>
        <v/>
      </c>
      <c r="X67" s="1" t="n">
        <f aca="false">IF(W67="",0,SUMIFS($I$7:$I$256,$D$7:$D$256,W67,$H$7:$H$256,"NTIME"))</f>
        <v>0</v>
      </c>
      <c r="Y67" s="1" t="n">
        <f aca="false">IF(W67="",0,SUMIFS($I$7:$I$256,$D$7:$D$256,W67,$H$7:$H$256,"P6"))</f>
        <v>0</v>
      </c>
      <c r="Z67" s="1" t="n">
        <f aca="false">X67+Y67</f>
        <v>0</v>
      </c>
      <c r="AA67" s="1" t="n">
        <f aca="false">IF(Z67&gt;0,Z67+(201-61)/10^6,0)</f>
        <v>0</v>
      </c>
      <c r="AB67" s="1"/>
      <c r="AC67" s="1"/>
      <c r="AD67" s="1"/>
      <c r="AE67" s="1"/>
      <c r="AF67" s="1"/>
      <c r="AG67" s="1"/>
      <c r="AH67" s="1"/>
    </row>
    <row r="68" customFormat="false" ht="15" hidden="false" customHeight="false" outlineLevel="0" collapsed="false">
      <c r="A68" s="1"/>
      <c r="B68" s="10"/>
      <c r="C68" s="31" t="str">
        <f aca="false">IF(B68="","",TEXT(B68,"ddd"))</f>
        <v/>
      </c>
      <c r="D68" s="11"/>
      <c r="E68" s="8" t="str">
        <f aca="false">IF(D68="","",IFERROR(INDEX(ProjNumbers,MATCH(D68,ProjNames,0)),""))</f>
        <v/>
      </c>
      <c r="F68" s="8" t="str">
        <f aca="false">IF(D68="","",IFERROR(INDEX(ProjCodes,MATCH(D68,ProjNames,0)),""))</f>
        <v/>
      </c>
      <c r="G68" s="32"/>
      <c r="H68" s="11"/>
      <c r="I68" s="33"/>
      <c r="J68" s="8" t="str">
        <f aca="false">IF(COUNTA(B68,D68,G68,H68,I68)=0,"",IF(B68="","Enter date",IF(OR(B68&lt;$AC$2,B68&gt;$AC$3),"Date not in February",IF(D68="","Pick project",IF(ISNA(MATCH(D68,ProjNames,0)),"Project not in list",IF(G68="","Add task description",IF(H68="","Pick NTIME or P6",IF(N(I68)&lt;=0,"Enter hours",IF(AND(AllowOT&lt;&gt;"Yes",SUMIF($B$7:$B$256,B68,$I$7:$I$256)&gt;INDEX($O$58:$O$85,DAY(B68))),"Day over "&amp;INDEX($O$58:$O$85,DAY(B68))&amp;" h","✓")))))))))</f>
        <v/>
      </c>
      <c r="K68" s="1"/>
      <c r="L68" s="35" t="n">
        <v>46064</v>
      </c>
      <c r="M68" s="36" t="str">
        <f aca="false">TEXT(L68,"ddd")</f>
        <v>Wed</v>
      </c>
      <c r="N68" s="37" t="s">
        <v>93</v>
      </c>
      <c r="O68" s="37" t="n">
        <f aca="false">AvailHours</f>
        <v>8</v>
      </c>
      <c r="P68" s="24" t="n">
        <f aca="false">SUMIFS($I$7:$I$256,$B$7:$B$256,L68,$H$7:$H$256,"NTIME")</f>
        <v>0</v>
      </c>
      <c r="Q68" s="24" t="n">
        <f aca="false">SUMIFS($I$7:$I$256,$B$7:$B$256,L68,$H$7:$H$256,"P6")</f>
        <v>0</v>
      </c>
      <c r="R68" s="24" t="n">
        <f aca="false">IF(N68="Overhead only",O68,IF(AND(N68="Working",P68+Q68&gt;0),MAX(0,O68-P68-Q68),0))</f>
        <v>0</v>
      </c>
      <c r="S68" s="24" t="n">
        <f aca="false">IF(OR(N68="Working",N68="Overhead only"),MAX(0,P68+Q68-O68),0)</f>
        <v>0</v>
      </c>
      <c r="T68" s="24" t="n">
        <f aca="false">P68+Q68+R68</f>
        <v>0</v>
      </c>
      <c r="U68" s="24" t="str">
        <f aca="true">IF(N68="Working",IF(P68+Q68=0,IF(L68&lt;=TODAY(),"Not logged",""),IF(P68+Q68&gt;O68,IF(AllowOT="Yes","Overtime","Over "&amp;O68&amp;" h!"),"✓")),IF(N68="Overhead only","✓ Overhead day",IF(P68+Q68&gt;0,"Entries on "&amp;LOWER(N68)&amp;" day",N68)))</f>
        <v>Not logged</v>
      </c>
      <c r="V68" s="1"/>
      <c r="W68" s="1" t="str">
        <f aca="false">IF(Projects!B66="","",Projects!B66)</f>
        <v/>
      </c>
      <c r="X68" s="1" t="n">
        <f aca="false">IF(W68="",0,SUMIFS($I$7:$I$256,$D$7:$D$256,W68,$H$7:$H$256,"NTIME"))</f>
        <v>0</v>
      </c>
      <c r="Y68" s="1" t="n">
        <f aca="false">IF(W68="",0,SUMIFS($I$7:$I$256,$D$7:$D$256,W68,$H$7:$H$256,"P6"))</f>
        <v>0</v>
      </c>
      <c r="Z68" s="1" t="n">
        <f aca="false">X68+Y68</f>
        <v>0</v>
      </c>
      <c r="AA68" s="1" t="n">
        <f aca="false">IF(Z68&gt;0,Z68+(201-62)/10^6,0)</f>
        <v>0</v>
      </c>
      <c r="AB68" s="1"/>
      <c r="AC68" s="1"/>
      <c r="AD68" s="1"/>
      <c r="AE68" s="1"/>
      <c r="AF68" s="1"/>
      <c r="AG68" s="1"/>
      <c r="AH68" s="1"/>
    </row>
    <row r="69" customFormat="false" ht="15" hidden="false" customHeight="false" outlineLevel="0" collapsed="false">
      <c r="A69" s="1"/>
      <c r="B69" s="10"/>
      <c r="C69" s="31" t="str">
        <f aca="false">IF(B69="","",TEXT(B69,"ddd"))</f>
        <v/>
      </c>
      <c r="D69" s="11"/>
      <c r="E69" s="8" t="str">
        <f aca="false">IF(D69="","",IFERROR(INDEX(ProjNumbers,MATCH(D69,ProjNames,0)),""))</f>
        <v/>
      </c>
      <c r="F69" s="8" t="str">
        <f aca="false">IF(D69="","",IFERROR(INDEX(ProjCodes,MATCH(D69,ProjNames,0)),""))</f>
        <v/>
      </c>
      <c r="G69" s="32"/>
      <c r="H69" s="11"/>
      <c r="I69" s="33"/>
      <c r="J69" s="8" t="str">
        <f aca="false">IF(COUNTA(B69,D69,G69,H69,I69)=0,"",IF(B69="","Enter date",IF(OR(B69&lt;$AC$2,B69&gt;$AC$3),"Date not in February",IF(D69="","Pick project",IF(ISNA(MATCH(D69,ProjNames,0)),"Project not in list",IF(G69="","Add task description",IF(H69="","Pick NTIME or P6",IF(N(I69)&lt;=0,"Enter hours",IF(AND(AllowOT&lt;&gt;"Yes",SUMIF($B$7:$B$256,B69,$I$7:$I$256)&gt;INDEX($O$58:$O$85,DAY(B69))),"Day over "&amp;INDEX($O$58:$O$85,DAY(B69))&amp;" h","✓")))))))))</f>
        <v/>
      </c>
      <c r="K69" s="1"/>
      <c r="L69" s="35" t="n">
        <v>46065</v>
      </c>
      <c r="M69" s="36" t="str">
        <f aca="false">TEXT(L69,"ddd")</f>
        <v>Thu</v>
      </c>
      <c r="N69" s="37" t="s">
        <v>93</v>
      </c>
      <c r="O69" s="37" t="n">
        <f aca="false">AvailHours</f>
        <v>8</v>
      </c>
      <c r="P69" s="24" t="n">
        <f aca="false">SUMIFS($I$7:$I$256,$B$7:$B$256,L69,$H$7:$H$256,"NTIME")</f>
        <v>0</v>
      </c>
      <c r="Q69" s="24" t="n">
        <f aca="false">SUMIFS($I$7:$I$256,$B$7:$B$256,L69,$H$7:$H$256,"P6")</f>
        <v>0</v>
      </c>
      <c r="R69" s="24" t="n">
        <f aca="false">IF(N69="Overhead only",O69,IF(AND(N69="Working",P69+Q69&gt;0),MAX(0,O69-P69-Q69),0))</f>
        <v>0</v>
      </c>
      <c r="S69" s="24" t="n">
        <f aca="false">IF(OR(N69="Working",N69="Overhead only"),MAX(0,P69+Q69-O69),0)</f>
        <v>0</v>
      </c>
      <c r="T69" s="24" t="n">
        <f aca="false">P69+Q69+R69</f>
        <v>0</v>
      </c>
      <c r="U69" s="24" t="str">
        <f aca="true">IF(N69="Working",IF(P69+Q69=0,IF(L69&lt;=TODAY(),"Not logged",""),IF(P69+Q69&gt;O69,IF(AllowOT="Yes","Overtime","Over "&amp;O69&amp;" h!"),"✓")),IF(N69="Overhead only","✓ Overhead day",IF(P69+Q69&gt;0,"Entries on "&amp;LOWER(N69)&amp;" day",N69)))</f>
        <v>Not logged</v>
      </c>
      <c r="V69" s="1"/>
      <c r="W69" s="1" t="str">
        <f aca="false">IF(Projects!B67="","",Projects!B67)</f>
        <v/>
      </c>
      <c r="X69" s="1" t="n">
        <f aca="false">IF(W69="",0,SUMIFS($I$7:$I$256,$D$7:$D$256,W69,$H$7:$H$256,"NTIME"))</f>
        <v>0</v>
      </c>
      <c r="Y69" s="1" t="n">
        <f aca="false">IF(W69="",0,SUMIFS($I$7:$I$256,$D$7:$D$256,W69,$H$7:$H$256,"P6"))</f>
        <v>0</v>
      </c>
      <c r="Z69" s="1" t="n">
        <f aca="false">X69+Y69</f>
        <v>0</v>
      </c>
      <c r="AA69" s="1" t="n">
        <f aca="false">IF(Z69&gt;0,Z69+(201-63)/10^6,0)</f>
        <v>0</v>
      </c>
      <c r="AB69" s="1"/>
      <c r="AC69" s="1"/>
      <c r="AD69" s="1"/>
      <c r="AE69" s="1"/>
      <c r="AF69" s="1"/>
      <c r="AG69" s="1"/>
      <c r="AH69" s="1"/>
    </row>
    <row r="70" customFormat="false" ht="15" hidden="false" customHeight="false" outlineLevel="0" collapsed="false">
      <c r="A70" s="1"/>
      <c r="B70" s="10"/>
      <c r="C70" s="31" t="str">
        <f aca="false">IF(B70="","",TEXT(B70,"ddd"))</f>
        <v/>
      </c>
      <c r="D70" s="11"/>
      <c r="E70" s="8" t="str">
        <f aca="false">IF(D70="","",IFERROR(INDEX(ProjNumbers,MATCH(D70,ProjNames,0)),""))</f>
        <v/>
      </c>
      <c r="F70" s="8" t="str">
        <f aca="false">IF(D70="","",IFERROR(INDEX(ProjCodes,MATCH(D70,ProjNames,0)),""))</f>
        <v/>
      </c>
      <c r="G70" s="32"/>
      <c r="H70" s="11"/>
      <c r="I70" s="33"/>
      <c r="J70" s="8" t="str">
        <f aca="false">IF(COUNTA(B70,D70,G70,H70,I70)=0,"",IF(B70="","Enter date",IF(OR(B70&lt;$AC$2,B70&gt;$AC$3),"Date not in February",IF(D70="","Pick project",IF(ISNA(MATCH(D70,ProjNames,0)),"Project not in list",IF(G70="","Add task description",IF(H70="","Pick NTIME or P6",IF(N(I70)&lt;=0,"Enter hours",IF(AND(AllowOT&lt;&gt;"Yes",SUMIF($B$7:$B$256,B70,$I$7:$I$256)&gt;INDEX($O$58:$O$85,DAY(B70))),"Day over "&amp;INDEX($O$58:$O$85,DAY(B70))&amp;" h","✓")))))))))</f>
        <v/>
      </c>
      <c r="K70" s="1"/>
      <c r="L70" s="35" t="n">
        <v>46066</v>
      </c>
      <c r="M70" s="36" t="str">
        <f aca="false">TEXT(L70,"ddd")</f>
        <v>Fri</v>
      </c>
      <c r="N70" s="37" t="s">
        <v>93</v>
      </c>
      <c r="O70" s="37" t="n">
        <f aca="false">AvailHours</f>
        <v>8</v>
      </c>
      <c r="P70" s="24" t="n">
        <f aca="false">SUMIFS($I$7:$I$256,$B$7:$B$256,L70,$H$7:$H$256,"NTIME")</f>
        <v>0</v>
      </c>
      <c r="Q70" s="24" t="n">
        <f aca="false">SUMIFS($I$7:$I$256,$B$7:$B$256,L70,$H$7:$H$256,"P6")</f>
        <v>0</v>
      </c>
      <c r="R70" s="24" t="n">
        <f aca="false">IF(N70="Overhead only",O70,IF(AND(N70="Working",P70+Q70&gt;0),MAX(0,O70-P70-Q70),0))</f>
        <v>0</v>
      </c>
      <c r="S70" s="24" t="n">
        <f aca="false">IF(OR(N70="Working",N70="Overhead only"),MAX(0,P70+Q70-O70),0)</f>
        <v>0</v>
      </c>
      <c r="T70" s="24" t="n">
        <f aca="false">P70+Q70+R70</f>
        <v>0</v>
      </c>
      <c r="U70" s="24" t="str">
        <f aca="true">IF(N70="Working",IF(P70+Q70=0,IF(L70&lt;=TODAY(),"Not logged",""),IF(P70+Q70&gt;O70,IF(AllowOT="Yes","Overtime","Over "&amp;O70&amp;" h!"),"✓")),IF(N70="Overhead only","✓ Overhead day",IF(P70+Q70&gt;0,"Entries on "&amp;LOWER(N70)&amp;" day",N70)))</f>
        <v>Not logged</v>
      </c>
      <c r="V70" s="1"/>
      <c r="W70" s="1" t="str">
        <f aca="false">IF(Projects!B68="","",Projects!B68)</f>
        <v/>
      </c>
      <c r="X70" s="1" t="n">
        <f aca="false">IF(W70="",0,SUMIFS($I$7:$I$256,$D$7:$D$256,W70,$H$7:$H$256,"NTIME"))</f>
        <v>0</v>
      </c>
      <c r="Y70" s="1" t="n">
        <f aca="false">IF(W70="",0,SUMIFS($I$7:$I$256,$D$7:$D$256,W70,$H$7:$H$256,"P6"))</f>
        <v>0</v>
      </c>
      <c r="Z70" s="1" t="n">
        <f aca="false">X70+Y70</f>
        <v>0</v>
      </c>
      <c r="AA70" s="1" t="n">
        <f aca="false">IF(Z70&gt;0,Z70+(201-64)/10^6,0)</f>
        <v>0</v>
      </c>
      <c r="AB70" s="1"/>
      <c r="AC70" s="1"/>
      <c r="AD70" s="1"/>
      <c r="AE70" s="1"/>
      <c r="AF70" s="1"/>
      <c r="AG70" s="1"/>
      <c r="AH70" s="1"/>
    </row>
    <row r="71" customFormat="false" ht="15" hidden="false" customHeight="false" outlineLevel="0" collapsed="false">
      <c r="A71" s="1"/>
      <c r="B71" s="10"/>
      <c r="C71" s="31" t="str">
        <f aca="false">IF(B71="","",TEXT(B71,"ddd"))</f>
        <v/>
      </c>
      <c r="D71" s="11"/>
      <c r="E71" s="8" t="str">
        <f aca="false">IF(D71="","",IFERROR(INDEX(ProjNumbers,MATCH(D71,ProjNames,0)),""))</f>
        <v/>
      </c>
      <c r="F71" s="8" t="str">
        <f aca="false">IF(D71="","",IFERROR(INDEX(ProjCodes,MATCH(D71,ProjNames,0)),""))</f>
        <v/>
      </c>
      <c r="G71" s="32"/>
      <c r="H71" s="11"/>
      <c r="I71" s="33"/>
      <c r="J71" s="8" t="str">
        <f aca="false">IF(COUNTA(B71,D71,G71,H71,I71)=0,"",IF(B71="","Enter date",IF(OR(B71&lt;$AC$2,B71&gt;$AC$3),"Date not in February",IF(D71="","Pick project",IF(ISNA(MATCH(D71,ProjNames,0)),"Project not in list",IF(G71="","Add task description",IF(H71="","Pick NTIME or P6",IF(N(I71)&lt;=0,"Enter hours",IF(AND(AllowOT&lt;&gt;"Yes",SUMIF($B$7:$B$256,B71,$I$7:$I$256)&gt;INDEX($O$58:$O$85,DAY(B71))),"Day over "&amp;INDEX($O$58:$O$85,DAY(B71))&amp;" h","✓")))))))))</f>
        <v/>
      </c>
      <c r="K71" s="1"/>
      <c r="L71" s="35" t="n">
        <v>46067</v>
      </c>
      <c r="M71" s="36" t="str">
        <f aca="false">TEXT(L71,"ddd")</f>
        <v>Sat</v>
      </c>
      <c r="N71" s="37" t="s">
        <v>94</v>
      </c>
      <c r="O71" s="37" t="n">
        <f aca="false">AvailHours</f>
        <v>8</v>
      </c>
      <c r="P71" s="24" t="n">
        <f aca="false">SUMIFS($I$7:$I$256,$B$7:$B$256,L71,$H$7:$H$256,"NTIME")</f>
        <v>0</v>
      </c>
      <c r="Q71" s="24" t="n">
        <f aca="false">SUMIFS($I$7:$I$256,$B$7:$B$256,L71,$H$7:$H$256,"P6")</f>
        <v>0</v>
      </c>
      <c r="R71" s="24" t="n">
        <f aca="false">IF(N71="Overhead only",O71,IF(AND(N71="Working",P71+Q71&gt;0),MAX(0,O71-P71-Q71),0))</f>
        <v>0</v>
      </c>
      <c r="S71" s="24" t="n">
        <f aca="false">IF(OR(N71="Working",N71="Overhead only"),MAX(0,P71+Q71-O71),0)</f>
        <v>0</v>
      </c>
      <c r="T71" s="24" t="n">
        <f aca="false">P71+Q71+R71</f>
        <v>0</v>
      </c>
      <c r="U71" s="24" t="str">
        <f aca="true">IF(N71="Working",IF(P71+Q71=0,IF(L71&lt;=TODAY(),"Not logged",""),IF(P71+Q71&gt;O71,IF(AllowOT="Yes","Overtime","Over "&amp;O71&amp;" h!"),"✓")),IF(N71="Overhead only","✓ Overhead day",IF(P71+Q71&gt;0,"Entries on "&amp;LOWER(N71)&amp;" day",N71)))</f>
        <v>Weekend</v>
      </c>
      <c r="V71" s="1"/>
      <c r="W71" s="1" t="str">
        <f aca="false">IF(Projects!B69="","",Projects!B69)</f>
        <v/>
      </c>
      <c r="X71" s="1" t="n">
        <f aca="false">IF(W71="",0,SUMIFS($I$7:$I$256,$D$7:$D$256,W71,$H$7:$H$256,"NTIME"))</f>
        <v>0</v>
      </c>
      <c r="Y71" s="1" t="n">
        <f aca="false">IF(W71="",0,SUMIFS($I$7:$I$256,$D$7:$D$256,W71,$H$7:$H$256,"P6"))</f>
        <v>0</v>
      </c>
      <c r="Z71" s="1" t="n">
        <f aca="false">X71+Y71</f>
        <v>0</v>
      </c>
      <c r="AA71" s="1" t="n">
        <f aca="false">IF(Z71&gt;0,Z71+(201-65)/10^6,0)</f>
        <v>0</v>
      </c>
      <c r="AB71" s="1"/>
      <c r="AC71" s="1"/>
      <c r="AD71" s="1"/>
      <c r="AE71" s="1"/>
      <c r="AF71" s="1"/>
      <c r="AG71" s="1"/>
      <c r="AH71" s="1"/>
    </row>
    <row r="72" customFormat="false" ht="15" hidden="false" customHeight="false" outlineLevel="0" collapsed="false">
      <c r="A72" s="1"/>
      <c r="B72" s="10"/>
      <c r="C72" s="31" t="str">
        <f aca="false">IF(B72="","",TEXT(B72,"ddd"))</f>
        <v/>
      </c>
      <c r="D72" s="11"/>
      <c r="E72" s="8" t="str">
        <f aca="false">IF(D72="","",IFERROR(INDEX(ProjNumbers,MATCH(D72,ProjNames,0)),""))</f>
        <v/>
      </c>
      <c r="F72" s="8" t="str">
        <f aca="false">IF(D72="","",IFERROR(INDEX(ProjCodes,MATCH(D72,ProjNames,0)),""))</f>
        <v/>
      </c>
      <c r="G72" s="32"/>
      <c r="H72" s="11"/>
      <c r="I72" s="33"/>
      <c r="J72" s="8" t="str">
        <f aca="false">IF(COUNTA(B72,D72,G72,H72,I72)=0,"",IF(B72="","Enter date",IF(OR(B72&lt;$AC$2,B72&gt;$AC$3),"Date not in February",IF(D72="","Pick project",IF(ISNA(MATCH(D72,ProjNames,0)),"Project not in list",IF(G72="","Add task description",IF(H72="","Pick NTIME or P6",IF(N(I72)&lt;=0,"Enter hours",IF(AND(AllowOT&lt;&gt;"Yes",SUMIF($B$7:$B$256,B72,$I$7:$I$256)&gt;INDEX($O$58:$O$85,DAY(B72))),"Day over "&amp;INDEX($O$58:$O$85,DAY(B72))&amp;" h","✓")))))))))</f>
        <v/>
      </c>
      <c r="K72" s="1"/>
      <c r="L72" s="35" t="n">
        <v>46068</v>
      </c>
      <c r="M72" s="36" t="str">
        <f aca="false">TEXT(L72,"ddd")</f>
        <v>Sun</v>
      </c>
      <c r="N72" s="37" t="s">
        <v>94</v>
      </c>
      <c r="O72" s="37" t="n">
        <f aca="false">AvailHours</f>
        <v>8</v>
      </c>
      <c r="P72" s="24" t="n">
        <f aca="false">SUMIFS($I$7:$I$256,$B$7:$B$256,L72,$H$7:$H$256,"NTIME")</f>
        <v>0</v>
      </c>
      <c r="Q72" s="24" t="n">
        <f aca="false">SUMIFS($I$7:$I$256,$B$7:$B$256,L72,$H$7:$H$256,"P6")</f>
        <v>0</v>
      </c>
      <c r="R72" s="24" t="n">
        <f aca="false">IF(N72="Overhead only",O72,IF(AND(N72="Working",P72+Q72&gt;0),MAX(0,O72-P72-Q72),0))</f>
        <v>0</v>
      </c>
      <c r="S72" s="24" t="n">
        <f aca="false">IF(OR(N72="Working",N72="Overhead only"),MAX(0,P72+Q72-O72),0)</f>
        <v>0</v>
      </c>
      <c r="T72" s="24" t="n">
        <f aca="false">P72+Q72+R72</f>
        <v>0</v>
      </c>
      <c r="U72" s="24" t="str">
        <f aca="true">IF(N72="Working",IF(P72+Q72=0,IF(L72&lt;=TODAY(),"Not logged",""),IF(P72+Q72&gt;O72,IF(AllowOT="Yes","Overtime","Over "&amp;O72&amp;" h!"),"✓")),IF(N72="Overhead only","✓ Overhead day",IF(P72+Q72&gt;0,"Entries on "&amp;LOWER(N72)&amp;" day",N72)))</f>
        <v>Weekend</v>
      </c>
      <c r="V72" s="1"/>
      <c r="W72" s="1" t="str">
        <f aca="false">IF(Projects!B70="","",Projects!B70)</f>
        <v/>
      </c>
      <c r="X72" s="1" t="n">
        <f aca="false">IF(W72="",0,SUMIFS($I$7:$I$256,$D$7:$D$256,W72,$H$7:$H$256,"NTIME"))</f>
        <v>0</v>
      </c>
      <c r="Y72" s="1" t="n">
        <f aca="false">IF(W72="",0,SUMIFS($I$7:$I$256,$D$7:$D$256,W72,$H$7:$H$256,"P6"))</f>
        <v>0</v>
      </c>
      <c r="Z72" s="1" t="n">
        <f aca="false">X72+Y72</f>
        <v>0</v>
      </c>
      <c r="AA72" s="1" t="n">
        <f aca="false">IF(Z72&gt;0,Z72+(201-66)/10^6,0)</f>
        <v>0</v>
      </c>
      <c r="AB72" s="1"/>
      <c r="AC72" s="1"/>
      <c r="AD72" s="1"/>
      <c r="AE72" s="1"/>
      <c r="AF72" s="1"/>
      <c r="AG72" s="1"/>
      <c r="AH72" s="1"/>
    </row>
    <row r="73" customFormat="false" ht="15" hidden="false" customHeight="false" outlineLevel="0" collapsed="false">
      <c r="A73" s="1"/>
      <c r="B73" s="10"/>
      <c r="C73" s="31" t="str">
        <f aca="false">IF(B73="","",TEXT(B73,"ddd"))</f>
        <v/>
      </c>
      <c r="D73" s="11"/>
      <c r="E73" s="8" t="str">
        <f aca="false">IF(D73="","",IFERROR(INDEX(ProjNumbers,MATCH(D73,ProjNames,0)),""))</f>
        <v/>
      </c>
      <c r="F73" s="8" t="str">
        <f aca="false">IF(D73="","",IFERROR(INDEX(ProjCodes,MATCH(D73,ProjNames,0)),""))</f>
        <v/>
      </c>
      <c r="G73" s="32"/>
      <c r="H73" s="11"/>
      <c r="I73" s="33"/>
      <c r="J73" s="8" t="str">
        <f aca="false">IF(COUNTA(B73,D73,G73,H73,I73)=0,"",IF(B73="","Enter date",IF(OR(B73&lt;$AC$2,B73&gt;$AC$3),"Date not in February",IF(D73="","Pick project",IF(ISNA(MATCH(D73,ProjNames,0)),"Project not in list",IF(G73="","Add task description",IF(H73="","Pick NTIME or P6",IF(N(I73)&lt;=0,"Enter hours",IF(AND(AllowOT&lt;&gt;"Yes",SUMIF($B$7:$B$256,B73,$I$7:$I$256)&gt;INDEX($O$58:$O$85,DAY(B73))),"Day over "&amp;INDEX($O$58:$O$85,DAY(B73))&amp;" h","✓")))))))))</f>
        <v/>
      </c>
      <c r="K73" s="1"/>
      <c r="L73" s="35" t="n">
        <v>46069</v>
      </c>
      <c r="M73" s="36" t="str">
        <f aca="false">TEXT(L73,"ddd")</f>
        <v>Mon</v>
      </c>
      <c r="N73" s="37" t="s">
        <v>93</v>
      </c>
      <c r="O73" s="37" t="n">
        <f aca="false">AvailHours</f>
        <v>8</v>
      </c>
      <c r="P73" s="24" t="n">
        <f aca="false">SUMIFS($I$7:$I$256,$B$7:$B$256,L73,$H$7:$H$256,"NTIME")</f>
        <v>0</v>
      </c>
      <c r="Q73" s="24" t="n">
        <f aca="false">SUMIFS($I$7:$I$256,$B$7:$B$256,L73,$H$7:$H$256,"P6")</f>
        <v>0</v>
      </c>
      <c r="R73" s="24" t="n">
        <f aca="false">IF(N73="Overhead only",O73,IF(AND(N73="Working",P73+Q73&gt;0),MAX(0,O73-P73-Q73),0))</f>
        <v>0</v>
      </c>
      <c r="S73" s="24" t="n">
        <f aca="false">IF(OR(N73="Working",N73="Overhead only"),MAX(0,P73+Q73-O73),0)</f>
        <v>0</v>
      </c>
      <c r="T73" s="24" t="n">
        <f aca="false">P73+Q73+R73</f>
        <v>0</v>
      </c>
      <c r="U73" s="24" t="str">
        <f aca="true">IF(N73="Working",IF(P73+Q73=0,IF(L73&lt;=TODAY(),"Not logged",""),IF(P73+Q73&gt;O73,IF(AllowOT="Yes","Overtime","Over "&amp;O73&amp;" h!"),"✓")),IF(N73="Overhead only","✓ Overhead day",IF(P73+Q73&gt;0,"Entries on "&amp;LOWER(N73)&amp;" day",N73)))</f>
        <v>Not logged</v>
      </c>
      <c r="V73" s="1"/>
      <c r="W73" s="1" t="str">
        <f aca="false">IF(Projects!B71="","",Projects!B71)</f>
        <v/>
      </c>
      <c r="X73" s="1" t="n">
        <f aca="false">IF(W73="",0,SUMIFS($I$7:$I$256,$D$7:$D$256,W73,$H$7:$H$256,"NTIME"))</f>
        <v>0</v>
      </c>
      <c r="Y73" s="1" t="n">
        <f aca="false">IF(W73="",0,SUMIFS($I$7:$I$256,$D$7:$D$256,W73,$H$7:$H$256,"P6"))</f>
        <v>0</v>
      </c>
      <c r="Z73" s="1" t="n">
        <f aca="false">X73+Y73</f>
        <v>0</v>
      </c>
      <c r="AA73" s="1" t="n">
        <f aca="false">IF(Z73&gt;0,Z73+(201-67)/10^6,0)</f>
        <v>0</v>
      </c>
      <c r="AB73" s="1"/>
      <c r="AC73" s="1"/>
      <c r="AD73" s="1"/>
      <c r="AE73" s="1"/>
      <c r="AF73" s="1"/>
      <c r="AG73" s="1"/>
      <c r="AH73" s="1"/>
    </row>
    <row r="74" customFormat="false" ht="15" hidden="false" customHeight="false" outlineLevel="0" collapsed="false">
      <c r="A74" s="1"/>
      <c r="B74" s="10"/>
      <c r="C74" s="31" t="str">
        <f aca="false">IF(B74="","",TEXT(B74,"ddd"))</f>
        <v/>
      </c>
      <c r="D74" s="11"/>
      <c r="E74" s="8" t="str">
        <f aca="false">IF(D74="","",IFERROR(INDEX(ProjNumbers,MATCH(D74,ProjNames,0)),""))</f>
        <v/>
      </c>
      <c r="F74" s="8" t="str">
        <f aca="false">IF(D74="","",IFERROR(INDEX(ProjCodes,MATCH(D74,ProjNames,0)),""))</f>
        <v/>
      </c>
      <c r="G74" s="32"/>
      <c r="H74" s="11"/>
      <c r="I74" s="33"/>
      <c r="J74" s="8" t="str">
        <f aca="false">IF(COUNTA(B74,D74,G74,H74,I74)=0,"",IF(B74="","Enter date",IF(OR(B74&lt;$AC$2,B74&gt;$AC$3),"Date not in February",IF(D74="","Pick project",IF(ISNA(MATCH(D74,ProjNames,0)),"Project not in list",IF(G74="","Add task description",IF(H74="","Pick NTIME or P6",IF(N(I74)&lt;=0,"Enter hours",IF(AND(AllowOT&lt;&gt;"Yes",SUMIF($B$7:$B$256,B74,$I$7:$I$256)&gt;INDEX($O$58:$O$85,DAY(B74))),"Day over "&amp;INDEX($O$58:$O$85,DAY(B74))&amp;" h","✓")))))))))</f>
        <v/>
      </c>
      <c r="K74" s="1"/>
      <c r="L74" s="35" t="n">
        <v>46070</v>
      </c>
      <c r="M74" s="36" t="str">
        <f aca="false">TEXT(L74,"ddd")</f>
        <v>Tue</v>
      </c>
      <c r="N74" s="37" t="s">
        <v>93</v>
      </c>
      <c r="O74" s="37" t="n">
        <f aca="false">AvailHours</f>
        <v>8</v>
      </c>
      <c r="P74" s="24" t="n">
        <f aca="false">SUMIFS($I$7:$I$256,$B$7:$B$256,L74,$H$7:$H$256,"NTIME")</f>
        <v>0</v>
      </c>
      <c r="Q74" s="24" t="n">
        <f aca="false">SUMIFS($I$7:$I$256,$B$7:$B$256,L74,$H$7:$H$256,"P6")</f>
        <v>0</v>
      </c>
      <c r="R74" s="24" t="n">
        <f aca="false">IF(N74="Overhead only",O74,IF(AND(N74="Working",P74+Q74&gt;0),MAX(0,O74-P74-Q74),0))</f>
        <v>0</v>
      </c>
      <c r="S74" s="24" t="n">
        <f aca="false">IF(OR(N74="Working",N74="Overhead only"),MAX(0,P74+Q74-O74),0)</f>
        <v>0</v>
      </c>
      <c r="T74" s="24" t="n">
        <f aca="false">P74+Q74+R74</f>
        <v>0</v>
      </c>
      <c r="U74" s="24" t="str">
        <f aca="true">IF(N74="Working",IF(P74+Q74=0,IF(L74&lt;=TODAY(),"Not logged",""),IF(P74+Q74&gt;O74,IF(AllowOT="Yes","Overtime","Over "&amp;O74&amp;" h!"),"✓")),IF(N74="Overhead only","✓ Overhead day",IF(P74+Q74&gt;0,"Entries on "&amp;LOWER(N74)&amp;" day",N74)))</f>
        <v>Not logged</v>
      </c>
      <c r="V74" s="1"/>
      <c r="W74" s="1" t="str">
        <f aca="false">IF(Projects!B72="","",Projects!B72)</f>
        <v/>
      </c>
      <c r="X74" s="1" t="n">
        <f aca="false">IF(W74="",0,SUMIFS($I$7:$I$256,$D$7:$D$256,W74,$H$7:$H$256,"NTIME"))</f>
        <v>0</v>
      </c>
      <c r="Y74" s="1" t="n">
        <f aca="false">IF(W74="",0,SUMIFS($I$7:$I$256,$D$7:$D$256,W74,$H$7:$H$256,"P6"))</f>
        <v>0</v>
      </c>
      <c r="Z74" s="1" t="n">
        <f aca="false">X74+Y74</f>
        <v>0</v>
      </c>
      <c r="AA74" s="1" t="n">
        <f aca="false">IF(Z74&gt;0,Z74+(201-68)/10^6,0)</f>
        <v>0</v>
      </c>
      <c r="AB74" s="1"/>
      <c r="AC74" s="1"/>
      <c r="AD74" s="1"/>
      <c r="AE74" s="1"/>
      <c r="AF74" s="1"/>
      <c r="AG74" s="1"/>
      <c r="AH74" s="1"/>
    </row>
    <row r="75" customFormat="false" ht="15" hidden="false" customHeight="false" outlineLevel="0" collapsed="false">
      <c r="A75" s="1"/>
      <c r="B75" s="10"/>
      <c r="C75" s="31" t="str">
        <f aca="false">IF(B75="","",TEXT(B75,"ddd"))</f>
        <v/>
      </c>
      <c r="D75" s="11"/>
      <c r="E75" s="8" t="str">
        <f aca="false">IF(D75="","",IFERROR(INDEX(ProjNumbers,MATCH(D75,ProjNames,0)),""))</f>
        <v/>
      </c>
      <c r="F75" s="8" t="str">
        <f aca="false">IF(D75="","",IFERROR(INDEX(ProjCodes,MATCH(D75,ProjNames,0)),""))</f>
        <v/>
      </c>
      <c r="G75" s="32"/>
      <c r="H75" s="11"/>
      <c r="I75" s="33"/>
      <c r="J75" s="8" t="str">
        <f aca="false">IF(COUNTA(B75,D75,G75,H75,I75)=0,"",IF(B75="","Enter date",IF(OR(B75&lt;$AC$2,B75&gt;$AC$3),"Date not in February",IF(D75="","Pick project",IF(ISNA(MATCH(D75,ProjNames,0)),"Project not in list",IF(G75="","Add task description",IF(H75="","Pick NTIME or P6",IF(N(I75)&lt;=0,"Enter hours",IF(AND(AllowOT&lt;&gt;"Yes",SUMIF($B$7:$B$256,B75,$I$7:$I$256)&gt;INDEX($O$58:$O$85,DAY(B75))),"Day over "&amp;INDEX($O$58:$O$85,DAY(B75))&amp;" h","✓")))))))))</f>
        <v/>
      </c>
      <c r="K75" s="1"/>
      <c r="L75" s="35" t="n">
        <v>46071</v>
      </c>
      <c r="M75" s="36" t="str">
        <f aca="false">TEXT(L75,"ddd")</f>
        <v>Wed</v>
      </c>
      <c r="N75" s="37" t="s">
        <v>93</v>
      </c>
      <c r="O75" s="37" t="n">
        <f aca="false">AvailHours</f>
        <v>8</v>
      </c>
      <c r="P75" s="24" t="n">
        <f aca="false">SUMIFS($I$7:$I$256,$B$7:$B$256,L75,$H$7:$H$256,"NTIME")</f>
        <v>0</v>
      </c>
      <c r="Q75" s="24" t="n">
        <f aca="false">SUMIFS($I$7:$I$256,$B$7:$B$256,L75,$H$7:$H$256,"P6")</f>
        <v>0</v>
      </c>
      <c r="R75" s="24" t="n">
        <f aca="false">IF(N75="Overhead only",O75,IF(AND(N75="Working",P75+Q75&gt;0),MAX(0,O75-P75-Q75),0))</f>
        <v>0</v>
      </c>
      <c r="S75" s="24" t="n">
        <f aca="false">IF(OR(N75="Working",N75="Overhead only"),MAX(0,P75+Q75-O75),0)</f>
        <v>0</v>
      </c>
      <c r="T75" s="24" t="n">
        <f aca="false">P75+Q75+R75</f>
        <v>0</v>
      </c>
      <c r="U75" s="24" t="str">
        <f aca="true">IF(N75="Working",IF(P75+Q75=0,IF(L75&lt;=TODAY(),"Not logged",""),IF(P75+Q75&gt;O75,IF(AllowOT="Yes","Overtime","Over "&amp;O75&amp;" h!"),"✓")),IF(N75="Overhead only","✓ Overhead day",IF(P75+Q75&gt;0,"Entries on "&amp;LOWER(N75)&amp;" day",N75)))</f>
        <v>Not logged</v>
      </c>
      <c r="V75" s="1"/>
      <c r="W75" s="1" t="str">
        <f aca="false">IF(Projects!B73="","",Projects!B73)</f>
        <v/>
      </c>
      <c r="X75" s="1" t="n">
        <f aca="false">IF(W75="",0,SUMIFS($I$7:$I$256,$D$7:$D$256,W75,$H$7:$H$256,"NTIME"))</f>
        <v>0</v>
      </c>
      <c r="Y75" s="1" t="n">
        <f aca="false">IF(W75="",0,SUMIFS($I$7:$I$256,$D$7:$D$256,W75,$H$7:$H$256,"P6"))</f>
        <v>0</v>
      </c>
      <c r="Z75" s="1" t="n">
        <f aca="false">X75+Y75</f>
        <v>0</v>
      </c>
      <c r="AA75" s="1" t="n">
        <f aca="false">IF(Z75&gt;0,Z75+(201-69)/10^6,0)</f>
        <v>0</v>
      </c>
      <c r="AB75" s="1"/>
      <c r="AC75" s="1"/>
      <c r="AD75" s="1"/>
      <c r="AE75" s="1"/>
      <c r="AF75" s="1"/>
      <c r="AG75" s="1"/>
      <c r="AH75" s="1"/>
    </row>
    <row r="76" customFormat="false" ht="15" hidden="false" customHeight="false" outlineLevel="0" collapsed="false">
      <c r="A76" s="1"/>
      <c r="B76" s="10"/>
      <c r="C76" s="31" t="str">
        <f aca="false">IF(B76="","",TEXT(B76,"ddd"))</f>
        <v/>
      </c>
      <c r="D76" s="11"/>
      <c r="E76" s="8" t="str">
        <f aca="false">IF(D76="","",IFERROR(INDEX(ProjNumbers,MATCH(D76,ProjNames,0)),""))</f>
        <v/>
      </c>
      <c r="F76" s="8" t="str">
        <f aca="false">IF(D76="","",IFERROR(INDEX(ProjCodes,MATCH(D76,ProjNames,0)),""))</f>
        <v/>
      </c>
      <c r="G76" s="32"/>
      <c r="H76" s="11"/>
      <c r="I76" s="33"/>
      <c r="J76" s="8" t="str">
        <f aca="false">IF(COUNTA(B76,D76,G76,H76,I76)=0,"",IF(B76="","Enter date",IF(OR(B76&lt;$AC$2,B76&gt;$AC$3),"Date not in February",IF(D76="","Pick project",IF(ISNA(MATCH(D76,ProjNames,0)),"Project not in list",IF(G76="","Add task description",IF(H76="","Pick NTIME or P6",IF(N(I76)&lt;=0,"Enter hours",IF(AND(AllowOT&lt;&gt;"Yes",SUMIF($B$7:$B$256,B76,$I$7:$I$256)&gt;INDEX($O$58:$O$85,DAY(B76))),"Day over "&amp;INDEX($O$58:$O$85,DAY(B76))&amp;" h","✓")))))))))</f>
        <v/>
      </c>
      <c r="K76" s="1"/>
      <c r="L76" s="35" t="n">
        <v>46072</v>
      </c>
      <c r="M76" s="36" t="str">
        <f aca="false">TEXT(L76,"ddd")</f>
        <v>Thu</v>
      </c>
      <c r="N76" s="37" t="s">
        <v>93</v>
      </c>
      <c r="O76" s="37" t="n">
        <f aca="false">AvailHours</f>
        <v>8</v>
      </c>
      <c r="P76" s="24" t="n">
        <f aca="false">SUMIFS($I$7:$I$256,$B$7:$B$256,L76,$H$7:$H$256,"NTIME")</f>
        <v>0</v>
      </c>
      <c r="Q76" s="24" t="n">
        <f aca="false">SUMIFS($I$7:$I$256,$B$7:$B$256,L76,$H$7:$H$256,"P6")</f>
        <v>0</v>
      </c>
      <c r="R76" s="24" t="n">
        <f aca="false">IF(N76="Overhead only",O76,IF(AND(N76="Working",P76+Q76&gt;0),MAX(0,O76-P76-Q76),0))</f>
        <v>0</v>
      </c>
      <c r="S76" s="24" t="n">
        <f aca="false">IF(OR(N76="Working",N76="Overhead only"),MAX(0,P76+Q76-O76),0)</f>
        <v>0</v>
      </c>
      <c r="T76" s="24" t="n">
        <f aca="false">P76+Q76+R76</f>
        <v>0</v>
      </c>
      <c r="U76" s="24" t="str">
        <f aca="true">IF(N76="Working",IF(P76+Q76=0,IF(L76&lt;=TODAY(),"Not logged",""),IF(P76+Q76&gt;O76,IF(AllowOT="Yes","Overtime","Over "&amp;O76&amp;" h!"),"✓")),IF(N76="Overhead only","✓ Overhead day",IF(P76+Q76&gt;0,"Entries on "&amp;LOWER(N76)&amp;" day",N76)))</f>
        <v>Not logged</v>
      </c>
      <c r="V76" s="1"/>
      <c r="W76" s="1" t="str">
        <f aca="false">IF(Projects!B74="","",Projects!B74)</f>
        <v/>
      </c>
      <c r="X76" s="1" t="n">
        <f aca="false">IF(W76="",0,SUMIFS($I$7:$I$256,$D$7:$D$256,W76,$H$7:$H$256,"NTIME"))</f>
        <v>0</v>
      </c>
      <c r="Y76" s="1" t="n">
        <f aca="false">IF(W76="",0,SUMIFS($I$7:$I$256,$D$7:$D$256,W76,$H$7:$H$256,"P6"))</f>
        <v>0</v>
      </c>
      <c r="Z76" s="1" t="n">
        <f aca="false">X76+Y76</f>
        <v>0</v>
      </c>
      <c r="AA76" s="1" t="n">
        <f aca="false">IF(Z76&gt;0,Z76+(201-70)/10^6,0)</f>
        <v>0</v>
      </c>
      <c r="AB76" s="1"/>
      <c r="AC76" s="1"/>
      <c r="AD76" s="1"/>
      <c r="AE76" s="1"/>
      <c r="AF76" s="1"/>
      <c r="AG76" s="1"/>
      <c r="AH76" s="1"/>
    </row>
    <row r="77" customFormat="false" ht="15" hidden="false" customHeight="false" outlineLevel="0" collapsed="false">
      <c r="A77" s="1"/>
      <c r="B77" s="10"/>
      <c r="C77" s="31" t="str">
        <f aca="false">IF(B77="","",TEXT(B77,"ddd"))</f>
        <v/>
      </c>
      <c r="D77" s="11"/>
      <c r="E77" s="8" t="str">
        <f aca="false">IF(D77="","",IFERROR(INDEX(ProjNumbers,MATCH(D77,ProjNames,0)),""))</f>
        <v/>
      </c>
      <c r="F77" s="8" t="str">
        <f aca="false">IF(D77="","",IFERROR(INDEX(ProjCodes,MATCH(D77,ProjNames,0)),""))</f>
        <v/>
      </c>
      <c r="G77" s="32"/>
      <c r="H77" s="11"/>
      <c r="I77" s="33"/>
      <c r="J77" s="8" t="str">
        <f aca="false">IF(COUNTA(B77,D77,G77,H77,I77)=0,"",IF(B77="","Enter date",IF(OR(B77&lt;$AC$2,B77&gt;$AC$3),"Date not in February",IF(D77="","Pick project",IF(ISNA(MATCH(D77,ProjNames,0)),"Project not in list",IF(G77="","Add task description",IF(H77="","Pick NTIME or P6",IF(N(I77)&lt;=0,"Enter hours",IF(AND(AllowOT&lt;&gt;"Yes",SUMIF($B$7:$B$256,B77,$I$7:$I$256)&gt;INDEX($O$58:$O$85,DAY(B77))),"Day over "&amp;INDEX($O$58:$O$85,DAY(B77))&amp;" h","✓")))))))))</f>
        <v/>
      </c>
      <c r="K77" s="1"/>
      <c r="L77" s="35" t="n">
        <v>46073</v>
      </c>
      <c r="M77" s="36" t="str">
        <f aca="false">TEXT(L77,"ddd")</f>
        <v>Fri</v>
      </c>
      <c r="N77" s="37" t="s">
        <v>93</v>
      </c>
      <c r="O77" s="37" t="n">
        <f aca="false">AvailHours</f>
        <v>8</v>
      </c>
      <c r="P77" s="24" t="n">
        <f aca="false">SUMIFS($I$7:$I$256,$B$7:$B$256,L77,$H$7:$H$256,"NTIME")</f>
        <v>0</v>
      </c>
      <c r="Q77" s="24" t="n">
        <f aca="false">SUMIFS($I$7:$I$256,$B$7:$B$256,L77,$H$7:$H$256,"P6")</f>
        <v>0</v>
      </c>
      <c r="R77" s="24" t="n">
        <f aca="false">IF(N77="Overhead only",O77,IF(AND(N77="Working",P77+Q77&gt;0),MAX(0,O77-P77-Q77),0))</f>
        <v>0</v>
      </c>
      <c r="S77" s="24" t="n">
        <f aca="false">IF(OR(N77="Working",N77="Overhead only"),MAX(0,P77+Q77-O77),0)</f>
        <v>0</v>
      </c>
      <c r="T77" s="24" t="n">
        <f aca="false">P77+Q77+R77</f>
        <v>0</v>
      </c>
      <c r="U77" s="24" t="str">
        <f aca="true">IF(N77="Working",IF(P77+Q77=0,IF(L77&lt;=TODAY(),"Not logged",""),IF(P77+Q77&gt;O77,IF(AllowOT="Yes","Overtime","Over "&amp;O77&amp;" h!"),"✓")),IF(N77="Overhead only","✓ Overhead day",IF(P77+Q77&gt;0,"Entries on "&amp;LOWER(N77)&amp;" day",N77)))</f>
        <v>Not logged</v>
      </c>
      <c r="V77" s="1"/>
      <c r="W77" s="1" t="str">
        <f aca="false">IF(Projects!B75="","",Projects!B75)</f>
        <v/>
      </c>
      <c r="X77" s="1" t="n">
        <f aca="false">IF(W77="",0,SUMIFS($I$7:$I$256,$D$7:$D$256,W77,$H$7:$H$256,"NTIME"))</f>
        <v>0</v>
      </c>
      <c r="Y77" s="1" t="n">
        <f aca="false">IF(W77="",0,SUMIFS($I$7:$I$256,$D$7:$D$256,W77,$H$7:$H$256,"P6"))</f>
        <v>0</v>
      </c>
      <c r="Z77" s="1" t="n">
        <f aca="false">X77+Y77</f>
        <v>0</v>
      </c>
      <c r="AA77" s="1" t="n">
        <f aca="false">IF(Z77&gt;0,Z77+(201-71)/10^6,0)</f>
        <v>0</v>
      </c>
      <c r="AB77" s="1"/>
      <c r="AC77" s="1"/>
      <c r="AD77" s="1"/>
      <c r="AE77" s="1"/>
      <c r="AF77" s="1"/>
      <c r="AG77" s="1"/>
      <c r="AH77" s="1"/>
    </row>
    <row r="78" customFormat="false" ht="15" hidden="false" customHeight="false" outlineLevel="0" collapsed="false">
      <c r="A78" s="1"/>
      <c r="B78" s="10"/>
      <c r="C78" s="31" t="str">
        <f aca="false">IF(B78="","",TEXT(B78,"ddd"))</f>
        <v/>
      </c>
      <c r="D78" s="11"/>
      <c r="E78" s="8" t="str">
        <f aca="false">IF(D78="","",IFERROR(INDEX(ProjNumbers,MATCH(D78,ProjNames,0)),""))</f>
        <v/>
      </c>
      <c r="F78" s="8" t="str">
        <f aca="false">IF(D78="","",IFERROR(INDEX(ProjCodes,MATCH(D78,ProjNames,0)),""))</f>
        <v/>
      </c>
      <c r="G78" s="32"/>
      <c r="H78" s="11"/>
      <c r="I78" s="33"/>
      <c r="J78" s="8" t="str">
        <f aca="false">IF(COUNTA(B78,D78,G78,H78,I78)=0,"",IF(B78="","Enter date",IF(OR(B78&lt;$AC$2,B78&gt;$AC$3),"Date not in February",IF(D78="","Pick project",IF(ISNA(MATCH(D78,ProjNames,0)),"Project not in list",IF(G78="","Add task description",IF(H78="","Pick NTIME or P6",IF(N(I78)&lt;=0,"Enter hours",IF(AND(AllowOT&lt;&gt;"Yes",SUMIF($B$7:$B$256,B78,$I$7:$I$256)&gt;INDEX($O$58:$O$85,DAY(B78))),"Day over "&amp;INDEX($O$58:$O$85,DAY(B78))&amp;" h","✓")))))))))</f>
        <v/>
      </c>
      <c r="K78" s="1"/>
      <c r="L78" s="35" t="n">
        <v>46074</v>
      </c>
      <c r="M78" s="36" t="str">
        <f aca="false">TEXT(L78,"ddd")</f>
        <v>Sat</v>
      </c>
      <c r="N78" s="37" t="s">
        <v>94</v>
      </c>
      <c r="O78" s="37" t="n">
        <f aca="false">AvailHours</f>
        <v>8</v>
      </c>
      <c r="P78" s="24" t="n">
        <f aca="false">SUMIFS($I$7:$I$256,$B$7:$B$256,L78,$H$7:$H$256,"NTIME")</f>
        <v>0</v>
      </c>
      <c r="Q78" s="24" t="n">
        <f aca="false">SUMIFS($I$7:$I$256,$B$7:$B$256,L78,$H$7:$H$256,"P6")</f>
        <v>0</v>
      </c>
      <c r="R78" s="24" t="n">
        <f aca="false">IF(N78="Overhead only",O78,IF(AND(N78="Working",P78+Q78&gt;0),MAX(0,O78-P78-Q78),0))</f>
        <v>0</v>
      </c>
      <c r="S78" s="24" t="n">
        <f aca="false">IF(OR(N78="Working",N78="Overhead only"),MAX(0,P78+Q78-O78),0)</f>
        <v>0</v>
      </c>
      <c r="T78" s="24" t="n">
        <f aca="false">P78+Q78+R78</f>
        <v>0</v>
      </c>
      <c r="U78" s="24" t="str">
        <f aca="true">IF(N78="Working",IF(P78+Q78=0,IF(L78&lt;=TODAY(),"Not logged",""),IF(P78+Q78&gt;O78,IF(AllowOT="Yes","Overtime","Over "&amp;O78&amp;" h!"),"✓")),IF(N78="Overhead only","✓ Overhead day",IF(P78+Q78&gt;0,"Entries on "&amp;LOWER(N78)&amp;" day",N78)))</f>
        <v>Weekend</v>
      </c>
      <c r="V78" s="1"/>
      <c r="W78" s="1" t="str">
        <f aca="false">IF(Projects!B76="","",Projects!B76)</f>
        <v/>
      </c>
      <c r="X78" s="1" t="n">
        <f aca="false">IF(W78="",0,SUMIFS($I$7:$I$256,$D$7:$D$256,W78,$H$7:$H$256,"NTIME"))</f>
        <v>0</v>
      </c>
      <c r="Y78" s="1" t="n">
        <f aca="false">IF(W78="",0,SUMIFS($I$7:$I$256,$D$7:$D$256,W78,$H$7:$H$256,"P6"))</f>
        <v>0</v>
      </c>
      <c r="Z78" s="1" t="n">
        <f aca="false">X78+Y78</f>
        <v>0</v>
      </c>
      <c r="AA78" s="1" t="n">
        <f aca="false">IF(Z78&gt;0,Z78+(201-72)/10^6,0)</f>
        <v>0</v>
      </c>
      <c r="AB78" s="1"/>
      <c r="AC78" s="1"/>
      <c r="AD78" s="1"/>
      <c r="AE78" s="1"/>
      <c r="AF78" s="1"/>
      <c r="AG78" s="1"/>
      <c r="AH78" s="1"/>
    </row>
    <row r="79" customFormat="false" ht="15" hidden="false" customHeight="false" outlineLevel="0" collapsed="false">
      <c r="A79" s="1"/>
      <c r="B79" s="10"/>
      <c r="C79" s="31" t="str">
        <f aca="false">IF(B79="","",TEXT(B79,"ddd"))</f>
        <v/>
      </c>
      <c r="D79" s="11"/>
      <c r="E79" s="8" t="str">
        <f aca="false">IF(D79="","",IFERROR(INDEX(ProjNumbers,MATCH(D79,ProjNames,0)),""))</f>
        <v/>
      </c>
      <c r="F79" s="8" t="str">
        <f aca="false">IF(D79="","",IFERROR(INDEX(ProjCodes,MATCH(D79,ProjNames,0)),""))</f>
        <v/>
      </c>
      <c r="G79" s="32"/>
      <c r="H79" s="11"/>
      <c r="I79" s="33"/>
      <c r="J79" s="8" t="str">
        <f aca="false">IF(COUNTA(B79,D79,G79,H79,I79)=0,"",IF(B79="","Enter date",IF(OR(B79&lt;$AC$2,B79&gt;$AC$3),"Date not in February",IF(D79="","Pick project",IF(ISNA(MATCH(D79,ProjNames,0)),"Project not in list",IF(G79="","Add task description",IF(H79="","Pick NTIME or P6",IF(N(I79)&lt;=0,"Enter hours",IF(AND(AllowOT&lt;&gt;"Yes",SUMIF($B$7:$B$256,B79,$I$7:$I$256)&gt;INDEX($O$58:$O$85,DAY(B79))),"Day over "&amp;INDEX($O$58:$O$85,DAY(B79))&amp;" h","✓")))))))))</f>
        <v/>
      </c>
      <c r="K79" s="1"/>
      <c r="L79" s="35" t="n">
        <v>46075</v>
      </c>
      <c r="M79" s="36" t="str">
        <f aca="false">TEXT(L79,"ddd")</f>
        <v>Sun</v>
      </c>
      <c r="N79" s="37" t="s">
        <v>94</v>
      </c>
      <c r="O79" s="37" t="n">
        <f aca="false">AvailHours</f>
        <v>8</v>
      </c>
      <c r="P79" s="24" t="n">
        <f aca="false">SUMIFS($I$7:$I$256,$B$7:$B$256,L79,$H$7:$H$256,"NTIME")</f>
        <v>0</v>
      </c>
      <c r="Q79" s="24" t="n">
        <f aca="false">SUMIFS($I$7:$I$256,$B$7:$B$256,L79,$H$7:$H$256,"P6")</f>
        <v>0</v>
      </c>
      <c r="R79" s="24" t="n">
        <f aca="false">IF(N79="Overhead only",O79,IF(AND(N79="Working",P79+Q79&gt;0),MAX(0,O79-P79-Q79),0))</f>
        <v>0</v>
      </c>
      <c r="S79" s="24" t="n">
        <f aca="false">IF(OR(N79="Working",N79="Overhead only"),MAX(0,P79+Q79-O79),0)</f>
        <v>0</v>
      </c>
      <c r="T79" s="24" t="n">
        <f aca="false">P79+Q79+R79</f>
        <v>0</v>
      </c>
      <c r="U79" s="24" t="str">
        <f aca="true">IF(N79="Working",IF(P79+Q79=0,IF(L79&lt;=TODAY(),"Not logged",""),IF(P79+Q79&gt;O79,IF(AllowOT="Yes","Overtime","Over "&amp;O79&amp;" h!"),"✓")),IF(N79="Overhead only","✓ Overhead day",IF(P79+Q79&gt;0,"Entries on "&amp;LOWER(N79)&amp;" day",N79)))</f>
        <v>Weekend</v>
      </c>
      <c r="V79" s="1"/>
      <c r="W79" s="1" t="str">
        <f aca="false">IF(Projects!B77="","",Projects!B77)</f>
        <v/>
      </c>
      <c r="X79" s="1" t="n">
        <f aca="false">IF(W79="",0,SUMIFS($I$7:$I$256,$D$7:$D$256,W79,$H$7:$H$256,"NTIME"))</f>
        <v>0</v>
      </c>
      <c r="Y79" s="1" t="n">
        <f aca="false">IF(W79="",0,SUMIFS($I$7:$I$256,$D$7:$D$256,W79,$H$7:$H$256,"P6"))</f>
        <v>0</v>
      </c>
      <c r="Z79" s="1" t="n">
        <f aca="false">X79+Y79</f>
        <v>0</v>
      </c>
      <c r="AA79" s="1" t="n">
        <f aca="false">IF(Z79&gt;0,Z79+(201-73)/10^6,0)</f>
        <v>0</v>
      </c>
      <c r="AB79" s="1"/>
      <c r="AC79" s="1"/>
      <c r="AD79" s="1"/>
      <c r="AE79" s="1"/>
      <c r="AF79" s="1"/>
      <c r="AG79" s="1"/>
      <c r="AH79" s="1"/>
    </row>
    <row r="80" customFormat="false" ht="15" hidden="false" customHeight="false" outlineLevel="0" collapsed="false">
      <c r="A80" s="1"/>
      <c r="B80" s="10"/>
      <c r="C80" s="31" t="str">
        <f aca="false">IF(B80="","",TEXT(B80,"ddd"))</f>
        <v/>
      </c>
      <c r="D80" s="11"/>
      <c r="E80" s="8" t="str">
        <f aca="false">IF(D80="","",IFERROR(INDEX(ProjNumbers,MATCH(D80,ProjNames,0)),""))</f>
        <v/>
      </c>
      <c r="F80" s="8" t="str">
        <f aca="false">IF(D80="","",IFERROR(INDEX(ProjCodes,MATCH(D80,ProjNames,0)),""))</f>
        <v/>
      </c>
      <c r="G80" s="32"/>
      <c r="H80" s="11"/>
      <c r="I80" s="33"/>
      <c r="J80" s="8" t="str">
        <f aca="false">IF(COUNTA(B80,D80,G80,H80,I80)=0,"",IF(B80="","Enter date",IF(OR(B80&lt;$AC$2,B80&gt;$AC$3),"Date not in February",IF(D80="","Pick project",IF(ISNA(MATCH(D80,ProjNames,0)),"Project not in list",IF(G80="","Add task description",IF(H80="","Pick NTIME or P6",IF(N(I80)&lt;=0,"Enter hours",IF(AND(AllowOT&lt;&gt;"Yes",SUMIF($B$7:$B$256,B80,$I$7:$I$256)&gt;INDEX($O$58:$O$85,DAY(B80))),"Day over "&amp;INDEX($O$58:$O$85,DAY(B80))&amp;" h","✓")))))))))</f>
        <v/>
      </c>
      <c r="K80" s="1"/>
      <c r="L80" s="35" t="n">
        <v>46076</v>
      </c>
      <c r="M80" s="36" t="str">
        <f aca="false">TEXT(L80,"ddd")</f>
        <v>Mon</v>
      </c>
      <c r="N80" s="37" t="s">
        <v>93</v>
      </c>
      <c r="O80" s="37" t="n">
        <f aca="false">AvailHours</f>
        <v>8</v>
      </c>
      <c r="P80" s="24" t="n">
        <f aca="false">SUMIFS($I$7:$I$256,$B$7:$B$256,L80,$H$7:$H$256,"NTIME")</f>
        <v>0</v>
      </c>
      <c r="Q80" s="24" t="n">
        <f aca="false">SUMIFS($I$7:$I$256,$B$7:$B$256,L80,$H$7:$H$256,"P6")</f>
        <v>0</v>
      </c>
      <c r="R80" s="24" t="n">
        <f aca="false">IF(N80="Overhead only",O80,IF(AND(N80="Working",P80+Q80&gt;0),MAX(0,O80-P80-Q80),0))</f>
        <v>0</v>
      </c>
      <c r="S80" s="24" t="n">
        <f aca="false">IF(OR(N80="Working",N80="Overhead only"),MAX(0,P80+Q80-O80),0)</f>
        <v>0</v>
      </c>
      <c r="T80" s="24" t="n">
        <f aca="false">P80+Q80+R80</f>
        <v>0</v>
      </c>
      <c r="U80" s="24" t="str">
        <f aca="true">IF(N80="Working",IF(P80+Q80=0,IF(L80&lt;=TODAY(),"Not logged",""),IF(P80+Q80&gt;O80,IF(AllowOT="Yes","Overtime","Over "&amp;O80&amp;" h!"),"✓")),IF(N80="Overhead only","✓ Overhead day",IF(P80+Q80&gt;0,"Entries on "&amp;LOWER(N80)&amp;" day",N80)))</f>
        <v>Not logged</v>
      </c>
      <c r="V80" s="1"/>
      <c r="W80" s="1" t="str">
        <f aca="false">IF(Projects!B78="","",Projects!B78)</f>
        <v/>
      </c>
      <c r="X80" s="1" t="n">
        <f aca="false">IF(W80="",0,SUMIFS($I$7:$I$256,$D$7:$D$256,W80,$H$7:$H$256,"NTIME"))</f>
        <v>0</v>
      </c>
      <c r="Y80" s="1" t="n">
        <f aca="false">IF(W80="",0,SUMIFS($I$7:$I$256,$D$7:$D$256,W80,$H$7:$H$256,"P6"))</f>
        <v>0</v>
      </c>
      <c r="Z80" s="1" t="n">
        <f aca="false">X80+Y80</f>
        <v>0</v>
      </c>
      <c r="AA80" s="1" t="n">
        <f aca="false">IF(Z80&gt;0,Z80+(201-74)/10^6,0)</f>
        <v>0</v>
      </c>
      <c r="AB80" s="1"/>
      <c r="AC80" s="1"/>
      <c r="AD80" s="1"/>
      <c r="AE80" s="1"/>
      <c r="AF80" s="1"/>
      <c r="AG80" s="1"/>
      <c r="AH80" s="1"/>
    </row>
    <row r="81" customFormat="false" ht="15" hidden="false" customHeight="false" outlineLevel="0" collapsed="false">
      <c r="A81" s="1"/>
      <c r="B81" s="10"/>
      <c r="C81" s="31" t="str">
        <f aca="false">IF(B81="","",TEXT(B81,"ddd"))</f>
        <v/>
      </c>
      <c r="D81" s="11"/>
      <c r="E81" s="8" t="str">
        <f aca="false">IF(D81="","",IFERROR(INDEX(ProjNumbers,MATCH(D81,ProjNames,0)),""))</f>
        <v/>
      </c>
      <c r="F81" s="8" t="str">
        <f aca="false">IF(D81="","",IFERROR(INDEX(ProjCodes,MATCH(D81,ProjNames,0)),""))</f>
        <v/>
      </c>
      <c r="G81" s="32"/>
      <c r="H81" s="11"/>
      <c r="I81" s="33"/>
      <c r="J81" s="8" t="str">
        <f aca="false">IF(COUNTA(B81,D81,G81,H81,I81)=0,"",IF(B81="","Enter date",IF(OR(B81&lt;$AC$2,B81&gt;$AC$3),"Date not in February",IF(D81="","Pick project",IF(ISNA(MATCH(D81,ProjNames,0)),"Project not in list",IF(G81="","Add task description",IF(H81="","Pick NTIME or P6",IF(N(I81)&lt;=0,"Enter hours",IF(AND(AllowOT&lt;&gt;"Yes",SUMIF($B$7:$B$256,B81,$I$7:$I$256)&gt;INDEX($O$58:$O$85,DAY(B81))),"Day over "&amp;INDEX($O$58:$O$85,DAY(B81))&amp;" h","✓")))))))))</f>
        <v/>
      </c>
      <c r="K81" s="1"/>
      <c r="L81" s="35" t="n">
        <v>46077</v>
      </c>
      <c r="M81" s="36" t="str">
        <f aca="false">TEXT(L81,"ddd")</f>
        <v>Tue</v>
      </c>
      <c r="N81" s="37" t="s">
        <v>93</v>
      </c>
      <c r="O81" s="37" t="n">
        <f aca="false">AvailHours</f>
        <v>8</v>
      </c>
      <c r="P81" s="24" t="n">
        <f aca="false">SUMIFS($I$7:$I$256,$B$7:$B$256,L81,$H$7:$H$256,"NTIME")</f>
        <v>0</v>
      </c>
      <c r="Q81" s="24" t="n">
        <f aca="false">SUMIFS($I$7:$I$256,$B$7:$B$256,L81,$H$7:$H$256,"P6")</f>
        <v>0</v>
      </c>
      <c r="R81" s="24" t="n">
        <f aca="false">IF(N81="Overhead only",O81,IF(AND(N81="Working",P81+Q81&gt;0),MAX(0,O81-P81-Q81),0))</f>
        <v>0</v>
      </c>
      <c r="S81" s="24" t="n">
        <f aca="false">IF(OR(N81="Working",N81="Overhead only"),MAX(0,P81+Q81-O81),0)</f>
        <v>0</v>
      </c>
      <c r="T81" s="24" t="n">
        <f aca="false">P81+Q81+R81</f>
        <v>0</v>
      </c>
      <c r="U81" s="24" t="str">
        <f aca="true">IF(N81="Working",IF(P81+Q81=0,IF(L81&lt;=TODAY(),"Not logged",""),IF(P81+Q81&gt;O81,IF(AllowOT="Yes","Overtime","Over "&amp;O81&amp;" h!"),"✓")),IF(N81="Overhead only","✓ Overhead day",IF(P81+Q81&gt;0,"Entries on "&amp;LOWER(N81)&amp;" day",N81)))</f>
        <v>Not logged</v>
      </c>
      <c r="V81" s="1"/>
      <c r="W81" s="1" t="str">
        <f aca="false">IF(Projects!B79="","",Projects!B79)</f>
        <v/>
      </c>
      <c r="X81" s="1" t="n">
        <f aca="false">IF(W81="",0,SUMIFS($I$7:$I$256,$D$7:$D$256,W81,$H$7:$H$256,"NTIME"))</f>
        <v>0</v>
      </c>
      <c r="Y81" s="1" t="n">
        <f aca="false">IF(W81="",0,SUMIFS($I$7:$I$256,$D$7:$D$256,W81,$H$7:$H$256,"P6"))</f>
        <v>0</v>
      </c>
      <c r="Z81" s="1" t="n">
        <f aca="false">X81+Y81</f>
        <v>0</v>
      </c>
      <c r="AA81" s="1" t="n">
        <f aca="false">IF(Z81&gt;0,Z81+(201-75)/10^6,0)</f>
        <v>0</v>
      </c>
      <c r="AB81" s="1"/>
      <c r="AC81" s="1"/>
      <c r="AD81" s="1"/>
      <c r="AE81" s="1"/>
      <c r="AF81" s="1"/>
      <c r="AG81" s="1"/>
      <c r="AH81" s="1"/>
    </row>
    <row r="82" customFormat="false" ht="15" hidden="false" customHeight="false" outlineLevel="0" collapsed="false">
      <c r="A82" s="1"/>
      <c r="B82" s="10"/>
      <c r="C82" s="31" t="str">
        <f aca="false">IF(B82="","",TEXT(B82,"ddd"))</f>
        <v/>
      </c>
      <c r="D82" s="11"/>
      <c r="E82" s="8" t="str">
        <f aca="false">IF(D82="","",IFERROR(INDEX(ProjNumbers,MATCH(D82,ProjNames,0)),""))</f>
        <v/>
      </c>
      <c r="F82" s="8" t="str">
        <f aca="false">IF(D82="","",IFERROR(INDEX(ProjCodes,MATCH(D82,ProjNames,0)),""))</f>
        <v/>
      </c>
      <c r="G82" s="32"/>
      <c r="H82" s="11"/>
      <c r="I82" s="33"/>
      <c r="J82" s="8" t="str">
        <f aca="false">IF(COUNTA(B82,D82,G82,H82,I82)=0,"",IF(B82="","Enter date",IF(OR(B82&lt;$AC$2,B82&gt;$AC$3),"Date not in February",IF(D82="","Pick project",IF(ISNA(MATCH(D82,ProjNames,0)),"Project not in list",IF(G82="","Add task description",IF(H82="","Pick NTIME or P6",IF(N(I82)&lt;=0,"Enter hours",IF(AND(AllowOT&lt;&gt;"Yes",SUMIF($B$7:$B$256,B82,$I$7:$I$256)&gt;INDEX($O$58:$O$85,DAY(B82))),"Day over "&amp;INDEX($O$58:$O$85,DAY(B82))&amp;" h","✓")))))))))</f>
        <v/>
      </c>
      <c r="K82" s="1"/>
      <c r="L82" s="35" t="n">
        <v>46078</v>
      </c>
      <c r="M82" s="36" t="str">
        <f aca="false">TEXT(L82,"ddd")</f>
        <v>Wed</v>
      </c>
      <c r="N82" s="37" t="s">
        <v>93</v>
      </c>
      <c r="O82" s="37" t="n">
        <f aca="false">AvailHours</f>
        <v>8</v>
      </c>
      <c r="P82" s="24" t="n">
        <f aca="false">SUMIFS($I$7:$I$256,$B$7:$B$256,L82,$H$7:$H$256,"NTIME")</f>
        <v>0</v>
      </c>
      <c r="Q82" s="24" t="n">
        <f aca="false">SUMIFS($I$7:$I$256,$B$7:$B$256,L82,$H$7:$H$256,"P6")</f>
        <v>0</v>
      </c>
      <c r="R82" s="24" t="n">
        <f aca="false">IF(N82="Overhead only",O82,IF(AND(N82="Working",P82+Q82&gt;0),MAX(0,O82-P82-Q82),0))</f>
        <v>0</v>
      </c>
      <c r="S82" s="24" t="n">
        <f aca="false">IF(OR(N82="Working",N82="Overhead only"),MAX(0,P82+Q82-O82),0)</f>
        <v>0</v>
      </c>
      <c r="T82" s="24" t="n">
        <f aca="false">P82+Q82+R82</f>
        <v>0</v>
      </c>
      <c r="U82" s="24" t="str">
        <f aca="true">IF(N82="Working",IF(P82+Q82=0,IF(L82&lt;=TODAY(),"Not logged",""),IF(P82+Q82&gt;O82,IF(AllowOT="Yes","Overtime","Over "&amp;O82&amp;" h!"),"✓")),IF(N82="Overhead only","✓ Overhead day",IF(P82+Q82&gt;0,"Entries on "&amp;LOWER(N82)&amp;" day",N82)))</f>
        <v>Not logged</v>
      </c>
      <c r="V82" s="1"/>
      <c r="W82" s="1" t="str">
        <f aca="false">IF(Projects!B80="","",Projects!B80)</f>
        <v/>
      </c>
      <c r="X82" s="1" t="n">
        <f aca="false">IF(W82="",0,SUMIFS($I$7:$I$256,$D$7:$D$256,W82,$H$7:$H$256,"NTIME"))</f>
        <v>0</v>
      </c>
      <c r="Y82" s="1" t="n">
        <f aca="false">IF(W82="",0,SUMIFS($I$7:$I$256,$D$7:$D$256,W82,$H$7:$H$256,"P6"))</f>
        <v>0</v>
      </c>
      <c r="Z82" s="1" t="n">
        <f aca="false">X82+Y82</f>
        <v>0</v>
      </c>
      <c r="AA82" s="1" t="n">
        <f aca="false">IF(Z82&gt;0,Z82+(201-76)/10^6,0)</f>
        <v>0</v>
      </c>
      <c r="AB82" s="1"/>
      <c r="AC82" s="1"/>
      <c r="AD82" s="1"/>
      <c r="AE82" s="1"/>
      <c r="AF82" s="1"/>
      <c r="AG82" s="1"/>
      <c r="AH82" s="1"/>
    </row>
    <row r="83" customFormat="false" ht="15" hidden="false" customHeight="false" outlineLevel="0" collapsed="false">
      <c r="A83" s="1"/>
      <c r="B83" s="10"/>
      <c r="C83" s="31" t="str">
        <f aca="false">IF(B83="","",TEXT(B83,"ddd"))</f>
        <v/>
      </c>
      <c r="D83" s="11"/>
      <c r="E83" s="8" t="str">
        <f aca="false">IF(D83="","",IFERROR(INDEX(ProjNumbers,MATCH(D83,ProjNames,0)),""))</f>
        <v/>
      </c>
      <c r="F83" s="8" t="str">
        <f aca="false">IF(D83="","",IFERROR(INDEX(ProjCodes,MATCH(D83,ProjNames,0)),""))</f>
        <v/>
      </c>
      <c r="G83" s="32"/>
      <c r="H83" s="11"/>
      <c r="I83" s="33"/>
      <c r="J83" s="8" t="str">
        <f aca="false">IF(COUNTA(B83,D83,G83,H83,I83)=0,"",IF(B83="","Enter date",IF(OR(B83&lt;$AC$2,B83&gt;$AC$3),"Date not in February",IF(D83="","Pick project",IF(ISNA(MATCH(D83,ProjNames,0)),"Project not in list",IF(G83="","Add task description",IF(H83="","Pick NTIME or P6",IF(N(I83)&lt;=0,"Enter hours",IF(AND(AllowOT&lt;&gt;"Yes",SUMIF($B$7:$B$256,B83,$I$7:$I$256)&gt;INDEX($O$58:$O$85,DAY(B83))),"Day over "&amp;INDEX($O$58:$O$85,DAY(B83))&amp;" h","✓")))))))))</f>
        <v/>
      </c>
      <c r="K83" s="1"/>
      <c r="L83" s="35" t="n">
        <v>46079</v>
      </c>
      <c r="M83" s="36" t="str">
        <f aca="false">TEXT(L83,"ddd")</f>
        <v>Thu</v>
      </c>
      <c r="N83" s="37" t="s">
        <v>93</v>
      </c>
      <c r="O83" s="37" t="n">
        <f aca="false">AvailHours</f>
        <v>8</v>
      </c>
      <c r="P83" s="24" t="n">
        <f aca="false">SUMIFS($I$7:$I$256,$B$7:$B$256,L83,$H$7:$H$256,"NTIME")</f>
        <v>0</v>
      </c>
      <c r="Q83" s="24" t="n">
        <f aca="false">SUMIFS($I$7:$I$256,$B$7:$B$256,L83,$H$7:$H$256,"P6")</f>
        <v>0</v>
      </c>
      <c r="R83" s="24" t="n">
        <f aca="false">IF(N83="Overhead only",O83,IF(AND(N83="Working",P83+Q83&gt;0),MAX(0,O83-P83-Q83),0))</f>
        <v>0</v>
      </c>
      <c r="S83" s="24" t="n">
        <f aca="false">IF(OR(N83="Working",N83="Overhead only"),MAX(0,P83+Q83-O83),0)</f>
        <v>0</v>
      </c>
      <c r="T83" s="24" t="n">
        <f aca="false">P83+Q83+R83</f>
        <v>0</v>
      </c>
      <c r="U83" s="24" t="str">
        <f aca="true">IF(N83="Working",IF(P83+Q83=0,IF(L83&lt;=TODAY(),"Not logged",""),IF(P83+Q83&gt;O83,IF(AllowOT="Yes","Overtime","Over "&amp;O83&amp;" h!"),"✓")),IF(N83="Overhead only","✓ Overhead day",IF(P83+Q83&gt;0,"Entries on "&amp;LOWER(N83)&amp;" day",N83)))</f>
        <v>Not logged</v>
      </c>
      <c r="V83" s="1"/>
      <c r="W83" s="1" t="str">
        <f aca="false">IF(Projects!B81="","",Projects!B81)</f>
        <v/>
      </c>
      <c r="X83" s="1" t="n">
        <f aca="false">IF(W83="",0,SUMIFS($I$7:$I$256,$D$7:$D$256,W83,$H$7:$H$256,"NTIME"))</f>
        <v>0</v>
      </c>
      <c r="Y83" s="1" t="n">
        <f aca="false">IF(W83="",0,SUMIFS($I$7:$I$256,$D$7:$D$256,W83,$H$7:$H$256,"P6"))</f>
        <v>0</v>
      </c>
      <c r="Z83" s="1" t="n">
        <f aca="false">X83+Y83</f>
        <v>0</v>
      </c>
      <c r="AA83" s="1" t="n">
        <f aca="false">IF(Z83&gt;0,Z83+(201-77)/10^6,0)</f>
        <v>0</v>
      </c>
      <c r="AB83" s="1"/>
      <c r="AC83" s="1"/>
      <c r="AD83" s="1"/>
      <c r="AE83" s="1"/>
      <c r="AF83" s="1"/>
      <c r="AG83" s="1"/>
      <c r="AH83" s="1"/>
    </row>
    <row r="84" customFormat="false" ht="15" hidden="false" customHeight="false" outlineLevel="0" collapsed="false">
      <c r="A84" s="1"/>
      <c r="B84" s="10"/>
      <c r="C84" s="31" t="str">
        <f aca="false">IF(B84="","",TEXT(B84,"ddd"))</f>
        <v/>
      </c>
      <c r="D84" s="11"/>
      <c r="E84" s="8" t="str">
        <f aca="false">IF(D84="","",IFERROR(INDEX(ProjNumbers,MATCH(D84,ProjNames,0)),""))</f>
        <v/>
      </c>
      <c r="F84" s="8" t="str">
        <f aca="false">IF(D84="","",IFERROR(INDEX(ProjCodes,MATCH(D84,ProjNames,0)),""))</f>
        <v/>
      </c>
      <c r="G84" s="32"/>
      <c r="H84" s="11"/>
      <c r="I84" s="33"/>
      <c r="J84" s="8" t="str">
        <f aca="false">IF(COUNTA(B84,D84,G84,H84,I84)=0,"",IF(B84="","Enter date",IF(OR(B84&lt;$AC$2,B84&gt;$AC$3),"Date not in February",IF(D84="","Pick project",IF(ISNA(MATCH(D84,ProjNames,0)),"Project not in list",IF(G84="","Add task description",IF(H84="","Pick NTIME or P6",IF(N(I84)&lt;=0,"Enter hours",IF(AND(AllowOT&lt;&gt;"Yes",SUMIF($B$7:$B$256,B84,$I$7:$I$256)&gt;INDEX($O$58:$O$85,DAY(B84))),"Day over "&amp;INDEX($O$58:$O$85,DAY(B84))&amp;" h","✓")))))))))</f>
        <v/>
      </c>
      <c r="K84" s="1"/>
      <c r="L84" s="35" t="n">
        <v>46080</v>
      </c>
      <c r="M84" s="36" t="str">
        <f aca="false">TEXT(L84,"ddd")</f>
        <v>Fri</v>
      </c>
      <c r="N84" s="37" t="s">
        <v>93</v>
      </c>
      <c r="O84" s="37" t="n">
        <f aca="false">AvailHours</f>
        <v>8</v>
      </c>
      <c r="P84" s="24" t="n">
        <f aca="false">SUMIFS($I$7:$I$256,$B$7:$B$256,L84,$H$7:$H$256,"NTIME")</f>
        <v>0</v>
      </c>
      <c r="Q84" s="24" t="n">
        <f aca="false">SUMIFS($I$7:$I$256,$B$7:$B$256,L84,$H$7:$H$256,"P6")</f>
        <v>0</v>
      </c>
      <c r="R84" s="24" t="n">
        <f aca="false">IF(N84="Overhead only",O84,IF(AND(N84="Working",P84+Q84&gt;0),MAX(0,O84-P84-Q84),0))</f>
        <v>0</v>
      </c>
      <c r="S84" s="24" t="n">
        <f aca="false">IF(OR(N84="Working",N84="Overhead only"),MAX(0,P84+Q84-O84),0)</f>
        <v>0</v>
      </c>
      <c r="T84" s="24" t="n">
        <f aca="false">P84+Q84+R84</f>
        <v>0</v>
      </c>
      <c r="U84" s="24" t="str">
        <f aca="true">IF(N84="Working",IF(P84+Q84=0,IF(L84&lt;=TODAY(),"Not logged",""),IF(P84+Q84&gt;O84,IF(AllowOT="Yes","Overtime","Over "&amp;O84&amp;" h!"),"✓")),IF(N84="Overhead only","✓ Overhead day",IF(P84+Q84&gt;0,"Entries on "&amp;LOWER(N84)&amp;" day",N84)))</f>
        <v>Not logged</v>
      </c>
      <c r="V84" s="1"/>
      <c r="W84" s="1" t="str">
        <f aca="false">IF(Projects!B82="","",Projects!B82)</f>
        <v/>
      </c>
      <c r="X84" s="1" t="n">
        <f aca="false">IF(W84="",0,SUMIFS($I$7:$I$256,$D$7:$D$256,W84,$H$7:$H$256,"NTIME"))</f>
        <v>0</v>
      </c>
      <c r="Y84" s="1" t="n">
        <f aca="false">IF(W84="",0,SUMIFS($I$7:$I$256,$D$7:$D$256,W84,$H$7:$H$256,"P6"))</f>
        <v>0</v>
      </c>
      <c r="Z84" s="1" t="n">
        <f aca="false">X84+Y84</f>
        <v>0</v>
      </c>
      <c r="AA84" s="1" t="n">
        <f aca="false">IF(Z84&gt;0,Z84+(201-78)/10^6,0)</f>
        <v>0</v>
      </c>
      <c r="AB84" s="1"/>
      <c r="AC84" s="1"/>
      <c r="AD84" s="1"/>
      <c r="AE84" s="1"/>
      <c r="AF84" s="1"/>
      <c r="AG84" s="1"/>
      <c r="AH84" s="1"/>
    </row>
    <row r="85" customFormat="false" ht="15" hidden="false" customHeight="false" outlineLevel="0" collapsed="false">
      <c r="A85" s="1"/>
      <c r="B85" s="10"/>
      <c r="C85" s="31" t="str">
        <f aca="false">IF(B85="","",TEXT(B85,"ddd"))</f>
        <v/>
      </c>
      <c r="D85" s="11"/>
      <c r="E85" s="8" t="str">
        <f aca="false">IF(D85="","",IFERROR(INDEX(ProjNumbers,MATCH(D85,ProjNames,0)),""))</f>
        <v/>
      </c>
      <c r="F85" s="8" t="str">
        <f aca="false">IF(D85="","",IFERROR(INDEX(ProjCodes,MATCH(D85,ProjNames,0)),""))</f>
        <v/>
      </c>
      <c r="G85" s="32"/>
      <c r="H85" s="11"/>
      <c r="I85" s="33"/>
      <c r="J85" s="8" t="str">
        <f aca="false">IF(COUNTA(B85,D85,G85,H85,I85)=0,"",IF(B85="","Enter date",IF(OR(B85&lt;$AC$2,B85&gt;$AC$3),"Date not in February",IF(D85="","Pick project",IF(ISNA(MATCH(D85,ProjNames,0)),"Project not in list",IF(G85="","Add task description",IF(H85="","Pick NTIME or P6",IF(N(I85)&lt;=0,"Enter hours",IF(AND(AllowOT&lt;&gt;"Yes",SUMIF($B$7:$B$256,B85,$I$7:$I$256)&gt;INDEX($O$58:$O$85,DAY(B85))),"Day over "&amp;INDEX($O$58:$O$85,DAY(B85))&amp;" h","✓")))))))))</f>
        <v/>
      </c>
      <c r="K85" s="1"/>
      <c r="L85" s="35" t="n">
        <v>46081</v>
      </c>
      <c r="M85" s="36" t="str">
        <f aca="false">TEXT(L85,"ddd")</f>
        <v>Sat</v>
      </c>
      <c r="N85" s="37" t="s">
        <v>94</v>
      </c>
      <c r="O85" s="37" t="n">
        <f aca="false">AvailHours</f>
        <v>8</v>
      </c>
      <c r="P85" s="24" t="n">
        <f aca="false">SUMIFS($I$7:$I$256,$B$7:$B$256,L85,$H$7:$H$256,"NTIME")</f>
        <v>0</v>
      </c>
      <c r="Q85" s="24" t="n">
        <f aca="false">SUMIFS($I$7:$I$256,$B$7:$B$256,L85,$H$7:$H$256,"P6")</f>
        <v>0</v>
      </c>
      <c r="R85" s="24" t="n">
        <f aca="false">IF(N85="Overhead only",O85,IF(AND(N85="Working",P85+Q85&gt;0),MAX(0,O85-P85-Q85),0))</f>
        <v>0</v>
      </c>
      <c r="S85" s="24" t="n">
        <f aca="false">IF(OR(N85="Working",N85="Overhead only"),MAX(0,P85+Q85-O85),0)</f>
        <v>0</v>
      </c>
      <c r="T85" s="24" t="n">
        <f aca="false">P85+Q85+R85</f>
        <v>0</v>
      </c>
      <c r="U85" s="24" t="str">
        <f aca="true">IF(N85="Working",IF(P85+Q85=0,IF(L85&lt;=TODAY(),"Not logged",""),IF(P85+Q85&gt;O85,IF(AllowOT="Yes","Overtime","Over "&amp;O85&amp;" h!"),"✓")),IF(N85="Overhead only","✓ Overhead day",IF(P85+Q85&gt;0,"Entries on "&amp;LOWER(N85)&amp;" day",N85)))</f>
        <v>Weekend</v>
      </c>
      <c r="V85" s="1"/>
      <c r="W85" s="1" t="str">
        <f aca="false">IF(Projects!B83="","",Projects!B83)</f>
        <v/>
      </c>
      <c r="X85" s="1" t="n">
        <f aca="false">IF(W85="",0,SUMIFS($I$7:$I$256,$D$7:$D$256,W85,$H$7:$H$256,"NTIME"))</f>
        <v>0</v>
      </c>
      <c r="Y85" s="1" t="n">
        <f aca="false">IF(W85="",0,SUMIFS($I$7:$I$256,$D$7:$D$256,W85,$H$7:$H$256,"P6"))</f>
        <v>0</v>
      </c>
      <c r="Z85" s="1" t="n">
        <f aca="false">X85+Y85</f>
        <v>0</v>
      </c>
      <c r="AA85" s="1" t="n">
        <f aca="false">IF(Z85&gt;0,Z85+(201-79)/10^6,0)</f>
        <v>0</v>
      </c>
      <c r="AB85" s="1"/>
      <c r="AC85" s="1"/>
      <c r="AD85" s="1"/>
      <c r="AE85" s="1"/>
      <c r="AF85" s="1"/>
      <c r="AG85" s="1"/>
      <c r="AH85" s="1"/>
    </row>
    <row r="86" customFormat="false" ht="15" hidden="false" customHeight="false" outlineLevel="0" collapsed="false">
      <c r="A86" s="1"/>
      <c r="B86" s="10"/>
      <c r="C86" s="31" t="str">
        <f aca="false">IF(B86="","",TEXT(B86,"ddd"))</f>
        <v/>
      </c>
      <c r="D86" s="11"/>
      <c r="E86" s="8" t="str">
        <f aca="false">IF(D86="","",IFERROR(INDEX(ProjNumbers,MATCH(D86,ProjNames,0)),""))</f>
        <v/>
      </c>
      <c r="F86" s="8" t="str">
        <f aca="false">IF(D86="","",IFERROR(INDEX(ProjCodes,MATCH(D86,ProjNames,0)),""))</f>
        <v/>
      </c>
      <c r="G86" s="32"/>
      <c r="H86" s="11"/>
      <c r="I86" s="33"/>
      <c r="J86" s="8" t="str">
        <f aca="false">IF(COUNTA(B86,D86,G86,H86,I86)=0,"",IF(B86="","Enter date",IF(OR(B86&lt;$AC$2,B86&gt;$AC$3),"Date not in February",IF(D86="","Pick project",IF(ISNA(MATCH(D86,ProjNames,0)),"Project not in list",IF(G86="","Add task description",IF(H86="","Pick NTIME or P6",IF(N(I86)&lt;=0,"Enter hours",IF(AND(AllowOT&lt;&gt;"Yes",SUMIF($B$7:$B$256,B86,$I$7:$I$256)&gt;INDEX($O$58:$O$85,DAY(B86))),"Day over "&amp;INDEX($O$58:$O$85,DAY(B86))&amp;" h","✓")))))))))</f>
        <v/>
      </c>
      <c r="K86" s="1"/>
      <c r="L86" s="27" t="s">
        <v>84</v>
      </c>
      <c r="M86" s="27"/>
      <c r="N86" s="27"/>
      <c r="O86" s="27"/>
      <c r="P86" s="27" t="n">
        <f aca="false">SUM(P58:P85)</f>
        <v>0</v>
      </c>
      <c r="Q86" s="27" t="n">
        <f aca="false">SUM(Q58:Q85)</f>
        <v>0</v>
      </c>
      <c r="R86" s="27" t="n">
        <f aca="false">SUM(R58:R85)</f>
        <v>0</v>
      </c>
      <c r="S86" s="27" t="n">
        <f aca="false">SUM(S58:S85)</f>
        <v>0</v>
      </c>
      <c r="T86" s="27" t="n">
        <f aca="false">SUM(T58:T85)</f>
        <v>0</v>
      </c>
      <c r="U86" s="27"/>
      <c r="V86" s="1"/>
      <c r="W86" s="1" t="str">
        <f aca="false">IF(Projects!B84="","",Projects!B84)</f>
        <v/>
      </c>
      <c r="X86" s="1" t="n">
        <f aca="false">IF(W86="",0,SUMIFS($I$7:$I$256,$D$7:$D$256,W86,$H$7:$H$256,"NTIME"))</f>
        <v>0</v>
      </c>
      <c r="Y86" s="1" t="n">
        <f aca="false">IF(W86="",0,SUMIFS($I$7:$I$256,$D$7:$D$256,W86,$H$7:$H$256,"P6"))</f>
        <v>0</v>
      </c>
      <c r="Z86" s="1" t="n">
        <f aca="false">X86+Y86</f>
        <v>0</v>
      </c>
      <c r="AA86" s="1" t="n">
        <f aca="false">IF(Z86&gt;0,Z86+(201-80)/10^6,0)</f>
        <v>0</v>
      </c>
      <c r="AB86" s="1"/>
      <c r="AC86" s="1"/>
      <c r="AD86" s="1"/>
      <c r="AE86" s="1"/>
      <c r="AF86" s="1"/>
      <c r="AG86" s="1"/>
      <c r="AH86" s="1"/>
    </row>
    <row r="87" customFormat="false" ht="15" hidden="false" customHeight="false" outlineLevel="0" collapsed="false">
      <c r="A87" s="1"/>
      <c r="B87" s="10"/>
      <c r="C87" s="31" t="str">
        <f aca="false">IF(B87="","",TEXT(B87,"ddd"))</f>
        <v/>
      </c>
      <c r="D87" s="11"/>
      <c r="E87" s="8" t="str">
        <f aca="false">IF(D87="","",IFERROR(INDEX(ProjNumbers,MATCH(D87,ProjNames,0)),""))</f>
        <v/>
      </c>
      <c r="F87" s="8" t="str">
        <f aca="false">IF(D87="","",IFERROR(INDEX(ProjCodes,MATCH(D87,ProjNames,0)),""))</f>
        <v/>
      </c>
      <c r="G87" s="32"/>
      <c r="H87" s="11"/>
      <c r="I87" s="33"/>
      <c r="J87" s="8" t="str">
        <f aca="false">IF(COUNTA(B87,D87,G87,H87,I87)=0,"",IF(B87="","Enter date",IF(OR(B87&lt;$AC$2,B87&gt;$AC$3),"Date not in February",IF(D87="","Pick project",IF(ISNA(MATCH(D87,ProjNames,0)),"Project not in list",IF(G87="","Add task description",IF(H87="","Pick NTIME or P6",IF(N(I87)&lt;=0,"Enter hours",IF(AND(AllowOT&lt;&gt;"Yes",SUMIF($B$7:$B$256,B87,$I$7:$I$256)&gt;INDEX($O$58:$O$85,DAY(B87))),"Day over "&amp;INDEX($O$58:$O$85,DAY(B87))&amp;" h","✓")))))))))</f>
        <v/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 t="str">
        <f aca="false">IF(Projects!B85="","",Projects!B85)</f>
        <v/>
      </c>
      <c r="X87" s="1" t="n">
        <f aca="false">IF(W87="",0,SUMIFS($I$7:$I$256,$D$7:$D$256,W87,$H$7:$H$256,"NTIME"))</f>
        <v>0</v>
      </c>
      <c r="Y87" s="1" t="n">
        <f aca="false">IF(W87="",0,SUMIFS($I$7:$I$256,$D$7:$D$256,W87,$H$7:$H$256,"P6"))</f>
        <v>0</v>
      </c>
      <c r="Z87" s="1" t="n">
        <f aca="false">X87+Y87</f>
        <v>0</v>
      </c>
      <c r="AA87" s="1" t="n">
        <f aca="false">IF(Z87&gt;0,Z87+(201-81)/10^6,0)</f>
        <v>0</v>
      </c>
      <c r="AB87" s="1"/>
      <c r="AC87" s="1"/>
      <c r="AD87" s="1"/>
      <c r="AE87" s="1"/>
      <c r="AF87" s="1"/>
      <c r="AG87" s="1"/>
      <c r="AH87" s="1"/>
    </row>
    <row r="88" customFormat="false" ht="15" hidden="false" customHeight="false" outlineLevel="0" collapsed="false">
      <c r="A88" s="1"/>
      <c r="B88" s="10"/>
      <c r="C88" s="31" t="str">
        <f aca="false">IF(B88="","",TEXT(B88,"ddd"))</f>
        <v/>
      </c>
      <c r="D88" s="11"/>
      <c r="E88" s="8" t="str">
        <f aca="false">IF(D88="","",IFERROR(INDEX(ProjNumbers,MATCH(D88,ProjNames,0)),""))</f>
        <v/>
      </c>
      <c r="F88" s="8" t="str">
        <f aca="false">IF(D88="","",IFERROR(INDEX(ProjCodes,MATCH(D88,ProjNames,0)),""))</f>
        <v/>
      </c>
      <c r="G88" s="32"/>
      <c r="H88" s="11"/>
      <c r="I88" s="33"/>
      <c r="J88" s="8" t="str">
        <f aca="false">IF(COUNTA(B88,D88,G88,H88,I88)=0,"",IF(B88="","Enter date",IF(OR(B88&lt;$AC$2,B88&gt;$AC$3),"Date not in February",IF(D88="","Pick project",IF(ISNA(MATCH(D88,ProjNames,0)),"Project not in list",IF(G88="","Add task description",IF(H88="","Pick NTIME or P6",IF(N(I88)&lt;=0,"Enter hours",IF(AND(AllowOT&lt;&gt;"Yes",SUMIF($B$7:$B$256,B88,$I$7:$I$256)&gt;INDEX($O$58:$O$85,DAY(B88))),"Day over "&amp;INDEX($O$58:$O$85,DAY(B88))&amp;" h","✓")))))))))</f>
        <v/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 t="str">
        <f aca="false">IF(Projects!B86="","",Projects!B86)</f>
        <v/>
      </c>
      <c r="X88" s="1" t="n">
        <f aca="false">IF(W88="",0,SUMIFS($I$7:$I$256,$D$7:$D$256,W88,$H$7:$H$256,"NTIME"))</f>
        <v>0</v>
      </c>
      <c r="Y88" s="1" t="n">
        <f aca="false">IF(W88="",0,SUMIFS($I$7:$I$256,$D$7:$D$256,W88,$H$7:$H$256,"P6"))</f>
        <v>0</v>
      </c>
      <c r="Z88" s="1" t="n">
        <f aca="false">X88+Y88</f>
        <v>0</v>
      </c>
      <c r="AA88" s="1" t="n">
        <f aca="false">IF(Z88&gt;0,Z88+(201-82)/10^6,0)</f>
        <v>0</v>
      </c>
      <c r="AB88" s="1"/>
      <c r="AC88" s="1"/>
      <c r="AD88" s="1"/>
      <c r="AE88" s="1"/>
      <c r="AF88" s="1"/>
      <c r="AG88" s="1"/>
      <c r="AH88" s="1"/>
    </row>
    <row r="89" customFormat="false" ht="15" hidden="false" customHeight="false" outlineLevel="0" collapsed="false">
      <c r="A89" s="1"/>
      <c r="B89" s="10"/>
      <c r="C89" s="31" t="str">
        <f aca="false">IF(B89="","",TEXT(B89,"ddd"))</f>
        <v/>
      </c>
      <c r="D89" s="11"/>
      <c r="E89" s="8" t="str">
        <f aca="false">IF(D89="","",IFERROR(INDEX(ProjNumbers,MATCH(D89,ProjNames,0)),""))</f>
        <v/>
      </c>
      <c r="F89" s="8" t="str">
        <f aca="false">IF(D89="","",IFERROR(INDEX(ProjCodes,MATCH(D89,ProjNames,0)),""))</f>
        <v/>
      </c>
      <c r="G89" s="32"/>
      <c r="H89" s="11"/>
      <c r="I89" s="33"/>
      <c r="J89" s="8" t="str">
        <f aca="false">IF(COUNTA(B89,D89,G89,H89,I89)=0,"",IF(B89="","Enter date",IF(OR(B89&lt;$AC$2,B89&gt;$AC$3),"Date not in February",IF(D89="","Pick project",IF(ISNA(MATCH(D89,ProjNames,0)),"Project not in list",IF(G89="","Add task description",IF(H89="","Pick NTIME or P6",IF(N(I89)&lt;=0,"Enter hours",IF(AND(AllowOT&lt;&gt;"Yes",SUMIF($B$7:$B$256,B89,$I$7:$I$256)&gt;INDEX($O$58:$O$85,DAY(B89))),"Day over "&amp;INDEX($O$58:$O$85,DAY(B89))&amp;" h","✓")))))))))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 t="str">
        <f aca="false">IF(Projects!B87="","",Projects!B87)</f>
        <v/>
      </c>
      <c r="X89" s="1" t="n">
        <f aca="false">IF(W89="",0,SUMIFS($I$7:$I$256,$D$7:$D$256,W89,$H$7:$H$256,"NTIME"))</f>
        <v>0</v>
      </c>
      <c r="Y89" s="1" t="n">
        <f aca="false">IF(W89="",0,SUMIFS($I$7:$I$256,$D$7:$D$256,W89,$H$7:$H$256,"P6"))</f>
        <v>0</v>
      </c>
      <c r="Z89" s="1" t="n">
        <f aca="false">X89+Y89</f>
        <v>0</v>
      </c>
      <c r="AA89" s="1" t="n">
        <f aca="false">IF(Z89&gt;0,Z89+(201-83)/10^6,0)</f>
        <v>0</v>
      </c>
      <c r="AB89" s="1"/>
      <c r="AC89" s="1"/>
      <c r="AD89" s="1"/>
      <c r="AE89" s="1"/>
      <c r="AF89" s="1"/>
      <c r="AG89" s="1"/>
      <c r="AH89" s="1"/>
    </row>
    <row r="90" customFormat="false" ht="15" hidden="false" customHeight="false" outlineLevel="0" collapsed="false">
      <c r="A90" s="1"/>
      <c r="B90" s="10"/>
      <c r="C90" s="31" t="str">
        <f aca="false">IF(B90="","",TEXT(B90,"ddd"))</f>
        <v/>
      </c>
      <c r="D90" s="11"/>
      <c r="E90" s="8" t="str">
        <f aca="false">IF(D90="","",IFERROR(INDEX(ProjNumbers,MATCH(D90,ProjNames,0)),""))</f>
        <v/>
      </c>
      <c r="F90" s="8" t="str">
        <f aca="false">IF(D90="","",IFERROR(INDEX(ProjCodes,MATCH(D90,ProjNames,0)),""))</f>
        <v/>
      </c>
      <c r="G90" s="32"/>
      <c r="H90" s="11"/>
      <c r="I90" s="33"/>
      <c r="J90" s="8" t="str">
        <f aca="false">IF(COUNTA(B90,D90,G90,H90,I90)=0,"",IF(B90="","Enter date",IF(OR(B90&lt;$AC$2,B90&gt;$AC$3),"Date not in February",IF(D90="","Pick project",IF(ISNA(MATCH(D90,ProjNames,0)),"Project not in list",IF(G90="","Add task description",IF(H90="","Pick NTIME or P6",IF(N(I90)&lt;=0,"Enter hours",IF(AND(AllowOT&lt;&gt;"Yes",SUMIF($B$7:$B$256,B90,$I$7:$I$256)&gt;INDEX($O$58:$O$85,DAY(B90))),"Day over "&amp;INDEX($O$58:$O$85,DAY(B90))&amp;" h","✓")))))))))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tr">
        <f aca="false">IF(Projects!B88="","",Projects!B88)</f>
        <v/>
      </c>
      <c r="X90" s="1" t="n">
        <f aca="false">IF(W90="",0,SUMIFS($I$7:$I$256,$D$7:$D$256,W90,$H$7:$H$256,"NTIME"))</f>
        <v>0</v>
      </c>
      <c r="Y90" s="1" t="n">
        <f aca="false">IF(W90="",0,SUMIFS($I$7:$I$256,$D$7:$D$256,W90,$H$7:$H$256,"P6"))</f>
        <v>0</v>
      </c>
      <c r="Z90" s="1" t="n">
        <f aca="false">X90+Y90</f>
        <v>0</v>
      </c>
      <c r="AA90" s="1" t="n">
        <f aca="false">IF(Z90&gt;0,Z90+(201-84)/10^6,0)</f>
        <v>0</v>
      </c>
      <c r="AB90" s="1"/>
      <c r="AC90" s="1"/>
      <c r="AD90" s="1"/>
      <c r="AE90" s="1"/>
      <c r="AF90" s="1"/>
      <c r="AG90" s="1"/>
      <c r="AH90" s="1"/>
    </row>
    <row r="91" customFormat="false" ht="15" hidden="false" customHeight="false" outlineLevel="0" collapsed="false">
      <c r="A91" s="1"/>
      <c r="B91" s="10"/>
      <c r="C91" s="31" t="str">
        <f aca="false">IF(B91="","",TEXT(B91,"ddd"))</f>
        <v/>
      </c>
      <c r="D91" s="11"/>
      <c r="E91" s="8" t="str">
        <f aca="false">IF(D91="","",IFERROR(INDEX(ProjNumbers,MATCH(D91,ProjNames,0)),""))</f>
        <v/>
      </c>
      <c r="F91" s="8" t="str">
        <f aca="false">IF(D91="","",IFERROR(INDEX(ProjCodes,MATCH(D91,ProjNames,0)),""))</f>
        <v/>
      </c>
      <c r="G91" s="32"/>
      <c r="H91" s="11"/>
      <c r="I91" s="33"/>
      <c r="J91" s="8" t="str">
        <f aca="false">IF(COUNTA(B91,D91,G91,H91,I91)=0,"",IF(B91="","Enter date",IF(OR(B91&lt;$AC$2,B91&gt;$AC$3),"Date not in February",IF(D91="","Pick project",IF(ISNA(MATCH(D91,ProjNames,0)),"Project not in list",IF(G91="","Add task description",IF(H91="","Pick NTIME or P6",IF(N(I91)&lt;=0,"Enter hours",IF(AND(AllowOT&lt;&gt;"Yes",SUMIF($B$7:$B$256,B91,$I$7:$I$256)&gt;INDEX($O$58:$O$85,DAY(B91))),"Day over "&amp;INDEX($O$58:$O$85,DAY(B91))&amp;" h","✓")))))))))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tr">
        <f aca="false">IF(Projects!B89="","",Projects!B89)</f>
        <v/>
      </c>
      <c r="X91" s="1" t="n">
        <f aca="false">IF(W91="",0,SUMIFS($I$7:$I$256,$D$7:$D$256,W91,$H$7:$H$256,"NTIME"))</f>
        <v>0</v>
      </c>
      <c r="Y91" s="1" t="n">
        <f aca="false">IF(W91="",0,SUMIFS($I$7:$I$256,$D$7:$D$256,W91,$H$7:$H$256,"P6"))</f>
        <v>0</v>
      </c>
      <c r="Z91" s="1" t="n">
        <f aca="false">X91+Y91</f>
        <v>0</v>
      </c>
      <c r="AA91" s="1" t="n">
        <f aca="false">IF(Z91&gt;0,Z91+(201-85)/10^6,0)</f>
        <v>0</v>
      </c>
      <c r="AB91" s="1"/>
      <c r="AC91" s="1"/>
      <c r="AD91" s="1"/>
      <c r="AE91" s="1"/>
      <c r="AF91" s="1"/>
      <c r="AG91" s="1"/>
      <c r="AH91" s="1"/>
    </row>
    <row r="92" customFormat="false" ht="15" hidden="false" customHeight="false" outlineLevel="0" collapsed="false">
      <c r="A92" s="1"/>
      <c r="B92" s="10"/>
      <c r="C92" s="31" t="str">
        <f aca="false">IF(B92="","",TEXT(B92,"ddd"))</f>
        <v/>
      </c>
      <c r="D92" s="11"/>
      <c r="E92" s="8" t="str">
        <f aca="false">IF(D92="","",IFERROR(INDEX(ProjNumbers,MATCH(D92,ProjNames,0)),""))</f>
        <v/>
      </c>
      <c r="F92" s="8" t="str">
        <f aca="false">IF(D92="","",IFERROR(INDEX(ProjCodes,MATCH(D92,ProjNames,0)),""))</f>
        <v/>
      </c>
      <c r="G92" s="32"/>
      <c r="H92" s="11"/>
      <c r="I92" s="33"/>
      <c r="J92" s="8" t="str">
        <f aca="false">IF(COUNTA(B92,D92,G92,H92,I92)=0,"",IF(B92="","Enter date",IF(OR(B92&lt;$AC$2,B92&gt;$AC$3),"Date not in February",IF(D92="","Pick project",IF(ISNA(MATCH(D92,ProjNames,0)),"Project not in list",IF(G92="","Add task description",IF(H92="","Pick NTIME or P6",IF(N(I92)&lt;=0,"Enter hours",IF(AND(AllowOT&lt;&gt;"Yes",SUMIF($B$7:$B$256,B92,$I$7:$I$256)&gt;INDEX($O$58:$O$85,DAY(B92))),"Day over "&amp;INDEX($O$58:$O$85,DAY(B92))&amp;" h","✓")))))))))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tr">
        <f aca="false">IF(Projects!B90="","",Projects!B90)</f>
        <v/>
      </c>
      <c r="X92" s="1" t="n">
        <f aca="false">IF(W92="",0,SUMIFS($I$7:$I$256,$D$7:$D$256,W92,$H$7:$H$256,"NTIME"))</f>
        <v>0</v>
      </c>
      <c r="Y92" s="1" t="n">
        <f aca="false">IF(W92="",0,SUMIFS($I$7:$I$256,$D$7:$D$256,W92,$H$7:$H$256,"P6"))</f>
        <v>0</v>
      </c>
      <c r="Z92" s="1" t="n">
        <f aca="false">X92+Y92</f>
        <v>0</v>
      </c>
      <c r="AA92" s="1" t="n">
        <f aca="false">IF(Z92&gt;0,Z92+(201-86)/10^6,0)</f>
        <v>0</v>
      </c>
      <c r="AB92" s="1"/>
      <c r="AC92" s="1"/>
      <c r="AD92" s="1"/>
      <c r="AE92" s="1"/>
      <c r="AF92" s="1"/>
      <c r="AG92" s="1"/>
      <c r="AH92" s="1"/>
    </row>
    <row r="93" customFormat="false" ht="15" hidden="false" customHeight="false" outlineLevel="0" collapsed="false">
      <c r="A93" s="1"/>
      <c r="B93" s="10"/>
      <c r="C93" s="31" t="str">
        <f aca="false">IF(B93="","",TEXT(B93,"ddd"))</f>
        <v/>
      </c>
      <c r="D93" s="11"/>
      <c r="E93" s="8" t="str">
        <f aca="false">IF(D93="","",IFERROR(INDEX(ProjNumbers,MATCH(D93,ProjNames,0)),""))</f>
        <v/>
      </c>
      <c r="F93" s="8" t="str">
        <f aca="false">IF(D93="","",IFERROR(INDEX(ProjCodes,MATCH(D93,ProjNames,0)),""))</f>
        <v/>
      </c>
      <c r="G93" s="32"/>
      <c r="H93" s="11"/>
      <c r="I93" s="33"/>
      <c r="J93" s="8" t="str">
        <f aca="false">IF(COUNTA(B93,D93,G93,H93,I93)=0,"",IF(B93="","Enter date",IF(OR(B93&lt;$AC$2,B93&gt;$AC$3),"Date not in February",IF(D93="","Pick project",IF(ISNA(MATCH(D93,ProjNames,0)),"Project not in list",IF(G93="","Add task description",IF(H93="","Pick NTIME or P6",IF(N(I93)&lt;=0,"Enter hours",IF(AND(AllowOT&lt;&gt;"Yes",SUMIF($B$7:$B$256,B93,$I$7:$I$256)&gt;INDEX($O$58:$O$85,DAY(B93))),"Day over "&amp;INDEX($O$58:$O$85,DAY(B93))&amp;" h","✓")))))))))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tr">
        <f aca="false">IF(Projects!B91="","",Projects!B91)</f>
        <v/>
      </c>
      <c r="X93" s="1" t="n">
        <f aca="false">IF(W93="",0,SUMIFS($I$7:$I$256,$D$7:$D$256,W93,$H$7:$H$256,"NTIME"))</f>
        <v>0</v>
      </c>
      <c r="Y93" s="1" t="n">
        <f aca="false">IF(W93="",0,SUMIFS($I$7:$I$256,$D$7:$D$256,W93,$H$7:$H$256,"P6"))</f>
        <v>0</v>
      </c>
      <c r="Z93" s="1" t="n">
        <f aca="false">X93+Y93</f>
        <v>0</v>
      </c>
      <c r="AA93" s="1" t="n">
        <f aca="false">IF(Z93&gt;0,Z93+(201-87)/10^6,0)</f>
        <v>0</v>
      </c>
      <c r="AB93" s="1"/>
      <c r="AC93" s="1"/>
      <c r="AD93" s="1"/>
      <c r="AE93" s="1"/>
      <c r="AF93" s="1"/>
      <c r="AG93" s="1"/>
      <c r="AH93" s="1"/>
    </row>
    <row r="94" customFormat="false" ht="15" hidden="false" customHeight="false" outlineLevel="0" collapsed="false">
      <c r="A94" s="1"/>
      <c r="B94" s="10"/>
      <c r="C94" s="31" t="str">
        <f aca="false">IF(B94="","",TEXT(B94,"ddd"))</f>
        <v/>
      </c>
      <c r="D94" s="11"/>
      <c r="E94" s="8" t="str">
        <f aca="false">IF(D94="","",IFERROR(INDEX(ProjNumbers,MATCH(D94,ProjNames,0)),""))</f>
        <v/>
      </c>
      <c r="F94" s="8" t="str">
        <f aca="false">IF(D94="","",IFERROR(INDEX(ProjCodes,MATCH(D94,ProjNames,0)),""))</f>
        <v/>
      </c>
      <c r="G94" s="32"/>
      <c r="H94" s="11"/>
      <c r="I94" s="33"/>
      <c r="J94" s="8" t="str">
        <f aca="false">IF(COUNTA(B94,D94,G94,H94,I94)=0,"",IF(B94="","Enter date",IF(OR(B94&lt;$AC$2,B94&gt;$AC$3),"Date not in February",IF(D94="","Pick project",IF(ISNA(MATCH(D94,ProjNames,0)),"Project not in list",IF(G94="","Add task description",IF(H94="","Pick NTIME or P6",IF(N(I94)&lt;=0,"Enter hours",IF(AND(AllowOT&lt;&gt;"Yes",SUMIF($B$7:$B$256,B94,$I$7:$I$256)&gt;INDEX($O$58:$O$85,DAY(B94))),"Day over "&amp;INDEX($O$58:$O$85,DAY(B94))&amp;" h","✓")))))))))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tr">
        <f aca="false">IF(Projects!B92="","",Projects!B92)</f>
        <v/>
      </c>
      <c r="X94" s="1" t="n">
        <f aca="false">IF(W94="",0,SUMIFS($I$7:$I$256,$D$7:$D$256,W94,$H$7:$H$256,"NTIME"))</f>
        <v>0</v>
      </c>
      <c r="Y94" s="1" t="n">
        <f aca="false">IF(W94="",0,SUMIFS($I$7:$I$256,$D$7:$D$256,W94,$H$7:$H$256,"P6"))</f>
        <v>0</v>
      </c>
      <c r="Z94" s="1" t="n">
        <f aca="false">X94+Y94</f>
        <v>0</v>
      </c>
      <c r="AA94" s="1" t="n">
        <f aca="false">IF(Z94&gt;0,Z94+(201-88)/10^6,0)</f>
        <v>0</v>
      </c>
      <c r="AB94" s="1"/>
      <c r="AC94" s="1"/>
      <c r="AD94" s="1"/>
      <c r="AE94" s="1"/>
      <c r="AF94" s="1"/>
      <c r="AG94" s="1"/>
      <c r="AH94" s="1"/>
    </row>
    <row r="95" customFormat="false" ht="15" hidden="false" customHeight="false" outlineLevel="0" collapsed="false">
      <c r="A95" s="1"/>
      <c r="B95" s="10"/>
      <c r="C95" s="31" t="str">
        <f aca="false">IF(B95="","",TEXT(B95,"ddd"))</f>
        <v/>
      </c>
      <c r="D95" s="11"/>
      <c r="E95" s="8" t="str">
        <f aca="false">IF(D95="","",IFERROR(INDEX(ProjNumbers,MATCH(D95,ProjNames,0)),""))</f>
        <v/>
      </c>
      <c r="F95" s="8" t="str">
        <f aca="false">IF(D95="","",IFERROR(INDEX(ProjCodes,MATCH(D95,ProjNames,0)),""))</f>
        <v/>
      </c>
      <c r="G95" s="32"/>
      <c r="H95" s="11"/>
      <c r="I95" s="33"/>
      <c r="J95" s="8" t="str">
        <f aca="false">IF(COUNTA(B95,D95,G95,H95,I95)=0,"",IF(B95="","Enter date",IF(OR(B95&lt;$AC$2,B95&gt;$AC$3),"Date not in February",IF(D95="","Pick project",IF(ISNA(MATCH(D95,ProjNames,0)),"Project not in list",IF(G95="","Add task description",IF(H95="","Pick NTIME or P6",IF(N(I95)&lt;=0,"Enter hours",IF(AND(AllowOT&lt;&gt;"Yes",SUMIF($B$7:$B$256,B95,$I$7:$I$256)&gt;INDEX($O$58:$O$85,DAY(B95))),"Day over "&amp;INDEX($O$58:$O$85,DAY(B95))&amp;" h","✓")))))))))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tr">
        <f aca="false">IF(Projects!B93="","",Projects!B93)</f>
        <v/>
      </c>
      <c r="X95" s="1" t="n">
        <f aca="false">IF(W95="",0,SUMIFS($I$7:$I$256,$D$7:$D$256,W95,$H$7:$H$256,"NTIME"))</f>
        <v>0</v>
      </c>
      <c r="Y95" s="1" t="n">
        <f aca="false">IF(W95="",0,SUMIFS($I$7:$I$256,$D$7:$D$256,W95,$H$7:$H$256,"P6"))</f>
        <v>0</v>
      </c>
      <c r="Z95" s="1" t="n">
        <f aca="false">X95+Y95</f>
        <v>0</v>
      </c>
      <c r="AA95" s="1" t="n">
        <f aca="false">IF(Z95&gt;0,Z95+(201-89)/10^6,0)</f>
        <v>0</v>
      </c>
      <c r="AB95" s="1"/>
      <c r="AC95" s="1"/>
      <c r="AD95" s="1"/>
      <c r="AE95" s="1"/>
      <c r="AF95" s="1"/>
      <c r="AG95" s="1"/>
      <c r="AH95" s="1"/>
    </row>
    <row r="96" customFormat="false" ht="15" hidden="false" customHeight="false" outlineLevel="0" collapsed="false">
      <c r="A96" s="1"/>
      <c r="B96" s="10"/>
      <c r="C96" s="31" t="str">
        <f aca="false">IF(B96="","",TEXT(B96,"ddd"))</f>
        <v/>
      </c>
      <c r="D96" s="11"/>
      <c r="E96" s="8" t="str">
        <f aca="false">IF(D96="","",IFERROR(INDEX(ProjNumbers,MATCH(D96,ProjNames,0)),""))</f>
        <v/>
      </c>
      <c r="F96" s="8" t="str">
        <f aca="false">IF(D96="","",IFERROR(INDEX(ProjCodes,MATCH(D96,ProjNames,0)),""))</f>
        <v/>
      </c>
      <c r="G96" s="32"/>
      <c r="H96" s="11"/>
      <c r="I96" s="33"/>
      <c r="J96" s="8" t="str">
        <f aca="false">IF(COUNTA(B96,D96,G96,H96,I96)=0,"",IF(B96="","Enter date",IF(OR(B96&lt;$AC$2,B96&gt;$AC$3),"Date not in February",IF(D96="","Pick project",IF(ISNA(MATCH(D96,ProjNames,0)),"Project not in list",IF(G96="","Add task description",IF(H96="","Pick NTIME or P6",IF(N(I96)&lt;=0,"Enter hours",IF(AND(AllowOT&lt;&gt;"Yes",SUMIF($B$7:$B$256,B96,$I$7:$I$256)&gt;INDEX($O$58:$O$85,DAY(B96))),"Day over "&amp;INDEX($O$58:$O$85,DAY(B96))&amp;" h","✓")))))))))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tr">
        <f aca="false">IF(Projects!B94="","",Projects!B94)</f>
        <v/>
      </c>
      <c r="X96" s="1" t="n">
        <f aca="false">IF(W96="",0,SUMIFS($I$7:$I$256,$D$7:$D$256,W96,$H$7:$H$256,"NTIME"))</f>
        <v>0</v>
      </c>
      <c r="Y96" s="1" t="n">
        <f aca="false">IF(W96="",0,SUMIFS($I$7:$I$256,$D$7:$D$256,W96,$H$7:$H$256,"P6"))</f>
        <v>0</v>
      </c>
      <c r="Z96" s="1" t="n">
        <f aca="false">X96+Y96</f>
        <v>0</v>
      </c>
      <c r="AA96" s="1" t="n">
        <f aca="false">IF(Z96&gt;0,Z96+(201-90)/10^6,0)</f>
        <v>0</v>
      </c>
      <c r="AB96" s="1"/>
      <c r="AC96" s="1"/>
      <c r="AD96" s="1"/>
      <c r="AE96" s="1"/>
      <c r="AF96" s="1"/>
      <c r="AG96" s="1"/>
      <c r="AH96" s="1"/>
    </row>
    <row r="97" customFormat="false" ht="15" hidden="false" customHeight="false" outlineLevel="0" collapsed="false">
      <c r="A97" s="1"/>
      <c r="B97" s="10"/>
      <c r="C97" s="31" t="str">
        <f aca="false">IF(B97="","",TEXT(B97,"ddd"))</f>
        <v/>
      </c>
      <c r="D97" s="11"/>
      <c r="E97" s="8" t="str">
        <f aca="false">IF(D97="","",IFERROR(INDEX(ProjNumbers,MATCH(D97,ProjNames,0)),""))</f>
        <v/>
      </c>
      <c r="F97" s="8" t="str">
        <f aca="false">IF(D97="","",IFERROR(INDEX(ProjCodes,MATCH(D97,ProjNames,0)),""))</f>
        <v/>
      </c>
      <c r="G97" s="32"/>
      <c r="H97" s="11"/>
      <c r="I97" s="33"/>
      <c r="J97" s="8" t="str">
        <f aca="false">IF(COUNTA(B97,D97,G97,H97,I97)=0,"",IF(B97="","Enter date",IF(OR(B97&lt;$AC$2,B97&gt;$AC$3),"Date not in February",IF(D97="","Pick project",IF(ISNA(MATCH(D97,ProjNames,0)),"Project not in list",IF(G97="","Add task description",IF(H97="","Pick NTIME or P6",IF(N(I97)&lt;=0,"Enter hours",IF(AND(AllowOT&lt;&gt;"Yes",SUMIF($B$7:$B$256,B97,$I$7:$I$256)&gt;INDEX($O$58:$O$85,DAY(B97))),"Day over "&amp;INDEX($O$58:$O$85,DAY(B97))&amp;" h","✓")))))))))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tr">
        <f aca="false">IF(Projects!B95="","",Projects!B95)</f>
        <v/>
      </c>
      <c r="X97" s="1" t="n">
        <f aca="false">IF(W97="",0,SUMIFS($I$7:$I$256,$D$7:$D$256,W97,$H$7:$H$256,"NTIME"))</f>
        <v>0</v>
      </c>
      <c r="Y97" s="1" t="n">
        <f aca="false">IF(W97="",0,SUMIFS($I$7:$I$256,$D$7:$D$256,W97,$H$7:$H$256,"P6"))</f>
        <v>0</v>
      </c>
      <c r="Z97" s="1" t="n">
        <f aca="false">X97+Y97</f>
        <v>0</v>
      </c>
      <c r="AA97" s="1" t="n">
        <f aca="false">IF(Z97&gt;0,Z97+(201-91)/10^6,0)</f>
        <v>0</v>
      </c>
      <c r="AB97" s="1"/>
      <c r="AC97" s="1"/>
      <c r="AD97" s="1"/>
      <c r="AE97" s="1"/>
      <c r="AF97" s="1"/>
      <c r="AG97" s="1"/>
      <c r="AH97" s="1"/>
    </row>
    <row r="98" customFormat="false" ht="15" hidden="false" customHeight="false" outlineLevel="0" collapsed="false">
      <c r="A98" s="1"/>
      <c r="B98" s="10"/>
      <c r="C98" s="31" t="str">
        <f aca="false">IF(B98="","",TEXT(B98,"ddd"))</f>
        <v/>
      </c>
      <c r="D98" s="11"/>
      <c r="E98" s="8" t="str">
        <f aca="false">IF(D98="","",IFERROR(INDEX(ProjNumbers,MATCH(D98,ProjNames,0)),""))</f>
        <v/>
      </c>
      <c r="F98" s="8" t="str">
        <f aca="false">IF(D98="","",IFERROR(INDEX(ProjCodes,MATCH(D98,ProjNames,0)),""))</f>
        <v/>
      </c>
      <c r="G98" s="32"/>
      <c r="H98" s="11"/>
      <c r="I98" s="33"/>
      <c r="J98" s="8" t="str">
        <f aca="false">IF(COUNTA(B98,D98,G98,H98,I98)=0,"",IF(B98="","Enter date",IF(OR(B98&lt;$AC$2,B98&gt;$AC$3),"Date not in February",IF(D98="","Pick project",IF(ISNA(MATCH(D98,ProjNames,0)),"Project not in list",IF(G98="","Add task description",IF(H98="","Pick NTIME or P6",IF(N(I98)&lt;=0,"Enter hours",IF(AND(AllowOT&lt;&gt;"Yes",SUMIF($B$7:$B$256,B98,$I$7:$I$256)&gt;INDEX($O$58:$O$85,DAY(B98))),"Day over "&amp;INDEX($O$58:$O$85,DAY(B98))&amp;" h","✓")))))))))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tr">
        <f aca="false">IF(Projects!B96="","",Projects!B96)</f>
        <v/>
      </c>
      <c r="X98" s="1" t="n">
        <f aca="false">IF(W98="",0,SUMIFS($I$7:$I$256,$D$7:$D$256,W98,$H$7:$H$256,"NTIME"))</f>
        <v>0</v>
      </c>
      <c r="Y98" s="1" t="n">
        <f aca="false">IF(W98="",0,SUMIFS($I$7:$I$256,$D$7:$D$256,W98,$H$7:$H$256,"P6"))</f>
        <v>0</v>
      </c>
      <c r="Z98" s="1" t="n">
        <f aca="false">X98+Y98</f>
        <v>0</v>
      </c>
      <c r="AA98" s="1" t="n">
        <f aca="false">IF(Z98&gt;0,Z98+(201-92)/10^6,0)</f>
        <v>0</v>
      </c>
      <c r="AB98" s="1"/>
      <c r="AC98" s="1"/>
      <c r="AD98" s="1"/>
      <c r="AE98" s="1"/>
      <c r="AF98" s="1"/>
      <c r="AG98" s="1"/>
      <c r="AH98" s="1"/>
    </row>
    <row r="99" customFormat="false" ht="15" hidden="false" customHeight="false" outlineLevel="0" collapsed="false">
      <c r="A99" s="1"/>
      <c r="B99" s="10"/>
      <c r="C99" s="31" t="str">
        <f aca="false">IF(B99="","",TEXT(B99,"ddd"))</f>
        <v/>
      </c>
      <c r="D99" s="11"/>
      <c r="E99" s="8" t="str">
        <f aca="false">IF(D99="","",IFERROR(INDEX(ProjNumbers,MATCH(D99,ProjNames,0)),""))</f>
        <v/>
      </c>
      <c r="F99" s="8" t="str">
        <f aca="false">IF(D99="","",IFERROR(INDEX(ProjCodes,MATCH(D99,ProjNames,0)),""))</f>
        <v/>
      </c>
      <c r="G99" s="32"/>
      <c r="H99" s="11"/>
      <c r="I99" s="33"/>
      <c r="J99" s="8" t="str">
        <f aca="false">IF(COUNTA(B99,D99,G99,H99,I99)=0,"",IF(B99="","Enter date",IF(OR(B99&lt;$AC$2,B99&gt;$AC$3),"Date not in February",IF(D99="","Pick project",IF(ISNA(MATCH(D99,ProjNames,0)),"Project not in list",IF(G99="","Add task description",IF(H99="","Pick NTIME or P6",IF(N(I99)&lt;=0,"Enter hours",IF(AND(AllowOT&lt;&gt;"Yes",SUMIF($B$7:$B$256,B99,$I$7:$I$256)&gt;INDEX($O$58:$O$85,DAY(B99))),"Day over "&amp;INDEX($O$58:$O$85,DAY(B99))&amp;" h","✓")))))))))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tr">
        <f aca="false">IF(Projects!B97="","",Projects!B97)</f>
        <v/>
      </c>
      <c r="X99" s="1" t="n">
        <f aca="false">IF(W99="",0,SUMIFS($I$7:$I$256,$D$7:$D$256,W99,$H$7:$H$256,"NTIME"))</f>
        <v>0</v>
      </c>
      <c r="Y99" s="1" t="n">
        <f aca="false">IF(W99="",0,SUMIFS($I$7:$I$256,$D$7:$D$256,W99,$H$7:$H$256,"P6"))</f>
        <v>0</v>
      </c>
      <c r="Z99" s="1" t="n">
        <f aca="false">X99+Y99</f>
        <v>0</v>
      </c>
      <c r="AA99" s="1" t="n">
        <f aca="false">IF(Z99&gt;0,Z99+(201-93)/10^6,0)</f>
        <v>0</v>
      </c>
      <c r="AB99" s="1"/>
      <c r="AC99" s="1"/>
      <c r="AD99" s="1"/>
      <c r="AE99" s="1"/>
      <c r="AF99" s="1"/>
      <c r="AG99" s="1"/>
      <c r="AH99" s="1"/>
    </row>
    <row r="100" customFormat="false" ht="15" hidden="false" customHeight="false" outlineLevel="0" collapsed="false">
      <c r="A100" s="1"/>
      <c r="B100" s="10"/>
      <c r="C100" s="31" t="str">
        <f aca="false">IF(B100="","",TEXT(B100,"ddd"))</f>
        <v/>
      </c>
      <c r="D100" s="11"/>
      <c r="E100" s="8" t="str">
        <f aca="false">IF(D100="","",IFERROR(INDEX(ProjNumbers,MATCH(D100,ProjNames,0)),""))</f>
        <v/>
      </c>
      <c r="F100" s="8" t="str">
        <f aca="false">IF(D100="","",IFERROR(INDEX(ProjCodes,MATCH(D100,ProjNames,0)),""))</f>
        <v/>
      </c>
      <c r="G100" s="32"/>
      <c r="H100" s="11"/>
      <c r="I100" s="33"/>
      <c r="J100" s="8" t="str">
        <f aca="false">IF(COUNTA(B100,D100,G100,H100,I100)=0,"",IF(B100="","Enter date",IF(OR(B100&lt;$AC$2,B100&gt;$AC$3),"Date not in February",IF(D100="","Pick project",IF(ISNA(MATCH(D100,ProjNames,0)),"Project not in list",IF(G100="","Add task description",IF(H100="","Pick NTIME or P6",IF(N(I100)&lt;=0,"Enter hours",IF(AND(AllowOT&lt;&gt;"Yes",SUMIF($B$7:$B$256,B100,$I$7:$I$256)&gt;INDEX($O$58:$O$85,DAY(B100))),"Day over "&amp;INDEX($O$58:$O$85,DAY(B100))&amp;" h","✓")))))))))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tr">
        <f aca="false">IF(Projects!B98="","",Projects!B98)</f>
        <v/>
      </c>
      <c r="X100" s="1" t="n">
        <f aca="false">IF(W100="",0,SUMIFS($I$7:$I$256,$D$7:$D$256,W100,$H$7:$H$256,"NTIME"))</f>
        <v>0</v>
      </c>
      <c r="Y100" s="1" t="n">
        <f aca="false">IF(W100="",0,SUMIFS($I$7:$I$256,$D$7:$D$256,W100,$H$7:$H$256,"P6"))</f>
        <v>0</v>
      </c>
      <c r="Z100" s="1" t="n">
        <f aca="false">X100+Y100</f>
        <v>0</v>
      </c>
      <c r="AA100" s="1" t="n">
        <f aca="false">IF(Z100&gt;0,Z100+(201-94)/10^6,0)</f>
        <v>0</v>
      </c>
      <c r="AB100" s="1"/>
      <c r="AC100" s="1"/>
      <c r="AD100" s="1"/>
      <c r="AE100" s="1"/>
      <c r="AF100" s="1"/>
      <c r="AG100" s="1"/>
      <c r="AH100" s="1"/>
    </row>
    <row r="101" customFormat="false" ht="15" hidden="false" customHeight="false" outlineLevel="0" collapsed="false">
      <c r="A101" s="1"/>
      <c r="B101" s="10"/>
      <c r="C101" s="31" t="str">
        <f aca="false">IF(B101="","",TEXT(B101,"ddd"))</f>
        <v/>
      </c>
      <c r="D101" s="11"/>
      <c r="E101" s="8" t="str">
        <f aca="false">IF(D101="","",IFERROR(INDEX(ProjNumbers,MATCH(D101,ProjNames,0)),""))</f>
        <v/>
      </c>
      <c r="F101" s="8" t="str">
        <f aca="false">IF(D101="","",IFERROR(INDEX(ProjCodes,MATCH(D101,ProjNames,0)),""))</f>
        <v/>
      </c>
      <c r="G101" s="32"/>
      <c r="H101" s="11"/>
      <c r="I101" s="33"/>
      <c r="J101" s="8" t="str">
        <f aca="false">IF(COUNTA(B101,D101,G101,H101,I101)=0,"",IF(B101="","Enter date",IF(OR(B101&lt;$AC$2,B101&gt;$AC$3),"Date not in February",IF(D101="","Pick project",IF(ISNA(MATCH(D101,ProjNames,0)),"Project not in list",IF(G101="","Add task description",IF(H101="","Pick NTIME or P6",IF(N(I101)&lt;=0,"Enter hours",IF(AND(AllowOT&lt;&gt;"Yes",SUMIF($B$7:$B$256,B101,$I$7:$I$256)&gt;INDEX($O$58:$O$85,DAY(B101))),"Day over "&amp;INDEX($O$58:$O$85,DAY(B101))&amp;" h","✓")))))))))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aca="false">IF(Projects!B99="","",Projects!B99)</f>
        <v/>
      </c>
      <c r="X101" s="1" t="n">
        <f aca="false">IF(W101="",0,SUMIFS($I$7:$I$256,$D$7:$D$256,W101,$H$7:$H$256,"NTIME"))</f>
        <v>0</v>
      </c>
      <c r="Y101" s="1" t="n">
        <f aca="false">IF(W101="",0,SUMIFS($I$7:$I$256,$D$7:$D$256,W101,$H$7:$H$256,"P6"))</f>
        <v>0</v>
      </c>
      <c r="Z101" s="1" t="n">
        <f aca="false">X101+Y101</f>
        <v>0</v>
      </c>
      <c r="AA101" s="1" t="n">
        <f aca="false">IF(Z101&gt;0,Z101+(201-95)/10^6,0)</f>
        <v>0</v>
      </c>
      <c r="AB101" s="1"/>
      <c r="AC101" s="1"/>
      <c r="AD101" s="1"/>
      <c r="AE101" s="1"/>
      <c r="AF101" s="1"/>
      <c r="AG101" s="1"/>
      <c r="AH101" s="1"/>
    </row>
    <row r="102" customFormat="false" ht="15" hidden="false" customHeight="false" outlineLevel="0" collapsed="false">
      <c r="A102" s="1"/>
      <c r="B102" s="10"/>
      <c r="C102" s="31" t="str">
        <f aca="false">IF(B102="","",TEXT(B102,"ddd"))</f>
        <v/>
      </c>
      <c r="D102" s="11"/>
      <c r="E102" s="8" t="str">
        <f aca="false">IF(D102="","",IFERROR(INDEX(ProjNumbers,MATCH(D102,ProjNames,0)),""))</f>
        <v/>
      </c>
      <c r="F102" s="8" t="str">
        <f aca="false">IF(D102="","",IFERROR(INDEX(ProjCodes,MATCH(D102,ProjNames,0)),""))</f>
        <v/>
      </c>
      <c r="G102" s="32"/>
      <c r="H102" s="11"/>
      <c r="I102" s="33"/>
      <c r="J102" s="8" t="str">
        <f aca="false">IF(COUNTA(B102,D102,G102,H102,I102)=0,"",IF(B102="","Enter date",IF(OR(B102&lt;$AC$2,B102&gt;$AC$3),"Date not in February",IF(D102="","Pick project",IF(ISNA(MATCH(D102,ProjNames,0)),"Project not in list",IF(G102="","Add task description",IF(H102="","Pick NTIME or P6",IF(N(I102)&lt;=0,"Enter hours",IF(AND(AllowOT&lt;&gt;"Yes",SUMIF($B$7:$B$256,B102,$I$7:$I$256)&gt;INDEX($O$58:$O$85,DAY(B102))),"Day over "&amp;INDEX($O$58:$O$85,DAY(B102))&amp;" h","✓")))))))))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tr">
        <f aca="false">IF(Projects!B100="","",Projects!B100)</f>
        <v/>
      </c>
      <c r="X102" s="1" t="n">
        <f aca="false">IF(W102="",0,SUMIFS($I$7:$I$256,$D$7:$D$256,W102,$H$7:$H$256,"NTIME"))</f>
        <v>0</v>
      </c>
      <c r="Y102" s="1" t="n">
        <f aca="false">IF(W102="",0,SUMIFS($I$7:$I$256,$D$7:$D$256,W102,$H$7:$H$256,"P6"))</f>
        <v>0</v>
      </c>
      <c r="Z102" s="1" t="n">
        <f aca="false">X102+Y102</f>
        <v>0</v>
      </c>
      <c r="AA102" s="1" t="n">
        <f aca="false">IF(Z102&gt;0,Z102+(201-96)/10^6,0)</f>
        <v>0</v>
      </c>
      <c r="AB102" s="1"/>
      <c r="AC102" s="1"/>
      <c r="AD102" s="1"/>
      <c r="AE102" s="1"/>
      <c r="AF102" s="1"/>
      <c r="AG102" s="1"/>
      <c r="AH102" s="1"/>
    </row>
    <row r="103" customFormat="false" ht="15" hidden="false" customHeight="false" outlineLevel="0" collapsed="false">
      <c r="A103" s="1"/>
      <c r="B103" s="10"/>
      <c r="C103" s="31" t="str">
        <f aca="false">IF(B103="","",TEXT(B103,"ddd"))</f>
        <v/>
      </c>
      <c r="D103" s="11"/>
      <c r="E103" s="8" t="str">
        <f aca="false">IF(D103="","",IFERROR(INDEX(ProjNumbers,MATCH(D103,ProjNames,0)),""))</f>
        <v/>
      </c>
      <c r="F103" s="8" t="str">
        <f aca="false">IF(D103="","",IFERROR(INDEX(ProjCodes,MATCH(D103,ProjNames,0)),""))</f>
        <v/>
      </c>
      <c r="G103" s="32"/>
      <c r="H103" s="11"/>
      <c r="I103" s="33"/>
      <c r="J103" s="8" t="str">
        <f aca="false">IF(COUNTA(B103,D103,G103,H103,I103)=0,"",IF(B103="","Enter date",IF(OR(B103&lt;$AC$2,B103&gt;$AC$3),"Date not in February",IF(D103="","Pick project",IF(ISNA(MATCH(D103,ProjNames,0)),"Project not in list",IF(G103="","Add task description",IF(H103="","Pick NTIME or P6",IF(N(I103)&lt;=0,"Enter hours",IF(AND(AllowOT&lt;&gt;"Yes",SUMIF($B$7:$B$256,B103,$I$7:$I$256)&gt;INDEX($O$58:$O$85,DAY(B103))),"Day over "&amp;INDEX($O$58:$O$85,DAY(B103))&amp;" h","✓")))))))))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tr">
        <f aca="false">IF(Projects!B101="","",Projects!B101)</f>
        <v/>
      </c>
      <c r="X103" s="1" t="n">
        <f aca="false">IF(W103="",0,SUMIFS($I$7:$I$256,$D$7:$D$256,W103,$H$7:$H$256,"NTIME"))</f>
        <v>0</v>
      </c>
      <c r="Y103" s="1" t="n">
        <f aca="false">IF(W103="",0,SUMIFS($I$7:$I$256,$D$7:$D$256,W103,$H$7:$H$256,"P6"))</f>
        <v>0</v>
      </c>
      <c r="Z103" s="1" t="n">
        <f aca="false">X103+Y103</f>
        <v>0</v>
      </c>
      <c r="AA103" s="1" t="n">
        <f aca="false">IF(Z103&gt;0,Z103+(201-97)/10^6,0)</f>
        <v>0</v>
      </c>
      <c r="AB103" s="1"/>
      <c r="AC103" s="1"/>
      <c r="AD103" s="1"/>
      <c r="AE103" s="1"/>
      <c r="AF103" s="1"/>
      <c r="AG103" s="1"/>
      <c r="AH103" s="1"/>
    </row>
    <row r="104" customFormat="false" ht="15" hidden="false" customHeight="false" outlineLevel="0" collapsed="false">
      <c r="A104" s="1"/>
      <c r="B104" s="10"/>
      <c r="C104" s="31" t="str">
        <f aca="false">IF(B104="","",TEXT(B104,"ddd"))</f>
        <v/>
      </c>
      <c r="D104" s="11"/>
      <c r="E104" s="8" t="str">
        <f aca="false">IF(D104="","",IFERROR(INDEX(ProjNumbers,MATCH(D104,ProjNames,0)),""))</f>
        <v/>
      </c>
      <c r="F104" s="8" t="str">
        <f aca="false">IF(D104="","",IFERROR(INDEX(ProjCodes,MATCH(D104,ProjNames,0)),""))</f>
        <v/>
      </c>
      <c r="G104" s="32"/>
      <c r="H104" s="11"/>
      <c r="I104" s="33"/>
      <c r="J104" s="8" t="str">
        <f aca="false">IF(COUNTA(B104,D104,G104,H104,I104)=0,"",IF(B104="","Enter date",IF(OR(B104&lt;$AC$2,B104&gt;$AC$3),"Date not in February",IF(D104="","Pick project",IF(ISNA(MATCH(D104,ProjNames,0)),"Project not in list",IF(G104="","Add task description",IF(H104="","Pick NTIME or P6",IF(N(I104)&lt;=0,"Enter hours",IF(AND(AllowOT&lt;&gt;"Yes",SUMIF($B$7:$B$256,B104,$I$7:$I$256)&gt;INDEX($O$58:$O$85,DAY(B104))),"Day over "&amp;INDEX($O$58:$O$85,DAY(B104))&amp;" h","✓")))))))))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tr">
        <f aca="false">IF(Projects!B102="","",Projects!B102)</f>
        <v/>
      </c>
      <c r="X104" s="1" t="n">
        <f aca="false">IF(W104="",0,SUMIFS($I$7:$I$256,$D$7:$D$256,W104,$H$7:$H$256,"NTIME"))</f>
        <v>0</v>
      </c>
      <c r="Y104" s="1" t="n">
        <f aca="false">IF(W104="",0,SUMIFS($I$7:$I$256,$D$7:$D$256,W104,$H$7:$H$256,"P6"))</f>
        <v>0</v>
      </c>
      <c r="Z104" s="1" t="n">
        <f aca="false">X104+Y104</f>
        <v>0</v>
      </c>
      <c r="AA104" s="1" t="n">
        <f aca="false">IF(Z104&gt;0,Z104+(201-98)/10^6,0)</f>
        <v>0</v>
      </c>
      <c r="AB104" s="1"/>
      <c r="AC104" s="1"/>
      <c r="AD104" s="1"/>
      <c r="AE104" s="1"/>
      <c r="AF104" s="1"/>
      <c r="AG104" s="1"/>
      <c r="AH104" s="1"/>
    </row>
    <row r="105" customFormat="false" ht="15" hidden="false" customHeight="false" outlineLevel="0" collapsed="false">
      <c r="A105" s="1"/>
      <c r="B105" s="10"/>
      <c r="C105" s="31" t="str">
        <f aca="false">IF(B105="","",TEXT(B105,"ddd"))</f>
        <v/>
      </c>
      <c r="D105" s="11"/>
      <c r="E105" s="8" t="str">
        <f aca="false">IF(D105="","",IFERROR(INDEX(ProjNumbers,MATCH(D105,ProjNames,0)),""))</f>
        <v/>
      </c>
      <c r="F105" s="8" t="str">
        <f aca="false">IF(D105="","",IFERROR(INDEX(ProjCodes,MATCH(D105,ProjNames,0)),""))</f>
        <v/>
      </c>
      <c r="G105" s="32"/>
      <c r="H105" s="11"/>
      <c r="I105" s="33"/>
      <c r="J105" s="8" t="str">
        <f aca="false">IF(COUNTA(B105,D105,G105,H105,I105)=0,"",IF(B105="","Enter date",IF(OR(B105&lt;$AC$2,B105&gt;$AC$3),"Date not in February",IF(D105="","Pick project",IF(ISNA(MATCH(D105,ProjNames,0)),"Project not in list",IF(G105="","Add task description",IF(H105="","Pick NTIME or P6",IF(N(I105)&lt;=0,"Enter hours",IF(AND(AllowOT&lt;&gt;"Yes",SUMIF($B$7:$B$256,B105,$I$7:$I$256)&gt;INDEX($O$58:$O$85,DAY(B105))),"Day over "&amp;INDEX($O$58:$O$85,DAY(B105))&amp;" h","✓")))))))))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tr">
        <f aca="false">IF(Projects!B103="","",Projects!B103)</f>
        <v/>
      </c>
      <c r="X105" s="1" t="n">
        <f aca="false">IF(W105="",0,SUMIFS($I$7:$I$256,$D$7:$D$256,W105,$H$7:$H$256,"NTIME"))</f>
        <v>0</v>
      </c>
      <c r="Y105" s="1" t="n">
        <f aca="false">IF(W105="",0,SUMIFS($I$7:$I$256,$D$7:$D$256,W105,$H$7:$H$256,"P6"))</f>
        <v>0</v>
      </c>
      <c r="Z105" s="1" t="n">
        <f aca="false">X105+Y105</f>
        <v>0</v>
      </c>
      <c r="AA105" s="1" t="n">
        <f aca="false">IF(Z105&gt;0,Z105+(201-99)/10^6,0)</f>
        <v>0</v>
      </c>
      <c r="AB105" s="1"/>
      <c r="AC105" s="1"/>
      <c r="AD105" s="1"/>
      <c r="AE105" s="1"/>
      <c r="AF105" s="1"/>
      <c r="AG105" s="1"/>
      <c r="AH105" s="1"/>
    </row>
    <row r="106" customFormat="false" ht="15" hidden="false" customHeight="false" outlineLevel="0" collapsed="false">
      <c r="A106" s="1"/>
      <c r="B106" s="10"/>
      <c r="C106" s="31" t="str">
        <f aca="false">IF(B106="","",TEXT(B106,"ddd"))</f>
        <v/>
      </c>
      <c r="D106" s="11"/>
      <c r="E106" s="8" t="str">
        <f aca="false">IF(D106="","",IFERROR(INDEX(ProjNumbers,MATCH(D106,ProjNames,0)),""))</f>
        <v/>
      </c>
      <c r="F106" s="8" t="str">
        <f aca="false">IF(D106="","",IFERROR(INDEX(ProjCodes,MATCH(D106,ProjNames,0)),""))</f>
        <v/>
      </c>
      <c r="G106" s="32"/>
      <c r="H106" s="11"/>
      <c r="I106" s="33"/>
      <c r="J106" s="8" t="str">
        <f aca="false">IF(COUNTA(B106,D106,G106,H106,I106)=0,"",IF(B106="","Enter date",IF(OR(B106&lt;$AC$2,B106&gt;$AC$3),"Date not in February",IF(D106="","Pick project",IF(ISNA(MATCH(D106,ProjNames,0)),"Project not in list",IF(G106="","Add task description",IF(H106="","Pick NTIME or P6",IF(N(I106)&lt;=0,"Enter hours",IF(AND(AllowOT&lt;&gt;"Yes",SUMIF($B$7:$B$256,B106,$I$7:$I$256)&gt;INDEX($O$58:$O$85,DAY(B106))),"Day over "&amp;INDEX($O$58:$O$85,DAY(B106))&amp;" h","✓")))))))))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tr">
        <f aca="false">IF(Projects!B104="","",Projects!B104)</f>
        <v/>
      </c>
      <c r="X106" s="1" t="n">
        <f aca="false">IF(W106="",0,SUMIFS($I$7:$I$256,$D$7:$D$256,W106,$H$7:$H$256,"NTIME"))</f>
        <v>0</v>
      </c>
      <c r="Y106" s="1" t="n">
        <f aca="false">IF(W106="",0,SUMIFS($I$7:$I$256,$D$7:$D$256,W106,$H$7:$H$256,"P6"))</f>
        <v>0</v>
      </c>
      <c r="Z106" s="1" t="n">
        <f aca="false">X106+Y106</f>
        <v>0</v>
      </c>
      <c r="AA106" s="1" t="n">
        <f aca="false">IF(Z106&gt;0,Z106+(201-100)/10^6,0)</f>
        <v>0</v>
      </c>
      <c r="AB106" s="1"/>
      <c r="AC106" s="1"/>
      <c r="AD106" s="1"/>
      <c r="AE106" s="1"/>
      <c r="AF106" s="1"/>
      <c r="AG106" s="1"/>
      <c r="AH106" s="1"/>
    </row>
    <row r="107" customFormat="false" ht="15" hidden="false" customHeight="false" outlineLevel="0" collapsed="false">
      <c r="A107" s="1"/>
      <c r="B107" s="10"/>
      <c r="C107" s="31" t="str">
        <f aca="false">IF(B107="","",TEXT(B107,"ddd"))</f>
        <v/>
      </c>
      <c r="D107" s="11"/>
      <c r="E107" s="8" t="str">
        <f aca="false">IF(D107="","",IFERROR(INDEX(ProjNumbers,MATCH(D107,ProjNames,0)),""))</f>
        <v/>
      </c>
      <c r="F107" s="8" t="str">
        <f aca="false">IF(D107="","",IFERROR(INDEX(ProjCodes,MATCH(D107,ProjNames,0)),""))</f>
        <v/>
      </c>
      <c r="G107" s="32"/>
      <c r="H107" s="11"/>
      <c r="I107" s="33"/>
      <c r="J107" s="8" t="str">
        <f aca="false">IF(COUNTA(B107,D107,G107,H107,I107)=0,"",IF(B107="","Enter date",IF(OR(B107&lt;$AC$2,B107&gt;$AC$3),"Date not in February",IF(D107="","Pick project",IF(ISNA(MATCH(D107,ProjNames,0)),"Project not in list",IF(G107="","Add task description",IF(H107="","Pick NTIME or P6",IF(N(I107)&lt;=0,"Enter hours",IF(AND(AllowOT&lt;&gt;"Yes",SUMIF($B$7:$B$256,B107,$I$7:$I$256)&gt;INDEX($O$58:$O$85,DAY(B107))),"Day over "&amp;INDEX($O$58:$O$85,DAY(B107))&amp;" h","✓")))))))))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tr">
        <f aca="false">IF(Projects!B105="","",Projects!B105)</f>
        <v/>
      </c>
      <c r="X107" s="1" t="n">
        <f aca="false">IF(W107="",0,SUMIFS($I$7:$I$256,$D$7:$D$256,W107,$H$7:$H$256,"NTIME"))</f>
        <v>0</v>
      </c>
      <c r="Y107" s="1" t="n">
        <f aca="false">IF(W107="",0,SUMIFS($I$7:$I$256,$D$7:$D$256,W107,$H$7:$H$256,"P6"))</f>
        <v>0</v>
      </c>
      <c r="Z107" s="1" t="n">
        <f aca="false">X107+Y107</f>
        <v>0</v>
      </c>
      <c r="AA107" s="1" t="n">
        <f aca="false">IF(Z107&gt;0,Z107+(201-101)/10^6,0)</f>
        <v>0</v>
      </c>
      <c r="AB107" s="1"/>
      <c r="AC107" s="1"/>
      <c r="AD107" s="1"/>
      <c r="AE107" s="1"/>
      <c r="AF107" s="1"/>
      <c r="AG107" s="1"/>
      <c r="AH107" s="1"/>
    </row>
    <row r="108" customFormat="false" ht="15" hidden="false" customHeight="false" outlineLevel="0" collapsed="false">
      <c r="A108" s="1"/>
      <c r="B108" s="10"/>
      <c r="C108" s="31" t="str">
        <f aca="false">IF(B108="","",TEXT(B108,"ddd"))</f>
        <v/>
      </c>
      <c r="D108" s="11"/>
      <c r="E108" s="8" t="str">
        <f aca="false">IF(D108="","",IFERROR(INDEX(ProjNumbers,MATCH(D108,ProjNames,0)),""))</f>
        <v/>
      </c>
      <c r="F108" s="8" t="str">
        <f aca="false">IF(D108="","",IFERROR(INDEX(ProjCodes,MATCH(D108,ProjNames,0)),""))</f>
        <v/>
      </c>
      <c r="G108" s="32"/>
      <c r="H108" s="11"/>
      <c r="I108" s="33"/>
      <c r="J108" s="8" t="str">
        <f aca="false">IF(COUNTA(B108,D108,G108,H108,I108)=0,"",IF(B108="","Enter date",IF(OR(B108&lt;$AC$2,B108&gt;$AC$3),"Date not in February",IF(D108="","Pick project",IF(ISNA(MATCH(D108,ProjNames,0)),"Project not in list",IF(G108="","Add task description",IF(H108="","Pick NTIME or P6",IF(N(I108)&lt;=0,"Enter hours",IF(AND(AllowOT&lt;&gt;"Yes",SUMIF($B$7:$B$256,B108,$I$7:$I$256)&gt;INDEX($O$58:$O$85,DAY(B108))),"Day over "&amp;INDEX($O$58:$O$85,DAY(B108))&amp;" h","✓")))))))))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aca="false">IF(Projects!B106="","",Projects!B106)</f>
        <v/>
      </c>
      <c r="X108" s="1" t="n">
        <f aca="false">IF(W108="",0,SUMIFS($I$7:$I$256,$D$7:$D$256,W108,$H$7:$H$256,"NTIME"))</f>
        <v>0</v>
      </c>
      <c r="Y108" s="1" t="n">
        <f aca="false">IF(W108="",0,SUMIFS($I$7:$I$256,$D$7:$D$256,W108,$H$7:$H$256,"P6"))</f>
        <v>0</v>
      </c>
      <c r="Z108" s="1" t="n">
        <f aca="false">X108+Y108</f>
        <v>0</v>
      </c>
      <c r="AA108" s="1" t="n">
        <f aca="false">IF(Z108&gt;0,Z108+(201-102)/10^6,0)</f>
        <v>0</v>
      </c>
      <c r="AB108" s="1"/>
      <c r="AC108" s="1"/>
      <c r="AD108" s="1"/>
      <c r="AE108" s="1"/>
      <c r="AF108" s="1"/>
      <c r="AG108" s="1"/>
      <c r="AH108" s="1"/>
    </row>
    <row r="109" customFormat="false" ht="15" hidden="false" customHeight="false" outlineLevel="0" collapsed="false">
      <c r="A109" s="1"/>
      <c r="B109" s="10"/>
      <c r="C109" s="31" t="str">
        <f aca="false">IF(B109="","",TEXT(B109,"ddd"))</f>
        <v/>
      </c>
      <c r="D109" s="11"/>
      <c r="E109" s="8" t="str">
        <f aca="false">IF(D109="","",IFERROR(INDEX(ProjNumbers,MATCH(D109,ProjNames,0)),""))</f>
        <v/>
      </c>
      <c r="F109" s="8" t="str">
        <f aca="false">IF(D109="","",IFERROR(INDEX(ProjCodes,MATCH(D109,ProjNames,0)),""))</f>
        <v/>
      </c>
      <c r="G109" s="32"/>
      <c r="H109" s="11"/>
      <c r="I109" s="33"/>
      <c r="J109" s="8" t="str">
        <f aca="false">IF(COUNTA(B109,D109,G109,H109,I109)=0,"",IF(B109="","Enter date",IF(OR(B109&lt;$AC$2,B109&gt;$AC$3),"Date not in February",IF(D109="","Pick project",IF(ISNA(MATCH(D109,ProjNames,0)),"Project not in list",IF(G109="","Add task description",IF(H109="","Pick NTIME or P6",IF(N(I109)&lt;=0,"Enter hours",IF(AND(AllowOT&lt;&gt;"Yes",SUMIF($B$7:$B$256,B109,$I$7:$I$256)&gt;INDEX($O$58:$O$85,DAY(B109))),"Day over "&amp;INDEX($O$58:$O$85,DAY(B109))&amp;" h","✓")))))))))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tr">
        <f aca="false">IF(Projects!B107="","",Projects!B107)</f>
        <v/>
      </c>
      <c r="X109" s="1" t="n">
        <f aca="false">IF(W109="",0,SUMIFS($I$7:$I$256,$D$7:$D$256,W109,$H$7:$H$256,"NTIME"))</f>
        <v>0</v>
      </c>
      <c r="Y109" s="1" t="n">
        <f aca="false">IF(W109="",0,SUMIFS($I$7:$I$256,$D$7:$D$256,W109,$H$7:$H$256,"P6"))</f>
        <v>0</v>
      </c>
      <c r="Z109" s="1" t="n">
        <f aca="false">X109+Y109</f>
        <v>0</v>
      </c>
      <c r="AA109" s="1" t="n">
        <f aca="false">IF(Z109&gt;0,Z109+(201-103)/10^6,0)</f>
        <v>0</v>
      </c>
      <c r="AB109" s="1"/>
      <c r="AC109" s="1"/>
      <c r="AD109" s="1"/>
      <c r="AE109" s="1"/>
      <c r="AF109" s="1"/>
      <c r="AG109" s="1"/>
      <c r="AH109" s="1"/>
    </row>
    <row r="110" customFormat="false" ht="15" hidden="false" customHeight="false" outlineLevel="0" collapsed="false">
      <c r="A110" s="1"/>
      <c r="B110" s="10"/>
      <c r="C110" s="31" t="str">
        <f aca="false">IF(B110="","",TEXT(B110,"ddd"))</f>
        <v/>
      </c>
      <c r="D110" s="11"/>
      <c r="E110" s="8" t="str">
        <f aca="false">IF(D110="","",IFERROR(INDEX(ProjNumbers,MATCH(D110,ProjNames,0)),""))</f>
        <v/>
      </c>
      <c r="F110" s="8" t="str">
        <f aca="false">IF(D110="","",IFERROR(INDEX(ProjCodes,MATCH(D110,ProjNames,0)),""))</f>
        <v/>
      </c>
      <c r="G110" s="32"/>
      <c r="H110" s="11"/>
      <c r="I110" s="33"/>
      <c r="J110" s="8" t="str">
        <f aca="false">IF(COUNTA(B110,D110,G110,H110,I110)=0,"",IF(B110="","Enter date",IF(OR(B110&lt;$AC$2,B110&gt;$AC$3),"Date not in February",IF(D110="","Pick project",IF(ISNA(MATCH(D110,ProjNames,0)),"Project not in list",IF(G110="","Add task description",IF(H110="","Pick NTIME or P6",IF(N(I110)&lt;=0,"Enter hours",IF(AND(AllowOT&lt;&gt;"Yes",SUMIF($B$7:$B$256,B110,$I$7:$I$256)&gt;INDEX($O$58:$O$85,DAY(B110))),"Day over "&amp;INDEX($O$58:$O$85,DAY(B110))&amp;" h","✓")))))))))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tr">
        <f aca="false">IF(Projects!B108="","",Projects!B108)</f>
        <v/>
      </c>
      <c r="X110" s="1" t="n">
        <f aca="false">IF(W110="",0,SUMIFS($I$7:$I$256,$D$7:$D$256,W110,$H$7:$H$256,"NTIME"))</f>
        <v>0</v>
      </c>
      <c r="Y110" s="1" t="n">
        <f aca="false">IF(W110="",0,SUMIFS($I$7:$I$256,$D$7:$D$256,W110,$H$7:$H$256,"P6"))</f>
        <v>0</v>
      </c>
      <c r="Z110" s="1" t="n">
        <f aca="false">X110+Y110</f>
        <v>0</v>
      </c>
      <c r="AA110" s="1" t="n">
        <f aca="false">IF(Z110&gt;0,Z110+(201-104)/10^6,0)</f>
        <v>0</v>
      </c>
      <c r="AB110" s="1"/>
      <c r="AC110" s="1"/>
      <c r="AD110" s="1"/>
      <c r="AE110" s="1"/>
      <c r="AF110" s="1"/>
      <c r="AG110" s="1"/>
      <c r="AH110" s="1"/>
    </row>
    <row r="111" customFormat="false" ht="15" hidden="false" customHeight="false" outlineLevel="0" collapsed="false">
      <c r="A111" s="1"/>
      <c r="B111" s="10"/>
      <c r="C111" s="31" t="str">
        <f aca="false">IF(B111="","",TEXT(B111,"ddd"))</f>
        <v/>
      </c>
      <c r="D111" s="11"/>
      <c r="E111" s="8" t="str">
        <f aca="false">IF(D111="","",IFERROR(INDEX(ProjNumbers,MATCH(D111,ProjNames,0)),""))</f>
        <v/>
      </c>
      <c r="F111" s="8" t="str">
        <f aca="false">IF(D111="","",IFERROR(INDEX(ProjCodes,MATCH(D111,ProjNames,0)),""))</f>
        <v/>
      </c>
      <c r="G111" s="32"/>
      <c r="H111" s="11"/>
      <c r="I111" s="33"/>
      <c r="J111" s="8" t="str">
        <f aca="false">IF(COUNTA(B111,D111,G111,H111,I111)=0,"",IF(B111="","Enter date",IF(OR(B111&lt;$AC$2,B111&gt;$AC$3),"Date not in February",IF(D111="","Pick project",IF(ISNA(MATCH(D111,ProjNames,0)),"Project not in list",IF(G111="","Add task description",IF(H111="","Pick NTIME or P6",IF(N(I111)&lt;=0,"Enter hours",IF(AND(AllowOT&lt;&gt;"Yes",SUMIF($B$7:$B$256,B111,$I$7:$I$256)&gt;INDEX($O$58:$O$85,DAY(B111))),"Day over "&amp;INDEX($O$58:$O$85,DAY(B111))&amp;" h","✓")))))))))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tr">
        <f aca="false">IF(Projects!B109="","",Projects!B109)</f>
        <v/>
      </c>
      <c r="X111" s="1" t="n">
        <f aca="false">IF(W111="",0,SUMIFS($I$7:$I$256,$D$7:$D$256,W111,$H$7:$H$256,"NTIME"))</f>
        <v>0</v>
      </c>
      <c r="Y111" s="1" t="n">
        <f aca="false">IF(W111="",0,SUMIFS($I$7:$I$256,$D$7:$D$256,W111,$H$7:$H$256,"P6"))</f>
        <v>0</v>
      </c>
      <c r="Z111" s="1" t="n">
        <f aca="false">X111+Y111</f>
        <v>0</v>
      </c>
      <c r="AA111" s="1" t="n">
        <f aca="false">IF(Z111&gt;0,Z111+(201-105)/10^6,0)</f>
        <v>0</v>
      </c>
      <c r="AB111" s="1"/>
      <c r="AC111" s="1"/>
      <c r="AD111" s="1"/>
      <c r="AE111" s="1"/>
      <c r="AF111" s="1"/>
      <c r="AG111" s="1"/>
      <c r="AH111" s="1"/>
    </row>
    <row r="112" customFormat="false" ht="15" hidden="false" customHeight="false" outlineLevel="0" collapsed="false">
      <c r="A112" s="1"/>
      <c r="B112" s="10"/>
      <c r="C112" s="31" t="str">
        <f aca="false">IF(B112="","",TEXT(B112,"ddd"))</f>
        <v/>
      </c>
      <c r="D112" s="11"/>
      <c r="E112" s="8" t="str">
        <f aca="false">IF(D112="","",IFERROR(INDEX(ProjNumbers,MATCH(D112,ProjNames,0)),""))</f>
        <v/>
      </c>
      <c r="F112" s="8" t="str">
        <f aca="false">IF(D112="","",IFERROR(INDEX(ProjCodes,MATCH(D112,ProjNames,0)),""))</f>
        <v/>
      </c>
      <c r="G112" s="32"/>
      <c r="H112" s="11"/>
      <c r="I112" s="33"/>
      <c r="J112" s="8" t="str">
        <f aca="false">IF(COUNTA(B112,D112,G112,H112,I112)=0,"",IF(B112="","Enter date",IF(OR(B112&lt;$AC$2,B112&gt;$AC$3),"Date not in February",IF(D112="","Pick project",IF(ISNA(MATCH(D112,ProjNames,0)),"Project not in list",IF(G112="","Add task description",IF(H112="","Pick NTIME or P6",IF(N(I112)&lt;=0,"Enter hours",IF(AND(AllowOT&lt;&gt;"Yes",SUMIF($B$7:$B$256,B112,$I$7:$I$256)&gt;INDEX($O$58:$O$85,DAY(B112))),"Day over "&amp;INDEX($O$58:$O$85,DAY(B112))&amp;" h","✓")))))))))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tr">
        <f aca="false">IF(Projects!B110="","",Projects!B110)</f>
        <v/>
      </c>
      <c r="X112" s="1" t="n">
        <f aca="false">IF(W112="",0,SUMIFS($I$7:$I$256,$D$7:$D$256,W112,$H$7:$H$256,"NTIME"))</f>
        <v>0</v>
      </c>
      <c r="Y112" s="1" t="n">
        <f aca="false">IF(W112="",0,SUMIFS($I$7:$I$256,$D$7:$D$256,W112,$H$7:$H$256,"P6"))</f>
        <v>0</v>
      </c>
      <c r="Z112" s="1" t="n">
        <f aca="false">X112+Y112</f>
        <v>0</v>
      </c>
      <c r="AA112" s="1" t="n">
        <f aca="false">IF(Z112&gt;0,Z112+(201-106)/10^6,0)</f>
        <v>0</v>
      </c>
      <c r="AB112" s="1"/>
      <c r="AC112" s="1"/>
      <c r="AD112" s="1"/>
      <c r="AE112" s="1"/>
      <c r="AF112" s="1"/>
      <c r="AG112" s="1"/>
      <c r="AH112" s="1"/>
    </row>
    <row r="113" customFormat="false" ht="15" hidden="false" customHeight="false" outlineLevel="0" collapsed="false">
      <c r="A113" s="1"/>
      <c r="B113" s="10"/>
      <c r="C113" s="31" t="str">
        <f aca="false">IF(B113="","",TEXT(B113,"ddd"))</f>
        <v/>
      </c>
      <c r="D113" s="11"/>
      <c r="E113" s="8" t="str">
        <f aca="false">IF(D113="","",IFERROR(INDEX(ProjNumbers,MATCH(D113,ProjNames,0)),""))</f>
        <v/>
      </c>
      <c r="F113" s="8" t="str">
        <f aca="false">IF(D113="","",IFERROR(INDEX(ProjCodes,MATCH(D113,ProjNames,0)),""))</f>
        <v/>
      </c>
      <c r="G113" s="32"/>
      <c r="H113" s="11"/>
      <c r="I113" s="33"/>
      <c r="J113" s="8" t="str">
        <f aca="false">IF(COUNTA(B113,D113,G113,H113,I113)=0,"",IF(B113="","Enter date",IF(OR(B113&lt;$AC$2,B113&gt;$AC$3),"Date not in February",IF(D113="","Pick project",IF(ISNA(MATCH(D113,ProjNames,0)),"Project not in list",IF(G113="","Add task description",IF(H113="","Pick NTIME or P6",IF(N(I113)&lt;=0,"Enter hours",IF(AND(AllowOT&lt;&gt;"Yes",SUMIF($B$7:$B$256,B113,$I$7:$I$256)&gt;INDEX($O$58:$O$85,DAY(B113))),"Day over "&amp;INDEX($O$58:$O$85,DAY(B113))&amp;" h","✓")))))))))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tr">
        <f aca="false">IF(Projects!B111="","",Projects!B111)</f>
        <v/>
      </c>
      <c r="X113" s="1" t="n">
        <f aca="false">IF(W113="",0,SUMIFS($I$7:$I$256,$D$7:$D$256,W113,$H$7:$H$256,"NTIME"))</f>
        <v>0</v>
      </c>
      <c r="Y113" s="1" t="n">
        <f aca="false">IF(W113="",0,SUMIFS($I$7:$I$256,$D$7:$D$256,W113,$H$7:$H$256,"P6"))</f>
        <v>0</v>
      </c>
      <c r="Z113" s="1" t="n">
        <f aca="false">X113+Y113</f>
        <v>0</v>
      </c>
      <c r="AA113" s="1" t="n">
        <f aca="false">IF(Z113&gt;0,Z113+(201-107)/10^6,0)</f>
        <v>0</v>
      </c>
      <c r="AB113" s="1"/>
      <c r="AC113" s="1"/>
      <c r="AD113" s="1"/>
      <c r="AE113" s="1"/>
      <c r="AF113" s="1"/>
      <c r="AG113" s="1"/>
      <c r="AH113" s="1"/>
    </row>
    <row r="114" customFormat="false" ht="15" hidden="false" customHeight="false" outlineLevel="0" collapsed="false">
      <c r="A114" s="1"/>
      <c r="B114" s="10"/>
      <c r="C114" s="31" t="str">
        <f aca="false">IF(B114="","",TEXT(B114,"ddd"))</f>
        <v/>
      </c>
      <c r="D114" s="11"/>
      <c r="E114" s="8" t="str">
        <f aca="false">IF(D114="","",IFERROR(INDEX(ProjNumbers,MATCH(D114,ProjNames,0)),""))</f>
        <v/>
      </c>
      <c r="F114" s="8" t="str">
        <f aca="false">IF(D114="","",IFERROR(INDEX(ProjCodes,MATCH(D114,ProjNames,0)),""))</f>
        <v/>
      </c>
      <c r="G114" s="32"/>
      <c r="H114" s="11"/>
      <c r="I114" s="33"/>
      <c r="J114" s="8" t="str">
        <f aca="false">IF(COUNTA(B114,D114,G114,H114,I114)=0,"",IF(B114="","Enter date",IF(OR(B114&lt;$AC$2,B114&gt;$AC$3),"Date not in February",IF(D114="","Pick project",IF(ISNA(MATCH(D114,ProjNames,0)),"Project not in list",IF(G114="","Add task description",IF(H114="","Pick NTIME or P6",IF(N(I114)&lt;=0,"Enter hours",IF(AND(AllowOT&lt;&gt;"Yes",SUMIF($B$7:$B$256,B114,$I$7:$I$256)&gt;INDEX($O$58:$O$85,DAY(B114))),"Day over "&amp;INDEX($O$58:$O$85,DAY(B114))&amp;" h","✓")))))))))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tr">
        <f aca="false">IF(Projects!B112="","",Projects!B112)</f>
        <v/>
      </c>
      <c r="X114" s="1" t="n">
        <f aca="false">IF(W114="",0,SUMIFS($I$7:$I$256,$D$7:$D$256,W114,$H$7:$H$256,"NTIME"))</f>
        <v>0</v>
      </c>
      <c r="Y114" s="1" t="n">
        <f aca="false">IF(W114="",0,SUMIFS($I$7:$I$256,$D$7:$D$256,W114,$H$7:$H$256,"P6"))</f>
        <v>0</v>
      </c>
      <c r="Z114" s="1" t="n">
        <f aca="false">X114+Y114</f>
        <v>0</v>
      </c>
      <c r="AA114" s="1" t="n">
        <f aca="false">IF(Z114&gt;0,Z114+(201-108)/10^6,0)</f>
        <v>0</v>
      </c>
      <c r="AB114" s="1"/>
      <c r="AC114" s="1"/>
      <c r="AD114" s="1"/>
      <c r="AE114" s="1"/>
      <c r="AF114" s="1"/>
      <c r="AG114" s="1"/>
      <c r="AH114" s="1"/>
    </row>
    <row r="115" customFormat="false" ht="15" hidden="false" customHeight="false" outlineLevel="0" collapsed="false">
      <c r="A115" s="1"/>
      <c r="B115" s="10"/>
      <c r="C115" s="31" t="str">
        <f aca="false">IF(B115="","",TEXT(B115,"ddd"))</f>
        <v/>
      </c>
      <c r="D115" s="11"/>
      <c r="E115" s="8" t="str">
        <f aca="false">IF(D115="","",IFERROR(INDEX(ProjNumbers,MATCH(D115,ProjNames,0)),""))</f>
        <v/>
      </c>
      <c r="F115" s="8" t="str">
        <f aca="false">IF(D115="","",IFERROR(INDEX(ProjCodes,MATCH(D115,ProjNames,0)),""))</f>
        <v/>
      </c>
      <c r="G115" s="32"/>
      <c r="H115" s="11"/>
      <c r="I115" s="33"/>
      <c r="J115" s="8" t="str">
        <f aca="false">IF(COUNTA(B115,D115,G115,H115,I115)=0,"",IF(B115="","Enter date",IF(OR(B115&lt;$AC$2,B115&gt;$AC$3),"Date not in February",IF(D115="","Pick project",IF(ISNA(MATCH(D115,ProjNames,0)),"Project not in list",IF(G115="","Add task description",IF(H115="","Pick NTIME or P6",IF(N(I115)&lt;=0,"Enter hours",IF(AND(AllowOT&lt;&gt;"Yes",SUMIF($B$7:$B$256,B115,$I$7:$I$256)&gt;INDEX($O$58:$O$85,DAY(B115))),"Day over "&amp;INDEX($O$58:$O$85,DAY(B115))&amp;" h","✓")))))))))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tr">
        <f aca="false">IF(Projects!B113="","",Projects!B113)</f>
        <v/>
      </c>
      <c r="X115" s="1" t="n">
        <f aca="false">IF(W115="",0,SUMIFS($I$7:$I$256,$D$7:$D$256,W115,$H$7:$H$256,"NTIME"))</f>
        <v>0</v>
      </c>
      <c r="Y115" s="1" t="n">
        <f aca="false">IF(W115="",0,SUMIFS($I$7:$I$256,$D$7:$D$256,W115,$H$7:$H$256,"P6"))</f>
        <v>0</v>
      </c>
      <c r="Z115" s="1" t="n">
        <f aca="false">X115+Y115</f>
        <v>0</v>
      </c>
      <c r="AA115" s="1" t="n">
        <f aca="false">IF(Z115&gt;0,Z115+(201-109)/10^6,0)</f>
        <v>0</v>
      </c>
      <c r="AB115" s="1"/>
      <c r="AC115" s="1"/>
      <c r="AD115" s="1"/>
      <c r="AE115" s="1"/>
      <c r="AF115" s="1"/>
      <c r="AG115" s="1"/>
      <c r="AH115" s="1"/>
    </row>
    <row r="116" customFormat="false" ht="15" hidden="false" customHeight="false" outlineLevel="0" collapsed="false">
      <c r="A116" s="1"/>
      <c r="B116" s="10"/>
      <c r="C116" s="31" t="str">
        <f aca="false">IF(B116="","",TEXT(B116,"ddd"))</f>
        <v/>
      </c>
      <c r="D116" s="11"/>
      <c r="E116" s="8" t="str">
        <f aca="false">IF(D116="","",IFERROR(INDEX(ProjNumbers,MATCH(D116,ProjNames,0)),""))</f>
        <v/>
      </c>
      <c r="F116" s="8" t="str">
        <f aca="false">IF(D116="","",IFERROR(INDEX(ProjCodes,MATCH(D116,ProjNames,0)),""))</f>
        <v/>
      </c>
      <c r="G116" s="32"/>
      <c r="H116" s="11"/>
      <c r="I116" s="33"/>
      <c r="J116" s="8" t="str">
        <f aca="false">IF(COUNTA(B116,D116,G116,H116,I116)=0,"",IF(B116="","Enter date",IF(OR(B116&lt;$AC$2,B116&gt;$AC$3),"Date not in February",IF(D116="","Pick project",IF(ISNA(MATCH(D116,ProjNames,0)),"Project not in list",IF(G116="","Add task description",IF(H116="","Pick NTIME or P6",IF(N(I116)&lt;=0,"Enter hours",IF(AND(AllowOT&lt;&gt;"Yes",SUMIF($B$7:$B$256,B116,$I$7:$I$256)&gt;INDEX($O$58:$O$85,DAY(B116))),"Day over "&amp;INDEX($O$58:$O$85,DAY(B116))&amp;" h","✓")))))))))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tr">
        <f aca="false">IF(Projects!B114="","",Projects!B114)</f>
        <v/>
      </c>
      <c r="X116" s="1" t="n">
        <f aca="false">IF(W116="",0,SUMIFS($I$7:$I$256,$D$7:$D$256,W116,$H$7:$H$256,"NTIME"))</f>
        <v>0</v>
      </c>
      <c r="Y116" s="1" t="n">
        <f aca="false">IF(W116="",0,SUMIFS($I$7:$I$256,$D$7:$D$256,W116,$H$7:$H$256,"P6"))</f>
        <v>0</v>
      </c>
      <c r="Z116" s="1" t="n">
        <f aca="false">X116+Y116</f>
        <v>0</v>
      </c>
      <c r="AA116" s="1" t="n">
        <f aca="false">IF(Z116&gt;0,Z116+(201-110)/10^6,0)</f>
        <v>0</v>
      </c>
      <c r="AB116" s="1"/>
      <c r="AC116" s="1"/>
      <c r="AD116" s="1"/>
      <c r="AE116" s="1"/>
      <c r="AF116" s="1"/>
      <c r="AG116" s="1"/>
      <c r="AH116" s="1"/>
    </row>
    <row r="117" customFormat="false" ht="15" hidden="false" customHeight="false" outlineLevel="0" collapsed="false">
      <c r="A117" s="1"/>
      <c r="B117" s="10"/>
      <c r="C117" s="31" t="str">
        <f aca="false">IF(B117="","",TEXT(B117,"ddd"))</f>
        <v/>
      </c>
      <c r="D117" s="11"/>
      <c r="E117" s="8" t="str">
        <f aca="false">IF(D117="","",IFERROR(INDEX(ProjNumbers,MATCH(D117,ProjNames,0)),""))</f>
        <v/>
      </c>
      <c r="F117" s="8" t="str">
        <f aca="false">IF(D117="","",IFERROR(INDEX(ProjCodes,MATCH(D117,ProjNames,0)),""))</f>
        <v/>
      </c>
      <c r="G117" s="32"/>
      <c r="H117" s="11"/>
      <c r="I117" s="33"/>
      <c r="J117" s="8" t="str">
        <f aca="false">IF(COUNTA(B117,D117,G117,H117,I117)=0,"",IF(B117="","Enter date",IF(OR(B117&lt;$AC$2,B117&gt;$AC$3),"Date not in February",IF(D117="","Pick project",IF(ISNA(MATCH(D117,ProjNames,0)),"Project not in list",IF(G117="","Add task description",IF(H117="","Pick NTIME or P6",IF(N(I117)&lt;=0,"Enter hours",IF(AND(AllowOT&lt;&gt;"Yes",SUMIF($B$7:$B$256,B117,$I$7:$I$256)&gt;INDEX($O$58:$O$85,DAY(B117))),"Day over "&amp;INDEX($O$58:$O$85,DAY(B117))&amp;" h","✓")))))))))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tr">
        <f aca="false">IF(Projects!B115="","",Projects!B115)</f>
        <v/>
      </c>
      <c r="X117" s="1" t="n">
        <f aca="false">IF(W117="",0,SUMIFS($I$7:$I$256,$D$7:$D$256,W117,$H$7:$H$256,"NTIME"))</f>
        <v>0</v>
      </c>
      <c r="Y117" s="1" t="n">
        <f aca="false">IF(W117="",0,SUMIFS($I$7:$I$256,$D$7:$D$256,W117,$H$7:$H$256,"P6"))</f>
        <v>0</v>
      </c>
      <c r="Z117" s="1" t="n">
        <f aca="false">X117+Y117</f>
        <v>0</v>
      </c>
      <c r="AA117" s="1" t="n">
        <f aca="false">IF(Z117&gt;0,Z117+(201-111)/10^6,0)</f>
        <v>0</v>
      </c>
      <c r="AB117" s="1"/>
      <c r="AC117" s="1"/>
      <c r="AD117" s="1"/>
      <c r="AE117" s="1"/>
      <c r="AF117" s="1"/>
      <c r="AG117" s="1"/>
      <c r="AH117" s="1"/>
    </row>
    <row r="118" customFormat="false" ht="15" hidden="false" customHeight="false" outlineLevel="0" collapsed="false">
      <c r="A118" s="1"/>
      <c r="B118" s="10"/>
      <c r="C118" s="31" t="str">
        <f aca="false">IF(B118="","",TEXT(B118,"ddd"))</f>
        <v/>
      </c>
      <c r="D118" s="11"/>
      <c r="E118" s="8" t="str">
        <f aca="false">IF(D118="","",IFERROR(INDEX(ProjNumbers,MATCH(D118,ProjNames,0)),""))</f>
        <v/>
      </c>
      <c r="F118" s="8" t="str">
        <f aca="false">IF(D118="","",IFERROR(INDEX(ProjCodes,MATCH(D118,ProjNames,0)),""))</f>
        <v/>
      </c>
      <c r="G118" s="32"/>
      <c r="H118" s="11"/>
      <c r="I118" s="33"/>
      <c r="J118" s="8" t="str">
        <f aca="false">IF(COUNTA(B118,D118,G118,H118,I118)=0,"",IF(B118="","Enter date",IF(OR(B118&lt;$AC$2,B118&gt;$AC$3),"Date not in February",IF(D118="","Pick project",IF(ISNA(MATCH(D118,ProjNames,0)),"Project not in list",IF(G118="","Add task description",IF(H118="","Pick NTIME or P6",IF(N(I118)&lt;=0,"Enter hours",IF(AND(AllowOT&lt;&gt;"Yes",SUMIF($B$7:$B$256,B118,$I$7:$I$256)&gt;INDEX($O$58:$O$85,DAY(B118))),"Day over "&amp;INDEX($O$58:$O$85,DAY(B118))&amp;" h","✓")))))))))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tr">
        <f aca="false">IF(Projects!B116="","",Projects!B116)</f>
        <v/>
      </c>
      <c r="X118" s="1" t="n">
        <f aca="false">IF(W118="",0,SUMIFS($I$7:$I$256,$D$7:$D$256,W118,$H$7:$H$256,"NTIME"))</f>
        <v>0</v>
      </c>
      <c r="Y118" s="1" t="n">
        <f aca="false">IF(W118="",0,SUMIFS($I$7:$I$256,$D$7:$D$256,W118,$H$7:$H$256,"P6"))</f>
        <v>0</v>
      </c>
      <c r="Z118" s="1" t="n">
        <f aca="false">X118+Y118</f>
        <v>0</v>
      </c>
      <c r="AA118" s="1" t="n">
        <f aca="false">IF(Z118&gt;0,Z118+(201-112)/10^6,0)</f>
        <v>0</v>
      </c>
      <c r="AB118" s="1"/>
      <c r="AC118" s="1"/>
      <c r="AD118" s="1"/>
      <c r="AE118" s="1"/>
      <c r="AF118" s="1"/>
      <c r="AG118" s="1"/>
      <c r="AH118" s="1"/>
    </row>
    <row r="119" customFormat="false" ht="15" hidden="false" customHeight="false" outlineLevel="0" collapsed="false">
      <c r="A119" s="1"/>
      <c r="B119" s="10"/>
      <c r="C119" s="31" t="str">
        <f aca="false">IF(B119="","",TEXT(B119,"ddd"))</f>
        <v/>
      </c>
      <c r="D119" s="11"/>
      <c r="E119" s="8" t="str">
        <f aca="false">IF(D119="","",IFERROR(INDEX(ProjNumbers,MATCH(D119,ProjNames,0)),""))</f>
        <v/>
      </c>
      <c r="F119" s="8" t="str">
        <f aca="false">IF(D119="","",IFERROR(INDEX(ProjCodes,MATCH(D119,ProjNames,0)),""))</f>
        <v/>
      </c>
      <c r="G119" s="32"/>
      <c r="H119" s="11"/>
      <c r="I119" s="33"/>
      <c r="J119" s="8" t="str">
        <f aca="false">IF(COUNTA(B119,D119,G119,H119,I119)=0,"",IF(B119="","Enter date",IF(OR(B119&lt;$AC$2,B119&gt;$AC$3),"Date not in February",IF(D119="","Pick project",IF(ISNA(MATCH(D119,ProjNames,0)),"Project not in list",IF(G119="","Add task description",IF(H119="","Pick NTIME or P6",IF(N(I119)&lt;=0,"Enter hours",IF(AND(AllowOT&lt;&gt;"Yes",SUMIF($B$7:$B$256,B119,$I$7:$I$256)&gt;INDEX($O$58:$O$85,DAY(B119))),"Day over "&amp;INDEX($O$58:$O$85,DAY(B119))&amp;" h","✓")))))))))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 aca="false">IF(Projects!B117="","",Projects!B117)</f>
        <v/>
      </c>
      <c r="X119" s="1" t="n">
        <f aca="false">IF(W119="",0,SUMIFS($I$7:$I$256,$D$7:$D$256,W119,$H$7:$H$256,"NTIME"))</f>
        <v>0</v>
      </c>
      <c r="Y119" s="1" t="n">
        <f aca="false">IF(W119="",0,SUMIFS($I$7:$I$256,$D$7:$D$256,W119,$H$7:$H$256,"P6"))</f>
        <v>0</v>
      </c>
      <c r="Z119" s="1" t="n">
        <f aca="false">X119+Y119</f>
        <v>0</v>
      </c>
      <c r="AA119" s="1" t="n">
        <f aca="false">IF(Z119&gt;0,Z119+(201-113)/10^6,0)</f>
        <v>0</v>
      </c>
      <c r="AB119" s="1"/>
      <c r="AC119" s="1"/>
      <c r="AD119" s="1"/>
      <c r="AE119" s="1"/>
      <c r="AF119" s="1"/>
      <c r="AG119" s="1"/>
      <c r="AH119" s="1"/>
    </row>
    <row r="120" customFormat="false" ht="15" hidden="false" customHeight="false" outlineLevel="0" collapsed="false">
      <c r="A120" s="1"/>
      <c r="B120" s="10"/>
      <c r="C120" s="31" t="str">
        <f aca="false">IF(B120="","",TEXT(B120,"ddd"))</f>
        <v/>
      </c>
      <c r="D120" s="11"/>
      <c r="E120" s="8" t="str">
        <f aca="false">IF(D120="","",IFERROR(INDEX(ProjNumbers,MATCH(D120,ProjNames,0)),""))</f>
        <v/>
      </c>
      <c r="F120" s="8" t="str">
        <f aca="false">IF(D120="","",IFERROR(INDEX(ProjCodes,MATCH(D120,ProjNames,0)),""))</f>
        <v/>
      </c>
      <c r="G120" s="32"/>
      <c r="H120" s="11"/>
      <c r="I120" s="33"/>
      <c r="J120" s="8" t="str">
        <f aca="false">IF(COUNTA(B120,D120,G120,H120,I120)=0,"",IF(B120="","Enter date",IF(OR(B120&lt;$AC$2,B120&gt;$AC$3),"Date not in February",IF(D120="","Pick project",IF(ISNA(MATCH(D120,ProjNames,0)),"Project not in list",IF(G120="","Add task description",IF(H120="","Pick NTIME or P6",IF(N(I120)&lt;=0,"Enter hours",IF(AND(AllowOT&lt;&gt;"Yes",SUMIF($B$7:$B$256,B120,$I$7:$I$256)&gt;INDEX($O$58:$O$85,DAY(B120))),"Day over "&amp;INDEX($O$58:$O$85,DAY(B120))&amp;" h","✓")))))))))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tr">
        <f aca="false">IF(Projects!B118="","",Projects!B118)</f>
        <v/>
      </c>
      <c r="X120" s="1" t="n">
        <f aca="false">IF(W120="",0,SUMIFS($I$7:$I$256,$D$7:$D$256,W120,$H$7:$H$256,"NTIME"))</f>
        <v>0</v>
      </c>
      <c r="Y120" s="1" t="n">
        <f aca="false">IF(W120="",0,SUMIFS($I$7:$I$256,$D$7:$D$256,W120,$H$7:$H$256,"P6"))</f>
        <v>0</v>
      </c>
      <c r="Z120" s="1" t="n">
        <f aca="false">X120+Y120</f>
        <v>0</v>
      </c>
      <c r="AA120" s="1" t="n">
        <f aca="false">IF(Z120&gt;0,Z120+(201-114)/10^6,0)</f>
        <v>0</v>
      </c>
      <c r="AB120" s="1"/>
      <c r="AC120" s="1"/>
      <c r="AD120" s="1"/>
      <c r="AE120" s="1"/>
      <c r="AF120" s="1"/>
      <c r="AG120" s="1"/>
      <c r="AH120" s="1"/>
    </row>
    <row r="121" customFormat="false" ht="15" hidden="false" customHeight="false" outlineLevel="0" collapsed="false">
      <c r="A121" s="1"/>
      <c r="B121" s="10"/>
      <c r="C121" s="31" t="str">
        <f aca="false">IF(B121="","",TEXT(B121,"ddd"))</f>
        <v/>
      </c>
      <c r="D121" s="11"/>
      <c r="E121" s="8" t="str">
        <f aca="false">IF(D121="","",IFERROR(INDEX(ProjNumbers,MATCH(D121,ProjNames,0)),""))</f>
        <v/>
      </c>
      <c r="F121" s="8" t="str">
        <f aca="false">IF(D121="","",IFERROR(INDEX(ProjCodes,MATCH(D121,ProjNames,0)),""))</f>
        <v/>
      </c>
      <c r="G121" s="32"/>
      <c r="H121" s="11"/>
      <c r="I121" s="33"/>
      <c r="J121" s="8" t="str">
        <f aca="false">IF(COUNTA(B121,D121,G121,H121,I121)=0,"",IF(B121="","Enter date",IF(OR(B121&lt;$AC$2,B121&gt;$AC$3),"Date not in February",IF(D121="","Pick project",IF(ISNA(MATCH(D121,ProjNames,0)),"Project not in list",IF(G121="","Add task description",IF(H121="","Pick NTIME or P6",IF(N(I121)&lt;=0,"Enter hours",IF(AND(AllowOT&lt;&gt;"Yes",SUMIF($B$7:$B$256,B121,$I$7:$I$256)&gt;INDEX($O$58:$O$85,DAY(B121))),"Day over "&amp;INDEX($O$58:$O$85,DAY(B121))&amp;" h","✓")))))))))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tr">
        <f aca="false">IF(Projects!B119="","",Projects!B119)</f>
        <v/>
      </c>
      <c r="X121" s="1" t="n">
        <f aca="false">IF(W121="",0,SUMIFS($I$7:$I$256,$D$7:$D$256,W121,$H$7:$H$256,"NTIME"))</f>
        <v>0</v>
      </c>
      <c r="Y121" s="1" t="n">
        <f aca="false">IF(W121="",0,SUMIFS($I$7:$I$256,$D$7:$D$256,W121,$H$7:$H$256,"P6"))</f>
        <v>0</v>
      </c>
      <c r="Z121" s="1" t="n">
        <f aca="false">X121+Y121</f>
        <v>0</v>
      </c>
      <c r="AA121" s="1" t="n">
        <f aca="false">IF(Z121&gt;0,Z121+(201-115)/10^6,0)</f>
        <v>0</v>
      </c>
      <c r="AB121" s="1"/>
      <c r="AC121" s="1"/>
      <c r="AD121" s="1"/>
      <c r="AE121" s="1"/>
      <c r="AF121" s="1"/>
      <c r="AG121" s="1"/>
      <c r="AH121" s="1"/>
    </row>
    <row r="122" customFormat="false" ht="15" hidden="false" customHeight="false" outlineLevel="0" collapsed="false">
      <c r="A122" s="1"/>
      <c r="B122" s="10"/>
      <c r="C122" s="31" t="str">
        <f aca="false">IF(B122="","",TEXT(B122,"ddd"))</f>
        <v/>
      </c>
      <c r="D122" s="11"/>
      <c r="E122" s="8" t="str">
        <f aca="false">IF(D122="","",IFERROR(INDEX(ProjNumbers,MATCH(D122,ProjNames,0)),""))</f>
        <v/>
      </c>
      <c r="F122" s="8" t="str">
        <f aca="false">IF(D122="","",IFERROR(INDEX(ProjCodes,MATCH(D122,ProjNames,0)),""))</f>
        <v/>
      </c>
      <c r="G122" s="32"/>
      <c r="H122" s="11"/>
      <c r="I122" s="33"/>
      <c r="J122" s="8" t="str">
        <f aca="false">IF(COUNTA(B122,D122,G122,H122,I122)=0,"",IF(B122="","Enter date",IF(OR(B122&lt;$AC$2,B122&gt;$AC$3),"Date not in February",IF(D122="","Pick project",IF(ISNA(MATCH(D122,ProjNames,0)),"Project not in list",IF(G122="","Add task description",IF(H122="","Pick NTIME or P6",IF(N(I122)&lt;=0,"Enter hours",IF(AND(AllowOT&lt;&gt;"Yes",SUMIF($B$7:$B$256,B122,$I$7:$I$256)&gt;INDEX($O$58:$O$85,DAY(B122))),"Day over "&amp;INDEX($O$58:$O$85,DAY(B122))&amp;" h","✓")))))))))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tr">
        <f aca="false">IF(Projects!B120="","",Projects!B120)</f>
        <v/>
      </c>
      <c r="X122" s="1" t="n">
        <f aca="false">IF(W122="",0,SUMIFS($I$7:$I$256,$D$7:$D$256,W122,$H$7:$H$256,"NTIME"))</f>
        <v>0</v>
      </c>
      <c r="Y122" s="1" t="n">
        <f aca="false">IF(W122="",0,SUMIFS($I$7:$I$256,$D$7:$D$256,W122,$H$7:$H$256,"P6"))</f>
        <v>0</v>
      </c>
      <c r="Z122" s="1" t="n">
        <f aca="false">X122+Y122</f>
        <v>0</v>
      </c>
      <c r="AA122" s="1" t="n">
        <f aca="false">IF(Z122&gt;0,Z122+(201-116)/10^6,0)</f>
        <v>0</v>
      </c>
      <c r="AB122" s="1"/>
      <c r="AC122" s="1"/>
      <c r="AD122" s="1"/>
      <c r="AE122" s="1"/>
      <c r="AF122" s="1"/>
      <c r="AG122" s="1"/>
      <c r="AH122" s="1"/>
    </row>
    <row r="123" customFormat="false" ht="15" hidden="false" customHeight="false" outlineLevel="0" collapsed="false">
      <c r="A123" s="1"/>
      <c r="B123" s="10"/>
      <c r="C123" s="31" t="str">
        <f aca="false">IF(B123="","",TEXT(B123,"ddd"))</f>
        <v/>
      </c>
      <c r="D123" s="11"/>
      <c r="E123" s="8" t="str">
        <f aca="false">IF(D123="","",IFERROR(INDEX(ProjNumbers,MATCH(D123,ProjNames,0)),""))</f>
        <v/>
      </c>
      <c r="F123" s="8" t="str">
        <f aca="false">IF(D123="","",IFERROR(INDEX(ProjCodes,MATCH(D123,ProjNames,0)),""))</f>
        <v/>
      </c>
      <c r="G123" s="32"/>
      <c r="H123" s="11"/>
      <c r="I123" s="33"/>
      <c r="J123" s="8" t="str">
        <f aca="false">IF(COUNTA(B123,D123,G123,H123,I123)=0,"",IF(B123="","Enter date",IF(OR(B123&lt;$AC$2,B123&gt;$AC$3),"Date not in February",IF(D123="","Pick project",IF(ISNA(MATCH(D123,ProjNames,0)),"Project not in list",IF(G123="","Add task description",IF(H123="","Pick NTIME or P6",IF(N(I123)&lt;=0,"Enter hours",IF(AND(AllowOT&lt;&gt;"Yes",SUMIF($B$7:$B$256,B123,$I$7:$I$256)&gt;INDEX($O$58:$O$85,DAY(B123))),"Day over "&amp;INDEX($O$58:$O$85,DAY(B123))&amp;" h","✓")))))))))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tr">
        <f aca="false">IF(Projects!B121="","",Projects!B121)</f>
        <v/>
      </c>
      <c r="X123" s="1" t="n">
        <f aca="false">IF(W123="",0,SUMIFS($I$7:$I$256,$D$7:$D$256,W123,$H$7:$H$256,"NTIME"))</f>
        <v>0</v>
      </c>
      <c r="Y123" s="1" t="n">
        <f aca="false">IF(W123="",0,SUMIFS($I$7:$I$256,$D$7:$D$256,W123,$H$7:$H$256,"P6"))</f>
        <v>0</v>
      </c>
      <c r="Z123" s="1" t="n">
        <f aca="false">X123+Y123</f>
        <v>0</v>
      </c>
      <c r="AA123" s="1" t="n">
        <f aca="false">IF(Z123&gt;0,Z123+(201-117)/10^6,0)</f>
        <v>0</v>
      </c>
      <c r="AB123" s="1"/>
      <c r="AC123" s="1"/>
      <c r="AD123" s="1"/>
      <c r="AE123" s="1"/>
      <c r="AF123" s="1"/>
      <c r="AG123" s="1"/>
      <c r="AH123" s="1"/>
    </row>
    <row r="124" customFormat="false" ht="15" hidden="false" customHeight="false" outlineLevel="0" collapsed="false">
      <c r="A124" s="1"/>
      <c r="B124" s="10"/>
      <c r="C124" s="31" t="str">
        <f aca="false">IF(B124="","",TEXT(B124,"ddd"))</f>
        <v/>
      </c>
      <c r="D124" s="11"/>
      <c r="E124" s="8" t="str">
        <f aca="false">IF(D124="","",IFERROR(INDEX(ProjNumbers,MATCH(D124,ProjNames,0)),""))</f>
        <v/>
      </c>
      <c r="F124" s="8" t="str">
        <f aca="false">IF(D124="","",IFERROR(INDEX(ProjCodes,MATCH(D124,ProjNames,0)),""))</f>
        <v/>
      </c>
      <c r="G124" s="32"/>
      <c r="H124" s="11"/>
      <c r="I124" s="33"/>
      <c r="J124" s="8" t="str">
        <f aca="false">IF(COUNTA(B124,D124,G124,H124,I124)=0,"",IF(B124="","Enter date",IF(OR(B124&lt;$AC$2,B124&gt;$AC$3),"Date not in February",IF(D124="","Pick project",IF(ISNA(MATCH(D124,ProjNames,0)),"Project not in list",IF(G124="","Add task description",IF(H124="","Pick NTIME or P6",IF(N(I124)&lt;=0,"Enter hours",IF(AND(AllowOT&lt;&gt;"Yes",SUMIF($B$7:$B$256,B124,$I$7:$I$256)&gt;INDEX($O$58:$O$85,DAY(B124))),"Day over "&amp;INDEX($O$58:$O$85,DAY(B124))&amp;" h","✓")))))))))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tr">
        <f aca="false">IF(Projects!B122="","",Projects!B122)</f>
        <v/>
      </c>
      <c r="X124" s="1" t="n">
        <f aca="false">IF(W124="",0,SUMIFS($I$7:$I$256,$D$7:$D$256,W124,$H$7:$H$256,"NTIME"))</f>
        <v>0</v>
      </c>
      <c r="Y124" s="1" t="n">
        <f aca="false">IF(W124="",0,SUMIFS($I$7:$I$256,$D$7:$D$256,W124,$H$7:$H$256,"P6"))</f>
        <v>0</v>
      </c>
      <c r="Z124" s="1" t="n">
        <f aca="false">X124+Y124</f>
        <v>0</v>
      </c>
      <c r="AA124" s="1" t="n">
        <f aca="false">IF(Z124&gt;0,Z124+(201-118)/10^6,0)</f>
        <v>0</v>
      </c>
      <c r="AB124" s="1"/>
      <c r="AC124" s="1"/>
      <c r="AD124" s="1"/>
      <c r="AE124" s="1"/>
      <c r="AF124" s="1"/>
      <c r="AG124" s="1"/>
      <c r="AH124" s="1"/>
    </row>
    <row r="125" customFormat="false" ht="15" hidden="false" customHeight="false" outlineLevel="0" collapsed="false">
      <c r="A125" s="1"/>
      <c r="B125" s="10"/>
      <c r="C125" s="31" t="str">
        <f aca="false">IF(B125="","",TEXT(B125,"ddd"))</f>
        <v/>
      </c>
      <c r="D125" s="11"/>
      <c r="E125" s="8" t="str">
        <f aca="false">IF(D125="","",IFERROR(INDEX(ProjNumbers,MATCH(D125,ProjNames,0)),""))</f>
        <v/>
      </c>
      <c r="F125" s="8" t="str">
        <f aca="false">IF(D125="","",IFERROR(INDEX(ProjCodes,MATCH(D125,ProjNames,0)),""))</f>
        <v/>
      </c>
      <c r="G125" s="32"/>
      <c r="H125" s="11"/>
      <c r="I125" s="33"/>
      <c r="J125" s="8" t="str">
        <f aca="false">IF(COUNTA(B125,D125,G125,H125,I125)=0,"",IF(B125="","Enter date",IF(OR(B125&lt;$AC$2,B125&gt;$AC$3),"Date not in February",IF(D125="","Pick project",IF(ISNA(MATCH(D125,ProjNames,0)),"Project not in list",IF(G125="","Add task description",IF(H125="","Pick NTIME or P6",IF(N(I125)&lt;=0,"Enter hours",IF(AND(AllowOT&lt;&gt;"Yes",SUMIF($B$7:$B$256,B125,$I$7:$I$256)&gt;INDEX($O$58:$O$85,DAY(B125))),"Day over "&amp;INDEX($O$58:$O$85,DAY(B125))&amp;" h","✓")))))))))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tr">
        <f aca="false">IF(Projects!B123="","",Projects!B123)</f>
        <v/>
      </c>
      <c r="X125" s="1" t="n">
        <f aca="false">IF(W125="",0,SUMIFS($I$7:$I$256,$D$7:$D$256,W125,$H$7:$H$256,"NTIME"))</f>
        <v>0</v>
      </c>
      <c r="Y125" s="1" t="n">
        <f aca="false">IF(W125="",0,SUMIFS($I$7:$I$256,$D$7:$D$256,W125,$H$7:$H$256,"P6"))</f>
        <v>0</v>
      </c>
      <c r="Z125" s="1" t="n">
        <f aca="false">X125+Y125</f>
        <v>0</v>
      </c>
      <c r="AA125" s="1" t="n">
        <f aca="false">IF(Z125&gt;0,Z125+(201-119)/10^6,0)</f>
        <v>0</v>
      </c>
      <c r="AB125" s="1"/>
      <c r="AC125" s="1"/>
      <c r="AD125" s="1"/>
      <c r="AE125" s="1"/>
      <c r="AF125" s="1"/>
      <c r="AG125" s="1"/>
      <c r="AH125" s="1"/>
    </row>
    <row r="126" customFormat="false" ht="15" hidden="false" customHeight="false" outlineLevel="0" collapsed="false">
      <c r="A126" s="1"/>
      <c r="B126" s="10"/>
      <c r="C126" s="31" t="str">
        <f aca="false">IF(B126="","",TEXT(B126,"ddd"))</f>
        <v/>
      </c>
      <c r="D126" s="11"/>
      <c r="E126" s="8" t="str">
        <f aca="false">IF(D126="","",IFERROR(INDEX(ProjNumbers,MATCH(D126,ProjNames,0)),""))</f>
        <v/>
      </c>
      <c r="F126" s="8" t="str">
        <f aca="false">IF(D126="","",IFERROR(INDEX(ProjCodes,MATCH(D126,ProjNames,0)),""))</f>
        <v/>
      </c>
      <c r="G126" s="32"/>
      <c r="H126" s="11"/>
      <c r="I126" s="33"/>
      <c r="J126" s="8" t="str">
        <f aca="false">IF(COUNTA(B126,D126,G126,H126,I126)=0,"",IF(B126="","Enter date",IF(OR(B126&lt;$AC$2,B126&gt;$AC$3),"Date not in February",IF(D126="","Pick project",IF(ISNA(MATCH(D126,ProjNames,0)),"Project not in list",IF(G126="","Add task description",IF(H126="","Pick NTIME or P6",IF(N(I126)&lt;=0,"Enter hours",IF(AND(AllowOT&lt;&gt;"Yes",SUMIF($B$7:$B$256,B126,$I$7:$I$256)&gt;INDEX($O$58:$O$85,DAY(B126))),"Day over "&amp;INDEX($O$58:$O$85,DAY(B126))&amp;" h","✓")))))))))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tr">
        <f aca="false">IF(Projects!B124="","",Projects!B124)</f>
        <v/>
      </c>
      <c r="X126" s="1" t="n">
        <f aca="false">IF(W126="",0,SUMIFS($I$7:$I$256,$D$7:$D$256,W126,$H$7:$H$256,"NTIME"))</f>
        <v>0</v>
      </c>
      <c r="Y126" s="1" t="n">
        <f aca="false">IF(W126="",0,SUMIFS($I$7:$I$256,$D$7:$D$256,W126,$H$7:$H$256,"P6"))</f>
        <v>0</v>
      </c>
      <c r="Z126" s="1" t="n">
        <f aca="false">X126+Y126</f>
        <v>0</v>
      </c>
      <c r="AA126" s="1" t="n">
        <f aca="false">IF(Z126&gt;0,Z126+(201-120)/10^6,0)</f>
        <v>0</v>
      </c>
      <c r="AB126" s="1"/>
      <c r="AC126" s="1"/>
      <c r="AD126" s="1"/>
      <c r="AE126" s="1"/>
      <c r="AF126" s="1"/>
      <c r="AG126" s="1"/>
      <c r="AH126" s="1"/>
    </row>
    <row r="127" customFormat="false" ht="15" hidden="false" customHeight="false" outlineLevel="0" collapsed="false">
      <c r="A127" s="1"/>
      <c r="B127" s="10"/>
      <c r="C127" s="31" t="str">
        <f aca="false">IF(B127="","",TEXT(B127,"ddd"))</f>
        <v/>
      </c>
      <c r="D127" s="11"/>
      <c r="E127" s="8" t="str">
        <f aca="false">IF(D127="","",IFERROR(INDEX(ProjNumbers,MATCH(D127,ProjNames,0)),""))</f>
        <v/>
      </c>
      <c r="F127" s="8" t="str">
        <f aca="false">IF(D127="","",IFERROR(INDEX(ProjCodes,MATCH(D127,ProjNames,0)),""))</f>
        <v/>
      </c>
      <c r="G127" s="32"/>
      <c r="H127" s="11"/>
      <c r="I127" s="33"/>
      <c r="J127" s="8" t="str">
        <f aca="false">IF(COUNTA(B127,D127,G127,H127,I127)=0,"",IF(B127="","Enter date",IF(OR(B127&lt;$AC$2,B127&gt;$AC$3),"Date not in February",IF(D127="","Pick project",IF(ISNA(MATCH(D127,ProjNames,0)),"Project not in list",IF(G127="","Add task description",IF(H127="","Pick NTIME or P6",IF(N(I127)&lt;=0,"Enter hours",IF(AND(AllowOT&lt;&gt;"Yes",SUMIF($B$7:$B$256,B127,$I$7:$I$256)&gt;INDEX($O$58:$O$85,DAY(B127))),"Day over "&amp;INDEX($O$58:$O$85,DAY(B127))&amp;" h","✓")))))))))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tr">
        <f aca="false">IF(Projects!B125="","",Projects!B125)</f>
        <v/>
      </c>
      <c r="X127" s="1" t="n">
        <f aca="false">IF(W127="",0,SUMIFS($I$7:$I$256,$D$7:$D$256,W127,$H$7:$H$256,"NTIME"))</f>
        <v>0</v>
      </c>
      <c r="Y127" s="1" t="n">
        <f aca="false">IF(W127="",0,SUMIFS($I$7:$I$256,$D$7:$D$256,W127,$H$7:$H$256,"P6"))</f>
        <v>0</v>
      </c>
      <c r="Z127" s="1" t="n">
        <f aca="false">X127+Y127</f>
        <v>0</v>
      </c>
      <c r="AA127" s="1" t="n">
        <f aca="false">IF(Z127&gt;0,Z127+(201-121)/10^6,0)</f>
        <v>0</v>
      </c>
      <c r="AB127" s="1"/>
      <c r="AC127" s="1"/>
      <c r="AD127" s="1"/>
      <c r="AE127" s="1"/>
      <c r="AF127" s="1"/>
      <c r="AG127" s="1"/>
      <c r="AH127" s="1"/>
    </row>
    <row r="128" customFormat="false" ht="15" hidden="false" customHeight="false" outlineLevel="0" collapsed="false">
      <c r="A128" s="1"/>
      <c r="B128" s="10"/>
      <c r="C128" s="31" t="str">
        <f aca="false">IF(B128="","",TEXT(B128,"ddd"))</f>
        <v/>
      </c>
      <c r="D128" s="11"/>
      <c r="E128" s="8" t="str">
        <f aca="false">IF(D128="","",IFERROR(INDEX(ProjNumbers,MATCH(D128,ProjNames,0)),""))</f>
        <v/>
      </c>
      <c r="F128" s="8" t="str">
        <f aca="false">IF(D128="","",IFERROR(INDEX(ProjCodes,MATCH(D128,ProjNames,0)),""))</f>
        <v/>
      </c>
      <c r="G128" s="32"/>
      <c r="H128" s="11"/>
      <c r="I128" s="33"/>
      <c r="J128" s="8" t="str">
        <f aca="false">IF(COUNTA(B128,D128,G128,H128,I128)=0,"",IF(B128="","Enter date",IF(OR(B128&lt;$AC$2,B128&gt;$AC$3),"Date not in February",IF(D128="","Pick project",IF(ISNA(MATCH(D128,ProjNames,0)),"Project not in list",IF(G128="","Add task description",IF(H128="","Pick NTIME or P6",IF(N(I128)&lt;=0,"Enter hours",IF(AND(AllowOT&lt;&gt;"Yes",SUMIF($B$7:$B$256,B128,$I$7:$I$256)&gt;INDEX($O$58:$O$85,DAY(B128))),"Day over "&amp;INDEX($O$58:$O$85,DAY(B128))&amp;" h","✓")))))))))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tr">
        <f aca="false">IF(Projects!B126="","",Projects!B126)</f>
        <v/>
      </c>
      <c r="X128" s="1" t="n">
        <f aca="false">IF(W128="",0,SUMIFS($I$7:$I$256,$D$7:$D$256,W128,$H$7:$H$256,"NTIME"))</f>
        <v>0</v>
      </c>
      <c r="Y128" s="1" t="n">
        <f aca="false">IF(W128="",0,SUMIFS($I$7:$I$256,$D$7:$D$256,W128,$H$7:$H$256,"P6"))</f>
        <v>0</v>
      </c>
      <c r="Z128" s="1" t="n">
        <f aca="false">X128+Y128</f>
        <v>0</v>
      </c>
      <c r="AA128" s="1" t="n">
        <f aca="false">IF(Z128&gt;0,Z128+(201-122)/10^6,0)</f>
        <v>0</v>
      </c>
      <c r="AB128" s="1"/>
      <c r="AC128" s="1"/>
      <c r="AD128" s="1"/>
      <c r="AE128" s="1"/>
      <c r="AF128" s="1"/>
      <c r="AG128" s="1"/>
      <c r="AH128" s="1"/>
    </row>
    <row r="129" customFormat="false" ht="15" hidden="false" customHeight="false" outlineLevel="0" collapsed="false">
      <c r="A129" s="1"/>
      <c r="B129" s="10"/>
      <c r="C129" s="31" t="str">
        <f aca="false">IF(B129="","",TEXT(B129,"ddd"))</f>
        <v/>
      </c>
      <c r="D129" s="11"/>
      <c r="E129" s="8" t="str">
        <f aca="false">IF(D129="","",IFERROR(INDEX(ProjNumbers,MATCH(D129,ProjNames,0)),""))</f>
        <v/>
      </c>
      <c r="F129" s="8" t="str">
        <f aca="false">IF(D129="","",IFERROR(INDEX(ProjCodes,MATCH(D129,ProjNames,0)),""))</f>
        <v/>
      </c>
      <c r="G129" s="32"/>
      <c r="H129" s="11"/>
      <c r="I129" s="33"/>
      <c r="J129" s="8" t="str">
        <f aca="false">IF(COUNTA(B129,D129,G129,H129,I129)=0,"",IF(B129="","Enter date",IF(OR(B129&lt;$AC$2,B129&gt;$AC$3),"Date not in February",IF(D129="","Pick project",IF(ISNA(MATCH(D129,ProjNames,0)),"Project not in list",IF(G129="","Add task description",IF(H129="","Pick NTIME or P6",IF(N(I129)&lt;=0,"Enter hours",IF(AND(AllowOT&lt;&gt;"Yes",SUMIF($B$7:$B$256,B129,$I$7:$I$256)&gt;INDEX($O$58:$O$85,DAY(B129))),"Day over "&amp;INDEX($O$58:$O$85,DAY(B129))&amp;" h","✓")))))))))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tr">
        <f aca="false">IF(Projects!B127="","",Projects!B127)</f>
        <v/>
      </c>
      <c r="X129" s="1" t="n">
        <f aca="false">IF(W129="",0,SUMIFS($I$7:$I$256,$D$7:$D$256,W129,$H$7:$H$256,"NTIME"))</f>
        <v>0</v>
      </c>
      <c r="Y129" s="1" t="n">
        <f aca="false">IF(W129="",0,SUMIFS($I$7:$I$256,$D$7:$D$256,W129,$H$7:$H$256,"P6"))</f>
        <v>0</v>
      </c>
      <c r="Z129" s="1" t="n">
        <f aca="false">X129+Y129</f>
        <v>0</v>
      </c>
      <c r="AA129" s="1" t="n">
        <f aca="false">IF(Z129&gt;0,Z129+(201-123)/10^6,0)</f>
        <v>0</v>
      </c>
      <c r="AB129" s="1"/>
      <c r="AC129" s="1"/>
      <c r="AD129" s="1"/>
      <c r="AE129" s="1"/>
      <c r="AF129" s="1"/>
      <c r="AG129" s="1"/>
      <c r="AH129" s="1"/>
    </row>
    <row r="130" customFormat="false" ht="15" hidden="false" customHeight="false" outlineLevel="0" collapsed="false">
      <c r="A130" s="1"/>
      <c r="B130" s="10"/>
      <c r="C130" s="31" t="str">
        <f aca="false">IF(B130="","",TEXT(B130,"ddd"))</f>
        <v/>
      </c>
      <c r="D130" s="11"/>
      <c r="E130" s="8" t="str">
        <f aca="false">IF(D130="","",IFERROR(INDEX(ProjNumbers,MATCH(D130,ProjNames,0)),""))</f>
        <v/>
      </c>
      <c r="F130" s="8" t="str">
        <f aca="false">IF(D130="","",IFERROR(INDEX(ProjCodes,MATCH(D130,ProjNames,0)),""))</f>
        <v/>
      </c>
      <c r="G130" s="32"/>
      <c r="H130" s="11"/>
      <c r="I130" s="33"/>
      <c r="J130" s="8" t="str">
        <f aca="false">IF(COUNTA(B130,D130,G130,H130,I130)=0,"",IF(B130="","Enter date",IF(OR(B130&lt;$AC$2,B130&gt;$AC$3),"Date not in February",IF(D130="","Pick project",IF(ISNA(MATCH(D130,ProjNames,0)),"Project not in list",IF(G130="","Add task description",IF(H130="","Pick NTIME or P6",IF(N(I130)&lt;=0,"Enter hours",IF(AND(AllowOT&lt;&gt;"Yes",SUMIF($B$7:$B$256,B130,$I$7:$I$256)&gt;INDEX($O$58:$O$85,DAY(B130))),"Day over "&amp;INDEX($O$58:$O$85,DAY(B130))&amp;" h","✓")))))))))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tr">
        <f aca="false">IF(Projects!B128="","",Projects!B128)</f>
        <v/>
      </c>
      <c r="X130" s="1" t="n">
        <f aca="false">IF(W130="",0,SUMIFS($I$7:$I$256,$D$7:$D$256,W130,$H$7:$H$256,"NTIME"))</f>
        <v>0</v>
      </c>
      <c r="Y130" s="1" t="n">
        <f aca="false">IF(W130="",0,SUMIFS($I$7:$I$256,$D$7:$D$256,W130,$H$7:$H$256,"P6"))</f>
        <v>0</v>
      </c>
      <c r="Z130" s="1" t="n">
        <f aca="false">X130+Y130</f>
        <v>0</v>
      </c>
      <c r="AA130" s="1" t="n">
        <f aca="false">IF(Z130&gt;0,Z130+(201-124)/10^6,0)</f>
        <v>0</v>
      </c>
      <c r="AB130" s="1"/>
      <c r="AC130" s="1"/>
      <c r="AD130" s="1"/>
      <c r="AE130" s="1"/>
      <c r="AF130" s="1"/>
      <c r="AG130" s="1"/>
      <c r="AH130" s="1"/>
    </row>
    <row r="131" customFormat="false" ht="15" hidden="false" customHeight="false" outlineLevel="0" collapsed="false">
      <c r="A131" s="1"/>
      <c r="B131" s="10"/>
      <c r="C131" s="31" t="str">
        <f aca="false">IF(B131="","",TEXT(B131,"ddd"))</f>
        <v/>
      </c>
      <c r="D131" s="11"/>
      <c r="E131" s="8" t="str">
        <f aca="false">IF(D131="","",IFERROR(INDEX(ProjNumbers,MATCH(D131,ProjNames,0)),""))</f>
        <v/>
      </c>
      <c r="F131" s="8" t="str">
        <f aca="false">IF(D131="","",IFERROR(INDEX(ProjCodes,MATCH(D131,ProjNames,0)),""))</f>
        <v/>
      </c>
      <c r="G131" s="32"/>
      <c r="H131" s="11"/>
      <c r="I131" s="33"/>
      <c r="J131" s="8" t="str">
        <f aca="false">IF(COUNTA(B131,D131,G131,H131,I131)=0,"",IF(B131="","Enter date",IF(OR(B131&lt;$AC$2,B131&gt;$AC$3),"Date not in February",IF(D131="","Pick project",IF(ISNA(MATCH(D131,ProjNames,0)),"Project not in list",IF(G131="","Add task description",IF(H131="","Pick NTIME or P6",IF(N(I131)&lt;=0,"Enter hours",IF(AND(AllowOT&lt;&gt;"Yes",SUMIF($B$7:$B$256,B131,$I$7:$I$256)&gt;INDEX($O$58:$O$85,DAY(B131))),"Day over "&amp;INDEX($O$58:$O$85,DAY(B131))&amp;" h","✓")))))))))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tr">
        <f aca="false">IF(Projects!B129="","",Projects!B129)</f>
        <v/>
      </c>
      <c r="X131" s="1" t="n">
        <f aca="false">IF(W131="",0,SUMIFS($I$7:$I$256,$D$7:$D$256,W131,$H$7:$H$256,"NTIME"))</f>
        <v>0</v>
      </c>
      <c r="Y131" s="1" t="n">
        <f aca="false">IF(W131="",0,SUMIFS($I$7:$I$256,$D$7:$D$256,W131,$H$7:$H$256,"P6"))</f>
        <v>0</v>
      </c>
      <c r="Z131" s="1" t="n">
        <f aca="false">X131+Y131</f>
        <v>0</v>
      </c>
      <c r="AA131" s="1" t="n">
        <f aca="false">IF(Z131&gt;0,Z131+(201-125)/10^6,0)</f>
        <v>0</v>
      </c>
      <c r="AB131" s="1"/>
      <c r="AC131" s="1"/>
      <c r="AD131" s="1"/>
      <c r="AE131" s="1"/>
      <c r="AF131" s="1"/>
      <c r="AG131" s="1"/>
      <c r="AH131" s="1"/>
    </row>
    <row r="132" customFormat="false" ht="15" hidden="false" customHeight="false" outlineLevel="0" collapsed="false">
      <c r="A132" s="1"/>
      <c r="B132" s="10"/>
      <c r="C132" s="31" t="str">
        <f aca="false">IF(B132="","",TEXT(B132,"ddd"))</f>
        <v/>
      </c>
      <c r="D132" s="11"/>
      <c r="E132" s="8" t="str">
        <f aca="false">IF(D132="","",IFERROR(INDEX(ProjNumbers,MATCH(D132,ProjNames,0)),""))</f>
        <v/>
      </c>
      <c r="F132" s="8" t="str">
        <f aca="false">IF(D132="","",IFERROR(INDEX(ProjCodes,MATCH(D132,ProjNames,0)),""))</f>
        <v/>
      </c>
      <c r="G132" s="32"/>
      <c r="H132" s="11"/>
      <c r="I132" s="33"/>
      <c r="J132" s="8" t="str">
        <f aca="false">IF(COUNTA(B132,D132,G132,H132,I132)=0,"",IF(B132="","Enter date",IF(OR(B132&lt;$AC$2,B132&gt;$AC$3),"Date not in February",IF(D132="","Pick project",IF(ISNA(MATCH(D132,ProjNames,0)),"Project not in list",IF(G132="","Add task description",IF(H132="","Pick NTIME or P6",IF(N(I132)&lt;=0,"Enter hours",IF(AND(AllowOT&lt;&gt;"Yes",SUMIF($B$7:$B$256,B132,$I$7:$I$256)&gt;INDEX($O$58:$O$85,DAY(B132))),"Day over "&amp;INDEX($O$58:$O$85,DAY(B132))&amp;" h","✓")))))))))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tr">
        <f aca="false">IF(Projects!B130="","",Projects!B130)</f>
        <v/>
      </c>
      <c r="X132" s="1" t="n">
        <f aca="false">IF(W132="",0,SUMIFS($I$7:$I$256,$D$7:$D$256,W132,$H$7:$H$256,"NTIME"))</f>
        <v>0</v>
      </c>
      <c r="Y132" s="1" t="n">
        <f aca="false">IF(W132="",0,SUMIFS($I$7:$I$256,$D$7:$D$256,W132,$H$7:$H$256,"P6"))</f>
        <v>0</v>
      </c>
      <c r="Z132" s="1" t="n">
        <f aca="false">X132+Y132</f>
        <v>0</v>
      </c>
      <c r="AA132" s="1" t="n">
        <f aca="false">IF(Z132&gt;0,Z132+(201-126)/10^6,0)</f>
        <v>0</v>
      </c>
      <c r="AB132" s="1"/>
      <c r="AC132" s="1"/>
      <c r="AD132" s="1"/>
      <c r="AE132" s="1"/>
      <c r="AF132" s="1"/>
      <c r="AG132" s="1"/>
      <c r="AH132" s="1"/>
    </row>
    <row r="133" customFormat="false" ht="15" hidden="false" customHeight="false" outlineLevel="0" collapsed="false">
      <c r="A133" s="1"/>
      <c r="B133" s="10"/>
      <c r="C133" s="31" t="str">
        <f aca="false">IF(B133="","",TEXT(B133,"ddd"))</f>
        <v/>
      </c>
      <c r="D133" s="11"/>
      <c r="E133" s="8" t="str">
        <f aca="false">IF(D133="","",IFERROR(INDEX(ProjNumbers,MATCH(D133,ProjNames,0)),""))</f>
        <v/>
      </c>
      <c r="F133" s="8" t="str">
        <f aca="false">IF(D133="","",IFERROR(INDEX(ProjCodes,MATCH(D133,ProjNames,0)),""))</f>
        <v/>
      </c>
      <c r="G133" s="32"/>
      <c r="H133" s="11"/>
      <c r="I133" s="33"/>
      <c r="J133" s="8" t="str">
        <f aca="false">IF(COUNTA(B133,D133,G133,H133,I133)=0,"",IF(B133="","Enter date",IF(OR(B133&lt;$AC$2,B133&gt;$AC$3),"Date not in February",IF(D133="","Pick project",IF(ISNA(MATCH(D133,ProjNames,0)),"Project not in list",IF(G133="","Add task description",IF(H133="","Pick NTIME or P6",IF(N(I133)&lt;=0,"Enter hours",IF(AND(AllowOT&lt;&gt;"Yes",SUMIF($B$7:$B$256,B133,$I$7:$I$256)&gt;INDEX($O$58:$O$85,DAY(B133))),"Day over "&amp;INDEX($O$58:$O$85,DAY(B133))&amp;" h","✓")))))))))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tr">
        <f aca="false">IF(Projects!B131="","",Projects!B131)</f>
        <v/>
      </c>
      <c r="X133" s="1" t="n">
        <f aca="false">IF(W133="",0,SUMIFS($I$7:$I$256,$D$7:$D$256,W133,$H$7:$H$256,"NTIME"))</f>
        <v>0</v>
      </c>
      <c r="Y133" s="1" t="n">
        <f aca="false">IF(W133="",0,SUMIFS($I$7:$I$256,$D$7:$D$256,W133,$H$7:$H$256,"P6"))</f>
        <v>0</v>
      </c>
      <c r="Z133" s="1" t="n">
        <f aca="false">X133+Y133</f>
        <v>0</v>
      </c>
      <c r="AA133" s="1" t="n">
        <f aca="false">IF(Z133&gt;0,Z133+(201-127)/10^6,0)</f>
        <v>0</v>
      </c>
      <c r="AB133" s="1"/>
      <c r="AC133" s="1"/>
      <c r="AD133" s="1"/>
      <c r="AE133" s="1"/>
      <c r="AF133" s="1"/>
      <c r="AG133" s="1"/>
      <c r="AH133" s="1"/>
    </row>
    <row r="134" customFormat="false" ht="15" hidden="false" customHeight="false" outlineLevel="0" collapsed="false">
      <c r="A134" s="1"/>
      <c r="B134" s="10"/>
      <c r="C134" s="31" t="str">
        <f aca="false">IF(B134="","",TEXT(B134,"ddd"))</f>
        <v/>
      </c>
      <c r="D134" s="11"/>
      <c r="E134" s="8" t="str">
        <f aca="false">IF(D134="","",IFERROR(INDEX(ProjNumbers,MATCH(D134,ProjNames,0)),""))</f>
        <v/>
      </c>
      <c r="F134" s="8" t="str">
        <f aca="false">IF(D134="","",IFERROR(INDEX(ProjCodes,MATCH(D134,ProjNames,0)),""))</f>
        <v/>
      </c>
      <c r="G134" s="32"/>
      <c r="H134" s="11"/>
      <c r="I134" s="33"/>
      <c r="J134" s="8" t="str">
        <f aca="false">IF(COUNTA(B134,D134,G134,H134,I134)=0,"",IF(B134="","Enter date",IF(OR(B134&lt;$AC$2,B134&gt;$AC$3),"Date not in February",IF(D134="","Pick project",IF(ISNA(MATCH(D134,ProjNames,0)),"Project not in list",IF(G134="","Add task description",IF(H134="","Pick NTIME or P6",IF(N(I134)&lt;=0,"Enter hours",IF(AND(AllowOT&lt;&gt;"Yes",SUMIF($B$7:$B$256,B134,$I$7:$I$256)&gt;INDEX($O$58:$O$85,DAY(B134))),"Day over "&amp;INDEX($O$58:$O$85,DAY(B134))&amp;" h","✓")))))))))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tr">
        <f aca="false">IF(Projects!B132="","",Projects!B132)</f>
        <v/>
      </c>
      <c r="X134" s="1" t="n">
        <f aca="false">IF(W134="",0,SUMIFS($I$7:$I$256,$D$7:$D$256,W134,$H$7:$H$256,"NTIME"))</f>
        <v>0</v>
      </c>
      <c r="Y134" s="1" t="n">
        <f aca="false">IF(W134="",0,SUMIFS($I$7:$I$256,$D$7:$D$256,W134,$H$7:$H$256,"P6"))</f>
        <v>0</v>
      </c>
      <c r="Z134" s="1" t="n">
        <f aca="false">X134+Y134</f>
        <v>0</v>
      </c>
      <c r="AA134" s="1" t="n">
        <f aca="false">IF(Z134&gt;0,Z134+(201-128)/10^6,0)</f>
        <v>0</v>
      </c>
      <c r="AB134" s="1"/>
      <c r="AC134" s="1"/>
      <c r="AD134" s="1"/>
      <c r="AE134" s="1"/>
      <c r="AF134" s="1"/>
      <c r="AG134" s="1"/>
      <c r="AH134" s="1"/>
    </row>
    <row r="135" customFormat="false" ht="15" hidden="false" customHeight="false" outlineLevel="0" collapsed="false">
      <c r="A135" s="1"/>
      <c r="B135" s="10"/>
      <c r="C135" s="31" t="str">
        <f aca="false">IF(B135="","",TEXT(B135,"ddd"))</f>
        <v/>
      </c>
      <c r="D135" s="11"/>
      <c r="E135" s="8" t="str">
        <f aca="false">IF(D135="","",IFERROR(INDEX(ProjNumbers,MATCH(D135,ProjNames,0)),""))</f>
        <v/>
      </c>
      <c r="F135" s="8" t="str">
        <f aca="false">IF(D135="","",IFERROR(INDEX(ProjCodes,MATCH(D135,ProjNames,0)),""))</f>
        <v/>
      </c>
      <c r="G135" s="32"/>
      <c r="H135" s="11"/>
      <c r="I135" s="33"/>
      <c r="J135" s="8" t="str">
        <f aca="false">IF(COUNTA(B135,D135,G135,H135,I135)=0,"",IF(B135="","Enter date",IF(OR(B135&lt;$AC$2,B135&gt;$AC$3),"Date not in February",IF(D135="","Pick project",IF(ISNA(MATCH(D135,ProjNames,0)),"Project not in list",IF(G135="","Add task description",IF(H135="","Pick NTIME or P6",IF(N(I135)&lt;=0,"Enter hours",IF(AND(AllowOT&lt;&gt;"Yes",SUMIF($B$7:$B$256,B135,$I$7:$I$256)&gt;INDEX($O$58:$O$85,DAY(B135))),"Day over "&amp;INDEX($O$58:$O$85,DAY(B135))&amp;" h","✓")))))))))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tr">
        <f aca="false">IF(Projects!B133="","",Projects!B133)</f>
        <v/>
      </c>
      <c r="X135" s="1" t="n">
        <f aca="false">IF(W135="",0,SUMIFS($I$7:$I$256,$D$7:$D$256,W135,$H$7:$H$256,"NTIME"))</f>
        <v>0</v>
      </c>
      <c r="Y135" s="1" t="n">
        <f aca="false">IF(W135="",0,SUMIFS($I$7:$I$256,$D$7:$D$256,W135,$H$7:$H$256,"P6"))</f>
        <v>0</v>
      </c>
      <c r="Z135" s="1" t="n">
        <f aca="false">X135+Y135</f>
        <v>0</v>
      </c>
      <c r="AA135" s="1" t="n">
        <f aca="false">IF(Z135&gt;0,Z135+(201-129)/10^6,0)</f>
        <v>0</v>
      </c>
      <c r="AB135" s="1"/>
      <c r="AC135" s="1"/>
      <c r="AD135" s="1"/>
      <c r="AE135" s="1"/>
      <c r="AF135" s="1"/>
      <c r="AG135" s="1"/>
      <c r="AH135" s="1"/>
    </row>
    <row r="136" customFormat="false" ht="15" hidden="false" customHeight="false" outlineLevel="0" collapsed="false">
      <c r="A136" s="1"/>
      <c r="B136" s="10"/>
      <c r="C136" s="31" t="str">
        <f aca="false">IF(B136="","",TEXT(B136,"ddd"))</f>
        <v/>
      </c>
      <c r="D136" s="11"/>
      <c r="E136" s="8" t="str">
        <f aca="false">IF(D136="","",IFERROR(INDEX(ProjNumbers,MATCH(D136,ProjNames,0)),""))</f>
        <v/>
      </c>
      <c r="F136" s="8" t="str">
        <f aca="false">IF(D136="","",IFERROR(INDEX(ProjCodes,MATCH(D136,ProjNames,0)),""))</f>
        <v/>
      </c>
      <c r="G136" s="32"/>
      <c r="H136" s="11"/>
      <c r="I136" s="33"/>
      <c r="J136" s="8" t="str">
        <f aca="false">IF(COUNTA(B136,D136,G136,H136,I136)=0,"",IF(B136="","Enter date",IF(OR(B136&lt;$AC$2,B136&gt;$AC$3),"Date not in February",IF(D136="","Pick project",IF(ISNA(MATCH(D136,ProjNames,0)),"Project not in list",IF(G136="","Add task description",IF(H136="","Pick NTIME or P6",IF(N(I136)&lt;=0,"Enter hours",IF(AND(AllowOT&lt;&gt;"Yes",SUMIF($B$7:$B$256,B136,$I$7:$I$256)&gt;INDEX($O$58:$O$85,DAY(B136))),"Day over "&amp;INDEX($O$58:$O$85,DAY(B136))&amp;" h","✓")))))))))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tr">
        <f aca="false">IF(Projects!B134="","",Projects!B134)</f>
        <v/>
      </c>
      <c r="X136" s="1" t="n">
        <f aca="false">IF(W136="",0,SUMIFS($I$7:$I$256,$D$7:$D$256,W136,$H$7:$H$256,"NTIME"))</f>
        <v>0</v>
      </c>
      <c r="Y136" s="1" t="n">
        <f aca="false">IF(W136="",0,SUMIFS($I$7:$I$256,$D$7:$D$256,W136,$H$7:$H$256,"P6"))</f>
        <v>0</v>
      </c>
      <c r="Z136" s="1" t="n">
        <f aca="false">X136+Y136</f>
        <v>0</v>
      </c>
      <c r="AA136" s="1" t="n">
        <f aca="false">IF(Z136&gt;0,Z136+(201-130)/10^6,0)</f>
        <v>0</v>
      </c>
      <c r="AB136" s="1"/>
      <c r="AC136" s="1"/>
      <c r="AD136" s="1"/>
      <c r="AE136" s="1"/>
      <c r="AF136" s="1"/>
      <c r="AG136" s="1"/>
      <c r="AH136" s="1"/>
    </row>
    <row r="137" customFormat="false" ht="15" hidden="false" customHeight="false" outlineLevel="0" collapsed="false">
      <c r="A137" s="1"/>
      <c r="B137" s="10"/>
      <c r="C137" s="31" t="str">
        <f aca="false">IF(B137="","",TEXT(B137,"ddd"))</f>
        <v/>
      </c>
      <c r="D137" s="11"/>
      <c r="E137" s="8" t="str">
        <f aca="false">IF(D137="","",IFERROR(INDEX(ProjNumbers,MATCH(D137,ProjNames,0)),""))</f>
        <v/>
      </c>
      <c r="F137" s="8" t="str">
        <f aca="false">IF(D137="","",IFERROR(INDEX(ProjCodes,MATCH(D137,ProjNames,0)),""))</f>
        <v/>
      </c>
      <c r="G137" s="32"/>
      <c r="H137" s="11"/>
      <c r="I137" s="33"/>
      <c r="J137" s="8" t="str">
        <f aca="false">IF(COUNTA(B137,D137,G137,H137,I137)=0,"",IF(B137="","Enter date",IF(OR(B137&lt;$AC$2,B137&gt;$AC$3),"Date not in February",IF(D137="","Pick project",IF(ISNA(MATCH(D137,ProjNames,0)),"Project not in list",IF(G137="","Add task description",IF(H137="","Pick NTIME or P6",IF(N(I137)&lt;=0,"Enter hours",IF(AND(AllowOT&lt;&gt;"Yes",SUMIF($B$7:$B$256,B137,$I$7:$I$256)&gt;INDEX($O$58:$O$85,DAY(B137))),"Day over "&amp;INDEX($O$58:$O$85,DAY(B137))&amp;" h","✓")))))))))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tr">
        <f aca="false">IF(Projects!B135="","",Projects!B135)</f>
        <v/>
      </c>
      <c r="X137" s="1" t="n">
        <f aca="false">IF(W137="",0,SUMIFS($I$7:$I$256,$D$7:$D$256,W137,$H$7:$H$256,"NTIME"))</f>
        <v>0</v>
      </c>
      <c r="Y137" s="1" t="n">
        <f aca="false">IF(W137="",0,SUMIFS($I$7:$I$256,$D$7:$D$256,W137,$H$7:$H$256,"P6"))</f>
        <v>0</v>
      </c>
      <c r="Z137" s="1" t="n">
        <f aca="false">X137+Y137</f>
        <v>0</v>
      </c>
      <c r="AA137" s="1" t="n">
        <f aca="false">IF(Z137&gt;0,Z137+(201-131)/10^6,0)</f>
        <v>0</v>
      </c>
      <c r="AB137" s="1"/>
      <c r="AC137" s="1"/>
      <c r="AD137" s="1"/>
      <c r="AE137" s="1"/>
      <c r="AF137" s="1"/>
      <c r="AG137" s="1"/>
      <c r="AH137" s="1"/>
    </row>
    <row r="138" customFormat="false" ht="15" hidden="false" customHeight="false" outlineLevel="0" collapsed="false">
      <c r="A138" s="1"/>
      <c r="B138" s="10"/>
      <c r="C138" s="31" t="str">
        <f aca="false">IF(B138="","",TEXT(B138,"ddd"))</f>
        <v/>
      </c>
      <c r="D138" s="11"/>
      <c r="E138" s="8" t="str">
        <f aca="false">IF(D138="","",IFERROR(INDEX(ProjNumbers,MATCH(D138,ProjNames,0)),""))</f>
        <v/>
      </c>
      <c r="F138" s="8" t="str">
        <f aca="false">IF(D138="","",IFERROR(INDEX(ProjCodes,MATCH(D138,ProjNames,0)),""))</f>
        <v/>
      </c>
      <c r="G138" s="32"/>
      <c r="H138" s="11"/>
      <c r="I138" s="33"/>
      <c r="J138" s="8" t="str">
        <f aca="false">IF(COUNTA(B138,D138,G138,H138,I138)=0,"",IF(B138="","Enter date",IF(OR(B138&lt;$AC$2,B138&gt;$AC$3),"Date not in February",IF(D138="","Pick project",IF(ISNA(MATCH(D138,ProjNames,0)),"Project not in list",IF(G138="","Add task description",IF(H138="","Pick NTIME or P6",IF(N(I138)&lt;=0,"Enter hours",IF(AND(AllowOT&lt;&gt;"Yes",SUMIF($B$7:$B$256,B138,$I$7:$I$256)&gt;INDEX($O$58:$O$85,DAY(B138))),"Day over "&amp;INDEX($O$58:$O$85,DAY(B138))&amp;" h","✓")))))))))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tr">
        <f aca="false">IF(Projects!B136="","",Projects!B136)</f>
        <v/>
      </c>
      <c r="X138" s="1" t="n">
        <f aca="false">IF(W138="",0,SUMIFS($I$7:$I$256,$D$7:$D$256,W138,$H$7:$H$256,"NTIME"))</f>
        <v>0</v>
      </c>
      <c r="Y138" s="1" t="n">
        <f aca="false">IF(W138="",0,SUMIFS($I$7:$I$256,$D$7:$D$256,W138,$H$7:$H$256,"P6"))</f>
        <v>0</v>
      </c>
      <c r="Z138" s="1" t="n">
        <f aca="false">X138+Y138</f>
        <v>0</v>
      </c>
      <c r="AA138" s="1" t="n">
        <f aca="false">IF(Z138&gt;0,Z138+(201-132)/10^6,0)</f>
        <v>0</v>
      </c>
      <c r="AB138" s="1"/>
      <c r="AC138" s="1"/>
      <c r="AD138" s="1"/>
      <c r="AE138" s="1"/>
      <c r="AF138" s="1"/>
      <c r="AG138" s="1"/>
      <c r="AH138" s="1"/>
    </row>
    <row r="139" customFormat="false" ht="15" hidden="false" customHeight="false" outlineLevel="0" collapsed="false">
      <c r="A139" s="1"/>
      <c r="B139" s="10"/>
      <c r="C139" s="31" t="str">
        <f aca="false">IF(B139="","",TEXT(B139,"ddd"))</f>
        <v/>
      </c>
      <c r="D139" s="11"/>
      <c r="E139" s="8" t="str">
        <f aca="false">IF(D139="","",IFERROR(INDEX(ProjNumbers,MATCH(D139,ProjNames,0)),""))</f>
        <v/>
      </c>
      <c r="F139" s="8" t="str">
        <f aca="false">IF(D139="","",IFERROR(INDEX(ProjCodes,MATCH(D139,ProjNames,0)),""))</f>
        <v/>
      </c>
      <c r="G139" s="32"/>
      <c r="H139" s="11"/>
      <c r="I139" s="33"/>
      <c r="J139" s="8" t="str">
        <f aca="false">IF(COUNTA(B139,D139,G139,H139,I139)=0,"",IF(B139="","Enter date",IF(OR(B139&lt;$AC$2,B139&gt;$AC$3),"Date not in February",IF(D139="","Pick project",IF(ISNA(MATCH(D139,ProjNames,0)),"Project not in list",IF(G139="","Add task description",IF(H139="","Pick NTIME or P6",IF(N(I139)&lt;=0,"Enter hours",IF(AND(AllowOT&lt;&gt;"Yes",SUMIF($B$7:$B$256,B139,$I$7:$I$256)&gt;INDEX($O$58:$O$85,DAY(B139))),"Day over "&amp;INDEX($O$58:$O$85,DAY(B139))&amp;" h","✓")))))))))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tr">
        <f aca="false">IF(Projects!B137="","",Projects!B137)</f>
        <v/>
      </c>
      <c r="X139" s="1" t="n">
        <f aca="false">IF(W139="",0,SUMIFS($I$7:$I$256,$D$7:$D$256,W139,$H$7:$H$256,"NTIME"))</f>
        <v>0</v>
      </c>
      <c r="Y139" s="1" t="n">
        <f aca="false">IF(W139="",0,SUMIFS($I$7:$I$256,$D$7:$D$256,W139,$H$7:$H$256,"P6"))</f>
        <v>0</v>
      </c>
      <c r="Z139" s="1" t="n">
        <f aca="false">X139+Y139</f>
        <v>0</v>
      </c>
      <c r="AA139" s="1" t="n">
        <f aca="false">IF(Z139&gt;0,Z139+(201-133)/10^6,0)</f>
        <v>0</v>
      </c>
      <c r="AB139" s="1"/>
      <c r="AC139" s="1"/>
      <c r="AD139" s="1"/>
      <c r="AE139" s="1"/>
      <c r="AF139" s="1"/>
      <c r="AG139" s="1"/>
      <c r="AH139" s="1"/>
    </row>
    <row r="140" customFormat="false" ht="15" hidden="false" customHeight="false" outlineLevel="0" collapsed="false">
      <c r="A140" s="1"/>
      <c r="B140" s="10"/>
      <c r="C140" s="31" t="str">
        <f aca="false">IF(B140="","",TEXT(B140,"ddd"))</f>
        <v/>
      </c>
      <c r="D140" s="11"/>
      <c r="E140" s="8" t="str">
        <f aca="false">IF(D140="","",IFERROR(INDEX(ProjNumbers,MATCH(D140,ProjNames,0)),""))</f>
        <v/>
      </c>
      <c r="F140" s="8" t="str">
        <f aca="false">IF(D140="","",IFERROR(INDEX(ProjCodes,MATCH(D140,ProjNames,0)),""))</f>
        <v/>
      </c>
      <c r="G140" s="32"/>
      <c r="H140" s="11"/>
      <c r="I140" s="33"/>
      <c r="J140" s="8" t="str">
        <f aca="false">IF(COUNTA(B140,D140,G140,H140,I140)=0,"",IF(B140="","Enter date",IF(OR(B140&lt;$AC$2,B140&gt;$AC$3),"Date not in February",IF(D140="","Pick project",IF(ISNA(MATCH(D140,ProjNames,0)),"Project not in list",IF(G140="","Add task description",IF(H140="","Pick NTIME or P6",IF(N(I140)&lt;=0,"Enter hours",IF(AND(AllowOT&lt;&gt;"Yes",SUMIF($B$7:$B$256,B140,$I$7:$I$256)&gt;INDEX($O$58:$O$85,DAY(B140))),"Day over "&amp;INDEX($O$58:$O$85,DAY(B140))&amp;" h","✓")))))))))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tr">
        <f aca="false">IF(Projects!B138="","",Projects!B138)</f>
        <v/>
      </c>
      <c r="X140" s="1" t="n">
        <f aca="false">IF(W140="",0,SUMIFS($I$7:$I$256,$D$7:$D$256,W140,$H$7:$H$256,"NTIME"))</f>
        <v>0</v>
      </c>
      <c r="Y140" s="1" t="n">
        <f aca="false">IF(W140="",0,SUMIFS($I$7:$I$256,$D$7:$D$256,W140,$H$7:$H$256,"P6"))</f>
        <v>0</v>
      </c>
      <c r="Z140" s="1" t="n">
        <f aca="false">X140+Y140</f>
        <v>0</v>
      </c>
      <c r="AA140" s="1" t="n">
        <f aca="false">IF(Z140&gt;0,Z140+(201-134)/10^6,0)</f>
        <v>0</v>
      </c>
      <c r="AB140" s="1"/>
      <c r="AC140" s="1"/>
      <c r="AD140" s="1"/>
      <c r="AE140" s="1"/>
      <c r="AF140" s="1"/>
      <c r="AG140" s="1"/>
      <c r="AH140" s="1"/>
    </row>
    <row r="141" customFormat="false" ht="15" hidden="false" customHeight="false" outlineLevel="0" collapsed="false">
      <c r="A141" s="1"/>
      <c r="B141" s="10"/>
      <c r="C141" s="31" t="str">
        <f aca="false">IF(B141="","",TEXT(B141,"ddd"))</f>
        <v/>
      </c>
      <c r="D141" s="11"/>
      <c r="E141" s="8" t="str">
        <f aca="false">IF(D141="","",IFERROR(INDEX(ProjNumbers,MATCH(D141,ProjNames,0)),""))</f>
        <v/>
      </c>
      <c r="F141" s="8" t="str">
        <f aca="false">IF(D141="","",IFERROR(INDEX(ProjCodes,MATCH(D141,ProjNames,0)),""))</f>
        <v/>
      </c>
      <c r="G141" s="32"/>
      <c r="H141" s="11"/>
      <c r="I141" s="33"/>
      <c r="J141" s="8" t="str">
        <f aca="false">IF(COUNTA(B141,D141,G141,H141,I141)=0,"",IF(B141="","Enter date",IF(OR(B141&lt;$AC$2,B141&gt;$AC$3),"Date not in February",IF(D141="","Pick project",IF(ISNA(MATCH(D141,ProjNames,0)),"Project not in list",IF(G141="","Add task description",IF(H141="","Pick NTIME or P6",IF(N(I141)&lt;=0,"Enter hours",IF(AND(AllowOT&lt;&gt;"Yes",SUMIF($B$7:$B$256,B141,$I$7:$I$256)&gt;INDEX($O$58:$O$85,DAY(B141))),"Day over "&amp;INDEX($O$58:$O$85,DAY(B141))&amp;" h","✓")))))))))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tr">
        <f aca="false">IF(Projects!B139="","",Projects!B139)</f>
        <v/>
      </c>
      <c r="X141" s="1" t="n">
        <f aca="false">IF(W141="",0,SUMIFS($I$7:$I$256,$D$7:$D$256,W141,$H$7:$H$256,"NTIME"))</f>
        <v>0</v>
      </c>
      <c r="Y141" s="1" t="n">
        <f aca="false">IF(W141="",0,SUMIFS($I$7:$I$256,$D$7:$D$256,W141,$H$7:$H$256,"P6"))</f>
        <v>0</v>
      </c>
      <c r="Z141" s="1" t="n">
        <f aca="false">X141+Y141</f>
        <v>0</v>
      </c>
      <c r="AA141" s="1" t="n">
        <f aca="false">IF(Z141&gt;0,Z141+(201-135)/10^6,0)</f>
        <v>0</v>
      </c>
      <c r="AB141" s="1"/>
      <c r="AC141" s="1"/>
      <c r="AD141" s="1"/>
      <c r="AE141" s="1"/>
      <c r="AF141" s="1"/>
      <c r="AG141" s="1"/>
      <c r="AH141" s="1"/>
    </row>
    <row r="142" customFormat="false" ht="15" hidden="false" customHeight="false" outlineLevel="0" collapsed="false">
      <c r="A142" s="1"/>
      <c r="B142" s="10"/>
      <c r="C142" s="31" t="str">
        <f aca="false">IF(B142="","",TEXT(B142,"ddd"))</f>
        <v/>
      </c>
      <c r="D142" s="11"/>
      <c r="E142" s="8" t="str">
        <f aca="false">IF(D142="","",IFERROR(INDEX(ProjNumbers,MATCH(D142,ProjNames,0)),""))</f>
        <v/>
      </c>
      <c r="F142" s="8" t="str">
        <f aca="false">IF(D142="","",IFERROR(INDEX(ProjCodes,MATCH(D142,ProjNames,0)),""))</f>
        <v/>
      </c>
      <c r="G142" s="32"/>
      <c r="H142" s="11"/>
      <c r="I142" s="33"/>
      <c r="J142" s="8" t="str">
        <f aca="false">IF(COUNTA(B142,D142,G142,H142,I142)=0,"",IF(B142="","Enter date",IF(OR(B142&lt;$AC$2,B142&gt;$AC$3),"Date not in February",IF(D142="","Pick project",IF(ISNA(MATCH(D142,ProjNames,0)),"Project not in list",IF(G142="","Add task description",IF(H142="","Pick NTIME or P6",IF(N(I142)&lt;=0,"Enter hours",IF(AND(AllowOT&lt;&gt;"Yes",SUMIF($B$7:$B$256,B142,$I$7:$I$256)&gt;INDEX($O$58:$O$85,DAY(B142))),"Day over "&amp;INDEX($O$58:$O$85,DAY(B142))&amp;" h","✓")))))))))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tr">
        <f aca="false">IF(Projects!B140="","",Projects!B140)</f>
        <v/>
      </c>
      <c r="X142" s="1" t="n">
        <f aca="false">IF(W142="",0,SUMIFS($I$7:$I$256,$D$7:$D$256,W142,$H$7:$H$256,"NTIME"))</f>
        <v>0</v>
      </c>
      <c r="Y142" s="1" t="n">
        <f aca="false">IF(W142="",0,SUMIFS($I$7:$I$256,$D$7:$D$256,W142,$H$7:$H$256,"P6"))</f>
        <v>0</v>
      </c>
      <c r="Z142" s="1" t="n">
        <f aca="false">X142+Y142</f>
        <v>0</v>
      </c>
      <c r="AA142" s="1" t="n">
        <f aca="false">IF(Z142&gt;0,Z142+(201-136)/10^6,0)</f>
        <v>0</v>
      </c>
      <c r="AB142" s="1"/>
      <c r="AC142" s="1"/>
      <c r="AD142" s="1"/>
      <c r="AE142" s="1"/>
      <c r="AF142" s="1"/>
      <c r="AG142" s="1"/>
      <c r="AH142" s="1"/>
    </row>
    <row r="143" customFormat="false" ht="15" hidden="false" customHeight="false" outlineLevel="0" collapsed="false">
      <c r="A143" s="1"/>
      <c r="B143" s="10"/>
      <c r="C143" s="31" t="str">
        <f aca="false">IF(B143="","",TEXT(B143,"ddd"))</f>
        <v/>
      </c>
      <c r="D143" s="11"/>
      <c r="E143" s="8" t="str">
        <f aca="false">IF(D143="","",IFERROR(INDEX(ProjNumbers,MATCH(D143,ProjNames,0)),""))</f>
        <v/>
      </c>
      <c r="F143" s="8" t="str">
        <f aca="false">IF(D143="","",IFERROR(INDEX(ProjCodes,MATCH(D143,ProjNames,0)),""))</f>
        <v/>
      </c>
      <c r="G143" s="32"/>
      <c r="H143" s="11"/>
      <c r="I143" s="33"/>
      <c r="J143" s="8" t="str">
        <f aca="false">IF(COUNTA(B143,D143,G143,H143,I143)=0,"",IF(B143="","Enter date",IF(OR(B143&lt;$AC$2,B143&gt;$AC$3),"Date not in February",IF(D143="","Pick project",IF(ISNA(MATCH(D143,ProjNames,0)),"Project not in list",IF(G143="","Add task description",IF(H143="","Pick NTIME or P6",IF(N(I143)&lt;=0,"Enter hours",IF(AND(AllowOT&lt;&gt;"Yes",SUMIF($B$7:$B$256,B143,$I$7:$I$256)&gt;INDEX($O$58:$O$85,DAY(B143))),"Day over "&amp;INDEX($O$58:$O$85,DAY(B143))&amp;" h","✓")))))))))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tr">
        <f aca="false">IF(Projects!B141="","",Projects!B141)</f>
        <v/>
      </c>
      <c r="X143" s="1" t="n">
        <f aca="false">IF(W143="",0,SUMIFS($I$7:$I$256,$D$7:$D$256,W143,$H$7:$H$256,"NTIME"))</f>
        <v>0</v>
      </c>
      <c r="Y143" s="1" t="n">
        <f aca="false">IF(W143="",0,SUMIFS($I$7:$I$256,$D$7:$D$256,W143,$H$7:$H$256,"P6"))</f>
        <v>0</v>
      </c>
      <c r="Z143" s="1" t="n">
        <f aca="false">X143+Y143</f>
        <v>0</v>
      </c>
      <c r="AA143" s="1" t="n">
        <f aca="false">IF(Z143&gt;0,Z143+(201-137)/10^6,0)</f>
        <v>0</v>
      </c>
      <c r="AB143" s="1"/>
      <c r="AC143" s="1"/>
      <c r="AD143" s="1"/>
      <c r="AE143" s="1"/>
      <c r="AF143" s="1"/>
      <c r="AG143" s="1"/>
      <c r="AH143" s="1"/>
    </row>
    <row r="144" customFormat="false" ht="15" hidden="false" customHeight="false" outlineLevel="0" collapsed="false">
      <c r="A144" s="1"/>
      <c r="B144" s="10"/>
      <c r="C144" s="31" t="str">
        <f aca="false">IF(B144="","",TEXT(B144,"ddd"))</f>
        <v/>
      </c>
      <c r="D144" s="11"/>
      <c r="E144" s="8" t="str">
        <f aca="false">IF(D144="","",IFERROR(INDEX(ProjNumbers,MATCH(D144,ProjNames,0)),""))</f>
        <v/>
      </c>
      <c r="F144" s="8" t="str">
        <f aca="false">IF(D144="","",IFERROR(INDEX(ProjCodes,MATCH(D144,ProjNames,0)),""))</f>
        <v/>
      </c>
      <c r="G144" s="32"/>
      <c r="H144" s="11"/>
      <c r="I144" s="33"/>
      <c r="J144" s="8" t="str">
        <f aca="false">IF(COUNTA(B144,D144,G144,H144,I144)=0,"",IF(B144="","Enter date",IF(OR(B144&lt;$AC$2,B144&gt;$AC$3),"Date not in February",IF(D144="","Pick project",IF(ISNA(MATCH(D144,ProjNames,0)),"Project not in list",IF(G144="","Add task description",IF(H144="","Pick NTIME or P6",IF(N(I144)&lt;=0,"Enter hours",IF(AND(AllowOT&lt;&gt;"Yes",SUMIF($B$7:$B$256,B144,$I$7:$I$256)&gt;INDEX($O$58:$O$85,DAY(B144))),"Day over "&amp;INDEX($O$58:$O$85,DAY(B144))&amp;" h","✓")))))))))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tr">
        <f aca="false">IF(Projects!B142="","",Projects!B142)</f>
        <v/>
      </c>
      <c r="X144" s="1" t="n">
        <f aca="false">IF(W144="",0,SUMIFS($I$7:$I$256,$D$7:$D$256,W144,$H$7:$H$256,"NTIME"))</f>
        <v>0</v>
      </c>
      <c r="Y144" s="1" t="n">
        <f aca="false">IF(W144="",0,SUMIFS($I$7:$I$256,$D$7:$D$256,W144,$H$7:$H$256,"P6"))</f>
        <v>0</v>
      </c>
      <c r="Z144" s="1" t="n">
        <f aca="false">X144+Y144</f>
        <v>0</v>
      </c>
      <c r="AA144" s="1" t="n">
        <f aca="false">IF(Z144&gt;0,Z144+(201-138)/10^6,0)</f>
        <v>0</v>
      </c>
      <c r="AB144" s="1"/>
      <c r="AC144" s="1"/>
      <c r="AD144" s="1"/>
      <c r="AE144" s="1"/>
      <c r="AF144" s="1"/>
      <c r="AG144" s="1"/>
      <c r="AH144" s="1"/>
    </row>
    <row r="145" customFormat="false" ht="15" hidden="false" customHeight="false" outlineLevel="0" collapsed="false">
      <c r="A145" s="1"/>
      <c r="B145" s="10"/>
      <c r="C145" s="31" t="str">
        <f aca="false">IF(B145="","",TEXT(B145,"ddd"))</f>
        <v/>
      </c>
      <c r="D145" s="11"/>
      <c r="E145" s="8" t="str">
        <f aca="false">IF(D145="","",IFERROR(INDEX(ProjNumbers,MATCH(D145,ProjNames,0)),""))</f>
        <v/>
      </c>
      <c r="F145" s="8" t="str">
        <f aca="false">IF(D145="","",IFERROR(INDEX(ProjCodes,MATCH(D145,ProjNames,0)),""))</f>
        <v/>
      </c>
      <c r="G145" s="32"/>
      <c r="H145" s="11"/>
      <c r="I145" s="33"/>
      <c r="J145" s="8" t="str">
        <f aca="false">IF(COUNTA(B145,D145,G145,H145,I145)=0,"",IF(B145="","Enter date",IF(OR(B145&lt;$AC$2,B145&gt;$AC$3),"Date not in February",IF(D145="","Pick project",IF(ISNA(MATCH(D145,ProjNames,0)),"Project not in list",IF(G145="","Add task description",IF(H145="","Pick NTIME or P6",IF(N(I145)&lt;=0,"Enter hours",IF(AND(AllowOT&lt;&gt;"Yes",SUMIF($B$7:$B$256,B145,$I$7:$I$256)&gt;INDEX($O$58:$O$85,DAY(B145))),"Day over "&amp;INDEX($O$58:$O$85,DAY(B145))&amp;" h","✓")))))))))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tr">
        <f aca="false">IF(Projects!B143="","",Projects!B143)</f>
        <v/>
      </c>
      <c r="X145" s="1" t="n">
        <f aca="false">IF(W145="",0,SUMIFS($I$7:$I$256,$D$7:$D$256,W145,$H$7:$H$256,"NTIME"))</f>
        <v>0</v>
      </c>
      <c r="Y145" s="1" t="n">
        <f aca="false">IF(W145="",0,SUMIFS($I$7:$I$256,$D$7:$D$256,W145,$H$7:$H$256,"P6"))</f>
        <v>0</v>
      </c>
      <c r="Z145" s="1" t="n">
        <f aca="false">X145+Y145</f>
        <v>0</v>
      </c>
      <c r="AA145" s="1" t="n">
        <f aca="false">IF(Z145&gt;0,Z145+(201-139)/10^6,0)</f>
        <v>0</v>
      </c>
      <c r="AB145" s="1"/>
      <c r="AC145" s="1"/>
      <c r="AD145" s="1"/>
      <c r="AE145" s="1"/>
      <c r="AF145" s="1"/>
      <c r="AG145" s="1"/>
      <c r="AH145" s="1"/>
    </row>
    <row r="146" customFormat="false" ht="15" hidden="false" customHeight="false" outlineLevel="0" collapsed="false">
      <c r="A146" s="1"/>
      <c r="B146" s="10"/>
      <c r="C146" s="31" t="str">
        <f aca="false">IF(B146="","",TEXT(B146,"ddd"))</f>
        <v/>
      </c>
      <c r="D146" s="11"/>
      <c r="E146" s="8" t="str">
        <f aca="false">IF(D146="","",IFERROR(INDEX(ProjNumbers,MATCH(D146,ProjNames,0)),""))</f>
        <v/>
      </c>
      <c r="F146" s="8" t="str">
        <f aca="false">IF(D146="","",IFERROR(INDEX(ProjCodes,MATCH(D146,ProjNames,0)),""))</f>
        <v/>
      </c>
      <c r="G146" s="32"/>
      <c r="H146" s="11"/>
      <c r="I146" s="33"/>
      <c r="J146" s="8" t="str">
        <f aca="false">IF(COUNTA(B146,D146,G146,H146,I146)=0,"",IF(B146="","Enter date",IF(OR(B146&lt;$AC$2,B146&gt;$AC$3),"Date not in February",IF(D146="","Pick project",IF(ISNA(MATCH(D146,ProjNames,0)),"Project not in list",IF(G146="","Add task description",IF(H146="","Pick NTIME or P6",IF(N(I146)&lt;=0,"Enter hours",IF(AND(AllowOT&lt;&gt;"Yes",SUMIF($B$7:$B$256,B146,$I$7:$I$256)&gt;INDEX($O$58:$O$85,DAY(B146))),"Day over "&amp;INDEX($O$58:$O$85,DAY(B146))&amp;" h","✓")))))))))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tr">
        <f aca="false">IF(Projects!B144="","",Projects!B144)</f>
        <v/>
      </c>
      <c r="X146" s="1" t="n">
        <f aca="false">IF(W146="",0,SUMIFS($I$7:$I$256,$D$7:$D$256,W146,$H$7:$H$256,"NTIME"))</f>
        <v>0</v>
      </c>
      <c r="Y146" s="1" t="n">
        <f aca="false">IF(W146="",0,SUMIFS($I$7:$I$256,$D$7:$D$256,W146,$H$7:$H$256,"P6"))</f>
        <v>0</v>
      </c>
      <c r="Z146" s="1" t="n">
        <f aca="false">X146+Y146</f>
        <v>0</v>
      </c>
      <c r="AA146" s="1" t="n">
        <f aca="false">IF(Z146&gt;0,Z146+(201-140)/10^6,0)</f>
        <v>0</v>
      </c>
      <c r="AB146" s="1"/>
      <c r="AC146" s="1"/>
      <c r="AD146" s="1"/>
      <c r="AE146" s="1"/>
      <c r="AF146" s="1"/>
      <c r="AG146" s="1"/>
      <c r="AH146" s="1"/>
    </row>
    <row r="147" customFormat="false" ht="15" hidden="false" customHeight="false" outlineLevel="0" collapsed="false">
      <c r="A147" s="1"/>
      <c r="B147" s="10"/>
      <c r="C147" s="31" t="str">
        <f aca="false">IF(B147="","",TEXT(B147,"ddd"))</f>
        <v/>
      </c>
      <c r="D147" s="11"/>
      <c r="E147" s="8" t="str">
        <f aca="false">IF(D147="","",IFERROR(INDEX(ProjNumbers,MATCH(D147,ProjNames,0)),""))</f>
        <v/>
      </c>
      <c r="F147" s="8" t="str">
        <f aca="false">IF(D147="","",IFERROR(INDEX(ProjCodes,MATCH(D147,ProjNames,0)),""))</f>
        <v/>
      </c>
      <c r="G147" s="32"/>
      <c r="H147" s="11"/>
      <c r="I147" s="33"/>
      <c r="J147" s="8" t="str">
        <f aca="false">IF(COUNTA(B147,D147,G147,H147,I147)=0,"",IF(B147="","Enter date",IF(OR(B147&lt;$AC$2,B147&gt;$AC$3),"Date not in February",IF(D147="","Pick project",IF(ISNA(MATCH(D147,ProjNames,0)),"Project not in list",IF(G147="","Add task description",IF(H147="","Pick NTIME or P6",IF(N(I147)&lt;=0,"Enter hours",IF(AND(AllowOT&lt;&gt;"Yes",SUMIF($B$7:$B$256,B147,$I$7:$I$256)&gt;INDEX($O$58:$O$85,DAY(B147))),"Day over "&amp;INDEX($O$58:$O$85,DAY(B147))&amp;" h","✓")))))))))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tr">
        <f aca="false">IF(Projects!B145="","",Projects!B145)</f>
        <v/>
      </c>
      <c r="X147" s="1" t="n">
        <f aca="false">IF(W147="",0,SUMIFS($I$7:$I$256,$D$7:$D$256,W147,$H$7:$H$256,"NTIME"))</f>
        <v>0</v>
      </c>
      <c r="Y147" s="1" t="n">
        <f aca="false">IF(W147="",0,SUMIFS($I$7:$I$256,$D$7:$D$256,W147,$H$7:$H$256,"P6"))</f>
        <v>0</v>
      </c>
      <c r="Z147" s="1" t="n">
        <f aca="false">X147+Y147</f>
        <v>0</v>
      </c>
      <c r="AA147" s="1" t="n">
        <f aca="false">IF(Z147&gt;0,Z147+(201-141)/10^6,0)</f>
        <v>0</v>
      </c>
      <c r="AB147" s="1"/>
      <c r="AC147" s="1"/>
      <c r="AD147" s="1"/>
      <c r="AE147" s="1"/>
      <c r="AF147" s="1"/>
      <c r="AG147" s="1"/>
      <c r="AH147" s="1"/>
    </row>
    <row r="148" customFormat="false" ht="15" hidden="false" customHeight="false" outlineLevel="0" collapsed="false">
      <c r="A148" s="1"/>
      <c r="B148" s="10"/>
      <c r="C148" s="31" t="str">
        <f aca="false">IF(B148="","",TEXT(B148,"ddd"))</f>
        <v/>
      </c>
      <c r="D148" s="11"/>
      <c r="E148" s="8" t="str">
        <f aca="false">IF(D148="","",IFERROR(INDEX(ProjNumbers,MATCH(D148,ProjNames,0)),""))</f>
        <v/>
      </c>
      <c r="F148" s="8" t="str">
        <f aca="false">IF(D148="","",IFERROR(INDEX(ProjCodes,MATCH(D148,ProjNames,0)),""))</f>
        <v/>
      </c>
      <c r="G148" s="32"/>
      <c r="H148" s="11"/>
      <c r="I148" s="33"/>
      <c r="J148" s="8" t="str">
        <f aca="false">IF(COUNTA(B148,D148,G148,H148,I148)=0,"",IF(B148="","Enter date",IF(OR(B148&lt;$AC$2,B148&gt;$AC$3),"Date not in February",IF(D148="","Pick project",IF(ISNA(MATCH(D148,ProjNames,0)),"Project not in list",IF(G148="","Add task description",IF(H148="","Pick NTIME or P6",IF(N(I148)&lt;=0,"Enter hours",IF(AND(AllowOT&lt;&gt;"Yes",SUMIF($B$7:$B$256,B148,$I$7:$I$256)&gt;INDEX($O$58:$O$85,DAY(B148))),"Day over "&amp;INDEX($O$58:$O$85,DAY(B148))&amp;" h","✓")))))))))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tr">
        <f aca="false">IF(Projects!B146="","",Projects!B146)</f>
        <v/>
      </c>
      <c r="X148" s="1" t="n">
        <f aca="false">IF(W148="",0,SUMIFS($I$7:$I$256,$D$7:$D$256,W148,$H$7:$H$256,"NTIME"))</f>
        <v>0</v>
      </c>
      <c r="Y148" s="1" t="n">
        <f aca="false">IF(W148="",0,SUMIFS($I$7:$I$256,$D$7:$D$256,W148,$H$7:$H$256,"P6"))</f>
        <v>0</v>
      </c>
      <c r="Z148" s="1" t="n">
        <f aca="false">X148+Y148</f>
        <v>0</v>
      </c>
      <c r="AA148" s="1" t="n">
        <f aca="false">IF(Z148&gt;0,Z148+(201-142)/10^6,0)</f>
        <v>0</v>
      </c>
      <c r="AB148" s="1"/>
      <c r="AC148" s="1"/>
      <c r="AD148" s="1"/>
      <c r="AE148" s="1"/>
      <c r="AF148" s="1"/>
      <c r="AG148" s="1"/>
      <c r="AH148" s="1"/>
    </row>
    <row r="149" customFormat="false" ht="15" hidden="false" customHeight="false" outlineLevel="0" collapsed="false">
      <c r="A149" s="1"/>
      <c r="B149" s="10"/>
      <c r="C149" s="31" t="str">
        <f aca="false">IF(B149="","",TEXT(B149,"ddd"))</f>
        <v/>
      </c>
      <c r="D149" s="11"/>
      <c r="E149" s="8" t="str">
        <f aca="false">IF(D149="","",IFERROR(INDEX(ProjNumbers,MATCH(D149,ProjNames,0)),""))</f>
        <v/>
      </c>
      <c r="F149" s="8" t="str">
        <f aca="false">IF(D149="","",IFERROR(INDEX(ProjCodes,MATCH(D149,ProjNames,0)),""))</f>
        <v/>
      </c>
      <c r="G149" s="32"/>
      <c r="H149" s="11"/>
      <c r="I149" s="33"/>
      <c r="J149" s="8" t="str">
        <f aca="false">IF(COUNTA(B149,D149,G149,H149,I149)=0,"",IF(B149="","Enter date",IF(OR(B149&lt;$AC$2,B149&gt;$AC$3),"Date not in February",IF(D149="","Pick project",IF(ISNA(MATCH(D149,ProjNames,0)),"Project not in list",IF(G149="","Add task description",IF(H149="","Pick NTIME or P6",IF(N(I149)&lt;=0,"Enter hours",IF(AND(AllowOT&lt;&gt;"Yes",SUMIF($B$7:$B$256,B149,$I$7:$I$256)&gt;INDEX($O$58:$O$85,DAY(B149))),"Day over "&amp;INDEX($O$58:$O$85,DAY(B149))&amp;" h","✓")))))))))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tr">
        <f aca="false">IF(Projects!B147="","",Projects!B147)</f>
        <v/>
      </c>
      <c r="X149" s="1" t="n">
        <f aca="false">IF(W149="",0,SUMIFS($I$7:$I$256,$D$7:$D$256,W149,$H$7:$H$256,"NTIME"))</f>
        <v>0</v>
      </c>
      <c r="Y149" s="1" t="n">
        <f aca="false">IF(W149="",0,SUMIFS($I$7:$I$256,$D$7:$D$256,W149,$H$7:$H$256,"P6"))</f>
        <v>0</v>
      </c>
      <c r="Z149" s="1" t="n">
        <f aca="false">X149+Y149</f>
        <v>0</v>
      </c>
      <c r="AA149" s="1" t="n">
        <f aca="false">IF(Z149&gt;0,Z149+(201-143)/10^6,0)</f>
        <v>0</v>
      </c>
      <c r="AB149" s="1"/>
      <c r="AC149" s="1"/>
      <c r="AD149" s="1"/>
      <c r="AE149" s="1"/>
      <c r="AF149" s="1"/>
      <c r="AG149" s="1"/>
      <c r="AH149" s="1"/>
    </row>
    <row r="150" customFormat="false" ht="15" hidden="false" customHeight="false" outlineLevel="0" collapsed="false">
      <c r="A150" s="1"/>
      <c r="B150" s="10"/>
      <c r="C150" s="31" t="str">
        <f aca="false">IF(B150="","",TEXT(B150,"ddd"))</f>
        <v/>
      </c>
      <c r="D150" s="11"/>
      <c r="E150" s="8" t="str">
        <f aca="false">IF(D150="","",IFERROR(INDEX(ProjNumbers,MATCH(D150,ProjNames,0)),""))</f>
        <v/>
      </c>
      <c r="F150" s="8" t="str">
        <f aca="false">IF(D150="","",IFERROR(INDEX(ProjCodes,MATCH(D150,ProjNames,0)),""))</f>
        <v/>
      </c>
      <c r="G150" s="32"/>
      <c r="H150" s="11"/>
      <c r="I150" s="33"/>
      <c r="J150" s="8" t="str">
        <f aca="false">IF(COUNTA(B150,D150,G150,H150,I150)=0,"",IF(B150="","Enter date",IF(OR(B150&lt;$AC$2,B150&gt;$AC$3),"Date not in February",IF(D150="","Pick project",IF(ISNA(MATCH(D150,ProjNames,0)),"Project not in list",IF(G150="","Add task description",IF(H150="","Pick NTIME or P6",IF(N(I150)&lt;=0,"Enter hours",IF(AND(AllowOT&lt;&gt;"Yes",SUMIF($B$7:$B$256,B150,$I$7:$I$256)&gt;INDEX($O$58:$O$85,DAY(B150))),"Day over "&amp;INDEX($O$58:$O$85,DAY(B150))&amp;" h","✓")))))))))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tr">
        <f aca="false">IF(Projects!B148="","",Projects!B148)</f>
        <v/>
      </c>
      <c r="X150" s="1" t="n">
        <f aca="false">IF(W150="",0,SUMIFS($I$7:$I$256,$D$7:$D$256,W150,$H$7:$H$256,"NTIME"))</f>
        <v>0</v>
      </c>
      <c r="Y150" s="1" t="n">
        <f aca="false">IF(W150="",0,SUMIFS($I$7:$I$256,$D$7:$D$256,W150,$H$7:$H$256,"P6"))</f>
        <v>0</v>
      </c>
      <c r="Z150" s="1" t="n">
        <f aca="false">X150+Y150</f>
        <v>0</v>
      </c>
      <c r="AA150" s="1" t="n">
        <f aca="false">IF(Z150&gt;0,Z150+(201-144)/10^6,0)</f>
        <v>0</v>
      </c>
      <c r="AB150" s="1"/>
      <c r="AC150" s="1"/>
      <c r="AD150" s="1"/>
      <c r="AE150" s="1"/>
      <c r="AF150" s="1"/>
      <c r="AG150" s="1"/>
      <c r="AH150" s="1"/>
    </row>
    <row r="151" customFormat="false" ht="15" hidden="false" customHeight="false" outlineLevel="0" collapsed="false">
      <c r="A151" s="1"/>
      <c r="B151" s="10"/>
      <c r="C151" s="31" t="str">
        <f aca="false">IF(B151="","",TEXT(B151,"ddd"))</f>
        <v/>
      </c>
      <c r="D151" s="11"/>
      <c r="E151" s="8" t="str">
        <f aca="false">IF(D151="","",IFERROR(INDEX(ProjNumbers,MATCH(D151,ProjNames,0)),""))</f>
        <v/>
      </c>
      <c r="F151" s="8" t="str">
        <f aca="false">IF(D151="","",IFERROR(INDEX(ProjCodes,MATCH(D151,ProjNames,0)),""))</f>
        <v/>
      </c>
      <c r="G151" s="32"/>
      <c r="H151" s="11"/>
      <c r="I151" s="33"/>
      <c r="J151" s="8" t="str">
        <f aca="false">IF(COUNTA(B151,D151,G151,H151,I151)=0,"",IF(B151="","Enter date",IF(OR(B151&lt;$AC$2,B151&gt;$AC$3),"Date not in February",IF(D151="","Pick project",IF(ISNA(MATCH(D151,ProjNames,0)),"Project not in list",IF(G151="","Add task description",IF(H151="","Pick NTIME or P6",IF(N(I151)&lt;=0,"Enter hours",IF(AND(AllowOT&lt;&gt;"Yes",SUMIF($B$7:$B$256,B151,$I$7:$I$256)&gt;INDEX($O$58:$O$85,DAY(B151))),"Day over "&amp;INDEX($O$58:$O$85,DAY(B151))&amp;" h","✓")))))))))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tr">
        <f aca="false">IF(Projects!B149="","",Projects!B149)</f>
        <v/>
      </c>
      <c r="X151" s="1" t="n">
        <f aca="false">IF(W151="",0,SUMIFS($I$7:$I$256,$D$7:$D$256,W151,$H$7:$H$256,"NTIME"))</f>
        <v>0</v>
      </c>
      <c r="Y151" s="1" t="n">
        <f aca="false">IF(W151="",0,SUMIFS($I$7:$I$256,$D$7:$D$256,W151,$H$7:$H$256,"P6"))</f>
        <v>0</v>
      </c>
      <c r="Z151" s="1" t="n">
        <f aca="false">X151+Y151</f>
        <v>0</v>
      </c>
      <c r="AA151" s="1" t="n">
        <f aca="false">IF(Z151&gt;0,Z151+(201-145)/10^6,0)</f>
        <v>0</v>
      </c>
      <c r="AB151" s="1"/>
      <c r="AC151" s="1"/>
      <c r="AD151" s="1"/>
      <c r="AE151" s="1"/>
      <c r="AF151" s="1"/>
      <c r="AG151" s="1"/>
      <c r="AH151" s="1"/>
    </row>
    <row r="152" customFormat="false" ht="15" hidden="false" customHeight="false" outlineLevel="0" collapsed="false">
      <c r="A152" s="1"/>
      <c r="B152" s="10"/>
      <c r="C152" s="31" t="str">
        <f aca="false">IF(B152="","",TEXT(B152,"ddd"))</f>
        <v/>
      </c>
      <c r="D152" s="11"/>
      <c r="E152" s="8" t="str">
        <f aca="false">IF(D152="","",IFERROR(INDEX(ProjNumbers,MATCH(D152,ProjNames,0)),""))</f>
        <v/>
      </c>
      <c r="F152" s="8" t="str">
        <f aca="false">IF(D152="","",IFERROR(INDEX(ProjCodes,MATCH(D152,ProjNames,0)),""))</f>
        <v/>
      </c>
      <c r="G152" s="32"/>
      <c r="H152" s="11"/>
      <c r="I152" s="33"/>
      <c r="J152" s="8" t="str">
        <f aca="false">IF(COUNTA(B152,D152,G152,H152,I152)=0,"",IF(B152="","Enter date",IF(OR(B152&lt;$AC$2,B152&gt;$AC$3),"Date not in February",IF(D152="","Pick project",IF(ISNA(MATCH(D152,ProjNames,0)),"Project not in list",IF(G152="","Add task description",IF(H152="","Pick NTIME or P6",IF(N(I152)&lt;=0,"Enter hours",IF(AND(AllowOT&lt;&gt;"Yes",SUMIF($B$7:$B$256,B152,$I$7:$I$256)&gt;INDEX($O$58:$O$85,DAY(B152))),"Day over "&amp;INDEX($O$58:$O$85,DAY(B152))&amp;" h","✓")))))))))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tr">
        <f aca="false">IF(Projects!B150="","",Projects!B150)</f>
        <v/>
      </c>
      <c r="X152" s="1" t="n">
        <f aca="false">IF(W152="",0,SUMIFS($I$7:$I$256,$D$7:$D$256,W152,$H$7:$H$256,"NTIME"))</f>
        <v>0</v>
      </c>
      <c r="Y152" s="1" t="n">
        <f aca="false">IF(W152="",0,SUMIFS($I$7:$I$256,$D$7:$D$256,W152,$H$7:$H$256,"P6"))</f>
        <v>0</v>
      </c>
      <c r="Z152" s="1" t="n">
        <f aca="false">X152+Y152</f>
        <v>0</v>
      </c>
      <c r="AA152" s="1" t="n">
        <f aca="false">IF(Z152&gt;0,Z152+(201-146)/10^6,0)</f>
        <v>0</v>
      </c>
      <c r="AB152" s="1"/>
      <c r="AC152" s="1"/>
      <c r="AD152" s="1"/>
      <c r="AE152" s="1"/>
      <c r="AF152" s="1"/>
      <c r="AG152" s="1"/>
      <c r="AH152" s="1"/>
    </row>
    <row r="153" customFormat="false" ht="15" hidden="false" customHeight="false" outlineLevel="0" collapsed="false">
      <c r="A153" s="1"/>
      <c r="B153" s="10"/>
      <c r="C153" s="31" t="str">
        <f aca="false">IF(B153="","",TEXT(B153,"ddd"))</f>
        <v/>
      </c>
      <c r="D153" s="11"/>
      <c r="E153" s="8" t="str">
        <f aca="false">IF(D153="","",IFERROR(INDEX(ProjNumbers,MATCH(D153,ProjNames,0)),""))</f>
        <v/>
      </c>
      <c r="F153" s="8" t="str">
        <f aca="false">IF(D153="","",IFERROR(INDEX(ProjCodes,MATCH(D153,ProjNames,0)),""))</f>
        <v/>
      </c>
      <c r="G153" s="32"/>
      <c r="H153" s="11"/>
      <c r="I153" s="33"/>
      <c r="J153" s="8" t="str">
        <f aca="false">IF(COUNTA(B153,D153,G153,H153,I153)=0,"",IF(B153="","Enter date",IF(OR(B153&lt;$AC$2,B153&gt;$AC$3),"Date not in February",IF(D153="","Pick project",IF(ISNA(MATCH(D153,ProjNames,0)),"Project not in list",IF(G153="","Add task description",IF(H153="","Pick NTIME or P6",IF(N(I153)&lt;=0,"Enter hours",IF(AND(AllowOT&lt;&gt;"Yes",SUMIF($B$7:$B$256,B153,$I$7:$I$256)&gt;INDEX($O$58:$O$85,DAY(B153))),"Day over "&amp;INDEX($O$58:$O$85,DAY(B153))&amp;" h","✓")))))))))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tr">
        <f aca="false">IF(Projects!B151="","",Projects!B151)</f>
        <v/>
      </c>
      <c r="X153" s="1" t="n">
        <f aca="false">IF(W153="",0,SUMIFS($I$7:$I$256,$D$7:$D$256,W153,$H$7:$H$256,"NTIME"))</f>
        <v>0</v>
      </c>
      <c r="Y153" s="1" t="n">
        <f aca="false">IF(W153="",0,SUMIFS($I$7:$I$256,$D$7:$D$256,W153,$H$7:$H$256,"P6"))</f>
        <v>0</v>
      </c>
      <c r="Z153" s="1" t="n">
        <f aca="false">X153+Y153</f>
        <v>0</v>
      </c>
      <c r="AA153" s="1" t="n">
        <f aca="false">IF(Z153&gt;0,Z153+(201-147)/10^6,0)</f>
        <v>0</v>
      </c>
      <c r="AB153" s="1"/>
      <c r="AC153" s="1"/>
      <c r="AD153" s="1"/>
      <c r="AE153" s="1"/>
      <c r="AF153" s="1"/>
      <c r="AG153" s="1"/>
      <c r="AH153" s="1"/>
    </row>
    <row r="154" customFormat="false" ht="15" hidden="false" customHeight="false" outlineLevel="0" collapsed="false">
      <c r="A154" s="1"/>
      <c r="B154" s="10"/>
      <c r="C154" s="31" t="str">
        <f aca="false">IF(B154="","",TEXT(B154,"ddd"))</f>
        <v/>
      </c>
      <c r="D154" s="11"/>
      <c r="E154" s="8" t="str">
        <f aca="false">IF(D154="","",IFERROR(INDEX(ProjNumbers,MATCH(D154,ProjNames,0)),""))</f>
        <v/>
      </c>
      <c r="F154" s="8" t="str">
        <f aca="false">IF(D154="","",IFERROR(INDEX(ProjCodes,MATCH(D154,ProjNames,0)),""))</f>
        <v/>
      </c>
      <c r="G154" s="32"/>
      <c r="H154" s="11"/>
      <c r="I154" s="33"/>
      <c r="J154" s="8" t="str">
        <f aca="false">IF(COUNTA(B154,D154,G154,H154,I154)=0,"",IF(B154="","Enter date",IF(OR(B154&lt;$AC$2,B154&gt;$AC$3),"Date not in February",IF(D154="","Pick project",IF(ISNA(MATCH(D154,ProjNames,0)),"Project not in list",IF(G154="","Add task description",IF(H154="","Pick NTIME or P6",IF(N(I154)&lt;=0,"Enter hours",IF(AND(AllowOT&lt;&gt;"Yes",SUMIF($B$7:$B$256,B154,$I$7:$I$256)&gt;INDEX($O$58:$O$85,DAY(B154))),"Day over "&amp;INDEX($O$58:$O$85,DAY(B154))&amp;" h","✓")))))))))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tr">
        <f aca="false">IF(Projects!B152="","",Projects!B152)</f>
        <v/>
      </c>
      <c r="X154" s="1" t="n">
        <f aca="false">IF(W154="",0,SUMIFS($I$7:$I$256,$D$7:$D$256,W154,$H$7:$H$256,"NTIME"))</f>
        <v>0</v>
      </c>
      <c r="Y154" s="1" t="n">
        <f aca="false">IF(W154="",0,SUMIFS($I$7:$I$256,$D$7:$D$256,W154,$H$7:$H$256,"P6"))</f>
        <v>0</v>
      </c>
      <c r="Z154" s="1" t="n">
        <f aca="false">X154+Y154</f>
        <v>0</v>
      </c>
      <c r="AA154" s="1" t="n">
        <f aca="false">IF(Z154&gt;0,Z154+(201-148)/10^6,0)</f>
        <v>0</v>
      </c>
      <c r="AB154" s="1"/>
      <c r="AC154" s="1"/>
      <c r="AD154" s="1"/>
      <c r="AE154" s="1"/>
      <c r="AF154" s="1"/>
      <c r="AG154" s="1"/>
      <c r="AH154" s="1"/>
    </row>
    <row r="155" customFormat="false" ht="15" hidden="false" customHeight="false" outlineLevel="0" collapsed="false">
      <c r="A155" s="1"/>
      <c r="B155" s="10"/>
      <c r="C155" s="31" t="str">
        <f aca="false">IF(B155="","",TEXT(B155,"ddd"))</f>
        <v/>
      </c>
      <c r="D155" s="11"/>
      <c r="E155" s="8" t="str">
        <f aca="false">IF(D155="","",IFERROR(INDEX(ProjNumbers,MATCH(D155,ProjNames,0)),""))</f>
        <v/>
      </c>
      <c r="F155" s="8" t="str">
        <f aca="false">IF(D155="","",IFERROR(INDEX(ProjCodes,MATCH(D155,ProjNames,0)),""))</f>
        <v/>
      </c>
      <c r="G155" s="32"/>
      <c r="H155" s="11"/>
      <c r="I155" s="33"/>
      <c r="J155" s="8" t="str">
        <f aca="false">IF(COUNTA(B155,D155,G155,H155,I155)=0,"",IF(B155="","Enter date",IF(OR(B155&lt;$AC$2,B155&gt;$AC$3),"Date not in February",IF(D155="","Pick project",IF(ISNA(MATCH(D155,ProjNames,0)),"Project not in list",IF(G155="","Add task description",IF(H155="","Pick NTIME or P6",IF(N(I155)&lt;=0,"Enter hours",IF(AND(AllowOT&lt;&gt;"Yes",SUMIF($B$7:$B$256,B155,$I$7:$I$256)&gt;INDEX($O$58:$O$85,DAY(B155))),"Day over "&amp;INDEX($O$58:$O$85,DAY(B155))&amp;" h","✓")))))))))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tr">
        <f aca="false">IF(Projects!B153="","",Projects!B153)</f>
        <v/>
      </c>
      <c r="X155" s="1" t="n">
        <f aca="false">IF(W155="",0,SUMIFS($I$7:$I$256,$D$7:$D$256,W155,$H$7:$H$256,"NTIME"))</f>
        <v>0</v>
      </c>
      <c r="Y155" s="1" t="n">
        <f aca="false">IF(W155="",0,SUMIFS($I$7:$I$256,$D$7:$D$256,W155,$H$7:$H$256,"P6"))</f>
        <v>0</v>
      </c>
      <c r="Z155" s="1" t="n">
        <f aca="false">X155+Y155</f>
        <v>0</v>
      </c>
      <c r="AA155" s="1" t="n">
        <f aca="false">IF(Z155&gt;0,Z155+(201-149)/10^6,0)</f>
        <v>0</v>
      </c>
      <c r="AB155" s="1"/>
      <c r="AC155" s="1"/>
      <c r="AD155" s="1"/>
      <c r="AE155" s="1"/>
      <c r="AF155" s="1"/>
      <c r="AG155" s="1"/>
      <c r="AH155" s="1"/>
    </row>
    <row r="156" customFormat="false" ht="15" hidden="false" customHeight="false" outlineLevel="0" collapsed="false">
      <c r="A156" s="1"/>
      <c r="B156" s="10"/>
      <c r="C156" s="31" t="str">
        <f aca="false">IF(B156="","",TEXT(B156,"ddd"))</f>
        <v/>
      </c>
      <c r="D156" s="11"/>
      <c r="E156" s="8" t="str">
        <f aca="false">IF(D156="","",IFERROR(INDEX(ProjNumbers,MATCH(D156,ProjNames,0)),""))</f>
        <v/>
      </c>
      <c r="F156" s="8" t="str">
        <f aca="false">IF(D156="","",IFERROR(INDEX(ProjCodes,MATCH(D156,ProjNames,0)),""))</f>
        <v/>
      </c>
      <c r="G156" s="32"/>
      <c r="H156" s="11"/>
      <c r="I156" s="33"/>
      <c r="J156" s="8" t="str">
        <f aca="false">IF(COUNTA(B156,D156,G156,H156,I156)=0,"",IF(B156="","Enter date",IF(OR(B156&lt;$AC$2,B156&gt;$AC$3),"Date not in February",IF(D156="","Pick project",IF(ISNA(MATCH(D156,ProjNames,0)),"Project not in list",IF(G156="","Add task description",IF(H156="","Pick NTIME or P6",IF(N(I156)&lt;=0,"Enter hours",IF(AND(AllowOT&lt;&gt;"Yes",SUMIF($B$7:$B$256,B156,$I$7:$I$256)&gt;INDEX($O$58:$O$85,DAY(B156))),"Day over "&amp;INDEX($O$58:$O$85,DAY(B156))&amp;" h","✓")))))))))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tr">
        <f aca="false">IF(Projects!B154="","",Projects!B154)</f>
        <v/>
      </c>
      <c r="X156" s="1" t="n">
        <f aca="false">IF(W156="",0,SUMIFS($I$7:$I$256,$D$7:$D$256,W156,$H$7:$H$256,"NTIME"))</f>
        <v>0</v>
      </c>
      <c r="Y156" s="1" t="n">
        <f aca="false">IF(W156="",0,SUMIFS($I$7:$I$256,$D$7:$D$256,W156,$H$7:$H$256,"P6"))</f>
        <v>0</v>
      </c>
      <c r="Z156" s="1" t="n">
        <f aca="false">X156+Y156</f>
        <v>0</v>
      </c>
      <c r="AA156" s="1" t="n">
        <f aca="false">IF(Z156&gt;0,Z156+(201-150)/10^6,0)</f>
        <v>0</v>
      </c>
      <c r="AB156" s="1"/>
      <c r="AC156" s="1"/>
      <c r="AD156" s="1"/>
      <c r="AE156" s="1"/>
      <c r="AF156" s="1"/>
      <c r="AG156" s="1"/>
      <c r="AH156" s="1"/>
    </row>
    <row r="157" customFormat="false" ht="15" hidden="false" customHeight="false" outlineLevel="0" collapsed="false">
      <c r="A157" s="1"/>
      <c r="B157" s="10"/>
      <c r="C157" s="31" t="str">
        <f aca="false">IF(B157="","",TEXT(B157,"ddd"))</f>
        <v/>
      </c>
      <c r="D157" s="11"/>
      <c r="E157" s="8" t="str">
        <f aca="false">IF(D157="","",IFERROR(INDEX(ProjNumbers,MATCH(D157,ProjNames,0)),""))</f>
        <v/>
      </c>
      <c r="F157" s="8" t="str">
        <f aca="false">IF(D157="","",IFERROR(INDEX(ProjCodes,MATCH(D157,ProjNames,0)),""))</f>
        <v/>
      </c>
      <c r="G157" s="32"/>
      <c r="H157" s="11"/>
      <c r="I157" s="33"/>
      <c r="J157" s="8" t="str">
        <f aca="false">IF(COUNTA(B157,D157,G157,H157,I157)=0,"",IF(B157="","Enter date",IF(OR(B157&lt;$AC$2,B157&gt;$AC$3),"Date not in February",IF(D157="","Pick project",IF(ISNA(MATCH(D157,ProjNames,0)),"Project not in list",IF(G157="","Add task description",IF(H157="","Pick NTIME or P6",IF(N(I157)&lt;=0,"Enter hours",IF(AND(AllowOT&lt;&gt;"Yes",SUMIF($B$7:$B$256,B157,$I$7:$I$256)&gt;INDEX($O$58:$O$85,DAY(B157))),"Day over "&amp;INDEX($O$58:$O$85,DAY(B157))&amp;" h","✓")))))))))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tr">
        <f aca="false">IF(Projects!B155="","",Projects!B155)</f>
        <v/>
      </c>
      <c r="X157" s="1" t="n">
        <f aca="false">IF(W157="",0,SUMIFS($I$7:$I$256,$D$7:$D$256,W157,$H$7:$H$256,"NTIME"))</f>
        <v>0</v>
      </c>
      <c r="Y157" s="1" t="n">
        <f aca="false">IF(W157="",0,SUMIFS($I$7:$I$256,$D$7:$D$256,W157,$H$7:$H$256,"P6"))</f>
        <v>0</v>
      </c>
      <c r="Z157" s="1" t="n">
        <f aca="false">X157+Y157</f>
        <v>0</v>
      </c>
      <c r="AA157" s="1" t="n">
        <f aca="false">IF(Z157&gt;0,Z157+(201-151)/10^6,0)</f>
        <v>0</v>
      </c>
      <c r="AB157" s="1"/>
      <c r="AC157" s="1"/>
      <c r="AD157" s="1"/>
      <c r="AE157" s="1"/>
      <c r="AF157" s="1"/>
      <c r="AG157" s="1"/>
      <c r="AH157" s="1"/>
    </row>
    <row r="158" customFormat="false" ht="15" hidden="false" customHeight="false" outlineLevel="0" collapsed="false">
      <c r="A158" s="1"/>
      <c r="B158" s="10"/>
      <c r="C158" s="31" t="str">
        <f aca="false">IF(B158="","",TEXT(B158,"ddd"))</f>
        <v/>
      </c>
      <c r="D158" s="11"/>
      <c r="E158" s="8" t="str">
        <f aca="false">IF(D158="","",IFERROR(INDEX(ProjNumbers,MATCH(D158,ProjNames,0)),""))</f>
        <v/>
      </c>
      <c r="F158" s="8" t="str">
        <f aca="false">IF(D158="","",IFERROR(INDEX(ProjCodes,MATCH(D158,ProjNames,0)),""))</f>
        <v/>
      </c>
      <c r="G158" s="32"/>
      <c r="H158" s="11"/>
      <c r="I158" s="33"/>
      <c r="J158" s="8" t="str">
        <f aca="false">IF(COUNTA(B158,D158,G158,H158,I158)=0,"",IF(B158="","Enter date",IF(OR(B158&lt;$AC$2,B158&gt;$AC$3),"Date not in February",IF(D158="","Pick project",IF(ISNA(MATCH(D158,ProjNames,0)),"Project not in list",IF(G158="","Add task description",IF(H158="","Pick NTIME or P6",IF(N(I158)&lt;=0,"Enter hours",IF(AND(AllowOT&lt;&gt;"Yes",SUMIF($B$7:$B$256,B158,$I$7:$I$256)&gt;INDEX($O$58:$O$85,DAY(B158))),"Day over "&amp;INDEX($O$58:$O$85,DAY(B158))&amp;" h","✓")))))))))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tr">
        <f aca="false">IF(Projects!B156="","",Projects!B156)</f>
        <v/>
      </c>
      <c r="X158" s="1" t="n">
        <f aca="false">IF(W158="",0,SUMIFS($I$7:$I$256,$D$7:$D$256,W158,$H$7:$H$256,"NTIME"))</f>
        <v>0</v>
      </c>
      <c r="Y158" s="1" t="n">
        <f aca="false">IF(W158="",0,SUMIFS($I$7:$I$256,$D$7:$D$256,W158,$H$7:$H$256,"P6"))</f>
        <v>0</v>
      </c>
      <c r="Z158" s="1" t="n">
        <f aca="false">X158+Y158</f>
        <v>0</v>
      </c>
      <c r="AA158" s="1" t="n">
        <f aca="false">IF(Z158&gt;0,Z158+(201-152)/10^6,0)</f>
        <v>0</v>
      </c>
      <c r="AB158" s="1"/>
      <c r="AC158" s="1"/>
      <c r="AD158" s="1"/>
      <c r="AE158" s="1"/>
      <c r="AF158" s="1"/>
      <c r="AG158" s="1"/>
      <c r="AH158" s="1"/>
    </row>
    <row r="159" customFormat="false" ht="15" hidden="false" customHeight="false" outlineLevel="0" collapsed="false">
      <c r="A159" s="1"/>
      <c r="B159" s="10"/>
      <c r="C159" s="31" t="str">
        <f aca="false">IF(B159="","",TEXT(B159,"ddd"))</f>
        <v/>
      </c>
      <c r="D159" s="11"/>
      <c r="E159" s="8" t="str">
        <f aca="false">IF(D159="","",IFERROR(INDEX(ProjNumbers,MATCH(D159,ProjNames,0)),""))</f>
        <v/>
      </c>
      <c r="F159" s="8" t="str">
        <f aca="false">IF(D159="","",IFERROR(INDEX(ProjCodes,MATCH(D159,ProjNames,0)),""))</f>
        <v/>
      </c>
      <c r="G159" s="32"/>
      <c r="H159" s="11"/>
      <c r="I159" s="33"/>
      <c r="J159" s="8" t="str">
        <f aca="false">IF(COUNTA(B159,D159,G159,H159,I159)=0,"",IF(B159="","Enter date",IF(OR(B159&lt;$AC$2,B159&gt;$AC$3),"Date not in February",IF(D159="","Pick project",IF(ISNA(MATCH(D159,ProjNames,0)),"Project not in list",IF(G159="","Add task description",IF(H159="","Pick NTIME or P6",IF(N(I159)&lt;=0,"Enter hours",IF(AND(AllowOT&lt;&gt;"Yes",SUMIF($B$7:$B$256,B159,$I$7:$I$256)&gt;INDEX($O$58:$O$85,DAY(B159))),"Day over "&amp;INDEX($O$58:$O$85,DAY(B159))&amp;" h","✓")))))))))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tr">
        <f aca="false">IF(Projects!B157="","",Projects!B157)</f>
        <v/>
      </c>
      <c r="X159" s="1" t="n">
        <f aca="false">IF(W159="",0,SUMIFS($I$7:$I$256,$D$7:$D$256,W159,$H$7:$H$256,"NTIME"))</f>
        <v>0</v>
      </c>
      <c r="Y159" s="1" t="n">
        <f aca="false">IF(W159="",0,SUMIFS($I$7:$I$256,$D$7:$D$256,W159,$H$7:$H$256,"P6"))</f>
        <v>0</v>
      </c>
      <c r="Z159" s="1" t="n">
        <f aca="false">X159+Y159</f>
        <v>0</v>
      </c>
      <c r="AA159" s="1" t="n">
        <f aca="false">IF(Z159&gt;0,Z159+(201-153)/10^6,0)</f>
        <v>0</v>
      </c>
      <c r="AB159" s="1"/>
      <c r="AC159" s="1"/>
      <c r="AD159" s="1"/>
      <c r="AE159" s="1"/>
      <c r="AF159" s="1"/>
      <c r="AG159" s="1"/>
      <c r="AH159" s="1"/>
    </row>
    <row r="160" customFormat="false" ht="15" hidden="false" customHeight="false" outlineLevel="0" collapsed="false">
      <c r="A160" s="1"/>
      <c r="B160" s="10"/>
      <c r="C160" s="31" t="str">
        <f aca="false">IF(B160="","",TEXT(B160,"ddd"))</f>
        <v/>
      </c>
      <c r="D160" s="11"/>
      <c r="E160" s="8" t="str">
        <f aca="false">IF(D160="","",IFERROR(INDEX(ProjNumbers,MATCH(D160,ProjNames,0)),""))</f>
        <v/>
      </c>
      <c r="F160" s="8" t="str">
        <f aca="false">IF(D160="","",IFERROR(INDEX(ProjCodes,MATCH(D160,ProjNames,0)),""))</f>
        <v/>
      </c>
      <c r="G160" s="32"/>
      <c r="H160" s="11"/>
      <c r="I160" s="33"/>
      <c r="J160" s="8" t="str">
        <f aca="false">IF(COUNTA(B160,D160,G160,H160,I160)=0,"",IF(B160="","Enter date",IF(OR(B160&lt;$AC$2,B160&gt;$AC$3),"Date not in February",IF(D160="","Pick project",IF(ISNA(MATCH(D160,ProjNames,0)),"Project not in list",IF(G160="","Add task description",IF(H160="","Pick NTIME or P6",IF(N(I160)&lt;=0,"Enter hours",IF(AND(AllowOT&lt;&gt;"Yes",SUMIF($B$7:$B$256,B160,$I$7:$I$256)&gt;INDEX($O$58:$O$85,DAY(B160))),"Day over "&amp;INDEX($O$58:$O$85,DAY(B160))&amp;" h","✓")))))))))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tr">
        <f aca="false">IF(Projects!B158="","",Projects!B158)</f>
        <v/>
      </c>
      <c r="X160" s="1" t="n">
        <f aca="false">IF(W160="",0,SUMIFS($I$7:$I$256,$D$7:$D$256,W160,$H$7:$H$256,"NTIME"))</f>
        <v>0</v>
      </c>
      <c r="Y160" s="1" t="n">
        <f aca="false">IF(W160="",0,SUMIFS($I$7:$I$256,$D$7:$D$256,W160,$H$7:$H$256,"P6"))</f>
        <v>0</v>
      </c>
      <c r="Z160" s="1" t="n">
        <f aca="false">X160+Y160</f>
        <v>0</v>
      </c>
      <c r="AA160" s="1" t="n">
        <f aca="false">IF(Z160&gt;0,Z160+(201-154)/10^6,0)</f>
        <v>0</v>
      </c>
      <c r="AB160" s="1"/>
      <c r="AC160" s="1"/>
      <c r="AD160" s="1"/>
      <c r="AE160" s="1"/>
      <c r="AF160" s="1"/>
      <c r="AG160" s="1"/>
      <c r="AH160" s="1"/>
    </row>
    <row r="161" customFormat="false" ht="15" hidden="false" customHeight="false" outlineLevel="0" collapsed="false">
      <c r="A161" s="1"/>
      <c r="B161" s="10"/>
      <c r="C161" s="31" t="str">
        <f aca="false">IF(B161="","",TEXT(B161,"ddd"))</f>
        <v/>
      </c>
      <c r="D161" s="11"/>
      <c r="E161" s="8" t="str">
        <f aca="false">IF(D161="","",IFERROR(INDEX(ProjNumbers,MATCH(D161,ProjNames,0)),""))</f>
        <v/>
      </c>
      <c r="F161" s="8" t="str">
        <f aca="false">IF(D161="","",IFERROR(INDEX(ProjCodes,MATCH(D161,ProjNames,0)),""))</f>
        <v/>
      </c>
      <c r="G161" s="32"/>
      <c r="H161" s="11"/>
      <c r="I161" s="33"/>
      <c r="J161" s="8" t="str">
        <f aca="false">IF(COUNTA(B161,D161,G161,H161,I161)=0,"",IF(B161="","Enter date",IF(OR(B161&lt;$AC$2,B161&gt;$AC$3),"Date not in February",IF(D161="","Pick project",IF(ISNA(MATCH(D161,ProjNames,0)),"Project not in list",IF(G161="","Add task description",IF(H161="","Pick NTIME or P6",IF(N(I161)&lt;=0,"Enter hours",IF(AND(AllowOT&lt;&gt;"Yes",SUMIF($B$7:$B$256,B161,$I$7:$I$256)&gt;INDEX($O$58:$O$85,DAY(B161))),"Day over "&amp;INDEX($O$58:$O$85,DAY(B161))&amp;" h","✓")))))))))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tr">
        <f aca="false">IF(Projects!B159="","",Projects!B159)</f>
        <v/>
      </c>
      <c r="X161" s="1" t="n">
        <f aca="false">IF(W161="",0,SUMIFS($I$7:$I$256,$D$7:$D$256,W161,$H$7:$H$256,"NTIME"))</f>
        <v>0</v>
      </c>
      <c r="Y161" s="1" t="n">
        <f aca="false">IF(W161="",0,SUMIFS($I$7:$I$256,$D$7:$D$256,W161,$H$7:$H$256,"P6"))</f>
        <v>0</v>
      </c>
      <c r="Z161" s="1" t="n">
        <f aca="false">X161+Y161</f>
        <v>0</v>
      </c>
      <c r="AA161" s="1" t="n">
        <f aca="false">IF(Z161&gt;0,Z161+(201-155)/10^6,0)</f>
        <v>0</v>
      </c>
      <c r="AB161" s="1"/>
      <c r="AC161" s="1"/>
      <c r="AD161" s="1"/>
      <c r="AE161" s="1"/>
      <c r="AF161" s="1"/>
      <c r="AG161" s="1"/>
      <c r="AH161" s="1"/>
    </row>
    <row r="162" customFormat="false" ht="15" hidden="false" customHeight="false" outlineLevel="0" collapsed="false">
      <c r="A162" s="1"/>
      <c r="B162" s="10"/>
      <c r="C162" s="31" t="str">
        <f aca="false">IF(B162="","",TEXT(B162,"ddd"))</f>
        <v/>
      </c>
      <c r="D162" s="11"/>
      <c r="E162" s="8" t="str">
        <f aca="false">IF(D162="","",IFERROR(INDEX(ProjNumbers,MATCH(D162,ProjNames,0)),""))</f>
        <v/>
      </c>
      <c r="F162" s="8" t="str">
        <f aca="false">IF(D162="","",IFERROR(INDEX(ProjCodes,MATCH(D162,ProjNames,0)),""))</f>
        <v/>
      </c>
      <c r="G162" s="32"/>
      <c r="H162" s="11"/>
      <c r="I162" s="33"/>
      <c r="J162" s="8" t="str">
        <f aca="false">IF(COUNTA(B162,D162,G162,H162,I162)=0,"",IF(B162="","Enter date",IF(OR(B162&lt;$AC$2,B162&gt;$AC$3),"Date not in February",IF(D162="","Pick project",IF(ISNA(MATCH(D162,ProjNames,0)),"Project not in list",IF(G162="","Add task description",IF(H162="","Pick NTIME or P6",IF(N(I162)&lt;=0,"Enter hours",IF(AND(AllowOT&lt;&gt;"Yes",SUMIF($B$7:$B$256,B162,$I$7:$I$256)&gt;INDEX($O$58:$O$85,DAY(B162))),"Day over "&amp;INDEX($O$58:$O$85,DAY(B162))&amp;" h","✓")))))))))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tr">
        <f aca="false">IF(Projects!B160="","",Projects!B160)</f>
        <v/>
      </c>
      <c r="X162" s="1" t="n">
        <f aca="false">IF(W162="",0,SUMIFS($I$7:$I$256,$D$7:$D$256,W162,$H$7:$H$256,"NTIME"))</f>
        <v>0</v>
      </c>
      <c r="Y162" s="1" t="n">
        <f aca="false">IF(W162="",0,SUMIFS($I$7:$I$256,$D$7:$D$256,W162,$H$7:$H$256,"P6"))</f>
        <v>0</v>
      </c>
      <c r="Z162" s="1" t="n">
        <f aca="false">X162+Y162</f>
        <v>0</v>
      </c>
      <c r="AA162" s="1" t="n">
        <f aca="false">IF(Z162&gt;0,Z162+(201-156)/10^6,0)</f>
        <v>0</v>
      </c>
      <c r="AB162" s="1"/>
      <c r="AC162" s="1"/>
      <c r="AD162" s="1"/>
      <c r="AE162" s="1"/>
      <c r="AF162" s="1"/>
      <c r="AG162" s="1"/>
      <c r="AH162" s="1"/>
    </row>
    <row r="163" customFormat="false" ht="15" hidden="false" customHeight="false" outlineLevel="0" collapsed="false">
      <c r="A163" s="1"/>
      <c r="B163" s="10"/>
      <c r="C163" s="31" t="str">
        <f aca="false">IF(B163="","",TEXT(B163,"ddd"))</f>
        <v/>
      </c>
      <c r="D163" s="11"/>
      <c r="E163" s="8" t="str">
        <f aca="false">IF(D163="","",IFERROR(INDEX(ProjNumbers,MATCH(D163,ProjNames,0)),""))</f>
        <v/>
      </c>
      <c r="F163" s="8" t="str">
        <f aca="false">IF(D163="","",IFERROR(INDEX(ProjCodes,MATCH(D163,ProjNames,0)),""))</f>
        <v/>
      </c>
      <c r="G163" s="32"/>
      <c r="H163" s="11"/>
      <c r="I163" s="33"/>
      <c r="J163" s="8" t="str">
        <f aca="false">IF(COUNTA(B163,D163,G163,H163,I163)=0,"",IF(B163="","Enter date",IF(OR(B163&lt;$AC$2,B163&gt;$AC$3),"Date not in February",IF(D163="","Pick project",IF(ISNA(MATCH(D163,ProjNames,0)),"Project not in list",IF(G163="","Add task description",IF(H163="","Pick NTIME or P6",IF(N(I163)&lt;=0,"Enter hours",IF(AND(AllowOT&lt;&gt;"Yes",SUMIF($B$7:$B$256,B163,$I$7:$I$256)&gt;INDEX($O$58:$O$85,DAY(B163))),"Day over "&amp;INDEX($O$58:$O$85,DAY(B163))&amp;" h","✓")))))))))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tr">
        <f aca="false">IF(Projects!B161="","",Projects!B161)</f>
        <v/>
      </c>
      <c r="X163" s="1" t="n">
        <f aca="false">IF(W163="",0,SUMIFS($I$7:$I$256,$D$7:$D$256,W163,$H$7:$H$256,"NTIME"))</f>
        <v>0</v>
      </c>
      <c r="Y163" s="1" t="n">
        <f aca="false">IF(W163="",0,SUMIFS($I$7:$I$256,$D$7:$D$256,W163,$H$7:$H$256,"P6"))</f>
        <v>0</v>
      </c>
      <c r="Z163" s="1" t="n">
        <f aca="false">X163+Y163</f>
        <v>0</v>
      </c>
      <c r="AA163" s="1" t="n">
        <f aca="false">IF(Z163&gt;0,Z163+(201-157)/10^6,0)</f>
        <v>0</v>
      </c>
      <c r="AB163" s="1"/>
      <c r="AC163" s="1"/>
      <c r="AD163" s="1"/>
      <c r="AE163" s="1"/>
      <c r="AF163" s="1"/>
      <c r="AG163" s="1"/>
      <c r="AH163" s="1"/>
    </row>
    <row r="164" customFormat="false" ht="15" hidden="false" customHeight="false" outlineLevel="0" collapsed="false">
      <c r="A164" s="1"/>
      <c r="B164" s="10"/>
      <c r="C164" s="31" t="str">
        <f aca="false">IF(B164="","",TEXT(B164,"ddd"))</f>
        <v/>
      </c>
      <c r="D164" s="11"/>
      <c r="E164" s="8" t="str">
        <f aca="false">IF(D164="","",IFERROR(INDEX(ProjNumbers,MATCH(D164,ProjNames,0)),""))</f>
        <v/>
      </c>
      <c r="F164" s="8" t="str">
        <f aca="false">IF(D164="","",IFERROR(INDEX(ProjCodes,MATCH(D164,ProjNames,0)),""))</f>
        <v/>
      </c>
      <c r="G164" s="32"/>
      <c r="H164" s="11"/>
      <c r="I164" s="33"/>
      <c r="J164" s="8" t="str">
        <f aca="false">IF(COUNTA(B164,D164,G164,H164,I164)=0,"",IF(B164="","Enter date",IF(OR(B164&lt;$AC$2,B164&gt;$AC$3),"Date not in February",IF(D164="","Pick project",IF(ISNA(MATCH(D164,ProjNames,0)),"Project not in list",IF(G164="","Add task description",IF(H164="","Pick NTIME or P6",IF(N(I164)&lt;=0,"Enter hours",IF(AND(AllowOT&lt;&gt;"Yes",SUMIF($B$7:$B$256,B164,$I$7:$I$256)&gt;INDEX($O$58:$O$85,DAY(B164))),"Day over "&amp;INDEX($O$58:$O$85,DAY(B164))&amp;" h","✓")))))))))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tr">
        <f aca="false">IF(Projects!B162="","",Projects!B162)</f>
        <v/>
      </c>
      <c r="X164" s="1" t="n">
        <f aca="false">IF(W164="",0,SUMIFS($I$7:$I$256,$D$7:$D$256,W164,$H$7:$H$256,"NTIME"))</f>
        <v>0</v>
      </c>
      <c r="Y164" s="1" t="n">
        <f aca="false">IF(W164="",0,SUMIFS($I$7:$I$256,$D$7:$D$256,W164,$H$7:$H$256,"P6"))</f>
        <v>0</v>
      </c>
      <c r="Z164" s="1" t="n">
        <f aca="false">X164+Y164</f>
        <v>0</v>
      </c>
      <c r="AA164" s="1" t="n">
        <f aca="false">IF(Z164&gt;0,Z164+(201-158)/10^6,0)</f>
        <v>0</v>
      </c>
      <c r="AB164" s="1"/>
      <c r="AC164" s="1"/>
      <c r="AD164" s="1"/>
      <c r="AE164" s="1"/>
      <c r="AF164" s="1"/>
      <c r="AG164" s="1"/>
      <c r="AH164" s="1"/>
    </row>
    <row r="165" customFormat="false" ht="15" hidden="false" customHeight="false" outlineLevel="0" collapsed="false">
      <c r="A165" s="1"/>
      <c r="B165" s="10"/>
      <c r="C165" s="31" t="str">
        <f aca="false">IF(B165="","",TEXT(B165,"ddd"))</f>
        <v/>
      </c>
      <c r="D165" s="11"/>
      <c r="E165" s="8" t="str">
        <f aca="false">IF(D165="","",IFERROR(INDEX(ProjNumbers,MATCH(D165,ProjNames,0)),""))</f>
        <v/>
      </c>
      <c r="F165" s="8" t="str">
        <f aca="false">IF(D165="","",IFERROR(INDEX(ProjCodes,MATCH(D165,ProjNames,0)),""))</f>
        <v/>
      </c>
      <c r="G165" s="32"/>
      <c r="H165" s="11"/>
      <c r="I165" s="33"/>
      <c r="J165" s="8" t="str">
        <f aca="false">IF(COUNTA(B165,D165,G165,H165,I165)=0,"",IF(B165="","Enter date",IF(OR(B165&lt;$AC$2,B165&gt;$AC$3),"Date not in February",IF(D165="","Pick project",IF(ISNA(MATCH(D165,ProjNames,0)),"Project not in list",IF(G165="","Add task description",IF(H165="","Pick NTIME or P6",IF(N(I165)&lt;=0,"Enter hours",IF(AND(AllowOT&lt;&gt;"Yes",SUMIF($B$7:$B$256,B165,$I$7:$I$256)&gt;INDEX($O$58:$O$85,DAY(B165))),"Day over "&amp;INDEX($O$58:$O$85,DAY(B165))&amp;" h","✓")))))))))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tr">
        <f aca="false">IF(Projects!B163="","",Projects!B163)</f>
        <v/>
      </c>
      <c r="X165" s="1" t="n">
        <f aca="false">IF(W165="",0,SUMIFS($I$7:$I$256,$D$7:$D$256,W165,$H$7:$H$256,"NTIME"))</f>
        <v>0</v>
      </c>
      <c r="Y165" s="1" t="n">
        <f aca="false">IF(W165="",0,SUMIFS($I$7:$I$256,$D$7:$D$256,W165,$H$7:$H$256,"P6"))</f>
        <v>0</v>
      </c>
      <c r="Z165" s="1" t="n">
        <f aca="false">X165+Y165</f>
        <v>0</v>
      </c>
      <c r="AA165" s="1" t="n">
        <f aca="false">IF(Z165&gt;0,Z165+(201-159)/10^6,0)</f>
        <v>0</v>
      </c>
      <c r="AB165" s="1"/>
      <c r="AC165" s="1"/>
      <c r="AD165" s="1"/>
      <c r="AE165" s="1"/>
      <c r="AF165" s="1"/>
      <c r="AG165" s="1"/>
      <c r="AH165" s="1"/>
    </row>
    <row r="166" customFormat="false" ht="15" hidden="false" customHeight="false" outlineLevel="0" collapsed="false">
      <c r="A166" s="1"/>
      <c r="B166" s="10"/>
      <c r="C166" s="31" t="str">
        <f aca="false">IF(B166="","",TEXT(B166,"ddd"))</f>
        <v/>
      </c>
      <c r="D166" s="11"/>
      <c r="E166" s="8" t="str">
        <f aca="false">IF(D166="","",IFERROR(INDEX(ProjNumbers,MATCH(D166,ProjNames,0)),""))</f>
        <v/>
      </c>
      <c r="F166" s="8" t="str">
        <f aca="false">IF(D166="","",IFERROR(INDEX(ProjCodes,MATCH(D166,ProjNames,0)),""))</f>
        <v/>
      </c>
      <c r="G166" s="32"/>
      <c r="H166" s="11"/>
      <c r="I166" s="33"/>
      <c r="J166" s="8" t="str">
        <f aca="false">IF(COUNTA(B166,D166,G166,H166,I166)=0,"",IF(B166="","Enter date",IF(OR(B166&lt;$AC$2,B166&gt;$AC$3),"Date not in February",IF(D166="","Pick project",IF(ISNA(MATCH(D166,ProjNames,0)),"Project not in list",IF(G166="","Add task description",IF(H166="","Pick NTIME or P6",IF(N(I166)&lt;=0,"Enter hours",IF(AND(AllowOT&lt;&gt;"Yes",SUMIF($B$7:$B$256,B166,$I$7:$I$256)&gt;INDEX($O$58:$O$85,DAY(B166))),"Day over "&amp;INDEX($O$58:$O$85,DAY(B166))&amp;" h","✓")))))))))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tr">
        <f aca="false">IF(Projects!B164="","",Projects!B164)</f>
        <v/>
      </c>
      <c r="X166" s="1" t="n">
        <f aca="false">IF(W166="",0,SUMIFS($I$7:$I$256,$D$7:$D$256,W166,$H$7:$H$256,"NTIME"))</f>
        <v>0</v>
      </c>
      <c r="Y166" s="1" t="n">
        <f aca="false">IF(W166="",0,SUMIFS($I$7:$I$256,$D$7:$D$256,W166,$H$7:$H$256,"P6"))</f>
        <v>0</v>
      </c>
      <c r="Z166" s="1" t="n">
        <f aca="false">X166+Y166</f>
        <v>0</v>
      </c>
      <c r="AA166" s="1" t="n">
        <f aca="false">IF(Z166&gt;0,Z166+(201-160)/10^6,0)</f>
        <v>0</v>
      </c>
      <c r="AB166" s="1"/>
      <c r="AC166" s="1"/>
      <c r="AD166" s="1"/>
      <c r="AE166" s="1"/>
      <c r="AF166" s="1"/>
      <c r="AG166" s="1"/>
      <c r="AH166" s="1"/>
    </row>
    <row r="167" customFormat="false" ht="15" hidden="false" customHeight="false" outlineLevel="0" collapsed="false">
      <c r="A167" s="1"/>
      <c r="B167" s="10"/>
      <c r="C167" s="31" t="str">
        <f aca="false">IF(B167="","",TEXT(B167,"ddd"))</f>
        <v/>
      </c>
      <c r="D167" s="11"/>
      <c r="E167" s="8" t="str">
        <f aca="false">IF(D167="","",IFERROR(INDEX(ProjNumbers,MATCH(D167,ProjNames,0)),""))</f>
        <v/>
      </c>
      <c r="F167" s="8" t="str">
        <f aca="false">IF(D167="","",IFERROR(INDEX(ProjCodes,MATCH(D167,ProjNames,0)),""))</f>
        <v/>
      </c>
      <c r="G167" s="32"/>
      <c r="H167" s="11"/>
      <c r="I167" s="33"/>
      <c r="J167" s="8" t="str">
        <f aca="false">IF(COUNTA(B167,D167,G167,H167,I167)=0,"",IF(B167="","Enter date",IF(OR(B167&lt;$AC$2,B167&gt;$AC$3),"Date not in February",IF(D167="","Pick project",IF(ISNA(MATCH(D167,ProjNames,0)),"Project not in list",IF(G167="","Add task description",IF(H167="","Pick NTIME or P6",IF(N(I167)&lt;=0,"Enter hours",IF(AND(AllowOT&lt;&gt;"Yes",SUMIF($B$7:$B$256,B167,$I$7:$I$256)&gt;INDEX($O$58:$O$85,DAY(B167))),"Day over "&amp;INDEX($O$58:$O$85,DAY(B167))&amp;" h","✓")))))))))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 aca="false">IF(Projects!B165="","",Projects!B165)</f>
        <v/>
      </c>
      <c r="X167" s="1" t="n">
        <f aca="false">IF(W167="",0,SUMIFS($I$7:$I$256,$D$7:$D$256,W167,$H$7:$H$256,"NTIME"))</f>
        <v>0</v>
      </c>
      <c r="Y167" s="1" t="n">
        <f aca="false">IF(W167="",0,SUMIFS($I$7:$I$256,$D$7:$D$256,W167,$H$7:$H$256,"P6"))</f>
        <v>0</v>
      </c>
      <c r="Z167" s="1" t="n">
        <f aca="false">X167+Y167</f>
        <v>0</v>
      </c>
      <c r="AA167" s="1" t="n">
        <f aca="false">IF(Z167&gt;0,Z167+(201-161)/10^6,0)</f>
        <v>0</v>
      </c>
      <c r="AB167" s="1"/>
      <c r="AC167" s="1"/>
      <c r="AD167" s="1"/>
      <c r="AE167" s="1"/>
      <c r="AF167" s="1"/>
      <c r="AG167" s="1"/>
      <c r="AH167" s="1"/>
    </row>
    <row r="168" customFormat="false" ht="15" hidden="false" customHeight="false" outlineLevel="0" collapsed="false">
      <c r="A168" s="1"/>
      <c r="B168" s="10"/>
      <c r="C168" s="31" t="str">
        <f aca="false">IF(B168="","",TEXT(B168,"ddd"))</f>
        <v/>
      </c>
      <c r="D168" s="11"/>
      <c r="E168" s="8" t="str">
        <f aca="false">IF(D168="","",IFERROR(INDEX(ProjNumbers,MATCH(D168,ProjNames,0)),""))</f>
        <v/>
      </c>
      <c r="F168" s="8" t="str">
        <f aca="false">IF(D168="","",IFERROR(INDEX(ProjCodes,MATCH(D168,ProjNames,0)),""))</f>
        <v/>
      </c>
      <c r="G168" s="32"/>
      <c r="H168" s="11"/>
      <c r="I168" s="33"/>
      <c r="J168" s="8" t="str">
        <f aca="false">IF(COUNTA(B168,D168,G168,H168,I168)=0,"",IF(B168="","Enter date",IF(OR(B168&lt;$AC$2,B168&gt;$AC$3),"Date not in February",IF(D168="","Pick project",IF(ISNA(MATCH(D168,ProjNames,0)),"Project not in list",IF(G168="","Add task description",IF(H168="","Pick NTIME or P6",IF(N(I168)&lt;=0,"Enter hours",IF(AND(AllowOT&lt;&gt;"Yes",SUMIF($B$7:$B$256,B168,$I$7:$I$256)&gt;INDEX($O$58:$O$85,DAY(B168))),"Day over "&amp;INDEX($O$58:$O$85,DAY(B168))&amp;" h","✓")))))))))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tr">
        <f aca="false">IF(Projects!B166="","",Projects!B166)</f>
        <v/>
      </c>
      <c r="X168" s="1" t="n">
        <f aca="false">IF(W168="",0,SUMIFS($I$7:$I$256,$D$7:$D$256,W168,$H$7:$H$256,"NTIME"))</f>
        <v>0</v>
      </c>
      <c r="Y168" s="1" t="n">
        <f aca="false">IF(W168="",0,SUMIFS($I$7:$I$256,$D$7:$D$256,W168,$H$7:$H$256,"P6"))</f>
        <v>0</v>
      </c>
      <c r="Z168" s="1" t="n">
        <f aca="false">X168+Y168</f>
        <v>0</v>
      </c>
      <c r="AA168" s="1" t="n">
        <f aca="false">IF(Z168&gt;0,Z168+(201-162)/10^6,0)</f>
        <v>0</v>
      </c>
      <c r="AB168" s="1"/>
      <c r="AC168" s="1"/>
      <c r="AD168" s="1"/>
      <c r="AE168" s="1"/>
      <c r="AF168" s="1"/>
      <c r="AG168" s="1"/>
      <c r="AH168" s="1"/>
    </row>
    <row r="169" customFormat="false" ht="15" hidden="false" customHeight="false" outlineLevel="0" collapsed="false">
      <c r="A169" s="1"/>
      <c r="B169" s="10"/>
      <c r="C169" s="31" t="str">
        <f aca="false">IF(B169="","",TEXT(B169,"ddd"))</f>
        <v/>
      </c>
      <c r="D169" s="11"/>
      <c r="E169" s="8" t="str">
        <f aca="false">IF(D169="","",IFERROR(INDEX(ProjNumbers,MATCH(D169,ProjNames,0)),""))</f>
        <v/>
      </c>
      <c r="F169" s="8" t="str">
        <f aca="false">IF(D169="","",IFERROR(INDEX(ProjCodes,MATCH(D169,ProjNames,0)),""))</f>
        <v/>
      </c>
      <c r="G169" s="32"/>
      <c r="H169" s="11"/>
      <c r="I169" s="33"/>
      <c r="J169" s="8" t="str">
        <f aca="false">IF(COUNTA(B169,D169,G169,H169,I169)=0,"",IF(B169="","Enter date",IF(OR(B169&lt;$AC$2,B169&gt;$AC$3),"Date not in February",IF(D169="","Pick project",IF(ISNA(MATCH(D169,ProjNames,0)),"Project not in list",IF(G169="","Add task description",IF(H169="","Pick NTIME or P6",IF(N(I169)&lt;=0,"Enter hours",IF(AND(AllowOT&lt;&gt;"Yes",SUMIF($B$7:$B$256,B169,$I$7:$I$256)&gt;INDEX($O$58:$O$85,DAY(B169))),"Day over "&amp;INDEX($O$58:$O$85,DAY(B169))&amp;" h","✓")))))))))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tr">
        <f aca="false">IF(Projects!B167="","",Projects!B167)</f>
        <v/>
      </c>
      <c r="X169" s="1" t="n">
        <f aca="false">IF(W169="",0,SUMIFS($I$7:$I$256,$D$7:$D$256,W169,$H$7:$H$256,"NTIME"))</f>
        <v>0</v>
      </c>
      <c r="Y169" s="1" t="n">
        <f aca="false">IF(W169="",0,SUMIFS($I$7:$I$256,$D$7:$D$256,W169,$H$7:$H$256,"P6"))</f>
        <v>0</v>
      </c>
      <c r="Z169" s="1" t="n">
        <f aca="false">X169+Y169</f>
        <v>0</v>
      </c>
      <c r="AA169" s="1" t="n">
        <f aca="false">IF(Z169&gt;0,Z169+(201-163)/10^6,0)</f>
        <v>0</v>
      </c>
      <c r="AB169" s="1"/>
      <c r="AC169" s="1"/>
      <c r="AD169" s="1"/>
      <c r="AE169" s="1"/>
      <c r="AF169" s="1"/>
      <c r="AG169" s="1"/>
      <c r="AH169" s="1"/>
    </row>
    <row r="170" customFormat="false" ht="15" hidden="false" customHeight="false" outlineLevel="0" collapsed="false">
      <c r="A170" s="1"/>
      <c r="B170" s="10"/>
      <c r="C170" s="31" t="str">
        <f aca="false">IF(B170="","",TEXT(B170,"ddd"))</f>
        <v/>
      </c>
      <c r="D170" s="11"/>
      <c r="E170" s="8" t="str">
        <f aca="false">IF(D170="","",IFERROR(INDEX(ProjNumbers,MATCH(D170,ProjNames,0)),""))</f>
        <v/>
      </c>
      <c r="F170" s="8" t="str">
        <f aca="false">IF(D170="","",IFERROR(INDEX(ProjCodes,MATCH(D170,ProjNames,0)),""))</f>
        <v/>
      </c>
      <c r="G170" s="32"/>
      <c r="H170" s="11"/>
      <c r="I170" s="33"/>
      <c r="J170" s="8" t="str">
        <f aca="false">IF(COUNTA(B170,D170,G170,H170,I170)=0,"",IF(B170="","Enter date",IF(OR(B170&lt;$AC$2,B170&gt;$AC$3),"Date not in February",IF(D170="","Pick project",IF(ISNA(MATCH(D170,ProjNames,0)),"Project not in list",IF(G170="","Add task description",IF(H170="","Pick NTIME or P6",IF(N(I170)&lt;=0,"Enter hours",IF(AND(AllowOT&lt;&gt;"Yes",SUMIF($B$7:$B$256,B170,$I$7:$I$256)&gt;INDEX($O$58:$O$85,DAY(B170))),"Day over "&amp;INDEX($O$58:$O$85,DAY(B170))&amp;" h","✓")))))))))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tr">
        <f aca="false">IF(Projects!B168="","",Projects!B168)</f>
        <v/>
      </c>
      <c r="X170" s="1" t="n">
        <f aca="false">IF(W170="",0,SUMIFS($I$7:$I$256,$D$7:$D$256,W170,$H$7:$H$256,"NTIME"))</f>
        <v>0</v>
      </c>
      <c r="Y170" s="1" t="n">
        <f aca="false">IF(W170="",0,SUMIFS($I$7:$I$256,$D$7:$D$256,W170,$H$7:$H$256,"P6"))</f>
        <v>0</v>
      </c>
      <c r="Z170" s="1" t="n">
        <f aca="false">X170+Y170</f>
        <v>0</v>
      </c>
      <c r="AA170" s="1" t="n">
        <f aca="false">IF(Z170&gt;0,Z170+(201-164)/10^6,0)</f>
        <v>0</v>
      </c>
      <c r="AB170" s="1"/>
      <c r="AC170" s="1"/>
      <c r="AD170" s="1"/>
      <c r="AE170" s="1"/>
      <c r="AF170" s="1"/>
      <c r="AG170" s="1"/>
      <c r="AH170" s="1"/>
    </row>
    <row r="171" customFormat="false" ht="15" hidden="false" customHeight="false" outlineLevel="0" collapsed="false">
      <c r="A171" s="1"/>
      <c r="B171" s="10"/>
      <c r="C171" s="31" t="str">
        <f aca="false">IF(B171="","",TEXT(B171,"ddd"))</f>
        <v/>
      </c>
      <c r="D171" s="11"/>
      <c r="E171" s="8" t="str">
        <f aca="false">IF(D171="","",IFERROR(INDEX(ProjNumbers,MATCH(D171,ProjNames,0)),""))</f>
        <v/>
      </c>
      <c r="F171" s="8" t="str">
        <f aca="false">IF(D171="","",IFERROR(INDEX(ProjCodes,MATCH(D171,ProjNames,0)),""))</f>
        <v/>
      </c>
      <c r="G171" s="32"/>
      <c r="H171" s="11"/>
      <c r="I171" s="33"/>
      <c r="J171" s="8" t="str">
        <f aca="false">IF(COUNTA(B171,D171,G171,H171,I171)=0,"",IF(B171="","Enter date",IF(OR(B171&lt;$AC$2,B171&gt;$AC$3),"Date not in February",IF(D171="","Pick project",IF(ISNA(MATCH(D171,ProjNames,0)),"Project not in list",IF(G171="","Add task description",IF(H171="","Pick NTIME or P6",IF(N(I171)&lt;=0,"Enter hours",IF(AND(AllowOT&lt;&gt;"Yes",SUMIF($B$7:$B$256,B171,$I$7:$I$256)&gt;INDEX($O$58:$O$85,DAY(B171))),"Day over "&amp;INDEX($O$58:$O$85,DAY(B171))&amp;" h","✓")))))))))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tr">
        <f aca="false">IF(Projects!B169="","",Projects!B169)</f>
        <v/>
      </c>
      <c r="X171" s="1" t="n">
        <f aca="false">IF(W171="",0,SUMIFS($I$7:$I$256,$D$7:$D$256,W171,$H$7:$H$256,"NTIME"))</f>
        <v>0</v>
      </c>
      <c r="Y171" s="1" t="n">
        <f aca="false">IF(W171="",0,SUMIFS($I$7:$I$256,$D$7:$D$256,W171,$H$7:$H$256,"P6"))</f>
        <v>0</v>
      </c>
      <c r="Z171" s="1" t="n">
        <f aca="false">X171+Y171</f>
        <v>0</v>
      </c>
      <c r="AA171" s="1" t="n">
        <f aca="false">IF(Z171&gt;0,Z171+(201-165)/10^6,0)</f>
        <v>0</v>
      </c>
      <c r="AB171" s="1"/>
      <c r="AC171" s="1"/>
      <c r="AD171" s="1"/>
      <c r="AE171" s="1"/>
      <c r="AF171" s="1"/>
      <c r="AG171" s="1"/>
      <c r="AH171" s="1"/>
    </row>
    <row r="172" customFormat="false" ht="15" hidden="false" customHeight="false" outlineLevel="0" collapsed="false">
      <c r="A172" s="1"/>
      <c r="B172" s="10"/>
      <c r="C172" s="31" t="str">
        <f aca="false">IF(B172="","",TEXT(B172,"ddd"))</f>
        <v/>
      </c>
      <c r="D172" s="11"/>
      <c r="E172" s="8" t="str">
        <f aca="false">IF(D172="","",IFERROR(INDEX(ProjNumbers,MATCH(D172,ProjNames,0)),""))</f>
        <v/>
      </c>
      <c r="F172" s="8" t="str">
        <f aca="false">IF(D172="","",IFERROR(INDEX(ProjCodes,MATCH(D172,ProjNames,0)),""))</f>
        <v/>
      </c>
      <c r="G172" s="32"/>
      <c r="H172" s="11"/>
      <c r="I172" s="33"/>
      <c r="J172" s="8" t="str">
        <f aca="false">IF(COUNTA(B172,D172,G172,H172,I172)=0,"",IF(B172="","Enter date",IF(OR(B172&lt;$AC$2,B172&gt;$AC$3),"Date not in February",IF(D172="","Pick project",IF(ISNA(MATCH(D172,ProjNames,0)),"Project not in list",IF(G172="","Add task description",IF(H172="","Pick NTIME or P6",IF(N(I172)&lt;=0,"Enter hours",IF(AND(AllowOT&lt;&gt;"Yes",SUMIF($B$7:$B$256,B172,$I$7:$I$256)&gt;INDEX($O$58:$O$85,DAY(B172))),"Day over "&amp;INDEX($O$58:$O$85,DAY(B172))&amp;" h","✓")))))))))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tr">
        <f aca="false">IF(Projects!B170="","",Projects!B170)</f>
        <v/>
      </c>
      <c r="X172" s="1" t="n">
        <f aca="false">IF(W172="",0,SUMIFS($I$7:$I$256,$D$7:$D$256,W172,$H$7:$H$256,"NTIME"))</f>
        <v>0</v>
      </c>
      <c r="Y172" s="1" t="n">
        <f aca="false">IF(W172="",0,SUMIFS($I$7:$I$256,$D$7:$D$256,W172,$H$7:$H$256,"P6"))</f>
        <v>0</v>
      </c>
      <c r="Z172" s="1" t="n">
        <f aca="false">X172+Y172</f>
        <v>0</v>
      </c>
      <c r="AA172" s="1" t="n">
        <f aca="false">IF(Z172&gt;0,Z172+(201-166)/10^6,0)</f>
        <v>0</v>
      </c>
      <c r="AB172" s="1"/>
      <c r="AC172" s="1"/>
      <c r="AD172" s="1"/>
      <c r="AE172" s="1"/>
      <c r="AF172" s="1"/>
      <c r="AG172" s="1"/>
      <c r="AH172" s="1"/>
    </row>
    <row r="173" customFormat="false" ht="15" hidden="false" customHeight="false" outlineLevel="0" collapsed="false">
      <c r="A173" s="1"/>
      <c r="B173" s="10"/>
      <c r="C173" s="31" t="str">
        <f aca="false">IF(B173="","",TEXT(B173,"ddd"))</f>
        <v/>
      </c>
      <c r="D173" s="11"/>
      <c r="E173" s="8" t="str">
        <f aca="false">IF(D173="","",IFERROR(INDEX(ProjNumbers,MATCH(D173,ProjNames,0)),""))</f>
        <v/>
      </c>
      <c r="F173" s="8" t="str">
        <f aca="false">IF(D173="","",IFERROR(INDEX(ProjCodes,MATCH(D173,ProjNames,0)),""))</f>
        <v/>
      </c>
      <c r="G173" s="32"/>
      <c r="H173" s="11"/>
      <c r="I173" s="33"/>
      <c r="J173" s="8" t="str">
        <f aca="false">IF(COUNTA(B173,D173,G173,H173,I173)=0,"",IF(B173="","Enter date",IF(OR(B173&lt;$AC$2,B173&gt;$AC$3),"Date not in February",IF(D173="","Pick project",IF(ISNA(MATCH(D173,ProjNames,0)),"Project not in list",IF(G173="","Add task description",IF(H173="","Pick NTIME or P6",IF(N(I173)&lt;=0,"Enter hours",IF(AND(AllowOT&lt;&gt;"Yes",SUMIF($B$7:$B$256,B173,$I$7:$I$256)&gt;INDEX($O$58:$O$85,DAY(B173))),"Day over "&amp;INDEX($O$58:$O$85,DAY(B173))&amp;" h","✓")))))))))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tr">
        <f aca="false">IF(Projects!B171="","",Projects!B171)</f>
        <v/>
      </c>
      <c r="X173" s="1" t="n">
        <f aca="false">IF(W173="",0,SUMIFS($I$7:$I$256,$D$7:$D$256,W173,$H$7:$H$256,"NTIME"))</f>
        <v>0</v>
      </c>
      <c r="Y173" s="1" t="n">
        <f aca="false">IF(W173="",0,SUMIFS($I$7:$I$256,$D$7:$D$256,W173,$H$7:$H$256,"P6"))</f>
        <v>0</v>
      </c>
      <c r="Z173" s="1" t="n">
        <f aca="false">X173+Y173</f>
        <v>0</v>
      </c>
      <c r="AA173" s="1" t="n">
        <f aca="false">IF(Z173&gt;0,Z173+(201-167)/10^6,0)</f>
        <v>0</v>
      </c>
      <c r="AB173" s="1"/>
      <c r="AC173" s="1"/>
      <c r="AD173" s="1"/>
      <c r="AE173" s="1"/>
      <c r="AF173" s="1"/>
      <c r="AG173" s="1"/>
      <c r="AH173" s="1"/>
    </row>
    <row r="174" customFormat="false" ht="15" hidden="false" customHeight="false" outlineLevel="0" collapsed="false">
      <c r="A174" s="1"/>
      <c r="B174" s="10"/>
      <c r="C174" s="31" t="str">
        <f aca="false">IF(B174="","",TEXT(B174,"ddd"))</f>
        <v/>
      </c>
      <c r="D174" s="11"/>
      <c r="E174" s="8" t="str">
        <f aca="false">IF(D174="","",IFERROR(INDEX(ProjNumbers,MATCH(D174,ProjNames,0)),""))</f>
        <v/>
      </c>
      <c r="F174" s="8" t="str">
        <f aca="false">IF(D174="","",IFERROR(INDEX(ProjCodes,MATCH(D174,ProjNames,0)),""))</f>
        <v/>
      </c>
      <c r="G174" s="32"/>
      <c r="H174" s="11"/>
      <c r="I174" s="33"/>
      <c r="J174" s="8" t="str">
        <f aca="false">IF(COUNTA(B174,D174,G174,H174,I174)=0,"",IF(B174="","Enter date",IF(OR(B174&lt;$AC$2,B174&gt;$AC$3),"Date not in February",IF(D174="","Pick project",IF(ISNA(MATCH(D174,ProjNames,0)),"Project not in list",IF(G174="","Add task description",IF(H174="","Pick NTIME or P6",IF(N(I174)&lt;=0,"Enter hours",IF(AND(AllowOT&lt;&gt;"Yes",SUMIF($B$7:$B$256,B174,$I$7:$I$256)&gt;INDEX($O$58:$O$85,DAY(B174))),"Day over "&amp;INDEX($O$58:$O$85,DAY(B174))&amp;" h","✓")))))))))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tr">
        <f aca="false">IF(Projects!B172="","",Projects!B172)</f>
        <v/>
      </c>
      <c r="X174" s="1" t="n">
        <f aca="false">IF(W174="",0,SUMIFS($I$7:$I$256,$D$7:$D$256,W174,$H$7:$H$256,"NTIME"))</f>
        <v>0</v>
      </c>
      <c r="Y174" s="1" t="n">
        <f aca="false">IF(W174="",0,SUMIFS($I$7:$I$256,$D$7:$D$256,W174,$H$7:$H$256,"P6"))</f>
        <v>0</v>
      </c>
      <c r="Z174" s="1" t="n">
        <f aca="false">X174+Y174</f>
        <v>0</v>
      </c>
      <c r="AA174" s="1" t="n">
        <f aca="false">IF(Z174&gt;0,Z174+(201-168)/10^6,0)</f>
        <v>0</v>
      </c>
      <c r="AB174" s="1"/>
      <c r="AC174" s="1"/>
      <c r="AD174" s="1"/>
      <c r="AE174" s="1"/>
      <c r="AF174" s="1"/>
      <c r="AG174" s="1"/>
      <c r="AH174" s="1"/>
    </row>
    <row r="175" customFormat="false" ht="15" hidden="false" customHeight="false" outlineLevel="0" collapsed="false">
      <c r="A175" s="1"/>
      <c r="B175" s="10"/>
      <c r="C175" s="31" t="str">
        <f aca="false">IF(B175="","",TEXT(B175,"ddd"))</f>
        <v/>
      </c>
      <c r="D175" s="11"/>
      <c r="E175" s="8" t="str">
        <f aca="false">IF(D175="","",IFERROR(INDEX(ProjNumbers,MATCH(D175,ProjNames,0)),""))</f>
        <v/>
      </c>
      <c r="F175" s="8" t="str">
        <f aca="false">IF(D175="","",IFERROR(INDEX(ProjCodes,MATCH(D175,ProjNames,0)),""))</f>
        <v/>
      </c>
      <c r="G175" s="32"/>
      <c r="H175" s="11"/>
      <c r="I175" s="33"/>
      <c r="J175" s="8" t="str">
        <f aca="false">IF(COUNTA(B175,D175,G175,H175,I175)=0,"",IF(B175="","Enter date",IF(OR(B175&lt;$AC$2,B175&gt;$AC$3),"Date not in February",IF(D175="","Pick project",IF(ISNA(MATCH(D175,ProjNames,0)),"Project not in list",IF(G175="","Add task description",IF(H175="","Pick NTIME or P6",IF(N(I175)&lt;=0,"Enter hours",IF(AND(AllowOT&lt;&gt;"Yes",SUMIF($B$7:$B$256,B175,$I$7:$I$256)&gt;INDEX($O$58:$O$85,DAY(B175))),"Day over "&amp;INDEX($O$58:$O$85,DAY(B175))&amp;" h","✓")))))))))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tr">
        <f aca="false">IF(Projects!B173="","",Projects!B173)</f>
        <v/>
      </c>
      <c r="X175" s="1" t="n">
        <f aca="false">IF(W175="",0,SUMIFS($I$7:$I$256,$D$7:$D$256,W175,$H$7:$H$256,"NTIME"))</f>
        <v>0</v>
      </c>
      <c r="Y175" s="1" t="n">
        <f aca="false">IF(W175="",0,SUMIFS($I$7:$I$256,$D$7:$D$256,W175,$H$7:$H$256,"P6"))</f>
        <v>0</v>
      </c>
      <c r="Z175" s="1" t="n">
        <f aca="false">X175+Y175</f>
        <v>0</v>
      </c>
      <c r="AA175" s="1" t="n">
        <f aca="false">IF(Z175&gt;0,Z175+(201-169)/10^6,0)</f>
        <v>0</v>
      </c>
      <c r="AB175" s="1"/>
      <c r="AC175" s="1"/>
      <c r="AD175" s="1"/>
      <c r="AE175" s="1"/>
      <c r="AF175" s="1"/>
      <c r="AG175" s="1"/>
      <c r="AH175" s="1"/>
    </row>
    <row r="176" customFormat="false" ht="15" hidden="false" customHeight="false" outlineLevel="0" collapsed="false">
      <c r="A176" s="1"/>
      <c r="B176" s="10"/>
      <c r="C176" s="31" t="str">
        <f aca="false">IF(B176="","",TEXT(B176,"ddd"))</f>
        <v/>
      </c>
      <c r="D176" s="11"/>
      <c r="E176" s="8" t="str">
        <f aca="false">IF(D176="","",IFERROR(INDEX(ProjNumbers,MATCH(D176,ProjNames,0)),""))</f>
        <v/>
      </c>
      <c r="F176" s="8" t="str">
        <f aca="false">IF(D176="","",IFERROR(INDEX(ProjCodes,MATCH(D176,ProjNames,0)),""))</f>
        <v/>
      </c>
      <c r="G176" s="32"/>
      <c r="H176" s="11"/>
      <c r="I176" s="33"/>
      <c r="J176" s="8" t="str">
        <f aca="false">IF(COUNTA(B176,D176,G176,H176,I176)=0,"",IF(B176="","Enter date",IF(OR(B176&lt;$AC$2,B176&gt;$AC$3),"Date not in February",IF(D176="","Pick project",IF(ISNA(MATCH(D176,ProjNames,0)),"Project not in list",IF(G176="","Add task description",IF(H176="","Pick NTIME or P6",IF(N(I176)&lt;=0,"Enter hours",IF(AND(AllowOT&lt;&gt;"Yes",SUMIF($B$7:$B$256,B176,$I$7:$I$256)&gt;INDEX($O$58:$O$85,DAY(B176))),"Day over "&amp;INDEX($O$58:$O$85,DAY(B176))&amp;" h","✓")))))))))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tr">
        <f aca="false">IF(Projects!B174="","",Projects!B174)</f>
        <v/>
      </c>
      <c r="X176" s="1" t="n">
        <f aca="false">IF(W176="",0,SUMIFS($I$7:$I$256,$D$7:$D$256,W176,$H$7:$H$256,"NTIME"))</f>
        <v>0</v>
      </c>
      <c r="Y176" s="1" t="n">
        <f aca="false">IF(W176="",0,SUMIFS($I$7:$I$256,$D$7:$D$256,W176,$H$7:$H$256,"P6"))</f>
        <v>0</v>
      </c>
      <c r="Z176" s="1" t="n">
        <f aca="false">X176+Y176</f>
        <v>0</v>
      </c>
      <c r="AA176" s="1" t="n">
        <f aca="false">IF(Z176&gt;0,Z176+(201-170)/10^6,0)</f>
        <v>0</v>
      </c>
      <c r="AB176" s="1"/>
      <c r="AC176" s="1"/>
      <c r="AD176" s="1"/>
      <c r="AE176" s="1"/>
      <c r="AF176" s="1"/>
      <c r="AG176" s="1"/>
      <c r="AH176" s="1"/>
    </row>
    <row r="177" customFormat="false" ht="15" hidden="false" customHeight="false" outlineLevel="0" collapsed="false">
      <c r="A177" s="1"/>
      <c r="B177" s="10"/>
      <c r="C177" s="31" t="str">
        <f aca="false">IF(B177="","",TEXT(B177,"ddd"))</f>
        <v/>
      </c>
      <c r="D177" s="11"/>
      <c r="E177" s="8" t="str">
        <f aca="false">IF(D177="","",IFERROR(INDEX(ProjNumbers,MATCH(D177,ProjNames,0)),""))</f>
        <v/>
      </c>
      <c r="F177" s="8" t="str">
        <f aca="false">IF(D177="","",IFERROR(INDEX(ProjCodes,MATCH(D177,ProjNames,0)),""))</f>
        <v/>
      </c>
      <c r="G177" s="32"/>
      <c r="H177" s="11"/>
      <c r="I177" s="33"/>
      <c r="J177" s="8" t="str">
        <f aca="false">IF(COUNTA(B177,D177,G177,H177,I177)=0,"",IF(B177="","Enter date",IF(OR(B177&lt;$AC$2,B177&gt;$AC$3),"Date not in February",IF(D177="","Pick project",IF(ISNA(MATCH(D177,ProjNames,0)),"Project not in list",IF(G177="","Add task description",IF(H177="","Pick NTIME or P6",IF(N(I177)&lt;=0,"Enter hours",IF(AND(AllowOT&lt;&gt;"Yes",SUMIF($B$7:$B$256,B177,$I$7:$I$256)&gt;INDEX($O$58:$O$85,DAY(B177))),"Day over "&amp;INDEX($O$58:$O$85,DAY(B177))&amp;" h","✓")))))))))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tr">
        <f aca="false">IF(Projects!B175="","",Projects!B175)</f>
        <v/>
      </c>
      <c r="X177" s="1" t="n">
        <f aca="false">IF(W177="",0,SUMIFS($I$7:$I$256,$D$7:$D$256,W177,$H$7:$H$256,"NTIME"))</f>
        <v>0</v>
      </c>
      <c r="Y177" s="1" t="n">
        <f aca="false">IF(W177="",0,SUMIFS($I$7:$I$256,$D$7:$D$256,W177,$H$7:$H$256,"P6"))</f>
        <v>0</v>
      </c>
      <c r="Z177" s="1" t="n">
        <f aca="false">X177+Y177</f>
        <v>0</v>
      </c>
      <c r="AA177" s="1" t="n">
        <f aca="false">IF(Z177&gt;0,Z177+(201-171)/10^6,0)</f>
        <v>0</v>
      </c>
      <c r="AB177" s="1"/>
      <c r="AC177" s="1"/>
      <c r="AD177" s="1"/>
      <c r="AE177" s="1"/>
      <c r="AF177" s="1"/>
      <c r="AG177" s="1"/>
      <c r="AH177" s="1"/>
    </row>
    <row r="178" customFormat="false" ht="15" hidden="false" customHeight="false" outlineLevel="0" collapsed="false">
      <c r="A178" s="1"/>
      <c r="B178" s="10"/>
      <c r="C178" s="31" t="str">
        <f aca="false">IF(B178="","",TEXT(B178,"ddd"))</f>
        <v/>
      </c>
      <c r="D178" s="11"/>
      <c r="E178" s="8" t="str">
        <f aca="false">IF(D178="","",IFERROR(INDEX(ProjNumbers,MATCH(D178,ProjNames,0)),""))</f>
        <v/>
      </c>
      <c r="F178" s="8" t="str">
        <f aca="false">IF(D178="","",IFERROR(INDEX(ProjCodes,MATCH(D178,ProjNames,0)),""))</f>
        <v/>
      </c>
      <c r="G178" s="32"/>
      <c r="H178" s="11"/>
      <c r="I178" s="33"/>
      <c r="J178" s="8" t="str">
        <f aca="false">IF(COUNTA(B178,D178,G178,H178,I178)=0,"",IF(B178="","Enter date",IF(OR(B178&lt;$AC$2,B178&gt;$AC$3),"Date not in February",IF(D178="","Pick project",IF(ISNA(MATCH(D178,ProjNames,0)),"Project not in list",IF(G178="","Add task description",IF(H178="","Pick NTIME or P6",IF(N(I178)&lt;=0,"Enter hours",IF(AND(AllowOT&lt;&gt;"Yes",SUMIF($B$7:$B$256,B178,$I$7:$I$256)&gt;INDEX($O$58:$O$85,DAY(B178))),"Day over "&amp;INDEX($O$58:$O$85,DAY(B178))&amp;" h","✓")))))))))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tr">
        <f aca="false">IF(Projects!B176="","",Projects!B176)</f>
        <v/>
      </c>
      <c r="X178" s="1" t="n">
        <f aca="false">IF(W178="",0,SUMIFS($I$7:$I$256,$D$7:$D$256,W178,$H$7:$H$256,"NTIME"))</f>
        <v>0</v>
      </c>
      <c r="Y178" s="1" t="n">
        <f aca="false">IF(W178="",0,SUMIFS($I$7:$I$256,$D$7:$D$256,W178,$H$7:$H$256,"P6"))</f>
        <v>0</v>
      </c>
      <c r="Z178" s="1" t="n">
        <f aca="false">X178+Y178</f>
        <v>0</v>
      </c>
      <c r="AA178" s="1" t="n">
        <f aca="false">IF(Z178&gt;0,Z178+(201-172)/10^6,0)</f>
        <v>0</v>
      </c>
      <c r="AB178" s="1"/>
      <c r="AC178" s="1"/>
      <c r="AD178" s="1"/>
      <c r="AE178" s="1"/>
      <c r="AF178" s="1"/>
      <c r="AG178" s="1"/>
      <c r="AH178" s="1"/>
    </row>
    <row r="179" customFormat="false" ht="15" hidden="false" customHeight="false" outlineLevel="0" collapsed="false">
      <c r="A179" s="1"/>
      <c r="B179" s="10"/>
      <c r="C179" s="31" t="str">
        <f aca="false">IF(B179="","",TEXT(B179,"ddd"))</f>
        <v/>
      </c>
      <c r="D179" s="11"/>
      <c r="E179" s="8" t="str">
        <f aca="false">IF(D179="","",IFERROR(INDEX(ProjNumbers,MATCH(D179,ProjNames,0)),""))</f>
        <v/>
      </c>
      <c r="F179" s="8" t="str">
        <f aca="false">IF(D179="","",IFERROR(INDEX(ProjCodes,MATCH(D179,ProjNames,0)),""))</f>
        <v/>
      </c>
      <c r="G179" s="32"/>
      <c r="H179" s="11"/>
      <c r="I179" s="33"/>
      <c r="J179" s="8" t="str">
        <f aca="false">IF(COUNTA(B179,D179,G179,H179,I179)=0,"",IF(B179="","Enter date",IF(OR(B179&lt;$AC$2,B179&gt;$AC$3),"Date not in February",IF(D179="","Pick project",IF(ISNA(MATCH(D179,ProjNames,0)),"Project not in list",IF(G179="","Add task description",IF(H179="","Pick NTIME or P6",IF(N(I179)&lt;=0,"Enter hours",IF(AND(AllowOT&lt;&gt;"Yes",SUMIF($B$7:$B$256,B179,$I$7:$I$256)&gt;INDEX($O$58:$O$85,DAY(B179))),"Day over "&amp;INDEX($O$58:$O$85,DAY(B179))&amp;" h","✓")))))))))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tr">
        <f aca="false">IF(Projects!B177="","",Projects!B177)</f>
        <v/>
      </c>
      <c r="X179" s="1" t="n">
        <f aca="false">IF(W179="",0,SUMIFS($I$7:$I$256,$D$7:$D$256,W179,$H$7:$H$256,"NTIME"))</f>
        <v>0</v>
      </c>
      <c r="Y179" s="1" t="n">
        <f aca="false">IF(W179="",0,SUMIFS($I$7:$I$256,$D$7:$D$256,W179,$H$7:$H$256,"P6"))</f>
        <v>0</v>
      </c>
      <c r="Z179" s="1" t="n">
        <f aca="false">X179+Y179</f>
        <v>0</v>
      </c>
      <c r="AA179" s="1" t="n">
        <f aca="false">IF(Z179&gt;0,Z179+(201-173)/10^6,0)</f>
        <v>0</v>
      </c>
      <c r="AB179" s="1"/>
      <c r="AC179" s="1"/>
      <c r="AD179" s="1"/>
      <c r="AE179" s="1"/>
      <c r="AF179" s="1"/>
      <c r="AG179" s="1"/>
      <c r="AH179" s="1"/>
    </row>
    <row r="180" customFormat="false" ht="15" hidden="false" customHeight="false" outlineLevel="0" collapsed="false">
      <c r="A180" s="1"/>
      <c r="B180" s="10"/>
      <c r="C180" s="31" t="str">
        <f aca="false">IF(B180="","",TEXT(B180,"ddd"))</f>
        <v/>
      </c>
      <c r="D180" s="11"/>
      <c r="E180" s="8" t="str">
        <f aca="false">IF(D180="","",IFERROR(INDEX(ProjNumbers,MATCH(D180,ProjNames,0)),""))</f>
        <v/>
      </c>
      <c r="F180" s="8" t="str">
        <f aca="false">IF(D180="","",IFERROR(INDEX(ProjCodes,MATCH(D180,ProjNames,0)),""))</f>
        <v/>
      </c>
      <c r="G180" s="32"/>
      <c r="H180" s="11"/>
      <c r="I180" s="33"/>
      <c r="J180" s="8" t="str">
        <f aca="false">IF(COUNTA(B180,D180,G180,H180,I180)=0,"",IF(B180="","Enter date",IF(OR(B180&lt;$AC$2,B180&gt;$AC$3),"Date not in February",IF(D180="","Pick project",IF(ISNA(MATCH(D180,ProjNames,0)),"Project not in list",IF(G180="","Add task description",IF(H180="","Pick NTIME or P6",IF(N(I180)&lt;=0,"Enter hours",IF(AND(AllowOT&lt;&gt;"Yes",SUMIF($B$7:$B$256,B180,$I$7:$I$256)&gt;INDEX($O$58:$O$85,DAY(B180))),"Day over "&amp;INDEX($O$58:$O$85,DAY(B180))&amp;" h","✓")))))))))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tr">
        <f aca="false">IF(Projects!B178="","",Projects!B178)</f>
        <v/>
      </c>
      <c r="X180" s="1" t="n">
        <f aca="false">IF(W180="",0,SUMIFS($I$7:$I$256,$D$7:$D$256,W180,$H$7:$H$256,"NTIME"))</f>
        <v>0</v>
      </c>
      <c r="Y180" s="1" t="n">
        <f aca="false">IF(W180="",0,SUMIFS($I$7:$I$256,$D$7:$D$256,W180,$H$7:$H$256,"P6"))</f>
        <v>0</v>
      </c>
      <c r="Z180" s="1" t="n">
        <f aca="false">X180+Y180</f>
        <v>0</v>
      </c>
      <c r="AA180" s="1" t="n">
        <f aca="false">IF(Z180&gt;0,Z180+(201-174)/10^6,0)</f>
        <v>0</v>
      </c>
      <c r="AB180" s="1"/>
      <c r="AC180" s="1"/>
      <c r="AD180" s="1"/>
      <c r="AE180" s="1"/>
      <c r="AF180" s="1"/>
      <c r="AG180" s="1"/>
      <c r="AH180" s="1"/>
    </row>
    <row r="181" customFormat="false" ht="15" hidden="false" customHeight="false" outlineLevel="0" collapsed="false">
      <c r="A181" s="1"/>
      <c r="B181" s="10"/>
      <c r="C181" s="31" t="str">
        <f aca="false">IF(B181="","",TEXT(B181,"ddd"))</f>
        <v/>
      </c>
      <c r="D181" s="11"/>
      <c r="E181" s="8" t="str">
        <f aca="false">IF(D181="","",IFERROR(INDEX(ProjNumbers,MATCH(D181,ProjNames,0)),""))</f>
        <v/>
      </c>
      <c r="F181" s="8" t="str">
        <f aca="false">IF(D181="","",IFERROR(INDEX(ProjCodes,MATCH(D181,ProjNames,0)),""))</f>
        <v/>
      </c>
      <c r="G181" s="32"/>
      <c r="H181" s="11"/>
      <c r="I181" s="33"/>
      <c r="J181" s="8" t="str">
        <f aca="false">IF(COUNTA(B181,D181,G181,H181,I181)=0,"",IF(B181="","Enter date",IF(OR(B181&lt;$AC$2,B181&gt;$AC$3),"Date not in February",IF(D181="","Pick project",IF(ISNA(MATCH(D181,ProjNames,0)),"Project not in list",IF(G181="","Add task description",IF(H181="","Pick NTIME or P6",IF(N(I181)&lt;=0,"Enter hours",IF(AND(AllowOT&lt;&gt;"Yes",SUMIF($B$7:$B$256,B181,$I$7:$I$256)&gt;INDEX($O$58:$O$85,DAY(B181))),"Day over "&amp;INDEX($O$58:$O$85,DAY(B181))&amp;" h","✓")))))))))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tr">
        <f aca="false">IF(Projects!B179="","",Projects!B179)</f>
        <v/>
      </c>
      <c r="X181" s="1" t="n">
        <f aca="false">IF(W181="",0,SUMIFS($I$7:$I$256,$D$7:$D$256,W181,$H$7:$H$256,"NTIME"))</f>
        <v>0</v>
      </c>
      <c r="Y181" s="1" t="n">
        <f aca="false">IF(W181="",0,SUMIFS($I$7:$I$256,$D$7:$D$256,W181,$H$7:$H$256,"P6"))</f>
        <v>0</v>
      </c>
      <c r="Z181" s="1" t="n">
        <f aca="false">X181+Y181</f>
        <v>0</v>
      </c>
      <c r="AA181" s="1" t="n">
        <f aca="false">IF(Z181&gt;0,Z181+(201-175)/10^6,0)</f>
        <v>0</v>
      </c>
      <c r="AB181" s="1"/>
      <c r="AC181" s="1"/>
      <c r="AD181" s="1"/>
      <c r="AE181" s="1"/>
      <c r="AF181" s="1"/>
      <c r="AG181" s="1"/>
      <c r="AH181" s="1"/>
    </row>
    <row r="182" customFormat="false" ht="15" hidden="false" customHeight="false" outlineLevel="0" collapsed="false">
      <c r="A182" s="1"/>
      <c r="B182" s="10"/>
      <c r="C182" s="31" t="str">
        <f aca="false">IF(B182="","",TEXT(B182,"ddd"))</f>
        <v/>
      </c>
      <c r="D182" s="11"/>
      <c r="E182" s="8" t="str">
        <f aca="false">IF(D182="","",IFERROR(INDEX(ProjNumbers,MATCH(D182,ProjNames,0)),""))</f>
        <v/>
      </c>
      <c r="F182" s="8" t="str">
        <f aca="false">IF(D182="","",IFERROR(INDEX(ProjCodes,MATCH(D182,ProjNames,0)),""))</f>
        <v/>
      </c>
      <c r="G182" s="32"/>
      <c r="H182" s="11"/>
      <c r="I182" s="33"/>
      <c r="J182" s="8" t="str">
        <f aca="false">IF(COUNTA(B182,D182,G182,H182,I182)=0,"",IF(B182="","Enter date",IF(OR(B182&lt;$AC$2,B182&gt;$AC$3),"Date not in February",IF(D182="","Pick project",IF(ISNA(MATCH(D182,ProjNames,0)),"Project not in list",IF(G182="","Add task description",IF(H182="","Pick NTIME or P6",IF(N(I182)&lt;=0,"Enter hours",IF(AND(AllowOT&lt;&gt;"Yes",SUMIF($B$7:$B$256,B182,$I$7:$I$256)&gt;INDEX($O$58:$O$85,DAY(B182))),"Day over "&amp;INDEX($O$58:$O$85,DAY(B182))&amp;" h","✓")))))))))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tr">
        <f aca="false">IF(Projects!B180="","",Projects!B180)</f>
        <v/>
      </c>
      <c r="X182" s="1" t="n">
        <f aca="false">IF(W182="",0,SUMIFS($I$7:$I$256,$D$7:$D$256,W182,$H$7:$H$256,"NTIME"))</f>
        <v>0</v>
      </c>
      <c r="Y182" s="1" t="n">
        <f aca="false">IF(W182="",0,SUMIFS($I$7:$I$256,$D$7:$D$256,W182,$H$7:$H$256,"P6"))</f>
        <v>0</v>
      </c>
      <c r="Z182" s="1" t="n">
        <f aca="false">X182+Y182</f>
        <v>0</v>
      </c>
      <c r="AA182" s="1" t="n">
        <f aca="false">IF(Z182&gt;0,Z182+(201-176)/10^6,0)</f>
        <v>0</v>
      </c>
      <c r="AB182" s="1"/>
      <c r="AC182" s="1"/>
      <c r="AD182" s="1"/>
      <c r="AE182" s="1"/>
      <c r="AF182" s="1"/>
      <c r="AG182" s="1"/>
      <c r="AH182" s="1"/>
    </row>
    <row r="183" customFormat="false" ht="15" hidden="false" customHeight="false" outlineLevel="0" collapsed="false">
      <c r="A183" s="1"/>
      <c r="B183" s="10"/>
      <c r="C183" s="31" t="str">
        <f aca="false">IF(B183="","",TEXT(B183,"ddd"))</f>
        <v/>
      </c>
      <c r="D183" s="11"/>
      <c r="E183" s="8" t="str">
        <f aca="false">IF(D183="","",IFERROR(INDEX(ProjNumbers,MATCH(D183,ProjNames,0)),""))</f>
        <v/>
      </c>
      <c r="F183" s="8" t="str">
        <f aca="false">IF(D183="","",IFERROR(INDEX(ProjCodes,MATCH(D183,ProjNames,0)),""))</f>
        <v/>
      </c>
      <c r="G183" s="32"/>
      <c r="H183" s="11"/>
      <c r="I183" s="33"/>
      <c r="J183" s="8" t="str">
        <f aca="false">IF(COUNTA(B183,D183,G183,H183,I183)=0,"",IF(B183="","Enter date",IF(OR(B183&lt;$AC$2,B183&gt;$AC$3),"Date not in February",IF(D183="","Pick project",IF(ISNA(MATCH(D183,ProjNames,0)),"Project not in list",IF(G183="","Add task description",IF(H183="","Pick NTIME or P6",IF(N(I183)&lt;=0,"Enter hours",IF(AND(AllowOT&lt;&gt;"Yes",SUMIF($B$7:$B$256,B183,$I$7:$I$256)&gt;INDEX($O$58:$O$85,DAY(B183))),"Day over "&amp;INDEX($O$58:$O$85,DAY(B183))&amp;" h","✓")))))))))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tr">
        <f aca="false">IF(Projects!B181="","",Projects!B181)</f>
        <v/>
      </c>
      <c r="X183" s="1" t="n">
        <f aca="false">IF(W183="",0,SUMIFS($I$7:$I$256,$D$7:$D$256,W183,$H$7:$H$256,"NTIME"))</f>
        <v>0</v>
      </c>
      <c r="Y183" s="1" t="n">
        <f aca="false">IF(W183="",0,SUMIFS($I$7:$I$256,$D$7:$D$256,W183,$H$7:$H$256,"P6"))</f>
        <v>0</v>
      </c>
      <c r="Z183" s="1" t="n">
        <f aca="false">X183+Y183</f>
        <v>0</v>
      </c>
      <c r="AA183" s="1" t="n">
        <f aca="false">IF(Z183&gt;0,Z183+(201-177)/10^6,0)</f>
        <v>0</v>
      </c>
      <c r="AB183" s="1"/>
      <c r="AC183" s="1"/>
      <c r="AD183" s="1"/>
      <c r="AE183" s="1"/>
      <c r="AF183" s="1"/>
      <c r="AG183" s="1"/>
      <c r="AH183" s="1"/>
    </row>
    <row r="184" customFormat="false" ht="15" hidden="false" customHeight="false" outlineLevel="0" collapsed="false">
      <c r="A184" s="1"/>
      <c r="B184" s="10"/>
      <c r="C184" s="31" t="str">
        <f aca="false">IF(B184="","",TEXT(B184,"ddd"))</f>
        <v/>
      </c>
      <c r="D184" s="11"/>
      <c r="E184" s="8" t="str">
        <f aca="false">IF(D184="","",IFERROR(INDEX(ProjNumbers,MATCH(D184,ProjNames,0)),""))</f>
        <v/>
      </c>
      <c r="F184" s="8" t="str">
        <f aca="false">IF(D184="","",IFERROR(INDEX(ProjCodes,MATCH(D184,ProjNames,0)),""))</f>
        <v/>
      </c>
      <c r="G184" s="32"/>
      <c r="H184" s="11"/>
      <c r="I184" s="33"/>
      <c r="J184" s="8" t="str">
        <f aca="false">IF(COUNTA(B184,D184,G184,H184,I184)=0,"",IF(B184="","Enter date",IF(OR(B184&lt;$AC$2,B184&gt;$AC$3),"Date not in February",IF(D184="","Pick project",IF(ISNA(MATCH(D184,ProjNames,0)),"Project not in list",IF(G184="","Add task description",IF(H184="","Pick NTIME or P6",IF(N(I184)&lt;=0,"Enter hours",IF(AND(AllowOT&lt;&gt;"Yes",SUMIF($B$7:$B$256,B184,$I$7:$I$256)&gt;INDEX($O$58:$O$85,DAY(B184))),"Day over "&amp;INDEX($O$58:$O$85,DAY(B184))&amp;" h","✓")))))))))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tr">
        <f aca="false">IF(Projects!B182="","",Projects!B182)</f>
        <v/>
      </c>
      <c r="X184" s="1" t="n">
        <f aca="false">IF(W184="",0,SUMIFS($I$7:$I$256,$D$7:$D$256,W184,$H$7:$H$256,"NTIME"))</f>
        <v>0</v>
      </c>
      <c r="Y184" s="1" t="n">
        <f aca="false">IF(W184="",0,SUMIFS($I$7:$I$256,$D$7:$D$256,W184,$H$7:$H$256,"P6"))</f>
        <v>0</v>
      </c>
      <c r="Z184" s="1" t="n">
        <f aca="false">X184+Y184</f>
        <v>0</v>
      </c>
      <c r="AA184" s="1" t="n">
        <f aca="false">IF(Z184&gt;0,Z184+(201-178)/10^6,0)</f>
        <v>0</v>
      </c>
      <c r="AB184" s="1"/>
      <c r="AC184" s="1"/>
      <c r="AD184" s="1"/>
      <c r="AE184" s="1"/>
      <c r="AF184" s="1"/>
      <c r="AG184" s="1"/>
      <c r="AH184" s="1"/>
    </row>
    <row r="185" customFormat="false" ht="15" hidden="false" customHeight="false" outlineLevel="0" collapsed="false">
      <c r="A185" s="1"/>
      <c r="B185" s="10"/>
      <c r="C185" s="31" t="str">
        <f aca="false">IF(B185="","",TEXT(B185,"ddd"))</f>
        <v/>
      </c>
      <c r="D185" s="11"/>
      <c r="E185" s="8" t="str">
        <f aca="false">IF(D185="","",IFERROR(INDEX(ProjNumbers,MATCH(D185,ProjNames,0)),""))</f>
        <v/>
      </c>
      <c r="F185" s="8" t="str">
        <f aca="false">IF(D185="","",IFERROR(INDEX(ProjCodes,MATCH(D185,ProjNames,0)),""))</f>
        <v/>
      </c>
      <c r="G185" s="32"/>
      <c r="H185" s="11"/>
      <c r="I185" s="33"/>
      <c r="J185" s="8" t="str">
        <f aca="false">IF(COUNTA(B185,D185,G185,H185,I185)=0,"",IF(B185="","Enter date",IF(OR(B185&lt;$AC$2,B185&gt;$AC$3),"Date not in February",IF(D185="","Pick project",IF(ISNA(MATCH(D185,ProjNames,0)),"Project not in list",IF(G185="","Add task description",IF(H185="","Pick NTIME or P6",IF(N(I185)&lt;=0,"Enter hours",IF(AND(AllowOT&lt;&gt;"Yes",SUMIF($B$7:$B$256,B185,$I$7:$I$256)&gt;INDEX($O$58:$O$85,DAY(B185))),"Day over "&amp;INDEX($O$58:$O$85,DAY(B185))&amp;" h","✓")))))))))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tr">
        <f aca="false">IF(Projects!B183="","",Projects!B183)</f>
        <v/>
      </c>
      <c r="X185" s="1" t="n">
        <f aca="false">IF(W185="",0,SUMIFS($I$7:$I$256,$D$7:$D$256,W185,$H$7:$H$256,"NTIME"))</f>
        <v>0</v>
      </c>
      <c r="Y185" s="1" t="n">
        <f aca="false">IF(W185="",0,SUMIFS($I$7:$I$256,$D$7:$D$256,W185,$H$7:$H$256,"P6"))</f>
        <v>0</v>
      </c>
      <c r="Z185" s="1" t="n">
        <f aca="false">X185+Y185</f>
        <v>0</v>
      </c>
      <c r="AA185" s="1" t="n">
        <f aca="false">IF(Z185&gt;0,Z185+(201-179)/10^6,0)</f>
        <v>0</v>
      </c>
      <c r="AB185" s="1"/>
      <c r="AC185" s="1"/>
      <c r="AD185" s="1"/>
      <c r="AE185" s="1"/>
      <c r="AF185" s="1"/>
      <c r="AG185" s="1"/>
      <c r="AH185" s="1"/>
    </row>
    <row r="186" customFormat="false" ht="15" hidden="false" customHeight="false" outlineLevel="0" collapsed="false">
      <c r="A186" s="1"/>
      <c r="B186" s="10"/>
      <c r="C186" s="31" t="str">
        <f aca="false">IF(B186="","",TEXT(B186,"ddd"))</f>
        <v/>
      </c>
      <c r="D186" s="11"/>
      <c r="E186" s="8" t="str">
        <f aca="false">IF(D186="","",IFERROR(INDEX(ProjNumbers,MATCH(D186,ProjNames,0)),""))</f>
        <v/>
      </c>
      <c r="F186" s="8" t="str">
        <f aca="false">IF(D186="","",IFERROR(INDEX(ProjCodes,MATCH(D186,ProjNames,0)),""))</f>
        <v/>
      </c>
      <c r="G186" s="32"/>
      <c r="H186" s="11"/>
      <c r="I186" s="33"/>
      <c r="J186" s="8" t="str">
        <f aca="false">IF(COUNTA(B186,D186,G186,H186,I186)=0,"",IF(B186="","Enter date",IF(OR(B186&lt;$AC$2,B186&gt;$AC$3),"Date not in February",IF(D186="","Pick project",IF(ISNA(MATCH(D186,ProjNames,0)),"Project not in list",IF(G186="","Add task description",IF(H186="","Pick NTIME or P6",IF(N(I186)&lt;=0,"Enter hours",IF(AND(AllowOT&lt;&gt;"Yes",SUMIF($B$7:$B$256,B186,$I$7:$I$256)&gt;INDEX($O$58:$O$85,DAY(B186))),"Day over "&amp;INDEX($O$58:$O$85,DAY(B186))&amp;" h","✓")))))))))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tr">
        <f aca="false">IF(Projects!B184="","",Projects!B184)</f>
        <v/>
      </c>
      <c r="X186" s="1" t="n">
        <f aca="false">IF(W186="",0,SUMIFS($I$7:$I$256,$D$7:$D$256,W186,$H$7:$H$256,"NTIME"))</f>
        <v>0</v>
      </c>
      <c r="Y186" s="1" t="n">
        <f aca="false">IF(W186="",0,SUMIFS($I$7:$I$256,$D$7:$D$256,W186,$H$7:$H$256,"P6"))</f>
        <v>0</v>
      </c>
      <c r="Z186" s="1" t="n">
        <f aca="false">X186+Y186</f>
        <v>0</v>
      </c>
      <c r="AA186" s="1" t="n">
        <f aca="false">IF(Z186&gt;0,Z186+(201-180)/10^6,0)</f>
        <v>0</v>
      </c>
      <c r="AB186" s="1"/>
      <c r="AC186" s="1"/>
      <c r="AD186" s="1"/>
      <c r="AE186" s="1"/>
      <c r="AF186" s="1"/>
      <c r="AG186" s="1"/>
      <c r="AH186" s="1"/>
    </row>
    <row r="187" customFormat="false" ht="15" hidden="false" customHeight="false" outlineLevel="0" collapsed="false">
      <c r="A187" s="1"/>
      <c r="B187" s="10"/>
      <c r="C187" s="31" t="str">
        <f aca="false">IF(B187="","",TEXT(B187,"ddd"))</f>
        <v/>
      </c>
      <c r="D187" s="11"/>
      <c r="E187" s="8" t="str">
        <f aca="false">IF(D187="","",IFERROR(INDEX(ProjNumbers,MATCH(D187,ProjNames,0)),""))</f>
        <v/>
      </c>
      <c r="F187" s="8" t="str">
        <f aca="false">IF(D187="","",IFERROR(INDEX(ProjCodes,MATCH(D187,ProjNames,0)),""))</f>
        <v/>
      </c>
      <c r="G187" s="32"/>
      <c r="H187" s="11"/>
      <c r="I187" s="33"/>
      <c r="J187" s="8" t="str">
        <f aca="false">IF(COUNTA(B187,D187,G187,H187,I187)=0,"",IF(B187="","Enter date",IF(OR(B187&lt;$AC$2,B187&gt;$AC$3),"Date not in February",IF(D187="","Pick project",IF(ISNA(MATCH(D187,ProjNames,0)),"Project not in list",IF(G187="","Add task description",IF(H187="","Pick NTIME or P6",IF(N(I187)&lt;=0,"Enter hours",IF(AND(AllowOT&lt;&gt;"Yes",SUMIF($B$7:$B$256,B187,$I$7:$I$256)&gt;INDEX($O$58:$O$85,DAY(B187))),"Day over "&amp;INDEX($O$58:$O$85,DAY(B187))&amp;" h","✓")))))))))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tr">
        <f aca="false">IF(Projects!B185="","",Projects!B185)</f>
        <v/>
      </c>
      <c r="X187" s="1" t="n">
        <f aca="false">IF(W187="",0,SUMIFS($I$7:$I$256,$D$7:$D$256,W187,$H$7:$H$256,"NTIME"))</f>
        <v>0</v>
      </c>
      <c r="Y187" s="1" t="n">
        <f aca="false">IF(W187="",0,SUMIFS($I$7:$I$256,$D$7:$D$256,W187,$H$7:$H$256,"P6"))</f>
        <v>0</v>
      </c>
      <c r="Z187" s="1" t="n">
        <f aca="false">X187+Y187</f>
        <v>0</v>
      </c>
      <c r="AA187" s="1" t="n">
        <f aca="false">IF(Z187&gt;0,Z187+(201-181)/10^6,0)</f>
        <v>0</v>
      </c>
      <c r="AB187" s="1"/>
      <c r="AC187" s="1"/>
      <c r="AD187" s="1"/>
      <c r="AE187" s="1"/>
      <c r="AF187" s="1"/>
      <c r="AG187" s="1"/>
      <c r="AH187" s="1"/>
    </row>
    <row r="188" customFormat="false" ht="15" hidden="false" customHeight="false" outlineLevel="0" collapsed="false">
      <c r="A188" s="1"/>
      <c r="B188" s="10"/>
      <c r="C188" s="31" t="str">
        <f aca="false">IF(B188="","",TEXT(B188,"ddd"))</f>
        <v/>
      </c>
      <c r="D188" s="11"/>
      <c r="E188" s="8" t="str">
        <f aca="false">IF(D188="","",IFERROR(INDEX(ProjNumbers,MATCH(D188,ProjNames,0)),""))</f>
        <v/>
      </c>
      <c r="F188" s="8" t="str">
        <f aca="false">IF(D188="","",IFERROR(INDEX(ProjCodes,MATCH(D188,ProjNames,0)),""))</f>
        <v/>
      </c>
      <c r="G188" s="32"/>
      <c r="H188" s="11"/>
      <c r="I188" s="33"/>
      <c r="J188" s="8" t="str">
        <f aca="false">IF(COUNTA(B188,D188,G188,H188,I188)=0,"",IF(B188="","Enter date",IF(OR(B188&lt;$AC$2,B188&gt;$AC$3),"Date not in February",IF(D188="","Pick project",IF(ISNA(MATCH(D188,ProjNames,0)),"Project not in list",IF(G188="","Add task description",IF(H188="","Pick NTIME or P6",IF(N(I188)&lt;=0,"Enter hours",IF(AND(AllowOT&lt;&gt;"Yes",SUMIF($B$7:$B$256,B188,$I$7:$I$256)&gt;INDEX($O$58:$O$85,DAY(B188))),"Day over "&amp;INDEX($O$58:$O$85,DAY(B188))&amp;" h","✓")))))))))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tr">
        <f aca="false">IF(Projects!B186="","",Projects!B186)</f>
        <v/>
      </c>
      <c r="X188" s="1" t="n">
        <f aca="false">IF(W188="",0,SUMIFS($I$7:$I$256,$D$7:$D$256,W188,$H$7:$H$256,"NTIME"))</f>
        <v>0</v>
      </c>
      <c r="Y188" s="1" t="n">
        <f aca="false">IF(W188="",0,SUMIFS($I$7:$I$256,$D$7:$D$256,W188,$H$7:$H$256,"P6"))</f>
        <v>0</v>
      </c>
      <c r="Z188" s="1" t="n">
        <f aca="false">X188+Y188</f>
        <v>0</v>
      </c>
      <c r="AA188" s="1" t="n">
        <f aca="false">IF(Z188&gt;0,Z188+(201-182)/10^6,0)</f>
        <v>0</v>
      </c>
      <c r="AB188" s="1"/>
      <c r="AC188" s="1"/>
      <c r="AD188" s="1"/>
      <c r="AE188" s="1"/>
      <c r="AF188" s="1"/>
      <c r="AG188" s="1"/>
      <c r="AH188" s="1"/>
    </row>
    <row r="189" customFormat="false" ht="15" hidden="false" customHeight="false" outlineLevel="0" collapsed="false">
      <c r="A189" s="1"/>
      <c r="B189" s="10"/>
      <c r="C189" s="31" t="str">
        <f aca="false">IF(B189="","",TEXT(B189,"ddd"))</f>
        <v/>
      </c>
      <c r="D189" s="11"/>
      <c r="E189" s="8" t="str">
        <f aca="false">IF(D189="","",IFERROR(INDEX(ProjNumbers,MATCH(D189,ProjNames,0)),""))</f>
        <v/>
      </c>
      <c r="F189" s="8" t="str">
        <f aca="false">IF(D189="","",IFERROR(INDEX(ProjCodes,MATCH(D189,ProjNames,0)),""))</f>
        <v/>
      </c>
      <c r="G189" s="32"/>
      <c r="H189" s="11"/>
      <c r="I189" s="33"/>
      <c r="J189" s="8" t="str">
        <f aca="false">IF(COUNTA(B189,D189,G189,H189,I189)=0,"",IF(B189="","Enter date",IF(OR(B189&lt;$AC$2,B189&gt;$AC$3),"Date not in February",IF(D189="","Pick project",IF(ISNA(MATCH(D189,ProjNames,0)),"Project not in list",IF(G189="","Add task description",IF(H189="","Pick NTIME or P6",IF(N(I189)&lt;=0,"Enter hours",IF(AND(AllowOT&lt;&gt;"Yes",SUMIF($B$7:$B$256,B189,$I$7:$I$256)&gt;INDEX($O$58:$O$85,DAY(B189))),"Day over "&amp;INDEX($O$58:$O$85,DAY(B189))&amp;" h","✓")))))))))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tr">
        <f aca="false">IF(Projects!B187="","",Projects!B187)</f>
        <v/>
      </c>
      <c r="X189" s="1" t="n">
        <f aca="false">IF(W189="",0,SUMIFS($I$7:$I$256,$D$7:$D$256,W189,$H$7:$H$256,"NTIME"))</f>
        <v>0</v>
      </c>
      <c r="Y189" s="1" t="n">
        <f aca="false">IF(W189="",0,SUMIFS($I$7:$I$256,$D$7:$D$256,W189,$H$7:$H$256,"P6"))</f>
        <v>0</v>
      </c>
      <c r="Z189" s="1" t="n">
        <f aca="false">X189+Y189</f>
        <v>0</v>
      </c>
      <c r="AA189" s="1" t="n">
        <f aca="false">IF(Z189&gt;0,Z189+(201-183)/10^6,0)</f>
        <v>0</v>
      </c>
      <c r="AB189" s="1"/>
      <c r="AC189" s="1"/>
      <c r="AD189" s="1"/>
      <c r="AE189" s="1"/>
      <c r="AF189" s="1"/>
      <c r="AG189" s="1"/>
      <c r="AH189" s="1"/>
    </row>
    <row r="190" customFormat="false" ht="15" hidden="false" customHeight="false" outlineLevel="0" collapsed="false">
      <c r="A190" s="1"/>
      <c r="B190" s="10"/>
      <c r="C190" s="31" t="str">
        <f aca="false">IF(B190="","",TEXT(B190,"ddd"))</f>
        <v/>
      </c>
      <c r="D190" s="11"/>
      <c r="E190" s="8" t="str">
        <f aca="false">IF(D190="","",IFERROR(INDEX(ProjNumbers,MATCH(D190,ProjNames,0)),""))</f>
        <v/>
      </c>
      <c r="F190" s="8" t="str">
        <f aca="false">IF(D190="","",IFERROR(INDEX(ProjCodes,MATCH(D190,ProjNames,0)),""))</f>
        <v/>
      </c>
      <c r="G190" s="32"/>
      <c r="H190" s="11"/>
      <c r="I190" s="33"/>
      <c r="J190" s="8" t="str">
        <f aca="false">IF(COUNTA(B190,D190,G190,H190,I190)=0,"",IF(B190="","Enter date",IF(OR(B190&lt;$AC$2,B190&gt;$AC$3),"Date not in February",IF(D190="","Pick project",IF(ISNA(MATCH(D190,ProjNames,0)),"Project not in list",IF(G190="","Add task description",IF(H190="","Pick NTIME or P6",IF(N(I190)&lt;=0,"Enter hours",IF(AND(AllowOT&lt;&gt;"Yes",SUMIF($B$7:$B$256,B190,$I$7:$I$256)&gt;INDEX($O$58:$O$85,DAY(B190))),"Day over "&amp;INDEX($O$58:$O$85,DAY(B190))&amp;" h","✓")))))))))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tr">
        <f aca="false">IF(Projects!B188="","",Projects!B188)</f>
        <v/>
      </c>
      <c r="X190" s="1" t="n">
        <f aca="false">IF(W190="",0,SUMIFS($I$7:$I$256,$D$7:$D$256,W190,$H$7:$H$256,"NTIME"))</f>
        <v>0</v>
      </c>
      <c r="Y190" s="1" t="n">
        <f aca="false">IF(W190="",0,SUMIFS($I$7:$I$256,$D$7:$D$256,W190,$H$7:$H$256,"P6"))</f>
        <v>0</v>
      </c>
      <c r="Z190" s="1" t="n">
        <f aca="false">X190+Y190</f>
        <v>0</v>
      </c>
      <c r="AA190" s="1" t="n">
        <f aca="false">IF(Z190&gt;0,Z190+(201-184)/10^6,0)</f>
        <v>0</v>
      </c>
      <c r="AB190" s="1"/>
      <c r="AC190" s="1"/>
      <c r="AD190" s="1"/>
      <c r="AE190" s="1"/>
      <c r="AF190" s="1"/>
      <c r="AG190" s="1"/>
      <c r="AH190" s="1"/>
    </row>
    <row r="191" customFormat="false" ht="15" hidden="false" customHeight="false" outlineLevel="0" collapsed="false">
      <c r="A191" s="1"/>
      <c r="B191" s="10"/>
      <c r="C191" s="31" t="str">
        <f aca="false">IF(B191="","",TEXT(B191,"ddd"))</f>
        <v/>
      </c>
      <c r="D191" s="11"/>
      <c r="E191" s="8" t="str">
        <f aca="false">IF(D191="","",IFERROR(INDEX(ProjNumbers,MATCH(D191,ProjNames,0)),""))</f>
        <v/>
      </c>
      <c r="F191" s="8" t="str">
        <f aca="false">IF(D191="","",IFERROR(INDEX(ProjCodes,MATCH(D191,ProjNames,0)),""))</f>
        <v/>
      </c>
      <c r="G191" s="32"/>
      <c r="H191" s="11"/>
      <c r="I191" s="33"/>
      <c r="J191" s="8" t="str">
        <f aca="false">IF(COUNTA(B191,D191,G191,H191,I191)=0,"",IF(B191="","Enter date",IF(OR(B191&lt;$AC$2,B191&gt;$AC$3),"Date not in February",IF(D191="","Pick project",IF(ISNA(MATCH(D191,ProjNames,0)),"Project not in list",IF(G191="","Add task description",IF(H191="","Pick NTIME or P6",IF(N(I191)&lt;=0,"Enter hours",IF(AND(AllowOT&lt;&gt;"Yes",SUMIF($B$7:$B$256,B191,$I$7:$I$256)&gt;INDEX($O$58:$O$85,DAY(B191))),"Day over "&amp;INDEX($O$58:$O$85,DAY(B191))&amp;" h","✓")))))))))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tr">
        <f aca="false">IF(Projects!B189="","",Projects!B189)</f>
        <v/>
      </c>
      <c r="X191" s="1" t="n">
        <f aca="false">IF(W191="",0,SUMIFS($I$7:$I$256,$D$7:$D$256,W191,$H$7:$H$256,"NTIME"))</f>
        <v>0</v>
      </c>
      <c r="Y191" s="1" t="n">
        <f aca="false">IF(W191="",0,SUMIFS($I$7:$I$256,$D$7:$D$256,W191,$H$7:$H$256,"P6"))</f>
        <v>0</v>
      </c>
      <c r="Z191" s="1" t="n">
        <f aca="false">X191+Y191</f>
        <v>0</v>
      </c>
      <c r="AA191" s="1" t="n">
        <f aca="false">IF(Z191&gt;0,Z191+(201-185)/10^6,0)</f>
        <v>0</v>
      </c>
      <c r="AB191" s="1"/>
      <c r="AC191" s="1"/>
      <c r="AD191" s="1"/>
      <c r="AE191" s="1"/>
      <c r="AF191" s="1"/>
      <c r="AG191" s="1"/>
      <c r="AH191" s="1"/>
    </row>
    <row r="192" customFormat="false" ht="15" hidden="false" customHeight="false" outlineLevel="0" collapsed="false">
      <c r="A192" s="1"/>
      <c r="B192" s="10"/>
      <c r="C192" s="31" t="str">
        <f aca="false">IF(B192="","",TEXT(B192,"ddd"))</f>
        <v/>
      </c>
      <c r="D192" s="11"/>
      <c r="E192" s="8" t="str">
        <f aca="false">IF(D192="","",IFERROR(INDEX(ProjNumbers,MATCH(D192,ProjNames,0)),""))</f>
        <v/>
      </c>
      <c r="F192" s="8" t="str">
        <f aca="false">IF(D192="","",IFERROR(INDEX(ProjCodes,MATCH(D192,ProjNames,0)),""))</f>
        <v/>
      </c>
      <c r="G192" s="32"/>
      <c r="H192" s="11"/>
      <c r="I192" s="33"/>
      <c r="J192" s="8" t="str">
        <f aca="false">IF(COUNTA(B192,D192,G192,H192,I192)=0,"",IF(B192="","Enter date",IF(OR(B192&lt;$AC$2,B192&gt;$AC$3),"Date not in February",IF(D192="","Pick project",IF(ISNA(MATCH(D192,ProjNames,0)),"Project not in list",IF(G192="","Add task description",IF(H192="","Pick NTIME or P6",IF(N(I192)&lt;=0,"Enter hours",IF(AND(AllowOT&lt;&gt;"Yes",SUMIF($B$7:$B$256,B192,$I$7:$I$256)&gt;INDEX($O$58:$O$85,DAY(B192))),"Day over "&amp;INDEX($O$58:$O$85,DAY(B192))&amp;" h","✓")))))))))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tr">
        <f aca="false">IF(Projects!B190="","",Projects!B190)</f>
        <v/>
      </c>
      <c r="X192" s="1" t="n">
        <f aca="false">IF(W192="",0,SUMIFS($I$7:$I$256,$D$7:$D$256,W192,$H$7:$H$256,"NTIME"))</f>
        <v>0</v>
      </c>
      <c r="Y192" s="1" t="n">
        <f aca="false">IF(W192="",0,SUMIFS($I$7:$I$256,$D$7:$D$256,W192,$H$7:$H$256,"P6"))</f>
        <v>0</v>
      </c>
      <c r="Z192" s="1" t="n">
        <f aca="false">X192+Y192</f>
        <v>0</v>
      </c>
      <c r="AA192" s="1" t="n">
        <f aca="false">IF(Z192&gt;0,Z192+(201-186)/10^6,0)</f>
        <v>0</v>
      </c>
      <c r="AB192" s="1"/>
      <c r="AC192" s="1"/>
      <c r="AD192" s="1"/>
      <c r="AE192" s="1"/>
      <c r="AF192" s="1"/>
      <c r="AG192" s="1"/>
      <c r="AH192" s="1"/>
    </row>
    <row r="193" customFormat="false" ht="15" hidden="false" customHeight="false" outlineLevel="0" collapsed="false">
      <c r="A193" s="1"/>
      <c r="B193" s="10"/>
      <c r="C193" s="31" t="str">
        <f aca="false">IF(B193="","",TEXT(B193,"ddd"))</f>
        <v/>
      </c>
      <c r="D193" s="11"/>
      <c r="E193" s="8" t="str">
        <f aca="false">IF(D193="","",IFERROR(INDEX(ProjNumbers,MATCH(D193,ProjNames,0)),""))</f>
        <v/>
      </c>
      <c r="F193" s="8" t="str">
        <f aca="false">IF(D193="","",IFERROR(INDEX(ProjCodes,MATCH(D193,ProjNames,0)),""))</f>
        <v/>
      </c>
      <c r="G193" s="32"/>
      <c r="H193" s="11"/>
      <c r="I193" s="33"/>
      <c r="J193" s="8" t="str">
        <f aca="false">IF(COUNTA(B193,D193,G193,H193,I193)=0,"",IF(B193="","Enter date",IF(OR(B193&lt;$AC$2,B193&gt;$AC$3),"Date not in February",IF(D193="","Pick project",IF(ISNA(MATCH(D193,ProjNames,0)),"Project not in list",IF(G193="","Add task description",IF(H193="","Pick NTIME or P6",IF(N(I193)&lt;=0,"Enter hours",IF(AND(AllowOT&lt;&gt;"Yes",SUMIF($B$7:$B$256,B193,$I$7:$I$256)&gt;INDEX($O$58:$O$85,DAY(B193))),"Day over "&amp;INDEX($O$58:$O$85,DAY(B193))&amp;" h","✓")))))))))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tr">
        <f aca="false">IF(Projects!B191="","",Projects!B191)</f>
        <v/>
      </c>
      <c r="X193" s="1" t="n">
        <f aca="false">IF(W193="",0,SUMIFS($I$7:$I$256,$D$7:$D$256,W193,$H$7:$H$256,"NTIME"))</f>
        <v>0</v>
      </c>
      <c r="Y193" s="1" t="n">
        <f aca="false">IF(W193="",0,SUMIFS($I$7:$I$256,$D$7:$D$256,W193,$H$7:$H$256,"P6"))</f>
        <v>0</v>
      </c>
      <c r="Z193" s="1" t="n">
        <f aca="false">X193+Y193</f>
        <v>0</v>
      </c>
      <c r="AA193" s="1" t="n">
        <f aca="false">IF(Z193&gt;0,Z193+(201-187)/10^6,0)</f>
        <v>0</v>
      </c>
      <c r="AB193" s="1"/>
      <c r="AC193" s="1"/>
      <c r="AD193" s="1"/>
      <c r="AE193" s="1"/>
      <c r="AF193" s="1"/>
      <c r="AG193" s="1"/>
      <c r="AH193" s="1"/>
    </row>
    <row r="194" customFormat="false" ht="15" hidden="false" customHeight="false" outlineLevel="0" collapsed="false">
      <c r="A194" s="1"/>
      <c r="B194" s="10"/>
      <c r="C194" s="31" t="str">
        <f aca="false">IF(B194="","",TEXT(B194,"ddd"))</f>
        <v/>
      </c>
      <c r="D194" s="11"/>
      <c r="E194" s="8" t="str">
        <f aca="false">IF(D194="","",IFERROR(INDEX(ProjNumbers,MATCH(D194,ProjNames,0)),""))</f>
        <v/>
      </c>
      <c r="F194" s="8" t="str">
        <f aca="false">IF(D194="","",IFERROR(INDEX(ProjCodes,MATCH(D194,ProjNames,0)),""))</f>
        <v/>
      </c>
      <c r="G194" s="32"/>
      <c r="H194" s="11"/>
      <c r="I194" s="33"/>
      <c r="J194" s="8" t="str">
        <f aca="false">IF(COUNTA(B194,D194,G194,H194,I194)=0,"",IF(B194="","Enter date",IF(OR(B194&lt;$AC$2,B194&gt;$AC$3),"Date not in February",IF(D194="","Pick project",IF(ISNA(MATCH(D194,ProjNames,0)),"Project not in list",IF(G194="","Add task description",IF(H194="","Pick NTIME or P6",IF(N(I194)&lt;=0,"Enter hours",IF(AND(AllowOT&lt;&gt;"Yes",SUMIF($B$7:$B$256,B194,$I$7:$I$256)&gt;INDEX($O$58:$O$85,DAY(B194))),"Day over "&amp;INDEX($O$58:$O$85,DAY(B194))&amp;" h","✓")))))))))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tr">
        <f aca="false">IF(Projects!B192="","",Projects!B192)</f>
        <v/>
      </c>
      <c r="X194" s="1" t="n">
        <f aca="false">IF(W194="",0,SUMIFS($I$7:$I$256,$D$7:$D$256,W194,$H$7:$H$256,"NTIME"))</f>
        <v>0</v>
      </c>
      <c r="Y194" s="1" t="n">
        <f aca="false">IF(W194="",0,SUMIFS($I$7:$I$256,$D$7:$D$256,W194,$H$7:$H$256,"P6"))</f>
        <v>0</v>
      </c>
      <c r="Z194" s="1" t="n">
        <f aca="false">X194+Y194</f>
        <v>0</v>
      </c>
      <c r="AA194" s="1" t="n">
        <f aca="false">IF(Z194&gt;0,Z194+(201-188)/10^6,0)</f>
        <v>0</v>
      </c>
      <c r="AB194" s="1"/>
      <c r="AC194" s="1"/>
      <c r="AD194" s="1"/>
      <c r="AE194" s="1"/>
      <c r="AF194" s="1"/>
      <c r="AG194" s="1"/>
      <c r="AH194" s="1"/>
    </row>
    <row r="195" customFormat="false" ht="15" hidden="false" customHeight="false" outlineLevel="0" collapsed="false">
      <c r="A195" s="1"/>
      <c r="B195" s="10"/>
      <c r="C195" s="31" t="str">
        <f aca="false">IF(B195="","",TEXT(B195,"ddd"))</f>
        <v/>
      </c>
      <c r="D195" s="11"/>
      <c r="E195" s="8" t="str">
        <f aca="false">IF(D195="","",IFERROR(INDEX(ProjNumbers,MATCH(D195,ProjNames,0)),""))</f>
        <v/>
      </c>
      <c r="F195" s="8" t="str">
        <f aca="false">IF(D195="","",IFERROR(INDEX(ProjCodes,MATCH(D195,ProjNames,0)),""))</f>
        <v/>
      </c>
      <c r="G195" s="32"/>
      <c r="H195" s="11"/>
      <c r="I195" s="33"/>
      <c r="J195" s="8" t="str">
        <f aca="false">IF(COUNTA(B195,D195,G195,H195,I195)=0,"",IF(B195="","Enter date",IF(OR(B195&lt;$AC$2,B195&gt;$AC$3),"Date not in February",IF(D195="","Pick project",IF(ISNA(MATCH(D195,ProjNames,0)),"Project not in list",IF(G195="","Add task description",IF(H195="","Pick NTIME or P6",IF(N(I195)&lt;=0,"Enter hours",IF(AND(AllowOT&lt;&gt;"Yes",SUMIF($B$7:$B$256,B195,$I$7:$I$256)&gt;INDEX($O$58:$O$85,DAY(B195))),"Day over "&amp;INDEX($O$58:$O$85,DAY(B195))&amp;" h","✓")))))))))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tr">
        <f aca="false">IF(Projects!B193="","",Projects!B193)</f>
        <v/>
      </c>
      <c r="X195" s="1" t="n">
        <f aca="false">IF(W195="",0,SUMIFS($I$7:$I$256,$D$7:$D$256,W195,$H$7:$H$256,"NTIME"))</f>
        <v>0</v>
      </c>
      <c r="Y195" s="1" t="n">
        <f aca="false">IF(W195="",0,SUMIFS($I$7:$I$256,$D$7:$D$256,W195,$H$7:$H$256,"P6"))</f>
        <v>0</v>
      </c>
      <c r="Z195" s="1" t="n">
        <f aca="false">X195+Y195</f>
        <v>0</v>
      </c>
      <c r="AA195" s="1" t="n">
        <f aca="false">IF(Z195&gt;0,Z195+(201-189)/10^6,0)</f>
        <v>0</v>
      </c>
      <c r="AB195" s="1"/>
      <c r="AC195" s="1"/>
      <c r="AD195" s="1"/>
      <c r="AE195" s="1"/>
      <c r="AF195" s="1"/>
      <c r="AG195" s="1"/>
      <c r="AH195" s="1"/>
    </row>
    <row r="196" customFormat="false" ht="15" hidden="false" customHeight="false" outlineLevel="0" collapsed="false">
      <c r="A196" s="1"/>
      <c r="B196" s="10"/>
      <c r="C196" s="31" t="str">
        <f aca="false">IF(B196="","",TEXT(B196,"ddd"))</f>
        <v/>
      </c>
      <c r="D196" s="11"/>
      <c r="E196" s="8" t="str">
        <f aca="false">IF(D196="","",IFERROR(INDEX(ProjNumbers,MATCH(D196,ProjNames,0)),""))</f>
        <v/>
      </c>
      <c r="F196" s="8" t="str">
        <f aca="false">IF(D196="","",IFERROR(INDEX(ProjCodes,MATCH(D196,ProjNames,0)),""))</f>
        <v/>
      </c>
      <c r="G196" s="32"/>
      <c r="H196" s="11"/>
      <c r="I196" s="33"/>
      <c r="J196" s="8" t="str">
        <f aca="false">IF(COUNTA(B196,D196,G196,H196,I196)=0,"",IF(B196="","Enter date",IF(OR(B196&lt;$AC$2,B196&gt;$AC$3),"Date not in February",IF(D196="","Pick project",IF(ISNA(MATCH(D196,ProjNames,0)),"Project not in list",IF(G196="","Add task description",IF(H196="","Pick NTIME or P6",IF(N(I196)&lt;=0,"Enter hours",IF(AND(AllowOT&lt;&gt;"Yes",SUMIF($B$7:$B$256,B196,$I$7:$I$256)&gt;INDEX($O$58:$O$85,DAY(B196))),"Day over "&amp;INDEX($O$58:$O$85,DAY(B196))&amp;" h","✓")))))))))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tr">
        <f aca="false">IF(Projects!B194="","",Projects!B194)</f>
        <v/>
      </c>
      <c r="X196" s="1" t="n">
        <f aca="false">IF(W196="",0,SUMIFS($I$7:$I$256,$D$7:$D$256,W196,$H$7:$H$256,"NTIME"))</f>
        <v>0</v>
      </c>
      <c r="Y196" s="1" t="n">
        <f aca="false">IF(W196="",0,SUMIFS($I$7:$I$256,$D$7:$D$256,W196,$H$7:$H$256,"P6"))</f>
        <v>0</v>
      </c>
      <c r="Z196" s="1" t="n">
        <f aca="false">X196+Y196</f>
        <v>0</v>
      </c>
      <c r="AA196" s="1" t="n">
        <f aca="false">IF(Z196&gt;0,Z196+(201-190)/10^6,0)</f>
        <v>0</v>
      </c>
      <c r="AB196" s="1"/>
      <c r="AC196" s="1"/>
      <c r="AD196" s="1"/>
      <c r="AE196" s="1"/>
      <c r="AF196" s="1"/>
      <c r="AG196" s="1"/>
      <c r="AH196" s="1"/>
    </row>
    <row r="197" customFormat="false" ht="15" hidden="false" customHeight="false" outlineLevel="0" collapsed="false">
      <c r="A197" s="1"/>
      <c r="B197" s="10"/>
      <c r="C197" s="31" t="str">
        <f aca="false">IF(B197="","",TEXT(B197,"ddd"))</f>
        <v/>
      </c>
      <c r="D197" s="11"/>
      <c r="E197" s="8" t="str">
        <f aca="false">IF(D197="","",IFERROR(INDEX(ProjNumbers,MATCH(D197,ProjNames,0)),""))</f>
        <v/>
      </c>
      <c r="F197" s="8" t="str">
        <f aca="false">IF(D197="","",IFERROR(INDEX(ProjCodes,MATCH(D197,ProjNames,0)),""))</f>
        <v/>
      </c>
      <c r="G197" s="32"/>
      <c r="H197" s="11"/>
      <c r="I197" s="33"/>
      <c r="J197" s="8" t="str">
        <f aca="false">IF(COUNTA(B197,D197,G197,H197,I197)=0,"",IF(B197="","Enter date",IF(OR(B197&lt;$AC$2,B197&gt;$AC$3),"Date not in February",IF(D197="","Pick project",IF(ISNA(MATCH(D197,ProjNames,0)),"Project not in list",IF(G197="","Add task description",IF(H197="","Pick NTIME or P6",IF(N(I197)&lt;=0,"Enter hours",IF(AND(AllowOT&lt;&gt;"Yes",SUMIF($B$7:$B$256,B197,$I$7:$I$256)&gt;INDEX($O$58:$O$85,DAY(B197))),"Day over "&amp;INDEX($O$58:$O$85,DAY(B197))&amp;" h","✓")))))))))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tr">
        <f aca="false">IF(Projects!B195="","",Projects!B195)</f>
        <v/>
      </c>
      <c r="X197" s="1" t="n">
        <f aca="false">IF(W197="",0,SUMIFS($I$7:$I$256,$D$7:$D$256,W197,$H$7:$H$256,"NTIME"))</f>
        <v>0</v>
      </c>
      <c r="Y197" s="1" t="n">
        <f aca="false">IF(W197="",0,SUMIFS($I$7:$I$256,$D$7:$D$256,W197,$H$7:$H$256,"P6"))</f>
        <v>0</v>
      </c>
      <c r="Z197" s="1" t="n">
        <f aca="false">X197+Y197</f>
        <v>0</v>
      </c>
      <c r="AA197" s="1" t="n">
        <f aca="false">IF(Z197&gt;0,Z197+(201-191)/10^6,0)</f>
        <v>0</v>
      </c>
      <c r="AB197" s="1"/>
      <c r="AC197" s="1"/>
      <c r="AD197" s="1"/>
      <c r="AE197" s="1"/>
      <c r="AF197" s="1"/>
      <c r="AG197" s="1"/>
      <c r="AH197" s="1"/>
    </row>
    <row r="198" customFormat="false" ht="15" hidden="false" customHeight="false" outlineLevel="0" collapsed="false">
      <c r="A198" s="1"/>
      <c r="B198" s="10"/>
      <c r="C198" s="31" t="str">
        <f aca="false">IF(B198="","",TEXT(B198,"ddd"))</f>
        <v/>
      </c>
      <c r="D198" s="11"/>
      <c r="E198" s="8" t="str">
        <f aca="false">IF(D198="","",IFERROR(INDEX(ProjNumbers,MATCH(D198,ProjNames,0)),""))</f>
        <v/>
      </c>
      <c r="F198" s="8" t="str">
        <f aca="false">IF(D198="","",IFERROR(INDEX(ProjCodes,MATCH(D198,ProjNames,0)),""))</f>
        <v/>
      </c>
      <c r="G198" s="32"/>
      <c r="H198" s="11"/>
      <c r="I198" s="33"/>
      <c r="J198" s="8" t="str">
        <f aca="false">IF(COUNTA(B198,D198,G198,H198,I198)=0,"",IF(B198="","Enter date",IF(OR(B198&lt;$AC$2,B198&gt;$AC$3),"Date not in February",IF(D198="","Pick project",IF(ISNA(MATCH(D198,ProjNames,0)),"Project not in list",IF(G198="","Add task description",IF(H198="","Pick NTIME or P6",IF(N(I198)&lt;=0,"Enter hours",IF(AND(AllowOT&lt;&gt;"Yes",SUMIF($B$7:$B$256,B198,$I$7:$I$256)&gt;INDEX($O$58:$O$85,DAY(B198))),"Day over "&amp;INDEX($O$58:$O$85,DAY(B198))&amp;" h","✓")))))))))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tr">
        <f aca="false">IF(Projects!B196="","",Projects!B196)</f>
        <v/>
      </c>
      <c r="X198" s="1" t="n">
        <f aca="false">IF(W198="",0,SUMIFS($I$7:$I$256,$D$7:$D$256,W198,$H$7:$H$256,"NTIME"))</f>
        <v>0</v>
      </c>
      <c r="Y198" s="1" t="n">
        <f aca="false">IF(W198="",0,SUMIFS($I$7:$I$256,$D$7:$D$256,W198,$H$7:$H$256,"P6"))</f>
        <v>0</v>
      </c>
      <c r="Z198" s="1" t="n">
        <f aca="false">X198+Y198</f>
        <v>0</v>
      </c>
      <c r="AA198" s="1" t="n">
        <f aca="false">IF(Z198&gt;0,Z198+(201-192)/10^6,0)</f>
        <v>0</v>
      </c>
      <c r="AB198" s="1"/>
      <c r="AC198" s="1"/>
      <c r="AD198" s="1"/>
      <c r="AE198" s="1"/>
      <c r="AF198" s="1"/>
      <c r="AG198" s="1"/>
      <c r="AH198" s="1"/>
    </row>
    <row r="199" customFormat="false" ht="15" hidden="false" customHeight="false" outlineLevel="0" collapsed="false">
      <c r="A199" s="1"/>
      <c r="B199" s="10"/>
      <c r="C199" s="31" t="str">
        <f aca="false">IF(B199="","",TEXT(B199,"ddd"))</f>
        <v/>
      </c>
      <c r="D199" s="11"/>
      <c r="E199" s="8" t="str">
        <f aca="false">IF(D199="","",IFERROR(INDEX(ProjNumbers,MATCH(D199,ProjNames,0)),""))</f>
        <v/>
      </c>
      <c r="F199" s="8" t="str">
        <f aca="false">IF(D199="","",IFERROR(INDEX(ProjCodes,MATCH(D199,ProjNames,0)),""))</f>
        <v/>
      </c>
      <c r="G199" s="32"/>
      <c r="H199" s="11"/>
      <c r="I199" s="33"/>
      <c r="J199" s="8" t="str">
        <f aca="false">IF(COUNTA(B199,D199,G199,H199,I199)=0,"",IF(B199="","Enter date",IF(OR(B199&lt;$AC$2,B199&gt;$AC$3),"Date not in February",IF(D199="","Pick project",IF(ISNA(MATCH(D199,ProjNames,0)),"Project not in list",IF(G199="","Add task description",IF(H199="","Pick NTIME or P6",IF(N(I199)&lt;=0,"Enter hours",IF(AND(AllowOT&lt;&gt;"Yes",SUMIF($B$7:$B$256,B199,$I$7:$I$256)&gt;INDEX($O$58:$O$85,DAY(B199))),"Day over "&amp;INDEX($O$58:$O$85,DAY(B199))&amp;" h","✓")))))))))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tr">
        <f aca="false">IF(Projects!B197="","",Projects!B197)</f>
        <v/>
      </c>
      <c r="X199" s="1" t="n">
        <f aca="false">IF(W199="",0,SUMIFS($I$7:$I$256,$D$7:$D$256,W199,$H$7:$H$256,"NTIME"))</f>
        <v>0</v>
      </c>
      <c r="Y199" s="1" t="n">
        <f aca="false">IF(W199="",0,SUMIFS($I$7:$I$256,$D$7:$D$256,W199,$H$7:$H$256,"P6"))</f>
        <v>0</v>
      </c>
      <c r="Z199" s="1" t="n">
        <f aca="false">X199+Y199</f>
        <v>0</v>
      </c>
      <c r="AA199" s="1" t="n">
        <f aca="false">IF(Z199&gt;0,Z199+(201-193)/10^6,0)</f>
        <v>0</v>
      </c>
      <c r="AB199" s="1"/>
      <c r="AC199" s="1"/>
      <c r="AD199" s="1"/>
      <c r="AE199" s="1"/>
      <c r="AF199" s="1"/>
      <c r="AG199" s="1"/>
      <c r="AH199" s="1"/>
    </row>
    <row r="200" customFormat="false" ht="15" hidden="false" customHeight="false" outlineLevel="0" collapsed="false">
      <c r="A200" s="1"/>
      <c r="B200" s="10"/>
      <c r="C200" s="31" t="str">
        <f aca="false">IF(B200="","",TEXT(B200,"ddd"))</f>
        <v/>
      </c>
      <c r="D200" s="11"/>
      <c r="E200" s="8" t="str">
        <f aca="false">IF(D200="","",IFERROR(INDEX(ProjNumbers,MATCH(D200,ProjNames,0)),""))</f>
        <v/>
      </c>
      <c r="F200" s="8" t="str">
        <f aca="false">IF(D200="","",IFERROR(INDEX(ProjCodes,MATCH(D200,ProjNames,0)),""))</f>
        <v/>
      </c>
      <c r="G200" s="32"/>
      <c r="H200" s="11"/>
      <c r="I200" s="33"/>
      <c r="J200" s="8" t="str">
        <f aca="false">IF(COUNTA(B200,D200,G200,H200,I200)=0,"",IF(B200="","Enter date",IF(OR(B200&lt;$AC$2,B200&gt;$AC$3),"Date not in February",IF(D200="","Pick project",IF(ISNA(MATCH(D200,ProjNames,0)),"Project not in list",IF(G200="","Add task description",IF(H200="","Pick NTIME or P6",IF(N(I200)&lt;=0,"Enter hours",IF(AND(AllowOT&lt;&gt;"Yes",SUMIF($B$7:$B$256,B200,$I$7:$I$256)&gt;INDEX($O$58:$O$85,DAY(B200))),"Day over "&amp;INDEX($O$58:$O$85,DAY(B200))&amp;" h","✓")))))))))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tr">
        <f aca="false">IF(Projects!B198="","",Projects!B198)</f>
        <v/>
      </c>
      <c r="X200" s="1" t="n">
        <f aca="false">IF(W200="",0,SUMIFS($I$7:$I$256,$D$7:$D$256,W200,$H$7:$H$256,"NTIME"))</f>
        <v>0</v>
      </c>
      <c r="Y200" s="1" t="n">
        <f aca="false">IF(W200="",0,SUMIFS($I$7:$I$256,$D$7:$D$256,W200,$H$7:$H$256,"P6"))</f>
        <v>0</v>
      </c>
      <c r="Z200" s="1" t="n">
        <f aca="false">X200+Y200</f>
        <v>0</v>
      </c>
      <c r="AA200" s="1" t="n">
        <f aca="false">IF(Z200&gt;0,Z200+(201-194)/10^6,0)</f>
        <v>0</v>
      </c>
      <c r="AB200" s="1"/>
      <c r="AC200" s="1"/>
      <c r="AD200" s="1"/>
      <c r="AE200" s="1"/>
      <c r="AF200" s="1"/>
      <c r="AG200" s="1"/>
      <c r="AH200" s="1"/>
    </row>
    <row r="201" customFormat="false" ht="15" hidden="false" customHeight="false" outlineLevel="0" collapsed="false">
      <c r="A201" s="1"/>
      <c r="B201" s="10"/>
      <c r="C201" s="31" t="str">
        <f aca="false">IF(B201="","",TEXT(B201,"ddd"))</f>
        <v/>
      </c>
      <c r="D201" s="11"/>
      <c r="E201" s="8" t="str">
        <f aca="false">IF(D201="","",IFERROR(INDEX(ProjNumbers,MATCH(D201,ProjNames,0)),""))</f>
        <v/>
      </c>
      <c r="F201" s="8" t="str">
        <f aca="false">IF(D201="","",IFERROR(INDEX(ProjCodes,MATCH(D201,ProjNames,0)),""))</f>
        <v/>
      </c>
      <c r="G201" s="32"/>
      <c r="H201" s="11"/>
      <c r="I201" s="33"/>
      <c r="J201" s="8" t="str">
        <f aca="false">IF(COUNTA(B201,D201,G201,H201,I201)=0,"",IF(B201="","Enter date",IF(OR(B201&lt;$AC$2,B201&gt;$AC$3),"Date not in February",IF(D201="","Pick project",IF(ISNA(MATCH(D201,ProjNames,0)),"Project not in list",IF(G201="","Add task description",IF(H201="","Pick NTIME or P6",IF(N(I201)&lt;=0,"Enter hours",IF(AND(AllowOT&lt;&gt;"Yes",SUMIF($B$7:$B$256,B201,$I$7:$I$256)&gt;INDEX($O$58:$O$85,DAY(B201))),"Day over "&amp;INDEX($O$58:$O$85,DAY(B201))&amp;" h","✓")))))))))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tr">
        <f aca="false">IF(Projects!B199="","",Projects!B199)</f>
        <v/>
      </c>
      <c r="X201" s="1" t="n">
        <f aca="false">IF(W201="",0,SUMIFS($I$7:$I$256,$D$7:$D$256,W201,$H$7:$H$256,"NTIME"))</f>
        <v>0</v>
      </c>
      <c r="Y201" s="1" t="n">
        <f aca="false">IF(W201="",0,SUMIFS($I$7:$I$256,$D$7:$D$256,W201,$H$7:$H$256,"P6"))</f>
        <v>0</v>
      </c>
      <c r="Z201" s="1" t="n">
        <f aca="false">X201+Y201</f>
        <v>0</v>
      </c>
      <c r="AA201" s="1" t="n">
        <f aca="false">IF(Z201&gt;0,Z201+(201-195)/10^6,0)</f>
        <v>0</v>
      </c>
      <c r="AB201" s="1"/>
      <c r="AC201" s="1"/>
      <c r="AD201" s="1"/>
      <c r="AE201" s="1"/>
      <c r="AF201" s="1"/>
      <c r="AG201" s="1"/>
      <c r="AH201" s="1"/>
    </row>
    <row r="202" customFormat="false" ht="15" hidden="false" customHeight="false" outlineLevel="0" collapsed="false">
      <c r="A202" s="1"/>
      <c r="B202" s="10"/>
      <c r="C202" s="31" t="str">
        <f aca="false">IF(B202="","",TEXT(B202,"ddd"))</f>
        <v/>
      </c>
      <c r="D202" s="11"/>
      <c r="E202" s="8" t="str">
        <f aca="false">IF(D202="","",IFERROR(INDEX(ProjNumbers,MATCH(D202,ProjNames,0)),""))</f>
        <v/>
      </c>
      <c r="F202" s="8" t="str">
        <f aca="false">IF(D202="","",IFERROR(INDEX(ProjCodes,MATCH(D202,ProjNames,0)),""))</f>
        <v/>
      </c>
      <c r="G202" s="32"/>
      <c r="H202" s="11"/>
      <c r="I202" s="33"/>
      <c r="J202" s="8" t="str">
        <f aca="false">IF(COUNTA(B202,D202,G202,H202,I202)=0,"",IF(B202="","Enter date",IF(OR(B202&lt;$AC$2,B202&gt;$AC$3),"Date not in February",IF(D202="","Pick project",IF(ISNA(MATCH(D202,ProjNames,0)),"Project not in list",IF(G202="","Add task description",IF(H202="","Pick NTIME or P6",IF(N(I202)&lt;=0,"Enter hours",IF(AND(AllowOT&lt;&gt;"Yes",SUMIF($B$7:$B$256,B202,$I$7:$I$256)&gt;INDEX($O$58:$O$85,DAY(B202))),"Day over "&amp;INDEX($O$58:$O$85,DAY(B202))&amp;" h","✓")))))))))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tr">
        <f aca="false">IF(Projects!B200="","",Projects!B200)</f>
        <v/>
      </c>
      <c r="X202" s="1" t="n">
        <f aca="false">IF(W202="",0,SUMIFS($I$7:$I$256,$D$7:$D$256,W202,$H$7:$H$256,"NTIME"))</f>
        <v>0</v>
      </c>
      <c r="Y202" s="1" t="n">
        <f aca="false">IF(W202="",0,SUMIFS($I$7:$I$256,$D$7:$D$256,W202,$H$7:$H$256,"P6"))</f>
        <v>0</v>
      </c>
      <c r="Z202" s="1" t="n">
        <f aca="false">X202+Y202</f>
        <v>0</v>
      </c>
      <c r="AA202" s="1" t="n">
        <f aca="false">IF(Z202&gt;0,Z202+(201-196)/10^6,0)</f>
        <v>0</v>
      </c>
      <c r="AB202" s="1"/>
      <c r="AC202" s="1"/>
      <c r="AD202" s="1"/>
      <c r="AE202" s="1"/>
      <c r="AF202" s="1"/>
      <c r="AG202" s="1"/>
      <c r="AH202" s="1"/>
    </row>
    <row r="203" customFormat="false" ht="15" hidden="false" customHeight="false" outlineLevel="0" collapsed="false">
      <c r="A203" s="1"/>
      <c r="B203" s="10"/>
      <c r="C203" s="31" t="str">
        <f aca="false">IF(B203="","",TEXT(B203,"ddd"))</f>
        <v/>
      </c>
      <c r="D203" s="11"/>
      <c r="E203" s="8" t="str">
        <f aca="false">IF(D203="","",IFERROR(INDEX(ProjNumbers,MATCH(D203,ProjNames,0)),""))</f>
        <v/>
      </c>
      <c r="F203" s="8" t="str">
        <f aca="false">IF(D203="","",IFERROR(INDEX(ProjCodes,MATCH(D203,ProjNames,0)),""))</f>
        <v/>
      </c>
      <c r="G203" s="32"/>
      <c r="H203" s="11"/>
      <c r="I203" s="33"/>
      <c r="J203" s="8" t="str">
        <f aca="false">IF(COUNTA(B203,D203,G203,H203,I203)=0,"",IF(B203="","Enter date",IF(OR(B203&lt;$AC$2,B203&gt;$AC$3),"Date not in February",IF(D203="","Pick project",IF(ISNA(MATCH(D203,ProjNames,0)),"Project not in list",IF(G203="","Add task description",IF(H203="","Pick NTIME or P6",IF(N(I203)&lt;=0,"Enter hours",IF(AND(AllowOT&lt;&gt;"Yes",SUMIF($B$7:$B$256,B203,$I$7:$I$256)&gt;INDEX($O$58:$O$85,DAY(B203))),"Day over "&amp;INDEX($O$58:$O$85,DAY(B203))&amp;" h","✓")))))))))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tr">
        <f aca="false">IF(Projects!B201="","",Projects!B201)</f>
        <v/>
      </c>
      <c r="X203" s="1" t="n">
        <f aca="false">IF(W203="",0,SUMIFS($I$7:$I$256,$D$7:$D$256,W203,$H$7:$H$256,"NTIME"))</f>
        <v>0</v>
      </c>
      <c r="Y203" s="1" t="n">
        <f aca="false">IF(W203="",0,SUMIFS($I$7:$I$256,$D$7:$D$256,W203,$H$7:$H$256,"P6"))</f>
        <v>0</v>
      </c>
      <c r="Z203" s="1" t="n">
        <f aca="false">X203+Y203</f>
        <v>0</v>
      </c>
      <c r="AA203" s="1" t="n">
        <f aca="false">IF(Z203&gt;0,Z203+(201-197)/10^6,0)</f>
        <v>0</v>
      </c>
      <c r="AB203" s="1"/>
      <c r="AC203" s="1"/>
      <c r="AD203" s="1"/>
      <c r="AE203" s="1"/>
      <c r="AF203" s="1"/>
      <c r="AG203" s="1"/>
      <c r="AH203" s="1"/>
    </row>
    <row r="204" customFormat="false" ht="15" hidden="false" customHeight="false" outlineLevel="0" collapsed="false">
      <c r="A204" s="1"/>
      <c r="B204" s="10"/>
      <c r="C204" s="31" t="str">
        <f aca="false">IF(B204="","",TEXT(B204,"ddd"))</f>
        <v/>
      </c>
      <c r="D204" s="11"/>
      <c r="E204" s="8" t="str">
        <f aca="false">IF(D204="","",IFERROR(INDEX(ProjNumbers,MATCH(D204,ProjNames,0)),""))</f>
        <v/>
      </c>
      <c r="F204" s="8" t="str">
        <f aca="false">IF(D204="","",IFERROR(INDEX(ProjCodes,MATCH(D204,ProjNames,0)),""))</f>
        <v/>
      </c>
      <c r="G204" s="32"/>
      <c r="H204" s="11"/>
      <c r="I204" s="33"/>
      <c r="J204" s="8" t="str">
        <f aca="false">IF(COUNTA(B204,D204,G204,H204,I204)=0,"",IF(B204="","Enter date",IF(OR(B204&lt;$AC$2,B204&gt;$AC$3),"Date not in February",IF(D204="","Pick project",IF(ISNA(MATCH(D204,ProjNames,0)),"Project not in list",IF(G204="","Add task description",IF(H204="","Pick NTIME or P6",IF(N(I204)&lt;=0,"Enter hours",IF(AND(AllowOT&lt;&gt;"Yes",SUMIF($B$7:$B$256,B204,$I$7:$I$256)&gt;INDEX($O$58:$O$85,DAY(B204))),"Day over "&amp;INDEX($O$58:$O$85,DAY(B204))&amp;" h","✓")))))))))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tr">
        <f aca="false">IF(Projects!B202="","",Projects!B202)</f>
        <v/>
      </c>
      <c r="X204" s="1" t="n">
        <f aca="false">IF(W204="",0,SUMIFS($I$7:$I$256,$D$7:$D$256,W204,$H$7:$H$256,"NTIME"))</f>
        <v>0</v>
      </c>
      <c r="Y204" s="1" t="n">
        <f aca="false">IF(W204="",0,SUMIFS($I$7:$I$256,$D$7:$D$256,W204,$H$7:$H$256,"P6"))</f>
        <v>0</v>
      </c>
      <c r="Z204" s="1" t="n">
        <f aca="false">X204+Y204</f>
        <v>0</v>
      </c>
      <c r="AA204" s="1" t="n">
        <f aca="false">IF(Z204&gt;0,Z204+(201-198)/10^6,0)</f>
        <v>0</v>
      </c>
      <c r="AB204" s="1"/>
      <c r="AC204" s="1"/>
      <c r="AD204" s="1"/>
      <c r="AE204" s="1"/>
      <c r="AF204" s="1"/>
      <c r="AG204" s="1"/>
      <c r="AH204" s="1"/>
    </row>
    <row r="205" customFormat="false" ht="15" hidden="false" customHeight="false" outlineLevel="0" collapsed="false">
      <c r="A205" s="1"/>
      <c r="B205" s="10"/>
      <c r="C205" s="31" t="str">
        <f aca="false">IF(B205="","",TEXT(B205,"ddd"))</f>
        <v/>
      </c>
      <c r="D205" s="11"/>
      <c r="E205" s="8" t="str">
        <f aca="false">IF(D205="","",IFERROR(INDEX(ProjNumbers,MATCH(D205,ProjNames,0)),""))</f>
        <v/>
      </c>
      <c r="F205" s="8" t="str">
        <f aca="false">IF(D205="","",IFERROR(INDEX(ProjCodes,MATCH(D205,ProjNames,0)),""))</f>
        <v/>
      </c>
      <c r="G205" s="32"/>
      <c r="H205" s="11"/>
      <c r="I205" s="33"/>
      <c r="J205" s="8" t="str">
        <f aca="false">IF(COUNTA(B205,D205,G205,H205,I205)=0,"",IF(B205="","Enter date",IF(OR(B205&lt;$AC$2,B205&gt;$AC$3),"Date not in February",IF(D205="","Pick project",IF(ISNA(MATCH(D205,ProjNames,0)),"Project not in list",IF(G205="","Add task description",IF(H205="","Pick NTIME or P6",IF(N(I205)&lt;=0,"Enter hours",IF(AND(AllowOT&lt;&gt;"Yes",SUMIF($B$7:$B$256,B205,$I$7:$I$256)&gt;INDEX($O$58:$O$85,DAY(B205))),"Day over "&amp;INDEX($O$58:$O$85,DAY(B205))&amp;" h","✓")))))))))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tr">
        <f aca="false">IF(Projects!B203="","",Projects!B203)</f>
        <v/>
      </c>
      <c r="X205" s="1" t="n">
        <f aca="false">IF(W205="",0,SUMIFS($I$7:$I$256,$D$7:$D$256,W205,$H$7:$H$256,"NTIME"))</f>
        <v>0</v>
      </c>
      <c r="Y205" s="1" t="n">
        <f aca="false">IF(W205="",0,SUMIFS($I$7:$I$256,$D$7:$D$256,W205,$H$7:$H$256,"P6"))</f>
        <v>0</v>
      </c>
      <c r="Z205" s="1" t="n">
        <f aca="false">X205+Y205</f>
        <v>0</v>
      </c>
      <c r="AA205" s="1" t="n">
        <f aca="false">IF(Z205&gt;0,Z205+(201-199)/10^6,0)</f>
        <v>0</v>
      </c>
      <c r="AB205" s="1"/>
      <c r="AC205" s="1"/>
      <c r="AD205" s="1"/>
      <c r="AE205" s="1"/>
      <c r="AF205" s="1"/>
      <c r="AG205" s="1"/>
      <c r="AH205" s="1"/>
    </row>
    <row r="206" customFormat="false" ht="15" hidden="false" customHeight="false" outlineLevel="0" collapsed="false">
      <c r="A206" s="1"/>
      <c r="B206" s="10"/>
      <c r="C206" s="31" t="str">
        <f aca="false">IF(B206="","",TEXT(B206,"ddd"))</f>
        <v/>
      </c>
      <c r="D206" s="11"/>
      <c r="E206" s="8" t="str">
        <f aca="false">IF(D206="","",IFERROR(INDEX(ProjNumbers,MATCH(D206,ProjNames,0)),""))</f>
        <v/>
      </c>
      <c r="F206" s="8" t="str">
        <f aca="false">IF(D206="","",IFERROR(INDEX(ProjCodes,MATCH(D206,ProjNames,0)),""))</f>
        <v/>
      </c>
      <c r="G206" s="32"/>
      <c r="H206" s="11"/>
      <c r="I206" s="33"/>
      <c r="J206" s="8" t="str">
        <f aca="false">IF(COUNTA(B206,D206,G206,H206,I206)=0,"",IF(B206="","Enter date",IF(OR(B206&lt;$AC$2,B206&gt;$AC$3),"Date not in February",IF(D206="","Pick project",IF(ISNA(MATCH(D206,ProjNames,0)),"Project not in list",IF(G206="","Add task description",IF(H206="","Pick NTIME or P6",IF(N(I206)&lt;=0,"Enter hours",IF(AND(AllowOT&lt;&gt;"Yes",SUMIF($B$7:$B$256,B206,$I$7:$I$256)&gt;INDEX($O$58:$O$85,DAY(B206))),"Day over "&amp;INDEX($O$58:$O$85,DAY(B206))&amp;" h","✓")))))))))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tr">
        <f aca="false">IF(Projects!B204="","",Projects!B204)</f>
        <v/>
      </c>
      <c r="X206" s="1" t="n">
        <f aca="false">IF(W206="",0,SUMIFS($I$7:$I$256,$D$7:$D$256,W206,$H$7:$H$256,"NTIME"))</f>
        <v>0</v>
      </c>
      <c r="Y206" s="1" t="n">
        <f aca="false">IF(W206="",0,SUMIFS($I$7:$I$256,$D$7:$D$256,W206,$H$7:$H$256,"P6"))</f>
        <v>0</v>
      </c>
      <c r="Z206" s="1" t="n">
        <f aca="false">X206+Y206</f>
        <v>0</v>
      </c>
      <c r="AA206" s="1" t="n">
        <f aca="false">IF(Z206&gt;0,Z206+(201-200)/10^6,0)</f>
        <v>0</v>
      </c>
      <c r="AB206" s="1"/>
      <c r="AC206" s="1"/>
      <c r="AD206" s="1"/>
      <c r="AE206" s="1"/>
      <c r="AF206" s="1"/>
      <c r="AG206" s="1"/>
      <c r="AH206" s="1"/>
    </row>
    <row r="207" customFormat="false" ht="15" hidden="false" customHeight="false" outlineLevel="0" collapsed="false">
      <c r="A207" s="1"/>
      <c r="B207" s="10"/>
      <c r="C207" s="31" t="str">
        <f aca="false">IF(B207="","",TEXT(B207,"ddd"))</f>
        <v/>
      </c>
      <c r="D207" s="11"/>
      <c r="E207" s="8" t="str">
        <f aca="false">IF(D207="","",IFERROR(INDEX(ProjNumbers,MATCH(D207,ProjNames,0)),""))</f>
        <v/>
      </c>
      <c r="F207" s="8" t="str">
        <f aca="false">IF(D207="","",IFERROR(INDEX(ProjCodes,MATCH(D207,ProjNames,0)),""))</f>
        <v/>
      </c>
      <c r="G207" s="32"/>
      <c r="H207" s="11"/>
      <c r="I207" s="33"/>
      <c r="J207" s="8" t="str">
        <f aca="false">IF(COUNTA(B207,D207,G207,H207,I207)=0,"",IF(B207="","Enter date",IF(OR(B207&lt;$AC$2,B207&gt;$AC$3),"Date not in February",IF(D207="","Pick project",IF(ISNA(MATCH(D207,ProjNames,0)),"Project not in list",IF(G207="","Add task description",IF(H207="","Pick NTIME or P6",IF(N(I207)&lt;=0,"Enter hours",IF(AND(AllowOT&lt;&gt;"Yes",SUMIF($B$7:$B$256,B207,$I$7:$I$256)&gt;INDEX($O$58:$O$85,DAY(B207))),"Day over "&amp;INDEX($O$58:$O$85,DAY(B207))&amp;" h","✓")))))))))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5" hidden="false" customHeight="false" outlineLevel="0" collapsed="false">
      <c r="A208" s="1"/>
      <c r="B208" s="10"/>
      <c r="C208" s="31" t="str">
        <f aca="false">IF(B208="","",TEXT(B208,"ddd"))</f>
        <v/>
      </c>
      <c r="D208" s="11"/>
      <c r="E208" s="8" t="str">
        <f aca="false">IF(D208="","",IFERROR(INDEX(ProjNumbers,MATCH(D208,ProjNames,0)),""))</f>
        <v/>
      </c>
      <c r="F208" s="8" t="str">
        <f aca="false">IF(D208="","",IFERROR(INDEX(ProjCodes,MATCH(D208,ProjNames,0)),""))</f>
        <v/>
      </c>
      <c r="G208" s="32"/>
      <c r="H208" s="11"/>
      <c r="I208" s="33"/>
      <c r="J208" s="8" t="str">
        <f aca="false">IF(COUNTA(B208,D208,G208,H208,I208)=0,"",IF(B208="","Enter date",IF(OR(B208&lt;$AC$2,B208&gt;$AC$3),"Date not in February",IF(D208="","Pick project",IF(ISNA(MATCH(D208,ProjNames,0)),"Project not in list",IF(G208="","Add task description",IF(H208="","Pick NTIME or P6",IF(N(I208)&lt;=0,"Enter hours",IF(AND(AllowOT&lt;&gt;"Yes",SUMIF($B$7:$B$256,B208,$I$7:$I$256)&gt;INDEX($O$58:$O$85,DAY(B208))),"Day over "&amp;INDEX($O$58:$O$85,DAY(B208))&amp;" h","✓")))))))))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5" hidden="false" customHeight="false" outlineLevel="0" collapsed="false">
      <c r="A209" s="1"/>
      <c r="B209" s="10"/>
      <c r="C209" s="31" t="str">
        <f aca="false">IF(B209="","",TEXT(B209,"ddd"))</f>
        <v/>
      </c>
      <c r="D209" s="11"/>
      <c r="E209" s="8" t="str">
        <f aca="false">IF(D209="","",IFERROR(INDEX(ProjNumbers,MATCH(D209,ProjNames,0)),""))</f>
        <v/>
      </c>
      <c r="F209" s="8" t="str">
        <f aca="false">IF(D209="","",IFERROR(INDEX(ProjCodes,MATCH(D209,ProjNames,0)),""))</f>
        <v/>
      </c>
      <c r="G209" s="32"/>
      <c r="H209" s="11"/>
      <c r="I209" s="33"/>
      <c r="J209" s="8" t="str">
        <f aca="false">IF(COUNTA(B209,D209,G209,H209,I209)=0,"",IF(B209="","Enter date",IF(OR(B209&lt;$AC$2,B209&gt;$AC$3),"Date not in February",IF(D209="","Pick project",IF(ISNA(MATCH(D209,ProjNames,0)),"Project not in list",IF(G209="","Add task description",IF(H209="","Pick NTIME or P6",IF(N(I209)&lt;=0,"Enter hours",IF(AND(AllowOT&lt;&gt;"Yes",SUMIF($B$7:$B$256,B209,$I$7:$I$256)&gt;INDEX($O$58:$O$85,DAY(B209))),"Day over "&amp;INDEX($O$58:$O$85,DAY(B209))&amp;" h","✓")))))))))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5" hidden="false" customHeight="false" outlineLevel="0" collapsed="false">
      <c r="A210" s="1"/>
      <c r="B210" s="10"/>
      <c r="C210" s="31" t="str">
        <f aca="false">IF(B210="","",TEXT(B210,"ddd"))</f>
        <v/>
      </c>
      <c r="D210" s="11"/>
      <c r="E210" s="8" t="str">
        <f aca="false">IF(D210="","",IFERROR(INDEX(ProjNumbers,MATCH(D210,ProjNames,0)),""))</f>
        <v/>
      </c>
      <c r="F210" s="8" t="str">
        <f aca="false">IF(D210="","",IFERROR(INDEX(ProjCodes,MATCH(D210,ProjNames,0)),""))</f>
        <v/>
      </c>
      <c r="G210" s="32"/>
      <c r="H210" s="11"/>
      <c r="I210" s="33"/>
      <c r="J210" s="8" t="str">
        <f aca="false">IF(COUNTA(B210,D210,G210,H210,I210)=0,"",IF(B210="","Enter date",IF(OR(B210&lt;$AC$2,B210&gt;$AC$3),"Date not in February",IF(D210="","Pick project",IF(ISNA(MATCH(D210,ProjNames,0)),"Project not in list",IF(G210="","Add task description",IF(H210="","Pick NTIME or P6",IF(N(I210)&lt;=0,"Enter hours",IF(AND(AllowOT&lt;&gt;"Yes",SUMIF($B$7:$B$256,B210,$I$7:$I$256)&gt;INDEX($O$58:$O$85,DAY(B210))),"Day over "&amp;INDEX($O$58:$O$85,DAY(B210))&amp;" h","✓")))))))))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5" hidden="false" customHeight="false" outlineLevel="0" collapsed="false">
      <c r="A211" s="1"/>
      <c r="B211" s="10"/>
      <c r="C211" s="31" t="str">
        <f aca="false">IF(B211="","",TEXT(B211,"ddd"))</f>
        <v/>
      </c>
      <c r="D211" s="11"/>
      <c r="E211" s="8" t="str">
        <f aca="false">IF(D211="","",IFERROR(INDEX(ProjNumbers,MATCH(D211,ProjNames,0)),""))</f>
        <v/>
      </c>
      <c r="F211" s="8" t="str">
        <f aca="false">IF(D211="","",IFERROR(INDEX(ProjCodes,MATCH(D211,ProjNames,0)),""))</f>
        <v/>
      </c>
      <c r="G211" s="32"/>
      <c r="H211" s="11"/>
      <c r="I211" s="33"/>
      <c r="J211" s="8" t="str">
        <f aca="false">IF(COUNTA(B211,D211,G211,H211,I211)=0,"",IF(B211="","Enter date",IF(OR(B211&lt;$AC$2,B211&gt;$AC$3),"Date not in February",IF(D211="","Pick project",IF(ISNA(MATCH(D211,ProjNames,0)),"Project not in list",IF(G211="","Add task description",IF(H211="","Pick NTIME or P6",IF(N(I211)&lt;=0,"Enter hours",IF(AND(AllowOT&lt;&gt;"Yes",SUMIF($B$7:$B$256,B211,$I$7:$I$256)&gt;INDEX($O$58:$O$85,DAY(B211))),"Day over "&amp;INDEX($O$58:$O$85,DAY(B211))&amp;" h","✓")))))))))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5" hidden="false" customHeight="false" outlineLevel="0" collapsed="false">
      <c r="A212" s="1"/>
      <c r="B212" s="10"/>
      <c r="C212" s="31" t="str">
        <f aca="false">IF(B212="","",TEXT(B212,"ddd"))</f>
        <v/>
      </c>
      <c r="D212" s="11"/>
      <c r="E212" s="8" t="str">
        <f aca="false">IF(D212="","",IFERROR(INDEX(ProjNumbers,MATCH(D212,ProjNames,0)),""))</f>
        <v/>
      </c>
      <c r="F212" s="8" t="str">
        <f aca="false">IF(D212="","",IFERROR(INDEX(ProjCodes,MATCH(D212,ProjNames,0)),""))</f>
        <v/>
      </c>
      <c r="G212" s="32"/>
      <c r="H212" s="11"/>
      <c r="I212" s="33"/>
      <c r="J212" s="8" t="str">
        <f aca="false">IF(COUNTA(B212,D212,G212,H212,I212)=0,"",IF(B212="","Enter date",IF(OR(B212&lt;$AC$2,B212&gt;$AC$3),"Date not in February",IF(D212="","Pick project",IF(ISNA(MATCH(D212,ProjNames,0)),"Project not in list",IF(G212="","Add task description",IF(H212="","Pick NTIME or P6",IF(N(I212)&lt;=0,"Enter hours",IF(AND(AllowOT&lt;&gt;"Yes",SUMIF($B$7:$B$256,B212,$I$7:$I$256)&gt;INDEX($O$58:$O$85,DAY(B212))),"Day over "&amp;INDEX($O$58:$O$85,DAY(B212))&amp;" h","✓")))))))))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5" hidden="false" customHeight="false" outlineLevel="0" collapsed="false">
      <c r="A213" s="1"/>
      <c r="B213" s="10"/>
      <c r="C213" s="31" t="str">
        <f aca="false">IF(B213="","",TEXT(B213,"ddd"))</f>
        <v/>
      </c>
      <c r="D213" s="11"/>
      <c r="E213" s="8" t="str">
        <f aca="false">IF(D213="","",IFERROR(INDEX(ProjNumbers,MATCH(D213,ProjNames,0)),""))</f>
        <v/>
      </c>
      <c r="F213" s="8" t="str">
        <f aca="false">IF(D213="","",IFERROR(INDEX(ProjCodes,MATCH(D213,ProjNames,0)),""))</f>
        <v/>
      </c>
      <c r="G213" s="32"/>
      <c r="H213" s="11"/>
      <c r="I213" s="33"/>
      <c r="J213" s="8" t="str">
        <f aca="false">IF(COUNTA(B213,D213,G213,H213,I213)=0,"",IF(B213="","Enter date",IF(OR(B213&lt;$AC$2,B213&gt;$AC$3),"Date not in February",IF(D213="","Pick project",IF(ISNA(MATCH(D213,ProjNames,0)),"Project not in list",IF(G213="","Add task description",IF(H213="","Pick NTIME or P6",IF(N(I213)&lt;=0,"Enter hours",IF(AND(AllowOT&lt;&gt;"Yes",SUMIF($B$7:$B$256,B213,$I$7:$I$256)&gt;INDEX($O$58:$O$85,DAY(B213))),"Day over "&amp;INDEX($O$58:$O$85,DAY(B213))&amp;" h","✓")))))))))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5" hidden="false" customHeight="false" outlineLevel="0" collapsed="false">
      <c r="A214" s="1"/>
      <c r="B214" s="10"/>
      <c r="C214" s="31" t="str">
        <f aca="false">IF(B214="","",TEXT(B214,"ddd"))</f>
        <v/>
      </c>
      <c r="D214" s="11"/>
      <c r="E214" s="8" t="str">
        <f aca="false">IF(D214="","",IFERROR(INDEX(ProjNumbers,MATCH(D214,ProjNames,0)),""))</f>
        <v/>
      </c>
      <c r="F214" s="8" t="str">
        <f aca="false">IF(D214="","",IFERROR(INDEX(ProjCodes,MATCH(D214,ProjNames,0)),""))</f>
        <v/>
      </c>
      <c r="G214" s="32"/>
      <c r="H214" s="11"/>
      <c r="I214" s="33"/>
      <c r="J214" s="8" t="str">
        <f aca="false">IF(COUNTA(B214,D214,G214,H214,I214)=0,"",IF(B214="","Enter date",IF(OR(B214&lt;$AC$2,B214&gt;$AC$3),"Date not in February",IF(D214="","Pick project",IF(ISNA(MATCH(D214,ProjNames,0)),"Project not in list",IF(G214="","Add task description",IF(H214="","Pick NTIME or P6",IF(N(I214)&lt;=0,"Enter hours",IF(AND(AllowOT&lt;&gt;"Yes",SUMIF($B$7:$B$256,B214,$I$7:$I$256)&gt;INDEX($O$58:$O$85,DAY(B214))),"Day over "&amp;INDEX($O$58:$O$85,DAY(B214))&amp;" h","✓")))))))))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5" hidden="false" customHeight="false" outlineLevel="0" collapsed="false">
      <c r="A215" s="1"/>
      <c r="B215" s="10"/>
      <c r="C215" s="31" t="str">
        <f aca="false">IF(B215="","",TEXT(B215,"ddd"))</f>
        <v/>
      </c>
      <c r="D215" s="11"/>
      <c r="E215" s="8" t="str">
        <f aca="false">IF(D215="","",IFERROR(INDEX(ProjNumbers,MATCH(D215,ProjNames,0)),""))</f>
        <v/>
      </c>
      <c r="F215" s="8" t="str">
        <f aca="false">IF(D215="","",IFERROR(INDEX(ProjCodes,MATCH(D215,ProjNames,0)),""))</f>
        <v/>
      </c>
      <c r="G215" s="32"/>
      <c r="H215" s="11"/>
      <c r="I215" s="33"/>
      <c r="J215" s="8" t="str">
        <f aca="false">IF(COUNTA(B215,D215,G215,H215,I215)=0,"",IF(B215="","Enter date",IF(OR(B215&lt;$AC$2,B215&gt;$AC$3),"Date not in February",IF(D215="","Pick project",IF(ISNA(MATCH(D215,ProjNames,0)),"Project not in list",IF(G215="","Add task description",IF(H215="","Pick NTIME or P6",IF(N(I215)&lt;=0,"Enter hours",IF(AND(AllowOT&lt;&gt;"Yes",SUMIF($B$7:$B$256,B215,$I$7:$I$256)&gt;INDEX($O$58:$O$85,DAY(B215))),"Day over "&amp;INDEX($O$58:$O$85,DAY(B215))&amp;" h","✓")))))))))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5" hidden="false" customHeight="false" outlineLevel="0" collapsed="false">
      <c r="A216" s="1"/>
      <c r="B216" s="10"/>
      <c r="C216" s="31" t="str">
        <f aca="false">IF(B216="","",TEXT(B216,"ddd"))</f>
        <v/>
      </c>
      <c r="D216" s="11"/>
      <c r="E216" s="8" t="str">
        <f aca="false">IF(D216="","",IFERROR(INDEX(ProjNumbers,MATCH(D216,ProjNames,0)),""))</f>
        <v/>
      </c>
      <c r="F216" s="8" t="str">
        <f aca="false">IF(D216="","",IFERROR(INDEX(ProjCodes,MATCH(D216,ProjNames,0)),""))</f>
        <v/>
      </c>
      <c r="G216" s="32"/>
      <c r="H216" s="11"/>
      <c r="I216" s="33"/>
      <c r="J216" s="8" t="str">
        <f aca="false">IF(COUNTA(B216,D216,G216,H216,I216)=0,"",IF(B216="","Enter date",IF(OR(B216&lt;$AC$2,B216&gt;$AC$3),"Date not in February",IF(D216="","Pick project",IF(ISNA(MATCH(D216,ProjNames,0)),"Project not in list",IF(G216="","Add task description",IF(H216="","Pick NTIME or P6",IF(N(I216)&lt;=0,"Enter hours",IF(AND(AllowOT&lt;&gt;"Yes",SUMIF($B$7:$B$256,B216,$I$7:$I$256)&gt;INDEX($O$58:$O$85,DAY(B216))),"Day over "&amp;INDEX($O$58:$O$85,DAY(B216))&amp;" h","✓")))))))))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5" hidden="false" customHeight="false" outlineLevel="0" collapsed="false">
      <c r="A217" s="1"/>
      <c r="B217" s="10"/>
      <c r="C217" s="31" t="str">
        <f aca="false">IF(B217="","",TEXT(B217,"ddd"))</f>
        <v/>
      </c>
      <c r="D217" s="11"/>
      <c r="E217" s="8" t="str">
        <f aca="false">IF(D217="","",IFERROR(INDEX(ProjNumbers,MATCH(D217,ProjNames,0)),""))</f>
        <v/>
      </c>
      <c r="F217" s="8" t="str">
        <f aca="false">IF(D217="","",IFERROR(INDEX(ProjCodes,MATCH(D217,ProjNames,0)),""))</f>
        <v/>
      </c>
      <c r="G217" s="32"/>
      <c r="H217" s="11"/>
      <c r="I217" s="33"/>
      <c r="J217" s="8" t="str">
        <f aca="false">IF(COUNTA(B217,D217,G217,H217,I217)=0,"",IF(B217="","Enter date",IF(OR(B217&lt;$AC$2,B217&gt;$AC$3),"Date not in February",IF(D217="","Pick project",IF(ISNA(MATCH(D217,ProjNames,0)),"Project not in list",IF(G217="","Add task description",IF(H217="","Pick NTIME or P6",IF(N(I217)&lt;=0,"Enter hours",IF(AND(AllowOT&lt;&gt;"Yes",SUMIF($B$7:$B$256,B217,$I$7:$I$256)&gt;INDEX($O$58:$O$85,DAY(B217))),"Day over "&amp;INDEX($O$58:$O$85,DAY(B217))&amp;" h","✓")))))))))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5" hidden="false" customHeight="false" outlineLevel="0" collapsed="false">
      <c r="A218" s="1"/>
      <c r="B218" s="10"/>
      <c r="C218" s="31" t="str">
        <f aca="false">IF(B218="","",TEXT(B218,"ddd"))</f>
        <v/>
      </c>
      <c r="D218" s="11"/>
      <c r="E218" s="8" t="str">
        <f aca="false">IF(D218="","",IFERROR(INDEX(ProjNumbers,MATCH(D218,ProjNames,0)),""))</f>
        <v/>
      </c>
      <c r="F218" s="8" t="str">
        <f aca="false">IF(D218="","",IFERROR(INDEX(ProjCodes,MATCH(D218,ProjNames,0)),""))</f>
        <v/>
      </c>
      <c r="G218" s="32"/>
      <c r="H218" s="11"/>
      <c r="I218" s="33"/>
      <c r="J218" s="8" t="str">
        <f aca="false">IF(COUNTA(B218,D218,G218,H218,I218)=0,"",IF(B218="","Enter date",IF(OR(B218&lt;$AC$2,B218&gt;$AC$3),"Date not in February",IF(D218="","Pick project",IF(ISNA(MATCH(D218,ProjNames,0)),"Project not in list",IF(G218="","Add task description",IF(H218="","Pick NTIME or P6",IF(N(I218)&lt;=0,"Enter hours",IF(AND(AllowOT&lt;&gt;"Yes",SUMIF($B$7:$B$256,B218,$I$7:$I$256)&gt;INDEX($O$58:$O$85,DAY(B218))),"Day over "&amp;INDEX($O$58:$O$85,DAY(B218))&amp;" h","✓")))))))))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5" hidden="false" customHeight="false" outlineLevel="0" collapsed="false">
      <c r="A219" s="1"/>
      <c r="B219" s="10"/>
      <c r="C219" s="31" t="str">
        <f aca="false">IF(B219="","",TEXT(B219,"ddd"))</f>
        <v/>
      </c>
      <c r="D219" s="11"/>
      <c r="E219" s="8" t="str">
        <f aca="false">IF(D219="","",IFERROR(INDEX(ProjNumbers,MATCH(D219,ProjNames,0)),""))</f>
        <v/>
      </c>
      <c r="F219" s="8" t="str">
        <f aca="false">IF(D219="","",IFERROR(INDEX(ProjCodes,MATCH(D219,ProjNames,0)),""))</f>
        <v/>
      </c>
      <c r="G219" s="32"/>
      <c r="H219" s="11"/>
      <c r="I219" s="33"/>
      <c r="J219" s="8" t="str">
        <f aca="false">IF(COUNTA(B219,D219,G219,H219,I219)=0,"",IF(B219="","Enter date",IF(OR(B219&lt;$AC$2,B219&gt;$AC$3),"Date not in February",IF(D219="","Pick project",IF(ISNA(MATCH(D219,ProjNames,0)),"Project not in list",IF(G219="","Add task description",IF(H219="","Pick NTIME or P6",IF(N(I219)&lt;=0,"Enter hours",IF(AND(AllowOT&lt;&gt;"Yes",SUMIF($B$7:$B$256,B219,$I$7:$I$256)&gt;INDEX($O$58:$O$85,DAY(B219))),"Day over "&amp;INDEX($O$58:$O$85,DAY(B219))&amp;" h","✓")))))))))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5" hidden="false" customHeight="false" outlineLevel="0" collapsed="false">
      <c r="A220" s="1"/>
      <c r="B220" s="10"/>
      <c r="C220" s="31" t="str">
        <f aca="false">IF(B220="","",TEXT(B220,"ddd"))</f>
        <v/>
      </c>
      <c r="D220" s="11"/>
      <c r="E220" s="8" t="str">
        <f aca="false">IF(D220="","",IFERROR(INDEX(ProjNumbers,MATCH(D220,ProjNames,0)),""))</f>
        <v/>
      </c>
      <c r="F220" s="8" t="str">
        <f aca="false">IF(D220="","",IFERROR(INDEX(ProjCodes,MATCH(D220,ProjNames,0)),""))</f>
        <v/>
      </c>
      <c r="G220" s="32"/>
      <c r="H220" s="11"/>
      <c r="I220" s="33"/>
      <c r="J220" s="8" t="str">
        <f aca="false">IF(COUNTA(B220,D220,G220,H220,I220)=0,"",IF(B220="","Enter date",IF(OR(B220&lt;$AC$2,B220&gt;$AC$3),"Date not in February",IF(D220="","Pick project",IF(ISNA(MATCH(D220,ProjNames,0)),"Project not in list",IF(G220="","Add task description",IF(H220="","Pick NTIME or P6",IF(N(I220)&lt;=0,"Enter hours",IF(AND(AllowOT&lt;&gt;"Yes",SUMIF($B$7:$B$256,B220,$I$7:$I$256)&gt;INDEX($O$58:$O$85,DAY(B220))),"Day over "&amp;INDEX($O$58:$O$85,DAY(B220))&amp;" h","✓")))))))))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5" hidden="false" customHeight="false" outlineLevel="0" collapsed="false">
      <c r="A221" s="1"/>
      <c r="B221" s="10"/>
      <c r="C221" s="31" t="str">
        <f aca="false">IF(B221="","",TEXT(B221,"ddd"))</f>
        <v/>
      </c>
      <c r="D221" s="11"/>
      <c r="E221" s="8" t="str">
        <f aca="false">IF(D221="","",IFERROR(INDEX(ProjNumbers,MATCH(D221,ProjNames,0)),""))</f>
        <v/>
      </c>
      <c r="F221" s="8" t="str">
        <f aca="false">IF(D221="","",IFERROR(INDEX(ProjCodes,MATCH(D221,ProjNames,0)),""))</f>
        <v/>
      </c>
      <c r="G221" s="32"/>
      <c r="H221" s="11"/>
      <c r="I221" s="33"/>
      <c r="J221" s="8" t="str">
        <f aca="false">IF(COUNTA(B221,D221,G221,H221,I221)=0,"",IF(B221="","Enter date",IF(OR(B221&lt;$AC$2,B221&gt;$AC$3),"Date not in February",IF(D221="","Pick project",IF(ISNA(MATCH(D221,ProjNames,0)),"Project not in list",IF(G221="","Add task description",IF(H221="","Pick NTIME or P6",IF(N(I221)&lt;=0,"Enter hours",IF(AND(AllowOT&lt;&gt;"Yes",SUMIF($B$7:$B$256,B221,$I$7:$I$256)&gt;INDEX($O$58:$O$85,DAY(B221))),"Day over "&amp;INDEX($O$58:$O$85,DAY(B221))&amp;" h","✓")))))))))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5" hidden="false" customHeight="false" outlineLevel="0" collapsed="false">
      <c r="A222" s="1"/>
      <c r="B222" s="10"/>
      <c r="C222" s="31" t="str">
        <f aca="false">IF(B222="","",TEXT(B222,"ddd"))</f>
        <v/>
      </c>
      <c r="D222" s="11"/>
      <c r="E222" s="8" t="str">
        <f aca="false">IF(D222="","",IFERROR(INDEX(ProjNumbers,MATCH(D222,ProjNames,0)),""))</f>
        <v/>
      </c>
      <c r="F222" s="8" t="str">
        <f aca="false">IF(D222="","",IFERROR(INDEX(ProjCodes,MATCH(D222,ProjNames,0)),""))</f>
        <v/>
      </c>
      <c r="G222" s="32"/>
      <c r="H222" s="11"/>
      <c r="I222" s="33"/>
      <c r="J222" s="8" t="str">
        <f aca="false">IF(COUNTA(B222,D222,G222,H222,I222)=0,"",IF(B222="","Enter date",IF(OR(B222&lt;$AC$2,B222&gt;$AC$3),"Date not in February",IF(D222="","Pick project",IF(ISNA(MATCH(D222,ProjNames,0)),"Project not in list",IF(G222="","Add task description",IF(H222="","Pick NTIME or P6",IF(N(I222)&lt;=0,"Enter hours",IF(AND(AllowOT&lt;&gt;"Yes",SUMIF($B$7:$B$256,B222,$I$7:$I$256)&gt;INDEX($O$58:$O$85,DAY(B222))),"Day over "&amp;INDEX($O$58:$O$85,DAY(B222))&amp;" h","✓")))))))))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5" hidden="false" customHeight="false" outlineLevel="0" collapsed="false">
      <c r="A223" s="1"/>
      <c r="B223" s="10"/>
      <c r="C223" s="31" t="str">
        <f aca="false">IF(B223="","",TEXT(B223,"ddd"))</f>
        <v/>
      </c>
      <c r="D223" s="11"/>
      <c r="E223" s="8" t="str">
        <f aca="false">IF(D223="","",IFERROR(INDEX(ProjNumbers,MATCH(D223,ProjNames,0)),""))</f>
        <v/>
      </c>
      <c r="F223" s="8" t="str">
        <f aca="false">IF(D223="","",IFERROR(INDEX(ProjCodes,MATCH(D223,ProjNames,0)),""))</f>
        <v/>
      </c>
      <c r="G223" s="32"/>
      <c r="H223" s="11"/>
      <c r="I223" s="33"/>
      <c r="J223" s="8" t="str">
        <f aca="false">IF(COUNTA(B223,D223,G223,H223,I223)=0,"",IF(B223="","Enter date",IF(OR(B223&lt;$AC$2,B223&gt;$AC$3),"Date not in February",IF(D223="","Pick project",IF(ISNA(MATCH(D223,ProjNames,0)),"Project not in list",IF(G223="","Add task description",IF(H223="","Pick NTIME or P6",IF(N(I223)&lt;=0,"Enter hours",IF(AND(AllowOT&lt;&gt;"Yes",SUMIF($B$7:$B$256,B223,$I$7:$I$256)&gt;INDEX($O$58:$O$85,DAY(B223))),"Day over "&amp;INDEX($O$58:$O$85,DAY(B223))&amp;" h","✓")))))))))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5" hidden="false" customHeight="false" outlineLevel="0" collapsed="false">
      <c r="A224" s="1"/>
      <c r="B224" s="10"/>
      <c r="C224" s="31" t="str">
        <f aca="false">IF(B224="","",TEXT(B224,"ddd"))</f>
        <v/>
      </c>
      <c r="D224" s="11"/>
      <c r="E224" s="8" t="str">
        <f aca="false">IF(D224="","",IFERROR(INDEX(ProjNumbers,MATCH(D224,ProjNames,0)),""))</f>
        <v/>
      </c>
      <c r="F224" s="8" t="str">
        <f aca="false">IF(D224="","",IFERROR(INDEX(ProjCodes,MATCH(D224,ProjNames,0)),""))</f>
        <v/>
      </c>
      <c r="G224" s="32"/>
      <c r="H224" s="11"/>
      <c r="I224" s="33"/>
      <c r="J224" s="8" t="str">
        <f aca="false">IF(COUNTA(B224,D224,G224,H224,I224)=0,"",IF(B224="","Enter date",IF(OR(B224&lt;$AC$2,B224&gt;$AC$3),"Date not in February",IF(D224="","Pick project",IF(ISNA(MATCH(D224,ProjNames,0)),"Project not in list",IF(G224="","Add task description",IF(H224="","Pick NTIME or P6",IF(N(I224)&lt;=0,"Enter hours",IF(AND(AllowOT&lt;&gt;"Yes",SUMIF($B$7:$B$256,B224,$I$7:$I$256)&gt;INDEX($O$58:$O$85,DAY(B224))),"Day over "&amp;INDEX($O$58:$O$85,DAY(B224))&amp;" h","✓")))))))))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5" hidden="false" customHeight="false" outlineLevel="0" collapsed="false">
      <c r="A225" s="1"/>
      <c r="B225" s="10"/>
      <c r="C225" s="31" t="str">
        <f aca="false">IF(B225="","",TEXT(B225,"ddd"))</f>
        <v/>
      </c>
      <c r="D225" s="11"/>
      <c r="E225" s="8" t="str">
        <f aca="false">IF(D225="","",IFERROR(INDEX(ProjNumbers,MATCH(D225,ProjNames,0)),""))</f>
        <v/>
      </c>
      <c r="F225" s="8" t="str">
        <f aca="false">IF(D225="","",IFERROR(INDEX(ProjCodes,MATCH(D225,ProjNames,0)),""))</f>
        <v/>
      </c>
      <c r="G225" s="32"/>
      <c r="H225" s="11"/>
      <c r="I225" s="33"/>
      <c r="J225" s="8" t="str">
        <f aca="false">IF(COUNTA(B225,D225,G225,H225,I225)=0,"",IF(B225="","Enter date",IF(OR(B225&lt;$AC$2,B225&gt;$AC$3),"Date not in February",IF(D225="","Pick project",IF(ISNA(MATCH(D225,ProjNames,0)),"Project not in list",IF(G225="","Add task description",IF(H225="","Pick NTIME or P6",IF(N(I225)&lt;=0,"Enter hours",IF(AND(AllowOT&lt;&gt;"Yes",SUMIF($B$7:$B$256,B225,$I$7:$I$256)&gt;INDEX($O$58:$O$85,DAY(B225))),"Day over "&amp;INDEX($O$58:$O$85,DAY(B225))&amp;" h","✓")))))))))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5" hidden="false" customHeight="false" outlineLevel="0" collapsed="false">
      <c r="A226" s="1"/>
      <c r="B226" s="10"/>
      <c r="C226" s="31" t="str">
        <f aca="false">IF(B226="","",TEXT(B226,"ddd"))</f>
        <v/>
      </c>
      <c r="D226" s="11"/>
      <c r="E226" s="8" t="str">
        <f aca="false">IF(D226="","",IFERROR(INDEX(ProjNumbers,MATCH(D226,ProjNames,0)),""))</f>
        <v/>
      </c>
      <c r="F226" s="8" t="str">
        <f aca="false">IF(D226="","",IFERROR(INDEX(ProjCodes,MATCH(D226,ProjNames,0)),""))</f>
        <v/>
      </c>
      <c r="G226" s="32"/>
      <c r="H226" s="11"/>
      <c r="I226" s="33"/>
      <c r="J226" s="8" t="str">
        <f aca="false">IF(COUNTA(B226,D226,G226,H226,I226)=0,"",IF(B226="","Enter date",IF(OR(B226&lt;$AC$2,B226&gt;$AC$3),"Date not in February",IF(D226="","Pick project",IF(ISNA(MATCH(D226,ProjNames,0)),"Project not in list",IF(G226="","Add task description",IF(H226="","Pick NTIME or P6",IF(N(I226)&lt;=0,"Enter hours",IF(AND(AllowOT&lt;&gt;"Yes",SUMIF($B$7:$B$256,B226,$I$7:$I$256)&gt;INDEX($O$58:$O$85,DAY(B226))),"Day over "&amp;INDEX($O$58:$O$85,DAY(B226))&amp;" h","✓")))))))))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5" hidden="false" customHeight="false" outlineLevel="0" collapsed="false">
      <c r="A227" s="1"/>
      <c r="B227" s="10"/>
      <c r="C227" s="31" t="str">
        <f aca="false">IF(B227="","",TEXT(B227,"ddd"))</f>
        <v/>
      </c>
      <c r="D227" s="11"/>
      <c r="E227" s="8" t="str">
        <f aca="false">IF(D227="","",IFERROR(INDEX(ProjNumbers,MATCH(D227,ProjNames,0)),""))</f>
        <v/>
      </c>
      <c r="F227" s="8" t="str">
        <f aca="false">IF(D227="","",IFERROR(INDEX(ProjCodes,MATCH(D227,ProjNames,0)),""))</f>
        <v/>
      </c>
      <c r="G227" s="32"/>
      <c r="H227" s="11"/>
      <c r="I227" s="33"/>
      <c r="J227" s="8" t="str">
        <f aca="false">IF(COUNTA(B227,D227,G227,H227,I227)=0,"",IF(B227="","Enter date",IF(OR(B227&lt;$AC$2,B227&gt;$AC$3),"Date not in February",IF(D227="","Pick project",IF(ISNA(MATCH(D227,ProjNames,0)),"Project not in list",IF(G227="","Add task description",IF(H227="","Pick NTIME or P6",IF(N(I227)&lt;=0,"Enter hours",IF(AND(AllowOT&lt;&gt;"Yes",SUMIF($B$7:$B$256,B227,$I$7:$I$256)&gt;INDEX($O$58:$O$85,DAY(B227))),"Day over "&amp;INDEX($O$58:$O$85,DAY(B227))&amp;" h","✓")))))))))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5" hidden="false" customHeight="false" outlineLevel="0" collapsed="false">
      <c r="A228" s="1"/>
      <c r="B228" s="10"/>
      <c r="C228" s="31" t="str">
        <f aca="false">IF(B228="","",TEXT(B228,"ddd"))</f>
        <v/>
      </c>
      <c r="D228" s="11"/>
      <c r="E228" s="8" t="str">
        <f aca="false">IF(D228="","",IFERROR(INDEX(ProjNumbers,MATCH(D228,ProjNames,0)),""))</f>
        <v/>
      </c>
      <c r="F228" s="8" t="str">
        <f aca="false">IF(D228="","",IFERROR(INDEX(ProjCodes,MATCH(D228,ProjNames,0)),""))</f>
        <v/>
      </c>
      <c r="G228" s="32"/>
      <c r="H228" s="11"/>
      <c r="I228" s="33"/>
      <c r="J228" s="8" t="str">
        <f aca="false">IF(COUNTA(B228,D228,G228,H228,I228)=0,"",IF(B228="","Enter date",IF(OR(B228&lt;$AC$2,B228&gt;$AC$3),"Date not in February",IF(D228="","Pick project",IF(ISNA(MATCH(D228,ProjNames,0)),"Project not in list",IF(G228="","Add task description",IF(H228="","Pick NTIME or P6",IF(N(I228)&lt;=0,"Enter hours",IF(AND(AllowOT&lt;&gt;"Yes",SUMIF($B$7:$B$256,B228,$I$7:$I$256)&gt;INDEX($O$58:$O$85,DAY(B228))),"Day over "&amp;INDEX($O$58:$O$85,DAY(B228))&amp;" h","✓")))))))))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5" hidden="false" customHeight="false" outlineLevel="0" collapsed="false">
      <c r="A229" s="1"/>
      <c r="B229" s="10"/>
      <c r="C229" s="31" t="str">
        <f aca="false">IF(B229="","",TEXT(B229,"ddd"))</f>
        <v/>
      </c>
      <c r="D229" s="11"/>
      <c r="E229" s="8" t="str">
        <f aca="false">IF(D229="","",IFERROR(INDEX(ProjNumbers,MATCH(D229,ProjNames,0)),""))</f>
        <v/>
      </c>
      <c r="F229" s="8" t="str">
        <f aca="false">IF(D229="","",IFERROR(INDEX(ProjCodes,MATCH(D229,ProjNames,0)),""))</f>
        <v/>
      </c>
      <c r="G229" s="32"/>
      <c r="H229" s="11"/>
      <c r="I229" s="33"/>
      <c r="J229" s="8" t="str">
        <f aca="false">IF(COUNTA(B229,D229,G229,H229,I229)=0,"",IF(B229="","Enter date",IF(OR(B229&lt;$AC$2,B229&gt;$AC$3),"Date not in February",IF(D229="","Pick project",IF(ISNA(MATCH(D229,ProjNames,0)),"Project not in list",IF(G229="","Add task description",IF(H229="","Pick NTIME or P6",IF(N(I229)&lt;=0,"Enter hours",IF(AND(AllowOT&lt;&gt;"Yes",SUMIF($B$7:$B$256,B229,$I$7:$I$256)&gt;INDEX($O$58:$O$85,DAY(B229))),"Day over "&amp;INDEX($O$58:$O$85,DAY(B229))&amp;" h","✓")))))))))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5" hidden="false" customHeight="false" outlineLevel="0" collapsed="false">
      <c r="A230" s="1"/>
      <c r="B230" s="10"/>
      <c r="C230" s="31" t="str">
        <f aca="false">IF(B230="","",TEXT(B230,"ddd"))</f>
        <v/>
      </c>
      <c r="D230" s="11"/>
      <c r="E230" s="8" t="str">
        <f aca="false">IF(D230="","",IFERROR(INDEX(ProjNumbers,MATCH(D230,ProjNames,0)),""))</f>
        <v/>
      </c>
      <c r="F230" s="8" t="str">
        <f aca="false">IF(D230="","",IFERROR(INDEX(ProjCodes,MATCH(D230,ProjNames,0)),""))</f>
        <v/>
      </c>
      <c r="G230" s="32"/>
      <c r="H230" s="11"/>
      <c r="I230" s="33"/>
      <c r="J230" s="8" t="str">
        <f aca="false">IF(COUNTA(B230,D230,G230,H230,I230)=0,"",IF(B230="","Enter date",IF(OR(B230&lt;$AC$2,B230&gt;$AC$3),"Date not in February",IF(D230="","Pick project",IF(ISNA(MATCH(D230,ProjNames,0)),"Project not in list",IF(G230="","Add task description",IF(H230="","Pick NTIME or P6",IF(N(I230)&lt;=0,"Enter hours",IF(AND(AllowOT&lt;&gt;"Yes",SUMIF($B$7:$B$256,B230,$I$7:$I$256)&gt;INDEX($O$58:$O$85,DAY(B230))),"Day over "&amp;INDEX($O$58:$O$85,DAY(B230))&amp;" h","✓")))))))))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5" hidden="false" customHeight="false" outlineLevel="0" collapsed="false">
      <c r="A231" s="1"/>
      <c r="B231" s="10"/>
      <c r="C231" s="31" t="str">
        <f aca="false">IF(B231="","",TEXT(B231,"ddd"))</f>
        <v/>
      </c>
      <c r="D231" s="11"/>
      <c r="E231" s="8" t="str">
        <f aca="false">IF(D231="","",IFERROR(INDEX(ProjNumbers,MATCH(D231,ProjNames,0)),""))</f>
        <v/>
      </c>
      <c r="F231" s="8" t="str">
        <f aca="false">IF(D231="","",IFERROR(INDEX(ProjCodes,MATCH(D231,ProjNames,0)),""))</f>
        <v/>
      </c>
      <c r="G231" s="32"/>
      <c r="H231" s="11"/>
      <c r="I231" s="33"/>
      <c r="J231" s="8" t="str">
        <f aca="false">IF(COUNTA(B231,D231,G231,H231,I231)=0,"",IF(B231="","Enter date",IF(OR(B231&lt;$AC$2,B231&gt;$AC$3),"Date not in February",IF(D231="","Pick project",IF(ISNA(MATCH(D231,ProjNames,0)),"Project not in list",IF(G231="","Add task description",IF(H231="","Pick NTIME or P6",IF(N(I231)&lt;=0,"Enter hours",IF(AND(AllowOT&lt;&gt;"Yes",SUMIF($B$7:$B$256,B231,$I$7:$I$256)&gt;INDEX($O$58:$O$85,DAY(B231))),"Day over "&amp;INDEX($O$58:$O$85,DAY(B231))&amp;" h","✓")))))))))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5" hidden="false" customHeight="false" outlineLevel="0" collapsed="false">
      <c r="A232" s="1"/>
      <c r="B232" s="10"/>
      <c r="C232" s="31" t="str">
        <f aca="false">IF(B232="","",TEXT(B232,"ddd"))</f>
        <v/>
      </c>
      <c r="D232" s="11"/>
      <c r="E232" s="8" t="str">
        <f aca="false">IF(D232="","",IFERROR(INDEX(ProjNumbers,MATCH(D232,ProjNames,0)),""))</f>
        <v/>
      </c>
      <c r="F232" s="8" t="str">
        <f aca="false">IF(D232="","",IFERROR(INDEX(ProjCodes,MATCH(D232,ProjNames,0)),""))</f>
        <v/>
      </c>
      <c r="G232" s="32"/>
      <c r="H232" s="11"/>
      <c r="I232" s="33"/>
      <c r="J232" s="8" t="str">
        <f aca="false">IF(COUNTA(B232,D232,G232,H232,I232)=0,"",IF(B232="","Enter date",IF(OR(B232&lt;$AC$2,B232&gt;$AC$3),"Date not in February",IF(D232="","Pick project",IF(ISNA(MATCH(D232,ProjNames,0)),"Project not in list",IF(G232="","Add task description",IF(H232="","Pick NTIME or P6",IF(N(I232)&lt;=0,"Enter hours",IF(AND(AllowOT&lt;&gt;"Yes",SUMIF($B$7:$B$256,B232,$I$7:$I$256)&gt;INDEX($O$58:$O$85,DAY(B232))),"Day over "&amp;INDEX($O$58:$O$85,DAY(B232))&amp;" h","✓")))))))))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5" hidden="false" customHeight="false" outlineLevel="0" collapsed="false">
      <c r="A233" s="1"/>
      <c r="B233" s="10"/>
      <c r="C233" s="31" t="str">
        <f aca="false">IF(B233="","",TEXT(B233,"ddd"))</f>
        <v/>
      </c>
      <c r="D233" s="11"/>
      <c r="E233" s="8" t="str">
        <f aca="false">IF(D233="","",IFERROR(INDEX(ProjNumbers,MATCH(D233,ProjNames,0)),""))</f>
        <v/>
      </c>
      <c r="F233" s="8" t="str">
        <f aca="false">IF(D233="","",IFERROR(INDEX(ProjCodes,MATCH(D233,ProjNames,0)),""))</f>
        <v/>
      </c>
      <c r="G233" s="32"/>
      <c r="H233" s="11"/>
      <c r="I233" s="33"/>
      <c r="J233" s="8" t="str">
        <f aca="false">IF(COUNTA(B233,D233,G233,H233,I233)=0,"",IF(B233="","Enter date",IF(OR(B233&lt;$AC$2,B233&gt;$AC$3),"Date not in February",IF(D233="","Pick project",IF(ISNA(MATCH(D233,ProjNames,0)),"Project not in list",IF(G233="","Add task description",IF(H233="","Pick NTIME or P6",IF(N(I233)&lt;=0,"Enter hours",IF(AND(AllowOT&lt;&gt;"Yes",SUMIF($B$7:$B$256,B233,$I$7:$I$256)&gt;INDEX($O$58:$O$85,DAY(B233))),"Day over "&amp;INDEX($O$58:$O$85,DAY(B233))&amp;" h","✓")))))))))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5" hidden="false" customHeight="false" outlineLevel="0" collapsed="false">
      <c r="A234" s="1"/>
      <c r="B234" s="10"/>
      <c r="C234" s="31" t="str">
        <f aca="false">IF(B234="","",TEXT(B234,"ddd"))</f>
        <v/>
      </c>
      <c r="D234" s="11"/>
      <c r="E234" s="8" t="str">
        <f aca="false">IF(D234="","",IFERROR(INDEX(ProjNumbers,MATCH(D234,ProjNames,0)),""))</f>
        <v/>
      </c>
      <c r="F234" s="8" t="str">
        <f aca="false">IF(D234="","",IFERROR(INDEX(ProjCodes,MATCH(D234,ProjNames,0)),""))</f>
        <v/>
      </c>
      <c r="G234" s="32"/>
      <c r="H234" s="11"/>
      <c r="I234" s="33"/>
      <c r="J234" s="8" t="str">
        <f aca="false">IF(COUNTA(B234,D234,G234,H234,I234)=0,"",IF(B234="","Enter date",IF(OR(B234&lt;$AC$2,B234&gt;$AC$3),"Date not in February",IF(D234="","Pick project",IF(ISNA(MATCH(D234,ProjNames,0)),"Project not in list",IF(G234="","Add task description",IF(H234="","Pick NTIME or P6",IF(N(I234)&lt;=0,"Enter hours",IF(AND(AllowOT&lt;&gt;"Yes",SUMIF($B$7:$B$256,B234,$I$7:$I$256)&gt;INDEX($O$58:$O$85,DAY(B234))),"Day over "&amp;INDEX($O$58:$O$85,DAY(B234))&amp;" h","✓")))))))))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5" hidden="false" customHeight="false" outlineLevel="0" collapsed="false">
      <c r="A235" s="1"/>
      <c r="B235" s="10"/>
      <c r="C235" s="31" t="str">
        <f aca="false">IF(B235="","",TEXT(B235,"ddd"))</f>
        <v/>
      </c>
      <c r="D235" s="11"/>
      <c r="E235" s="8" t="str">
        <f aca="false">IF(D235="","",IFERROR(INDEX(ProjNumbers,MATCH(D235,ProjNames,0)),""))</f>
        <v/>
      </c>
      <c r="F235" s="8" t="str">
        <f aca="false">IF(D235="","",IFERROR(INDEX(ProjCodes,MATCH(D235,ProjNames,0)),""))</f>
        <v/>
      </c>
      <c r="G235" s="32"/>
      <c r="H235" s="11"/>
      <c r="I235" s="33"/>
      <c r="J235" s="8" t="str">
        <f aca="false">IF(COUNTA(B235,D235,G235,H235,I235)=0,"",IF(B235="","Enter date",IF(OR(B235&lt;$AC$2,B235&gt;$AC$3),"Date not in February",IF(D235="","Pick project",IF(ISNA(MATCH(D235,ProjNames,0)),"Project not in list",IF(G235="","Add task description",IF(H235="","Pick NTIME or P6",IF(N(I235)&lt;=0,"Enter hours",IF(AND(AllowOT&lt;&gt;"Yes",SUMIF($B$7:$B$256,B235,$I$7:$I$256)&gt;INDEX($O$58:$O$85,DAY(B235))),"Day over "&amp;INDEX($O$58:$O$85,DAY(B235))&amp;" h","✓")))))))))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5" hidden="false" customHeight="false" outlineLevel="0" collapsed="false">
      <c r="A236" s="1"/>
      <c r="B236" s="10"/>
      <c r="C236" s="31" t="str">
        <f aca="false">IF(B236="","",TEXT(B236,"ddd"))</f>
        <v/>
      </c>
      <c r="D236" s="11"/>
      <c r="E236" s="8" t="str">
        <f aca="false">IF(D236="","",IFERROR(INDEX(ProjNumbers,MATCH(D236,ProjNames,0)),""))</f>
        <v/>
      </c>
      <c r="F236" s="8" t="str">
        <f aca="false">IF(D236="","",IFERROR(INDEX(ProjCodes,MATCH(D236,ProjNames,0)),""))</f>
        <v/>
      </c>
      <c r="G236" s="32"/>
      <c r="H236" s="11"/>
      <c r="I236" s="33"/>
      <c r="J236" s="8" t="str">
        <f aca="false">IF(COUNTA(B236,D236,G236,H236,I236)=0,"",IF(B236="","Enter date",IF(OR(B236&lt;$AC$2,B236&gt;$AC$3),"Date not in February",IF(D236="","Pick project",IF(ISNA(MATCH(D236,ProjNames,0)),"Project not in list",IF(G236="","Add task description",IF(H236="","Pick NTIME or P6",IF(N(I236)&lt;=0,"Enter hours",IF(AND(AllowOT&lt;&gt;"Yes",SUMIF($B$7:$B$256,B236,$I$7:$I$256)&gt;INDEX($O$58:$O$85,DAY(B236))),"Day over "&amp;INDEX($O$58:$O$85,DAY(B236))&amp;" h","✓")))))))))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5" hidden="false" customHeight="false" outlineLevel="0" collapsed="false">
      <c r="A237" s="1"/>
      <c r="B237" s="10"/>
      <c r="C237" s="31" t="str">
        <f aca="false">IF(B237="","",TEXT(B237,"ddd"))</f>
        <v/>
      </c>
      <c r="D237" s="11"/>
      <c r="E237" s="8" t="str">
        <f aca="false">IF(D237="","",IFERROR(INDEX(ProjNumbers,MATCH(D237,ProjNames,0)),""))</f>
        <v/>
      </c>
      <c r="F237" s="8" t="str">
        <f aca="false">IF(D237="","",IFERROR(INDEX(ProjCodes,MATCH(D237,ProjNames,0)),""))</f>
        <v/>
      </c>
      <c r="G237" s="32"/>
      <c r="H237" s="11"/>
      <c r="I237" s="33"/>
      <c r="J237" s="8" t="str">
        <f aca="false">IF(COUNTA(B237,D237,G237,H237,I237)=0,"",IF(B237="","Enter date",IF(OR(B237&lt;$AC$2,B237&gt;$AC$3),"Date not in February",IF(D237="","Pick project",IF(ISNA(MATCH(D237,ProjNames,0)),"Project not in list",IF(G237="","Add task description",IF(H237="","Pick NTIME or P6",IF(N(I237)&lt;=0,"Enter hours",IF(AND(AllowOT&lt;&gt;"Yes",SUMIF($B$7:$B$256,B237,$I$7:$I$256)&gt;INDEX($O$58:$O$85,DAY(B237))),"Day over "&amp;INDEX($O$58:$O$85,DAY(B237))&amp;" h","✓")))))))))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5" hidden="false" customHeight="false" outlineLevel="0" collapsed="false">
      <c r="A238" s="1"/>
      <c r="B238" s="10"/>
      <c r="C238" s="31" t="str">
        <f aca="false">IF(B238="","",TEXT(B238,"ddd"))</f>
        <v/>
      </c>
      <c r="D238" s="11"/>
      <c r="E238" s="8" t="str">
        <f aca="false">IF(D238="","",IFERROR(INDEX(ProjNumbers,MATCH(D238,ProjNames,0)),""))</f>
        <v/>
      </c>
      <c r="F238" s="8" t="str">
        <f aca="false">IF(D238="","",IFERROR(INDEX(ProjCodes,MATCH(D238,ProjNames,0)),""))</f>
        <v/>
      </c>
      <c r="G238" s="32"/>
      <c r="H238" s="11"/>
      <c r="I238" s="33"/>
      <c r="J238" s="8" t="str">
        <f aca="false">IF(COUNTA(B238,D238,G238,H238,I238)=0,"",IF(B238="","Enter date",IF(OR(B238&lt;$AC$2,B238&gt;$AC$3),"Date not in February",IF(D238="","Pick project",IF(ISNA(MATCH(D238,ProjNames,0)),"Project not in list",IF(G238="","Add task description",IF(H238="","Pick NTIME or P6",IF(N(I238)&lt;=0,"Enter hours",IF(AND(AllowOT&lt;&gt;"Yes",SUMIF($B$7:$B$256,B238,$I$7:$I$256)&gt;INDEX($O$58:$O$85,DAY(B238))),"Day over "&amp;INDEX($O$58:$O$85,DAY(B238))&amp;" h","✓")))))))))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5" hidden="false" customHeight="false" outlineLevel="0" collapsed="false">
      <c r="A239" s="1"/>
      <c r="B239" s="10"/>
      <c r="C239" s="31" t="str">
        <f aca="false">IF(B239="","",TEXT(B239,"ddd"))</f>
        <v/>
      </c>
      <c r="D239" s="11"/>
      <c r="E239" s="8" t="str">
        <f aca="false">IF(D239="","",IFERROR(INDEX(ProjNumbers,MATCH(D239,ProjNames,0)),""))</f>
        <v/>
      </c>
      <c r="F239" s="8" t="str">
        <f aca="false">IF(D239="","",IFERROR(INDEX(ProjCodes,MATCH(D239,ProjNames,0)),""))</f>
        <v/>
      </c>
      <c r="G239" s="32"/>
      <c r="H239" s="11"/>
      <c r="I239" s="33"/>
      <c r="J239" s="8" t="str">
        <f aca="false">IF(COUNTA(B239,D239,G239,H239,I239)=0,"",IF(B239="","Enter date",IF(OR(B239&lt;$AC$2,B239&gt;$AC$3),"Date not in February",IF(D239="","Pick project",IF(ISNA(MATCH(D239,ProjNames,0)),"Project not in list",IF(G239="","Add task description",IF(H239="","Pick NTIME or P6",IF(N(I239)&lt;=0,"Enter hours",IF(AND(AllowOT&lt;&gt;"Yes",SUMIF($B$7:$B$256,B239,$I$7:$I$256)&gt;INDEX($O$58:$O$85,DAY(B239))),"Day over "&amp;INDEX($O$58:$O$85,DAY(B239))&amp;" h","✓")))))))))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5" hidden="false" customHeight="false" outlineLevel="0" collapsed="false">
      <c r="A240" s="1"/>
      <c r="B240" s="10"/>
      <c r="C240" s="31" t="str">
        <f aca="false">IF(B240="","",TEXT(B240,"ddd"))</f>
        <v/>
      </c>
      <c r="D240" s="11"/>
      <c r="E240" s="8" t="str">
        <f aca="false">IF(D240="","",IFERROR(INDEX(ProjNumbers,MATCH(D240,ProjNames,0)),""))</f>
        <v/>
      </c>
      <c r="F240" s="8" t="str">
        <f aca="false">IF(D240="","",IFERROR(INDEX(ProjCodes,MATCH(D240,ProjNames,0)),""))</f>
        <v/>
      </c>
      <c r="G240" s="32"/>
      <c r="H240" s="11"/>
      <c r="I240" s="33"/>
      <c r="J240" s="8" t="str">
        <f aca="false">IF(COUNTA(B240,D240,G240,H240,I240)=0,"",IF(B240="","Enter date",IF(OR(B240&lt;$AC$2,B240&gt;$AC$3),"Date not in February",IF(D240="","Pick project",IF(ISNA(MATCH(D240,ProjNames,0)),"Project not in list",IF(G240="","Add task description",IF(H240="","Pick NTIME or P6",IF(N(I240)&lt;=0,"Enter hours",IF(AND(AllowOT&lt;&gt;"Yes",SUMIF($B$7:$B$256,B240,$I$7:$I$256)&gt;INDEX($O$58:$O$85,DAY(B240))),"Day over "&amp;INDEX($O$58:$O$85,DAY(B240))&amp;" h","✓")))))))))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5" hidden="false" customHeight="false" outlineLevel="0" collapsed="false">
      <c r="A241" s="1"/>
      <c r="B241" s="10"/>
      <c r="C241" s="31" t="str">
        <f aca="false">IF(B241="","",TEXT(B241,"ddd"))</f>
        <v/>
      </c>
      <c r="D241" s="11"/>
      <c r="E241" s="8" t="str">
        <f aca="false">IF(D241="","",IFERROR(INDEX(ProjNumbers,MATCH(D241,ProjNames,0)),""))</f>
        <v/>
      </c>
      <c r="F241" s="8" t="str">
        <f aca="false">IF(D241="","",IFERROR(INDEX(ProjCodes,MATCH(D241,ProjNames,0)),""))</f>
        <v/>
      </c>
      <c r="G241" s="32"/>
      <c r="H241" s="11"/>
      <c r="I241" s="33"/>
      <c r="J241" s="8" t="str">
        <f aca="false">IF(COUNTA(B241,D241,G241,H241,I241)=0,"",IF(B241="","Enter date",IF(OR(B241&lt;$AC$2,B241&gt;$AC$3),"Date not in February",IF(D241="","Pick project",IF(ISNA(MATCH(D241,ProjNames,0)),"Project not in list",IF(G241="","Add task description",IF(H241="","Pick NTIME or P6",IF(N(I241)&lt;=0,"Enter hours",IF(AND(AllowOT&lt;&gt;"Yes",SUMIF($B$7:$B$256,B241,$I$7:$I$256)&gt;INDEX($O$58:$O$85,DAY(B241))),"Day over "&amp;INDEX($O$58:$O$85,DAY(B241))&amp;" h","✓")))))))))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5" hidden="false" customHeight="false" outlineLevel="0" collapsed="false">
      <c r="A242" s="1"/>
      <c r="B242" s="10"/>
      <c r="C242" s="31" t="str">
        <f aca="false">IF(B242="","",TEXT(B242,"ddd"))</f>
        <v/>
      </c>
      <c r="D242" s="11"/>
      <c r="E242" s="8" t="str">
        <f aca="false">IF(D242="","",IFERROR(INDEX(ProjNumbers,MATCH(D242,ProjNames,0)),""))</f>
        <v/>
      </c>
      <c r="F242" s="8" t="str">
        <f aca="false">IF(D242="","",IFERROR(INDEX(ProjCodes,MATCH(D242,ProjNames,0)),""))</f>
        <v/>
      </c>
      <c r="G242" s="32"/>
      <c r="H242" s="11"/>
      <c r="I242" s="33"/>
      <c r="J242" s="8" t="str">
        <f aca="false">IF(COUNTA(B242,D242,G242,H242,I242)=0,"",IF(B242="","Enter date",IF(OR(B242&lt;$AC$2,B242&gt;$AC$3),"Date not in February",IF(D242="","Pick project",IF(ISNA(MATCH(D242,ProjNames,0)),"Project not in list",IF(G242="","Add task description",IF(H242="","Pick NTIME or P6",IF(N(I242)&lt;=0,"Enter hours",IF(AND(AllowOT&lt;&gt;"Yes",SUMIF($B$7:$B$256,B242,$I$7:$I$256)&gt;INDEX($O$58:$O$85,DAY(B242))),"Day over "&amp;INDEX($O$58:$O$85,DAY(B242))&amp;" h","✓")))))))))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5" hidden="false" customHeight="false" outlineLevel="0" collapsed="false">
      <c r="A243" s="1"/>
      <c r="B243" s="10"/>
      <c r="C243" s="31" t="str">
        <f aca="false">IF(B243="","",TEXT(B243,"ddd"))</f>
        <v/>
      </c>
      <c r="D243" s="11"/>
      <c r="E243" s="8" t="str">
        <f aca="false">IF(D243="","",IFERROR(INDEX(ProjNumbers,MATCH(D243,ProjNames,0)),""))</f>
        <v/>
      </c>
      <c r="F243" s="8" t="str">
        <f aca="false">IF(D243="","",IFERROR(INDEX(ProjCodes,MATCH(D243,ProjNames,0)),""))</f>
        <v/>
      </c>
      <c r="G243" s="32"/>
      <c r="H243" s="11"/>
      <c r="I243" s="33"/>
      <c r="J243" s="8" t="str">
        <f aca="false">IF(COUNTA(B243,D243,G243,H243,I243)=0,"",IF(B243="","Enter date",IF(OR(B243&lt;$AC$2,B243&gt;$AC$3),"Date not in February",IF(D243="","Pick project",IF(ISNA(MATCH(D243,ProjNames,0)),"Project not in list",IF(G243="","Add task description",IF(H243="","Pick NTIME or P6",IF(N(I243)&lt;=0,"Enter hours",IF(AND(AllowOT&lt;&gt;"Yes",SUMIF($B$7:$B$256,B243,$I$7:$I$256)&gt;INDEX($O$58:$O$85,DAY(B243))),"Day over "&amp;INDEX($O$58:$O$85,DAY(B243))&amp;" h","✓")))))))))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5" hidden="false" customHeight="false" outlineLevel="0" collapsed="false">
      <c r="A244" s="1"/>
      <c r="B244" s="10"/>
      <c r="C244" s="31" t="str">
        <f aca="false">IF(B244="","",TEXT(B244,"ddd"))</f>
        <v/>
      </c>
      <c r="D244" s="11"/>
      <c r="E244" s="8" t="str">
        <f aca="false">IF(D244="","",IFERROR(INDEX(ProjNumbers,MATCH(D244,ProjNames,0)),""))</f>
        <v/>
      </c>
      <c r="F244" s="8" t="str">
        <f aca="false">IF(D244="","",IFERROR(INDEX(ProjCodes,MATCH(D244,ProjNames,0)),""))</f>
        <v/>
      </c>
      <c r="G244" s="32"/>
      <c r="H244" s="11"/>
      <c r="I244" s="33"/>
      <c r="J244" s="8" t="str">
        <f aca="false">IF(COUNTA(B244,D244,G244,H244,I244)=0,"",IF(B244="","Enter date",IF(OR(B244&lt;$AC$2,B244&gt;$AC$3),"Date not in February",IF(D244="","Pick project",IF(ISNA(MATCH(D244,ProjNames,0)),"Project not in list",IF(G244="","Add task description",IF(H244="","Pick NTIME or P6",IF(N(I244)&lt;=0,"Enter hours",IF(AND(AllowOT&lt;&gt;"Yes",SUMIF($B$7:$B$256,B244,$I$7:$I$256)&gt;INDEX($O$58:$O$85,DAY(B244))),"Day over "&amp;INDEX($O$58:$O$85,DAY(B244))&amp;" h","✓")))))))))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5" hidden="false" customHeight="false" outlineLevel="0" collapsed="false">
      <c r="A245" s="1"/>
      <c r="B245" s="10"/>
      <c r="C245" s="31" t="str">
        <f aca="false">IF(B245="","",TEXT(B245,"ddd"))</f>
        <v/>
      </c>
      <c r="D245" s="11"/>
      <c r="E245" s="8" t="str">
        <f aca="false">IF(D245="","",IFERROR(INDEX(ProjNumbers,MATCH(D245,ProjNames,0)),""))</f>
        <v/>
      </c>
      <c r="F245" s="8" t="str">
        <f aca="false">IF(D245="","",IFERROR(INDEX(ProjCodes,MATCH(D245,ProjNames,0)),""))</f>
        <v/>
      </c>
      <c r="G245" s="32"/>
      <c r="H245" s="11"/>
      <c r="I245" s="33"/>
      <c r="J245" s="8" t="str">
        <f aca="false">IF(COUNTA(B245,D245,G245,H245,I245)=0,"",IF(B245="","Enter date",IF(OR(B245&lt;$AC$2,B245&gt;$AC$3),"Date not in February",IF(D245="","Pick project",IF(ISNA(MATCH(D245,ProjNames,0)),"Project not in list",IF(G245="","Add task description",IF(H245="","Pick NTIME or P6",IF(N(I245)&lt;=0,"Enter hours",IF(AND(AllowOT&lt;&gt;"Yes",SUMIF($B$7:$B$256,B245,$I$7:$I$256)&gt;INDEX($O$58:$O$85,DAY(B245))),"Day over "&amp;INDEX($O$58:$O$85,DAY(B245))&amp;" h","✓")))))))))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5" hidden="false" customHeight="false" outlineLevel="0" collapsed="false">
      <c r="A246" s="1"/>
      <c r="B246" s="10"/>
      <c r="C246" s="31" t="str">
        <f aca="false">IF(B246="","",TEXT(B246,"ddd"))</f>
        <v/>
      </c>
      <c r="D246" s="11"/>
      <c r="E246" s="8" t="str">
        <f aca="false">IF(D246="","",IFERROR(INDEX(ProjNumbers,MATCH(D246,ProjNames,0)),""))</f>
        <v/>
      </c>
      <c r="F246" s="8" t="str">
        <f aca="false">IF(D246="","",IFERROR(INDEX(ProjCodes,MATCH(D246,ProjNames,0)),""))</f>
        <v/>
      </c>
      <c r="G246" s="32"/>
      <c r="H246" s="11"/>
      <c r="I246" s="33"/>
      <c r="J246" s="8" t="str">
        <f aca="false">IF(COUNTA(B246,D246,G246,H246,I246)=0,"",IF(B246="","Enter date",IF(OR(B246&lt;$AC$2,B246&gt;$AC$3),"Date not in February",IF(D246="","Pick project",IF(ISNA(MATCH(D246,ProjNames,0)),"Project not in list",IF(G246="","Add task description",IF(H246="","Pick NTIME or P6",IF(N(I246)&lt;=0,"Enter hours",IF(AND(AllowOT&lt;&gt;"Yes",SUMIF($B$7:$B$256,B246,$I$7:$I$256)&gt;INDEX($O$58:$O$85,DAY(B246))),"Day over "&amp;INDEX($O$58:$O$85,DAY(B246))&amp;" h","✓")))))))))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5" hidden="false" customHeight="false" outlineLevel="0" collapsed="false">
      <c r="A247" s="1"/>
      <c r="B247" s="10"/>
      <c r="C247" s="31" t="str">
        <f aca="false">IF(B247="","",TEXT(B247,"ddd"))</f>
        <v/>
      </c>
      <c r="D247" s="11"/>
      <c r="E247" s="8" t="str">
        <f aca="false">IF(D247="","",IFERROR(INDEX(ProjNumbers,MATCH(D247,ProjNames,0)),""))</f>
        <v/>
      </c>
      <c r="F247" s="8" t="str">
        <f aca="false">IF(D247="","",IFERROR(INDEX(ProjCodes,MATCH(D247,ProjNames,0)),""))</f>
        <v/>
      </c>
      <c r="G247" s="32"/>
      <c r="H247" s="11"/>
      <c r="I247" s="33"/>
      <c r="J247" s="8" t="str">
        <f aca="false">IF(COUNTA(B247,D247,G247,H247,I247)=0,"",IF(B247="","Enter date",IF(OR(B247&lt;$AC$2,B247&gt;$AC$3),"Date not in February",IF(D247="","Pick project",IF(ISNA(MATCH(D247,ProjNames,0)),"Project not in list",IF(G247="","Add task description",IF(H247="","Pick NTIME or P6",IF(N(I247)&lt;=0,"Enter hours",IF(AND(AllowOT&lt;&gt;"Yes",SUMIF($B$7:$B$256,B247,$I$7:$I$256)&gt;INDEX($O$58:$O$85,DAY(B247))),"Day over "&amp;INDEX($O$58:$O$85,DAY(B247))&amp;" h","✓")))))))))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5" hidden="false" customHeight="false" outlineLevel="0" collapsed="false">
      <c r="A248" s="1"/>
      <c r="B248" s="10"/>
      <c r="C248" s="31" t="str">
        <f aca="false">IF(B248="","",TEXT(B248,"ddd"))</f>
        <v/>
      </c>
      <c r="D248" s="11"/>
      <c r="E248" s="8" t="str">
        <f aca="false">IF(D248="","",IFERROR(INDEX(ProjNumbers,MATCH(D248,ProjNames,0)),""))</f>
        <v/>
      </c>
      <c r="F248" s="8" t="str">
        <f aca="false">IF(D248="","",IFERROR(INDEX(ProjCodes,MATCH(D248,ProjNames,0)),""))</f>
        <v/>
      </c>
      <c r="G248" s="32"/>
      <c r="H248" s="11"/>
      <c r="I248" s="33"/>
      <c r="J248" s="8" t="str">
        <f aca="false">IF(COUNTA(B248,D248,G248,H248,I248)=0,"",IF(B248="","Enter date",IF(OR(B248&lt;$AC$2,B248&gt;$AC$3),"Date not in February",IF(D248="","Pick project",IF(ISNA(MATCH(D248,ProjNames,0)),"Project not in list",IF(G248="","Add task description",IF(H248="","Pick NTIME or P6",IF(N(I248)&lt;=0,"Enter hours",IF(AND(AllowOT&lt;&gt;"Yes",SUMIF($B$7:$B$256,B248,$I$7:$I$256)&gt;INDEX($O$58:$O$85,DAY(B248))),"Day over "&amp;INDEX($O$58:$O$85,DAY(B248))&amp;" h","✓")))))))))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5" hidden="false" customHeight="false" outlineLevel="0" collapsed="false">
      <c r="A249" s="1"/>
      <c r="B249" s="10"/>
      <c r="C249" s="31" t="str">
        <f aca="false">IF(B249="","",TEXT(B249,"ddd"))</f>
        <v/>
      </c>
      <c r="D249" s="11"/>
      <c r="E249" s="8" t="str">
        <f aca="false">IF(D249="","",IFERROR(INDEX(ProjNumbers,MATCH(D249,ProjNames,0)),""))</f>
        <v/>
      </c>
      <c r="F249" s="8" t="str">
        <f aca="false">IF(D249="","",IFERROR(INDEX(ProjCodes,MATCH(D249,ProjNames,0)),""))</f>
        <v/>
      </c>
      <c r="G249" s="32"/>
      <c r="H249" s="11"/>
      <c r="I249" s="33"/>
      <c r="J249" s="8" t="str">
        <f aca="false">IF(COUNTA(B249,D249,G249,H249,I249)=0,"",IF(B249="","Enter date",IF(OR(B249&lt;$AC$2,B249&gt;$AC$3),"Date not in February",IF(D249="","Pick project",IF(ISNA(MATCH(D249,ProjNames,0)),"Project not in list",IF(G249="","Add task description",IF(H249="","Pick NTIME or P6",IF(N(I249)&lt;=0,"Enter hours",IF(AND(AllowOT&lt;&gt;"Yes",SUMIF($B$7:$B$256,B249,$I$7:$I$256)&gt;INDEX($O$58:$O$85,DAY(B249))),"Day over "&amp;INDEX($O$58:$O$85,DAY(B249))&amp;" h","✓")))))))))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5" hidden="false" customHeight="false" outlineLevel="0" collapsed="false">
      <c r="A250" s="1"/>
      <c r="B250" s="10"/>
      <c r="C250" s="31" t="str">
        <f aca="false">IF(B250="","",TEXT(B250,"ddd"))</f>
        <v/>
      </c>
      <c r="D250" s="11"/>
      <c r="E250" s="8" t="str">
        <f aca="false">IF(D250="","",IFERROR(INDEX(ProjNumbers,MATCH(D250,ProjNames,0)),""))</f>
        <v/>
      </c>
      <c r="F250" s="8" t="str">
        <f aca="false">IF(D250="","",IFERROR(INDEX(ProjCodes,MATCH(D250,ProjNames,0)),""))</f>
        <v/>
      </c>
      <c r="G250" s="32"/>
      <c r="H250" s="11"/>
      <c r="I250" s="33"/>
      <c r="J250" s="8" t="str">
        <f aca="false">IF(COUNTA(B250,D250,G250,H250,I250)=0,"",IF(B250="","Enter date",IF(OR(B250&lt;$AC$2,B250&gt;$AC$3),"Date not in February",IF(D250="","Pick project",IF(ISNA(MATCH(D250,ProjNames,0)),"Project not in list",IF(G250="","Add task description",IF(H250="","Pick NTIME or P6",IF(N(I250)&lt;=0,"Enter hours",IF(AND(AllowOT&lt;&gt;"Yes",SUMIF($B$7:$B$256,B250,$I$7:$I$256)&gt;INDEX($O$58:$O$85,DAY(B250))),"Day over "&amp;INDEX($O$58:$O$85,DAY(B250))&amp;" h","✓")))))))))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5" hidden="false" customHeight="false" outlineLevel="0" collapsed="false">
      <c r="A251" s="1"/>
      <c r="B251" s="10"/>
      <c r="C251" s="31" t="str">
        <f aca="false">IF(B251="","",TEXT(B251,"ddd"))</f>
        <v/>
      </c>
      <c r="D251" s="11"/>
      <c r="E251" s="8" t="str">
        <f aca="false">IF(D251="","",IFERROR(INDEX(ProjNumbers,MATCH(D251,ProjNames,0)),""))</f>
        <v/>
      </c>
      <c r="F251" s="8" t="str">
        <f aca="false">IF(D251="","",IFERROR(INDEX(ProjCodes,MATCH(D251,ProjNames,0)),""))</f>
        <v/>
      </c>
      <c r="G251" s="32"/>
      <c r="H251" s="11"/>
      <c r="I251" s="33"/>
      <c r="J251" s="8" t="str">
        <f aca="false">IF(COUNTA(B251,D251,G251,H251,I251)=0,"",IF(B251="","Enter date",IF(OR(B251&lt;$AC$2,B251&gt;$AC$3),"Date not in February",IF(D251="","Pick project",IF(ISNA(MATCH(D251,ProjNames,0)),"Project not in list",IF(G251="","Add task description",IF(H251="","Pick NTIME or P6",IF(N(I251)&lt;=0,"Enter hours",IF(AND(AllowOT&lt;&gt;"Yes",SUMIF($B$7:$B$256,B251,$I$7:$I$256)&gt;INDEX($O$58:$O$85,DAY(B251))),"Day over "&amp;INDEX($O$58:$O$85,DAY(B251))&amp;" h","✓")))))))))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5" hidden="false" customHeight="false" outlineLevel="0" collapsed="false">
      <c r="A252" s="1"/>
      <c r="B252" s="10"/>
      <c r="C252" s="31" t="str">
        <f aca="false">IF(B252="","",TEXT(B252,"ddd"))</f>
        <v/>
      </c>
      <c r="D252" s="11"/>
      <c r="E252" s="8" t="str">
        <f aca="false">IF(D252="","",IFERROR(INDEX(ProjNumbers,MATCH(D252,ProjNames,0)),""))</f>
        <v/>
      </c>
      <c r="F252" s="8" t="str">
        <f aca="false">IF(D252="","",IFERROR(INDEX(ProjCodes,MATCH(D252,ProjNames,0)),""))</f>
        <v/>
      </c>
      <c r="G252" s="32"/>
      <c r="H252" s="11"/>
      <c r="I252" s="33"/>
      <c r="J252" s="8" t="str">
        <f aca="false">IF(COUNTA(B252,D252,G252,H252,I252)=0,"",IF(B252="","Enter date",IF(OR(B252&lt;$AC$2,B252&gt;$AC$3),"Date not in February",IF(D252="","Pick project",IF(ISNA(MATCH(D252,ProjNames,0)),"Project not in list",IF(G252="","Add task description",IF(H252="","Pick NTIME or P6",IF(N(I252)&lt;=0,"Enter hours",IF(AND(AllowOT&lt;&gt;"Yes",SUMIF($B$7:$B$256,B252,$I$7:$I$256)&gt;INDEX($O$58:$O$85,DAY(B252))),"Day over "&amp;INDEX($O$58:$O$85,DAY(B252))&amp;" h","✓")))))))))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5" hidden="false" customHeight="false" outlineLevel="0" collapsed="false">
      <c r="A253" s="1"/>
      <c r="B253" s="10"/>
      <c r="C253" s="31" t="str">
        <f aca="false">IF(B253="","",TEXT(B253,"ddd"))</f>
        <v/>
      </c>
      <c r="D253" s="11"/>
      <c r="E253" s="8" t="str">
        <f aca="false">IF(D253="","",IFERROR(INDEX(ProjNumbers,MATCH(D253,ProjNames,0)),""))</f>
        <v/>
      </c>
      <c r="F253" s="8" t="str">
        <f aca="false">IF(D253="","",IFERROR(INDEX(ProjCodes,MATCH(D253,ProjNames,0)),""))</f>
        <v/>
      </c>
      <c r="G253" s="32"/>
      <c r="H253" s="11"/>
      <c r="I253" s="33"/>
      <c r="J253" s="8" t="str">
        <f aca="false">IF(COUNTA(B253,D253,G253,H253,I253)=0,"",IF(B253="","Enter date",IF(OR(B253&lt;$AC$2,B253&gt;$AC$3),"Date not in February",IF(D253="","Pick project",IF(ISNA(MATCH(D253,ProjNames,0)),"Project not in list",IF(G253="","Add task description",IF(H253="","Pick NTIME or P6",IF(N(I253)&lt;=0,"Enter hours",IF(AND(AllowOT&lt;&gt;"Yes",SUMIF($B$7:$B$256,B253,$I$7:$I$256)&gt;INDEX($O$58:$O$85,DAY(B253))),"Day over "&amp;INDEX($O$58:$O$85,DAY(B253))&amp;" h","✓")))))))))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5" hidden="false" customHeight="false" outlineLevel="0" collapsed="false">
      <c r="A254" s="1"/>
      <c r="B254" s="10"/>
      <c r="C254" s="31" t="str">
        <f aca="false">IF(B254="","",TEXT(B254,"ddd"))</f>
        <v/>
      </c>
      <c r="D254" s="11"/>
      <c r="E254" s="8" t="str">
        <f aca="false">IF(D254="","",IFERROR(INDEX(ProjNumbers,MATCH(D254,ProjNames,0)),""))</f>
        <v/>
      </c>
      <c r="F254" s="8" t="str">
        <f aca="false">IF(D254="","",IFERROR(INDEX(ProjCodes,MATCH(D254,ProjNames,0)),""))</f>
        <v/>
      </c>
      <c r="G254" s="32"/>
      <c r="H254" s="11"/>
      <c r="I254" s="33"/>
      <c r="J254" s="8" t="str">
        <f aca="false">IF(COUNTA(B254,D254,G254,H254,I254)=0,"",IF(B254="","Enter date",IF(OR(B254&lt;$AC$2,B254&gt;$AC$3),"Date not in February",IF(D254="","Pick project",IF(ISNA(MATCH(D254,ProjNames,0)),"Project not in list",IF(G254="","Add task description",IF(H254="","Pick NTIME or P6",IF(N(I254)&lt;=0,"Enter hours",IF(AND(AllowOT&lt;&gt;"Yes",SUMIF($B$7:$B$256,B254,$I$7:$I$256)&gt;INDEX($O$58:$O$85,DAY(B254))),"Day over "&amp;INDEX($O$58:$O$85,DAY(B254))&amp;" h","✓")))))))))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5" hidden="false" customHeight="false" outlineLevel="0" collapsed="false">
      <c r="A255" s="1"/>
      <c r="B255" s="10"/>
      <c r="C255" s="31" t="str">
        <f aca="false">IF(B255="","",TEXT(B255,"ddd"))</f>
        <v/>
      </c>
      <c r="D255" s="11"/>
      <c r="E255" s="8" t="str">
        <f aca="false">IF(D255="","",IFERROR(INDEX(ProjNumbers,MATCH(D255,ProjNames,0)),""))</f>
        <v/>
      </c>
      <c r="F255" s="8" t="str">
        <f aca="false">IF(D255="","",IFERROR(INDEX(ProjCodes,MATCH(D255,ProjNames,0)),""))</f>
        <v/>
      </c>
      <c r="G255" s="32"/>
      <c r="H255" s="11"/>
      <c r="I255" s="33"/>
      <c r="J255" s="8" t="str">
        <f aca="false">IF(COUNTA(B255,D255,G255,H255,I255)=0,"",IF(B255="","Enter date",IF(OR(B255&lt;$AC$2,B255&gt;$AC$3),"Date not in February",IF(D255="","Pick project",IF(ISNA(MATCH(D255,ProjNames,0)),"Project not in list",IF(G255="","Add task description",IF(H255="","Pick NTIME or P6",IF(N(I255)&lt;=0,"Enter hours",IF(AND(AllowOT&lt;&gt;"Yes",SUMIF($B$7:$B$256,B255,$I$7:$I$256)&gt;INDEX($O$58:$O$85,DAY(B255))),"Day over "&amp;INDEX($O$58:$O$85,DAY(B255))&amp;" h","✓")))))))))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5" hidden="false" customHeight="false" outlineLevel="0" collapsed="false">
      <c r="A256" s="1"/>
      <c r="B256" s="10"/>
      <c r="C256" s="31" t="str">
        <f aca="false">IF(B256="","",TEXT(B256,"ddd"))</f>
        <v/>
      </c>
      <c r="D256" s="11"/>
      <c r="E256" s="8" t="str">
        <f aca="false">IF(D256="","",IFERROR(INDEX(ProjNumbers,MATCH(D256,ProjNames,0)),""))</f>
        <v/>
      </c>
      <c r="F256" s="8" t="str">
        <f aca="false">IF(D256="","",IFERROR(INDEX(ProjCodes,MATCH(D256,ProjNames,0)),""))</f>
        <v/>
      </c>
      <c r="G256" s="32"/>
      <c r="H256" s="11"/>
      <c r="I256" s="33"/>
      <c r="J256" s="8" t="str">
        <f aca="false">IF(COUNTA(B256,D256,G256,H256,I256)=0,"",IF(B256="","Enter date",IF(OR(B256&lt;$AC$2,B256&gt;$AC$3),"Date not in February",IF(D256="","Pick project",IF(ISNA(MATCH(D256,ProjNames,0)),"Project not in list",IF(G256="","Add task description",IF(H256="","Pick NTIME or P6",IF(N(I256)&lt;=0,"Enter hours",IF(AND(AllowOT&lt;&gt;"Yes",SUMIF($B$7:$B$256,B256,$I$7:$I$256)&gt;INDEX($O$58:$O$85,DAY(B256))),"Day over "&amp;INDEX($O$58:$O$85,DAY(B256))&amp;" h","✓")))))))))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</sheetData>
  <conditionalFormatting sqref="J7:J256">
    <cfRule type="expression" priority="2" aboveAverage="0" equalAverage="0" bottom="0" percent="0" rank="0" text="" dxfId="0">
      <formula>AND(J7&lt;&gt;"",J7&lt;&gt;"✓")</formula>
    </cfRule>
  </conditionalFormatting>
  <conditionalFormatting sqref="H7:H256">
    <cfRule type="expression" priority="3" aboveAverage="0" equalAverage="0" bottom="0" percent="0" rank="0" text="" dxfId="1">
      <formula>H7="NTIME"</formula>
    </cfRule>
    <cfRule type="expression" priority="4" aboveAverage="0" equalAverage="0" bottom="0" percent="0" rank="0" text="" dxfId="2">
      <formula>H7="P6"</formula>
    </cfRule>
  </conditionalFormatting>
  <conditionalFormatting sqref="S5">
    <cfRule type="expression" priority="5" aboveAverage="0" equalAverage="0" bottom="0" percent="0" rank="0" text="" dxfId="3">
      <formula>S5&gt;0</formula>
    </cfRule>
  </conditionalFormatting>
  <conditionalFormatting sqref="L52:R52">
    <cfRule type="expression" priority="6" aboveAverage="0" equalAverage="0" bottom="0" percent="0" rank="0" text="" dxfId="4">
      <formula>$Q$52&gt;0</formula>
    </cfRule>
  </conditionalFormatting>
  <conditionalFormatting sqref="L58:U85">
    <cfRule type="expression" priority="7" aboveAverage="0" equalAverage="0" bottom="0" percent="0" rank="0" text="" dxfId="5">
      <formula>$L58=TODAY()</formula>
    </cfRule>
    <cfRule type="expression" priority="8" aboveAverage="0" equalAverage="0" bottom="0" percent="0" rank="0" text="" dxfId="6">
      <formula>OR($N58="Weekend",$N58="Leave",$N58="Public Holiday")</formula>
    </cfRule>
  </conditionalFormatting>
  <conditionalFormatting sqref="U58:U85">
    <cfRule type="expression" priority="9" aboveAverage="0" equalAverage="0" bottom="0" percent="0" rank="0" text="" dxfId="7">
      <formula>OR(U58="Not logged",LEFT(U58,5)="Over ",LEFT(U58,7)="Entries")</formula>
    </cfRule>
    <cfRule type="expression" priority="10" aboveAverage="0" equalAverage="0" bottom="0" percent="0" rank="0" text="" dxfId="8">
      <formula>LEFT(U58,1)="✓"</formula>
    </cfRule>
  </conditionalFormatting>
  <dataValidations count="7">
    <dataValidation allowBlank="false" error="Hours must be more than 0 and at most 24." errorStyle="stop" operator="between" showDropDown="false" showErrorMessage="true" showInputMessage="false" sqref="I7:I256" type="decimal">
      <formula1>0.01</formula1>
      <formula2>24</formula2>
    </dataValidation>
    <dataValidation allowBlank="false" error="Keep the task description to 200 characters." errorStyle="stop" operator="lessThanOrEqual" showDropDown="false" showErrorMessage="true" showInputMessage="false" sqref="G7:G256" type="textLength">
      <formula1>200</formula1>
      <formula2>0</formula2>
    </dataValidation>
    <dataValidation allowBlank="false" errorStyle="stop" operator="between" showDropDown="false" showErrorMessage="true" showInputMessage="false" sqref="O58:O85" type="decimal">
      <formula1>0</formula1>
      <formula2>24</formula2>
    </dataValidation>
    <dataValidation allowBlank="false" error="Enter a date in February 2026." errorStyle="stop" errorTitle="Date" operator="between" showDropDown="false" showErrorMessage="true" showInputMessage="false" sqref="B7:B256" type="date">
      <formula1>DATE(2026,2,1)</formula1>
      <formula2>DATE(2026,2,28)</formula2>
    </dataValidation>
    <dataValidation allowBlank="false" error="Pick a project from the list. Add new projects on the Projects sheet first." errorStyle="stop" errorTitle="Project" operator="between" showDropDown="false" showErrorMessage="true" showInputMessage="false" sqref="D7:D256" type="list">
      <formula1>ProjNames</formula1>
      <formula2>0</formula2>
    </dataValidation>
    <dataValidation allowBlank="false" errorStyle="stop" operator="between" showDropDown="false" showErrorMessage="true" showInputMessage="false" sqref="H7:H256" type="list">
      <formula1>"NTIME,P6"</formula1>
      <formula2>0</formula2>
    </dataValidation>
    <dataValidation allowBlank="false" errorStyle="stop" operator="between" showDropDown="false" showErrorMessage="true" showInputMessage="false" sqref="N58:N85" type="list">
      <formula1>"Working,Overhead only,Leave,Public Holiday,Weekend"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true"/>
  </sheetPr>
  <dimension ref="A1:AH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9" min="15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true" outlineLevel="0" max="34" min="23" style="0" width="13"/>
  </cols>
  <sheetData>
    <row r="1" customFormat="false" ht="22.05" hidden="false" customHeight="false" outlineLevel="0" collapsed="false">
      <c r="A1" s="1"/>
      <c r="B1" s="2" t="s">
        <v>96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75</v>
      </c>
      <c r="AD1" s="1"/>
      <c r="AE1" s="1"/>
      <c r="AF1" s="1"/>
      <c r="AG1" s="1"/>
      <c r="AH1" s="1"/>
    </row>
    <row r="2" customFormat="false" ht="15" hidden="false" customHeight="false" outlineLevel="0" collapsed="false">
      <c r="A2" s="1"/>
      <c r="B2" s="3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0" t="n">
        <v>46082</v>
      </c>
      <c r="AD2" s="1"/>
      <c r="AE2" s="1"/>
      <c r="AF2" s="1"/>
      <c r="AG2" s="1"/>
      <c r="AH2" s="1"/>
    </row>
    <row r="3" customFormat="false" ht="15" hidden="false" customHeight="false" outlineLevel="0" collapsed="false">
      <c r="A3" s="1"/>
      <c r="B3" s="4" t="s">
        <v>77</v>
      </c>
      <c r="C3" s="1"/>
      <c r="D3" s="1"/>
      <c r="E3" s="1"/>
      <c r="F3" s="1"/>
      <c r="G3" s="1"/>
      <c r="H3" s="1"/>
      <c r="I3" s="1"/>
      <c r="J3" s="1"/>
      <c r="K3" s="1"/>
      <c r="L3" s="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0" t="n">
        <v>46112</v>
      </c>
      <c r="AD3" s="1"/>
      <c r="AE3" s="1"/>
      <c r="AF3" s="1"/>
      <c r="AG3" s="1"/>
      <c r="AH3" s="1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3" t="s">
        <v>50</v>
      </c>
      <c r="M4" s="13" t="str">
        <f aca="false">IF(OHSystem="NTIME","NTIME (incl. overhead)","NTIME")</f>
        <v>NTIME</v>
      </c>
      <c r="N4" s="13" t="str">
        <f aca="false">IF(OHSystem="P6","P6 (incl. overhead)","P6")</f>
        <v>P6</v>
      </c>
      <c r="O4" s="13" t="s">
        <v>15</v>
      </c>
      <c r="P4" s="13" t="s">
        <v>24</v>
      </c>
      <c r="Q4" s="13" t="s">
        <v>51</v>
      </c>
      <c r="R4" s="13" t="s">
        <v>52</v>
      </c>
      <c r="S4" s="13" t="s">
        <v>53</v>
      </c>
      <c r="T4" s="1"/>
      <c r="U4" s="1"/>
      <c r="V4" s="1"/>
      <c r="W4" s="1"/>
      <c r="X4" s="1"/>
      <c r="Y4" s="1"/>
      <c r="Z4" s="1"/>
      <c r="AA4" s="1"/>
      <c r="AB4" s="1"/>
      <c r="AC4" s="30" t="n">
        <f aca="false">AC2-MOD(WEEKDAY(AC2,2)-WeekStartNum,7)</f>
        <v>46076</v>
      </c>
      <c r="AD4" s="1"/>
      <c r="AE4" s="1"/>
      <c r="AF4" s="1"/>
      <c r="AG4" s="1"/>
      <c r="AH4" s="1"/>
    </row>
    <row r="5" customFormat="false" ht="30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 t="n">
        <f aca="false">SUM($T$58:$T$88)</f>
        <v>0</v>
      </c>
      <c r="M5" s="15" t="n">
        <f aca="false">SUM($P$58:$P$88)+IF(OHSystem="NTIME",SUM($R$58:$R$88),0)</f>
        <v>0</v>
      </c>
      <c r="N5" s="16" t="n">
        <f aca="false">SUM($Q$58:$Q$88)+IF(OHSystem="P6",SUM($R$58:$R$88),0)</f>
        <v>0</v>
      </c>
      <c r="O5" s="17" t="n">
        <f aca="false">SUM($R$58:$R$88)</f>
        <v>0</v>
      </c>
      <c r="P5" s="14" t="n">
        <f aca="false">SUM($S$58:$S$88)</f>
        <v>0</v>
      </c>
      <c r="Q5" s="18" t="str">
        <f aca="false">IF(L5=0,"-",(SUM($P$58:$P$88)+SUM($Q$58:$Q$88))/L5)</f>
        <v>-</v>
      </c>
      <c r="R5" s="19" t="n">
        <f aca="false">SUMPRODUCT(($N$58:$N$88="Working")*(($P$58:$P$88+$Q$58:$Q$88)&gt;0))+COUNTIF($N$58:$N$88,"Overhead only")</f>
        <v>0</v>
      </c>
      <c r="S5" s="19" t="n">
        <f aca="false">COUNTIF($U$58:$U$88,"Not logged")</f>
        <v>22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5" hidden="false" customHeight="false" outlineLevel="0" collapsed="false">
      <c r="A6" s="1"/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5" hidden="false" customHeight="false" outlineLevel="0" collapsed="false">
      <c r="A7" s="1"/>
      <c r="B7" s="10"/>
      <c r="C7" s="31" t="str">
        <f aca="false">IF(B7="","",TEXT(B7,"ddd"))</f>
        <v/>
      </c>
      <c r="D7" s="11"/>
      <c r="E7" s="8" t="str">
        <f aca="false">IF(D7="","",IFERROR(INDEX(ProjNumbers,MATCH(D7,ProjNames,0)),""))</f>
        <v/>
      </c>
      <c r="F7" s="8" t="str">
        <f aca="false">IF(D7="","",IFERROR(INDEX(ProjCodes,MATCH(D7,ProjNames,0)),""))</f>
        <v/>
      </c>
      <c r="G7" s="32"/>
      <c r="H7" s="11"/>
      <c r="I7" s="33"/>
      <c r="J7" s="8" t="str">
        <f aca="false">IF(COUNTA(B7,D7,G7,H7,I7)=0,"",IF(B7="","Enter date",IF(OR(B7&lt;$AC$2,B7&gt;$AC$3),"Date not in March",IF(D7="","Pick project",IF(ISNA(MATCH(D7,ProjNames,0)),"Project not in list",IF(G7="","Add task description",IF(H7="","Pick NTIME or P6",IF(N(I7)&lt;=0,"Enter hours",IF(AND(AllowOT&lt;&gt;"Yes",SUMIF($B$7:$B$256,B7,$I$7:$I$256)&gt;INDEX($O$58:$O$88,DAY(B7))),"Day over "&amp;INDEX($O$58:$O$88,DAY(B7))&amp;" h","✓")))))))))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tr">
        <f aca="false">IF(Projects!B5="","",Projects!B5)</f>
        <v>Project A</v>
      </c>
      <c r="X7" s="1" t="n">
        <f aca="false">IF(W7="",0,SUMIFS($I$7:$I$256,$D$7:$D$256,W7,$H$7:$H$256,"NTIME"))</f>
        <v>0</v>
      </c>
      <c r="Y7" s="1" t="n">
        <f aca="false">IF(W7="",0,SUMIFS($I$7:$I$256,$D$7:$D$256,W7,$H$7:$H$256,"P6"))</f>
        <v>0</v>
      </c>
      <c r="Z7" s="1" t="n">
        <f aca="false">X7+Y7</f>
        <v>0</v>
      </c>
      <c r="AA7" s="1" t="n">
        <f aca="false">IF(Z7&gt;0,Z7+(201-1)/10^6,0)</f>
        <v>0</v>
      </c>
      <c r="AB7" s="1"/>
      <c r="AC7" s="1"/>
      <c r="AD7" s="1"/>
      <c r="AE7" s="1"/>
      <c r="AF7" s="1"/>
      <c r="AG7" s="1"/>
      <c r="AH7" s="1"/>
    </row>
    <row r="8" customFormat="false" ht="15" hidden="false" customHeight="false" outlineLevel="0" collapsed="false">
      <c r="A8" s="1"/>
      <c r="B8" s="10"/>
      <c r="C8" s="31" t="str">
        <f aca="false">IF(B8="","",TEXT(B8,"ddd"))</f>
        <v/>
      </c>
      <c r="D8" s="11"/>
      <c r="E8" s="8" t="str">
        <f aca="false">IF(D8="","",IFERROR(INDEX(ProjNumbers,MATCH(D8,ProjNames,0)),""))</f>
        <v/>
      </c>
      <c r="F8" s="8" t="str">
        <f aca="false">IF(D8="","",IFERROR(INDEX(ProjCodes,MATCH(D8,ProjNames,0)),""))</f>
        <v/>
      </c>
      <c r="G8" s="32"/>
      <c r="H8" s="11"/>
      <c r="I8" s="33"/>
      <c r="J8" s="8" t="str">
        <f aca="false">IF(COUNTA(B8,D8,G8,H8,I8)=0,"",IF(B8="","Enter date",IF(OR(B8&lt;$AC$2,B8&gt;$AC$3),"Date not in March",IF(D8="","Pick project",IF(ISNA(MATCH(D8,ProjNames,0)),"Project not in list",IF(G8="","Add task description",IF(H8="","Pick NTIME or P6",IF(N(I8)&lt;=0,"Enter hours",IF(AND(AllowOT&lt;&gt;"Yes",SUMIF($B$7:$B$256,B8,$I$7:$I$256)&gt;INDEX($O$58:$O$88,DAY(B8))),"Day over "&amp;INDEX($O$58:$O$88,DAY(B8))&amp;" h","✓")))))))))</f>
        <v/>
      </c>
      <c r="K8" s="1"/>
      <c r="L8" s="4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f aca="false">IF(Projects!B6="","",Projects!B6)</f>
        <v/>
      </c>
      <c r="X8" s="1" t="n">
        <f aca="false">IF(W8="",0,SUMIFS($I$7:$I$256,$D$7:$D$256,W8,$H$7:$H$256,"NTIME"))</f>
        <v>0</v>
      </c>
      <c r="Y8" s="1" t="n">
        <f aca="false">IF(W8="",0,SUMIFS($I$7:$I$256,$D$7:$D$256,W8,$H$7:$H$256,"P6"))</f>
        <v>0</v>
      </c>
      <c r="Z8" s="1" t="n">
        <f aca="false">X8+Y8</f>
        <v>0</v>
      </c>
      <c r="AA8" s="1" t="n">
        <f aca="false">IF(Z8&gt;0,Z8+(201-2)/10^6,0)</f>
        <v>0</v>
      </c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/>
      <c r="B9" s="10"/>
      <c r="C9" s="31" t="str">
        <f aca="false">IF(B9="","",TEXT(B9,"ddd"))</f>
        <v/>
      </c>
      <c r="D9" s="11"/>
      <c r="E9" s="8" t="str">
        <f aca="false">IF(D9="","",IFERROR(INDEX(ProjNumbers,MATCH(D9,ProjNames,0)),""))</f>
        <v/>
      </c>
      <c r="F9" s="8" t="str">
        <f aca="false">IF(D9="","",IFERROR(INDEX(ProjCodes,MATCH(D9,ProjNames,0)),""))</f>
        <v/>
      </c>
      <c r="G9" s="32"/>
      <c r="H9" s="11"/>
      <c r="I9" s="33"/>
      <c r="J9" s="8" t="str">
        <f aca="false">IF(COUNTA(B9,D9,G9,H9,I9)=0,"",IF(B9="","Enter date",IF(OR(B9&lt;$AC$2,B9&gt;$AC$3),"Date not in March",IF(D9="","Pick project",IF(ISNA(MATCH(D9,ProjNames,0)),"Project not in list",IF(G9="","Add task description",IF(H9="","Pick NTIME or P6",IF(N(I9)&lt;=0,"Enter hours",IF(AND(AllowOT&lt;&gt;"Yes",SUMIF($B$7:$B$256,B9,$I$7:$I$256)&gt;INDEX($O$58:$O$88,DAY(B9))),"Day over "&amp;INDEX($O$58:$O$88,DAY(B9))&amp;" h","✓")))))))))</f>
        <v/>
      </c>
      <c r="K9" s="1"/>
      <c r="L9" s="9" t="s">
        <v>81</v>
      </c>
      <c r="M9" s="9" t="s">
        <v>82</v>
      </c>
      <c r="N9" s="9" t="s">
        <v>83</v>
      </c>
      <c r="O9" s="20" t="s">
        <v>46</v>
      </c>
      <c r="P9" s="21" t="s">
        <v>56</v>
      </c>
      <c r="Q9" s="22" t="s">
        <v>15</v>
      </c>
      <c r="R9" s="9" t="s">
        <v>24</v>
      </c>
      <c r="S9" s="9" t="s">
        <v>57</v>
      </c>
      <c r="T9" s="1"/>
      <c r="U9" s="1"/>
      <c r="V9" s="1"/>
      <c r="W9" s="1" t="str">
        <f aca="false">IF(Projects!B7="","",Projects!B7)</f>
        <v/>
      </c>
      <c r="X9" s="1" t="n">
        <f aca="false">IF(W9="",0,SUMIFS($I$7:$I$256,$D$7:$D$256,W9,$H$7:$H$256,"NTIME"))</f>
        <v>0</v>
      </c>
      <c r="Y9" s="1" t="n">
        <f aca="false">IF(W9="",0,SUMIFS($I$7:$I$256,$D$7:$D$256,W9,$H$7:$H$256,"P6"))</f>
        <v>0</v>
      </c>
      <c r="Z9" s="1" t="n">
        <f aca="false">X9+Y9</f>
        <v>0</v>
      </c>
      <c r="AA9" s="1" t="n">
        <f aca="false">IF(Z9&gt;0,Z9+(201-3)/10^6,0)</f>
        <v>0</v>
      </c>
      <c r="AB9" s="1"/>
      <c r="AC9" s="1"/>
      <c r="AD9" s="1"/>
      <c r="AE9" s="1"/>
      <c r="AF9" s="1" t="s">
        <v>46</v>
      </c>
      <c r="AG9" s="1" t="s">
        <v>56</v>
      </c>
      <c r="AH9" s="1" t="s">
        <v>15</v>
      </c>
    </row>
    <row r="10" customFormat="false" ht="15" hidden="false" customHeight="false" outlineLevel="0" collapsed="false">
      <c r="A10" s="1"/>
      <c r="B10" s="10"/>
      <c r="C10" s="31" t="str">
        <f aca="false">IF(B10="","",TEXT(B10,"ddd"))</f>
        <v/>
      </c>
      <c r="D10" s="11"/>
      <c r="E10" s="8" t="str">
        <f aca="false">IF(D10="","",IFERROR(INDEX(ProjNumbers,MATCH(D10,ProjNames,0)),""))</f>
        <v/>
      </c>
      <c r="F10" s="8" t="str">
        <f aca="false">IF(D10="","",IFERROR(INDEX(ProjCodes,MATCH(D10,ProjNames,0)),""))</f>
        <v/>
      </c>
      <c r="G10" s="32"/>
      <c r="H10" s="11"/>
      <c r="I10" s="33"/>
      <c r="J10" s="8" t="str">
        <f aca="false">IF(COUNTA(B10,D10,G10,H10,I10)=0,"",IF(B10="","Enter date",IF(OR(B10&lt;$AC$2,B10&gt;$AC$3),"Date not in March",IF(D10="","Pick project",IF(ISNA(MATCH(D10,ProjNames,0)),"Project not in list",IF(G10="","Add task description",IF(H10="","Pick NTIME or P6",IF(N(I10)&lt;=0,"Enter hours",IF(AND(AllowOT&lt;&gt;"Yes",SUMIF($B$7:$B$256,B10,$I$7:$I$256)&gt;INDEX($O$58:$O$88,DAY(B10))),"Day over "&amp;INDEX($O$58:$O$88,DAY(B10))&amp;" h","✓")))))))))</f>
        <v/>
      </c>
      <c r="K10" s="1"/>
      <c r="L10" s="24" t="str">
        <f aca="false">"Week 1"&amp;IF(M10="",""," ("&amp;DAY(M10)&amp;"–"&amp;DAY(N10)&amp;")")</f>
        <v>Week 1 (1–1)</v>
      </c>
      <c r="M10" s="34" t="n">
        <f aca="false">IF($AC$4+7*0&gt;$AC$3,"",MAX($AC$2,$AC$4+7*0))</f>
        <v>46082</v>
      </c>
      <c r="N10" s="34" t="n">
        <f aca="false">IF(M10="","",MIN($AC$3,$AC$4+7*1-1))</f>
        <v>46082</v>
      </c>
      <c r="O10" s="24" t="n">
        <f aca="false">IF($M10="","",AF10+IF(OHSystem="NTIME",AH10,0))</f>
        <v>0</v>
      </c>
      <c r="P10" s="24" t="n">
        <f aca="false">IF($M10="","",AG10+IF(OHSystem="P6",AH10,0))</f>
        <v>0</v>
      </c>
      <c r="Q10" s="24" t="n">
        <f aca="false">IF($M10="","",AH10)</f>
        <v>0</v>
      </c>
      <c r="R10" s="24" t="n">
        <f aca="false">IF($M10="","",SUMIFS($S$58:$S$88,$L$58:$L$88,"&gt;="&amp;$M10,$L$58:$L$88,"&lt;="&amp;$N10))</f>
        <v>0</v>
      </c>
      <c r="S10" s="24" t="n">
        <f aca="false">IF($M10="","",SUMIFS($T$58:$T$88,$L$58:$L$88,"&gt;="&amp;$M10,$L$58:$L$88,"&lt;="&amp;$N10))</f>
        <v>0</v>
      </c>
      <c r="T10" s="1"/>
      <c r="U10" s="1"/>
      <c r="V10" s="1"/>
      <c r="W10" s="1" t="str">
        <f aca="false">IF(Projects!B8="","",Projects!B8)</f>
        <v/>
      </c>
      <c r="X10" s="1" t="n">
        <f aca="false">IF(W10="",0,SUMIFS($I$7:$I$256,$D$7:$D$256,W10,$H$7:$H$256,"NTIME"))</f>
        <v>0</v>
      </c>
      <c r="Y10" s="1" t="n">
        <f aca="false">IF(W10="",0,SUMIFS($I$7:$I$256,$D$7:$D$256,W10,$H$7:$H$256,"P6"))</f>
        <v>0</v>
      </c>
      <c r="Z10" s="1" t="n">
        <f aca="false">X10+Y10</f>
        <v>0</v>
      </c>
      <c r="AA10" s="1" t="n">
        <f aca="false">IF(Z10&gt;0,Z10+(201-4)/10^6,0)</f>
        <v>0</v>
      </c>
      <c r="AB10" s="1"/>
      <c r="AC10" s="1"/>
      <c r="AD10" s="1"/>
      <c r="AE10" s="1"/>
      <c r="AF10" s="1" t="n">
        <f aca="false">IF($M10="",0,SUMIFS($P$58:$P$88,$L$58:$L$88,"&gt;="&amp;$M10,$L$58:$L$88,"&lt;="&amp;$N10))</f>
        <v>0</v>
      </c>
      <c r="AG10" s="1" t="n">
        <f aca="false">IF($M10="",0,SUMIFS($Q$58:$Q$88,$L$58:$L$88,"&gt;="&amp;$M10,$L$58:$L$88,"&lt;="&amp;$N10))</f>
        <v>0</v>
      </c>
      <c r="AH10" s="1" t="n">
        <f aca="false">IF($M10="",0,SUMIFS($R$58:$R$88,$L$58:$L$88,"&gt;="&amp;$M10,$L$58:$L$88,"&lt;="&amp;$N10))</f>
        <v>0</v>
      </c>
    </row>
    <row r="11" customFormat="false" ht="15" hidden="false" customHeight="false" outlineLevel="0" collapsed="false">
      <c r="A11" s="1"/>
      <c r="B11" s="10"/>
      <c r="C11" s="31" t="str">
        <f aca="false">IF(B11="","",TEXT(B11,"ddd"))</f>
        <v/>
      </c>
      <c r="D11" s="11"/>
      <c r="E11" s="8" t="str">
        <f aca="false">IF(D11="","",IFERROR(INDEX(ProjNumbers,MATCH(D11,ProjNames,0)),""))</f>
        <v/>
      </c>
      <c r="F11" s="8" t="str">
        <f aca="false">IF(D11="","",IFERROR(INDEX(ProjCodes,MATCH(D11,ProjNames,0)),""))</f>
        <v/>
      </c>
      <c r="G11" s="32"/>
      <c r="H11" s="11"/>
      <c r="I11" s="33"/>
      <c r="J11" s="8" t="str">
        <f aca="false">IF(COUNTA(B11,D11,G11,H11,I11)=0,"",IF(B11="","Enter date",IF(OR(B11&lt;$AC$2,B11&gt;$AC$3),"Date not in March",IF(D11="","Pick project",IF(ISNA(MATCH(D11,ProjNames,0)),"Project not in list",IF(G11="","Add task description",IF(H11="","Pick NTIME or P6",IF(N(I11)&lt;=0,"Enter hours",IF(AND(AllowOT&lt;&gt;"Yes",SUMIF($B$7:$B$256,B11,$I$7:$I$256)&gt;INDEX($O$58:$O$88,DAY(B11))),"Day over "&amp;INDEX($O$58:$O$88,DAY(B11))&amp;" h","✓")))))))))</f>
        <v/>
      </c>
      <c r="K11" s="1"/>
      <c r="L11" s="24" t="str">
        <f aca="false">"Week 2"&amp;IF(M11="",""," ("&amp;DAY(M11)&amp;"–"&amp;DAY(N11)&amp;")")</f>
        <v>Week 2 (2–8)</v>
      </c>
      <c r="M11" s="34" t="n">
        <f aca="false">IF($AC$4+7*1&gt;$AC$3,"",MAX($AC$2,$AC$4+7*1))</f>
        <v>46083</v>
      </c>
      <c r="N11" s="34" t="n">
        <f aca="false">IF(M11="","",MIN($AC$3,$AC$4+7*2-1))</f>
        <v>46089</v>
      </c>
      <c r="O11" s="24" t="n">
        <f aca="false">IF($M11="","",AF11+IF(OHSystem="NTIME",AH11,0))</f>
        <v>0</v>
      </c>
      <c r="P11" s="24" t="n">
        <f aca="false">IF($M11="","",AG11+IF(OHSystem="P6",AH11,0))</f>
        <v>0</v>
      </c>
      <c r="Q11" s="24" t="n">
        <f aca="false">IF($M11="","",AH11)</f>
        <v>0</v>
      </c>
      <c r="R11" s="24" t="n">
        <f aca="false">IF($M11="","",SUMIFS($S$58:$S$88,$L$58:$L$88,"&gt;="&amp;$M11,$L$58:$L$88,"&lt;="&amp;$N11))</f>
        <v>0</v>
      </c>
      <c r="S11" s="24" t="n">
        <f aca="false">IF($M11="","",SUMIFS($T$58:$T$88,$L$58:$L$88,"&gt;="&amp;$M11,$L$58:$L$88,"&lt;="&amp;$N11))</f>
        <v>0</v>
      </c>
      <c r="T11" s="1"/>
      <c r="U11" s="1"/>
      <c r="V11" s="1"/>
      <c r="W11" s="1" t="str">
        <f aca="false">IF(Projects!B9="","",Projects!B9)</f>
        <v/>
      </c>
      <c r="X11" s="1" t="n">
        <f aca="false">IF(W11="",0,SUMIFS($I$7:$I$256,$D$7:$D$256,W11,$H$7:$H$256,"NTIME"))</f>
        <v>0</v>
      </c>
      <c r="Y11" s="1" t="n">
        <f aca="false">IF(W11="",0,SUMIFS($I$7:$I$256,$D$7:$D$256,W11,$H$7:$H$256,"P6"))</f>
        <v>0</v>
      </c>
      <c r="Z11" s="1" t="n">
        <f aca="false">X11+Y11</f>
        <v>0</v>
      </c>
      <c r="AA11" s="1" t="n">
        <f aca="false">IF(Z11&gt;0,Z11+(201-5)/10^6,0)</f>
        <v>0</v>
      </c>
      <c r="AB11" s="1"/>
      <c r="AC11" s="1"/>
      <c r="AD11" s="1"/>
      <c r="AE11" s="1"/>
      <c r="AF11" s="1" t="n">
        <f aca="false">IF($M11="",0,SUMIFS($P$58:$P$88,$L$58:$L$88,"&gt;="&amp;$M11,$L$58:$L$88,"&lt;="&amp;$N11))</f>
        <v>0</v>
      </c>
      <c r="AG11" s="1" t="n">
        <f aca="false">IF($M11="",0,SUMIFS($Q$58:$Q$88,$L$58:$L$88,"&gt;="&amp;$M11,$L$58:$L$88,"&lt;="&amp;$N11))</f>
        <v>0</v>
      </c>
      <c r="AH11" s="1" t="n">
        <f aca="false">IF($M11="",0,SUMIFS($R$58:$R$88,$L$58:$L$88,"&gt;="&amp;$M11,$L$58:$L$88,"&lt;="&amp;$N11))</f>
        <v>0</v>
      </c>
    </row>
    <row r="12" customFormat="false" ht="15" hidden="false" customHeight="false" outlineLevel="0" collapsed="false">
      <c r="A12" s="1"/>
      <c r="B12" s="10"/>
      <c r="C12" s="31" t="str">
        <f aca="false">IF(B12="","",TEXT(B12,"ddd"))</f>
        <v/>
      </c>
      <c r="D12" s="11"/>
      <c r="E12" s="8" t="str">
        <f aca="false">IF(D12="","",IFERROR(INDEX(ProjNumbers,MATCH(D12,ProjNames,0)),""))</f>
        <v/>
      </c>
      <c r="F12" s="8" t="str">
        <f aca="false">IF(D12="","",IFERROR(INDEX(ProjCodes,MATCH(D12,ProjNames,0)),""))</f>
        <v/>
      </c>
      <c r="G12" s="32"/>
      <c r="H12" s="11"/>
      <c r="I12" s="33"/>
      <c r="J12" s="8" t="str">
        <f aca="false">IF(COUNTA(B12,D12,G12,H12,I12)=0,"",IF(B12="","Enter date",IF(OR(B12&lt;$AC$2,B12&gt;$AC$3),"Date not in March",IF(D12="","Pick project",IF(ISNA(MATCH(D12,ProjNames,0)),"Project not in list",IF(G12="","Add task description",IF(H12="","Pick NTIME or P6",IF(N(I12)&lt;=0,"Enter hours",IF(AND(AllowOT&lt;&gt;"Yes",SUMIF($B$7:$B$256,B12,$I$7:$I$256)&gt;INDEX($O$58:$O$88,DAY(B12))),"Day over "&amp;INDEX($O$58:$O$88,DAY(B12))&amp;" h","✓")))))))))</f>
        <v/>
      </c>
      <c r="K12" s="1"/>
      <c r="L12" s="24" t="str">
        <f aca="false">"Week 3"&amp;IF(M12="",""," ("&amp;DAY(M12)&amp;"–"&amp;DAY(N12)&amp;")")</f>
        <v>Week 3 (9–15)</v>
      </c>
      <c r="M12" s="34" t="n">
        <f aca="false">IF($AC$4+7*2&gt;$AC$3,"",MAX($AC$2,$AC$4+7*2))</f>
        <v>46090</v>
      </c>
      <c r="N12" s="34" t="n">
        <f aca="false">IF(M12="","",MIN($AC$3,$AC$4+7*3-1))</f>
        <v>46096</v>
      </c>
      <c r="O12" s="24" t="n">
        <f aca="false">IF($M12="","",AF12+IF(OHSystem="NTIME",AH12,0))</f>
        <v>0</v>
      </c>
      <c r="P12" s="24" t="n">
        <f aca="false">IF($M12="","",AG12+IF(OHSystem="P6",AH12,0))</f>
        <v>0</v>
      </c>
      <c r="Q12" s="24" t="n">
        <f aca="false">IF($M12="","",AH12)</f>
        <v>0</v>
      </c>
      <c r="R12" s="24" t="n">
        <f aca="false">IF($M12="","",SUMIFS($S$58:$S$88,$L$58:$L$88,"&gt;="&amp;$M12,$L$58:$L$88,"&lt;="&amp;$N12))</f>
        <v>0</v>
      </c>
      <c r="S12" s="24" t="n">
        <f aca="false">IF($M12="","",SUMIFS($T$58:$T$88,$L$58:$L$88,"&gt;="&amp;$M12,$L$58:$L$88,"&lt;="&amp;$N12))</f>
        <v>0</v>
      </c>
      <c r="T12" s="1"/>
      <c r="U12" s="1"/>
      <c r="V12" s="1"/>
      <c r="W12" s="1" t="str">
        <f aca="false">IF(Projects!B10="","",Projects!B10)</f>
        <v/>
      </c>
      <c r="X12" s="1" t="n">
        <f aca="false">IF(W12="",0,SUMIFS($I$7:$I$256,$D$7:$D$256,W12,$H$7:$H$256,"NTIME"))</f>
        <v>0</v>
      </c>
      <c r="Y12" s="1" t="n">
        <f aca="false">IF(W12="",0,SUMIFS($I$7:$I$256,$D$7:$D$256,W12,$H$7:$H$256,"P6"))</f>
        <v>0</v>
      </c>
      <c r="Z12" s="1" t="n">
        <f aca="false">X12+Y12</f>
        <v>0</v>
      </c>
      <c r="AA12" s="1" t="n">
        <f aca="false">IF(Z12&gt;0,Z12+(201-6)/10^6,0)</f>
        <v>0</v>
      </c>
      <c r="AB12" s="1"/>
      <c r="AC12" s="1"/>
      <c r="AD12" s="1"/>
      <c r="AE12" s="1"/>
      <c r="AF12" s="1" t="n">
        <f aca="false">IF($M12="",0,SUMIFS($P$58:$P$88,$L$58:$L$88,"&gt;="&amp;$M12,$L$58:$L$88,"&lt;="&amp;$N12))</f>
        <v>0</v>
      </c>
      <c r="AG12" s="1" t="n">
        <f aca="false">IF($M12="",0,SUMIFS($Q$58:$Q$88,$L$58:$L$88,"&gt;="&amp;$M12,$L$58:$L$88,"&lt;="&amp;$N12))</f>
        <v>0</v>
      </c>
      <c r="AH12" s="1" t="n">
        <f aca="false">IF($M12="",0,SUMIFS($R$58:$R$88,$L$58:$L$88,"&gt;="&amp;$M12,$L$58:$L$88,"&lt;="&amp;$N12))</f>
        <v>0</v>
      </c>
    </row>
    <row r="13" customFormat="false" ht="15" hidden="false" customHeight="false" outlineLevel="0" collapsed="false">
      <c r="A13" s="1"/>
      <c r="B13" s="10"/>
      <c r="C13" s="31" t="str">
        <f aca="false">IF(B13="","",TEXT(B13,"ddd"))</f>
        <v/>
      </c>
      <c r="D13" s="11"/>
      <c r="E13" s="8" t="str">
        <f aca="false">IF(D13="","",IFERROR(INDEX(ProjNumbers,MATCH(D13,ProjNames,0)),""))</f>
        <v/>
      </c>
      <c r="F13" s="8" t="str">
        <f aca="false">IF(D13="","",IFERROR(INDEX(ProjCodes,MATCH(D13,ProjNames,0)),""))</f>
        <v/>
      </c>
      <c r="G13" s="32"/>
      <c r="H13" s="11"/>
      <c r="I13" s="33"/>
      <c r="J13" s="8" t="str">
        <f aca="false">IF(COUNTA(B13,D13,G13,H13,I13)=0,"",IF(B13="","Enter date",IF(OR(B13&lt;$AC$2,B13&gt;$AC$3),"Date not in March",IF(D13="","Pick project",IF(ISNA(MATCH(D13,ProjNames,0)),"Project not in list",IF(G13="","Add task description",IF(H13="","Pick NTIME or P6",IF(N(I13)&lt;=0,"Enter hours",IF(AND(AllowOT&lt;&gt;"Yes",SUMIF($B$7:$B$256,B13,$I$7:$I$256)&gt;INDEX($O$58:$O$88,DAY(B13))),"Day over "&amp;INDEX($O$58:$O$88,DAY(B13))&amp;" h","✓")))))))))</f>
        <v/>
      </c>
      <c r="K13" s="1"/>
      <c r="L13" s="24" t="str">
        <f aca="false">"Week 4"&amp;IF(M13="",""," ("&amp;DAY(M13)&amp;"–"&amp;DAY(N13)&amp;")")</f>
        <v>Week 4 (16–22)</v>
      </c>
      <c r="M13" s="34" t="n">
        <f aca="false">IF($AC$4+7*3&gt;$AC$3,"",MAX($AC$2,$AC$4+7*3))</f>
        <v>46097</v>
      </c>
      <c r="N13" s="34" t="n">
        <f aca="false">IF(M13="","",MIN($AC$3,$AC$4+7*4-1))</f>
        <v>46103</v>
      </c>
      <c r="O13" s="24" t="n">
        <f aca="false">IF($M13="","",AF13+IF(OHSystem="NTIME",AH13,0))</f>
        <v>0</v>
      </c>
      <c r="P13" s="24" t="n">
        <f aca="false">IF($M13="","",AG13+IF(OHSystem="P6",AH13,0))</f>
        <v>0</v>
      </c>
      <c r="Q13" s="24" t="n">
        <f aca="false">IF($M13="","",AH13)</f>
        <v>0</v>
      </c>
      <c r="R13" s="24" t="n">
        <f aca="false">IF($M13="","",SUMIFS($S$58:$S$88,$L$58:$L$88,"&gt;="&amp;$M13,$L$58:$L$88,"&lt;="&amp;$N13))</f>
        <v>0</v>
      </c>
      <c r="S13" s="24" t="n">
        <f aca="false">IF($M13="","",SUMIFS($T$58:$T$88,$L$58:$L$88,"&gt;="&amp;$M13,$L$58:$L$88,"&lt;="&amp;$N13))</f>
        <v>0</v>
      </c>
      <c r="T13" s="1"/>
      <c r="U13" s="1"/>
      <c r="V13" s="1"/>
      <c r="W13" s="1" t="str">
        <f aca="false">IF(Projects!B11="","",Projects!B11)</f>
        <v/>
      </c>
      <c r="X13" s="1" t="n">
        <f aca="false">IF(W13="",0,SUMIFS($I$7:$I$256,$D$7:$D$256,W13,$H$7:$H$256,"NTIME"))</f>
        <v>0</v>
      </c>
      <c r="Y13" s="1" t="n">
        <f aca="false">IF(W13="",0,SUMIFS($I$7:$I$256,$D$7:$D$256,W13,$H$7:$H$256,"P6"))</f>
        <v>0</v>
      </c>
      <c r="Z13" s="1" t="n">
        <f aca="false">X13+Y13</f>
        <v>0</v>
      </c>
      <c r="AA13" s="1" t="n">
        <f aca="false">IF(Z13&gt;0,Z13+(201-7)/10^6,0)</f>
        <v>0</v>
      </c>
      <c r="AB13" s="1"/>
      <c r="AC13" s="1"/>
      <c r="AD13" s="1"/>
      <c r="AE13" s="1"/>
      <c r="AF13" s="1" t="n">
        <f aca="false">IF($M13="",0,SUMIFS($P$58:$P$88,$L$58:$L$88,"&gt;="&amp;$M13,$L$58:$L$88,"&lt;="&amp;$N13))</f>
        <v>0</v>
      </c>
      <c r="AG13" s="1" t="n">
        <f aca="false">IF($M13="",0,SUMIFS($Q$58:$Q$88,$L$58:$L$88,"&gt;="&amp;$M13,$L$58:$L$88,"&lt;="&amp;$N13))</f>
        <v>0</v>
      </c>
      <c r="AH13" s="1" t="n">
        <f aca="false">IF($M13="",0,SUMIFS($R$58:$R$88,$L$58:$L$88,"&gt;="&amp;$M13,$L$58:$L$88,"&lt;="&amp;$N13))</f>
        <v>0</v>
      </c>
    </row>
    <row r="14" customFormat="false" ht="15" hidden="false" customHeight="false" outlineLevel="0" collapsed="false">
      <c r="A14" s="1"/>
      <c r="B14" s="10"/>
      <c r="C14" s="31" t="str">
        <f aca="false">IF(B14="","",TEXT(B14,"ddd"))</f>
        <v/>
      </c>
      <c r="D14" s="11"/>
      <c r="E14" s="8" t="str">
        <f aca="false">IF(D14="","",IFERROR(INDEX(ProjNumbers,MATCH(D14,ProjNames,0)),""))</f>
        <v/>
      </c>
      <c r="F14" s="8" t="str">
        <f aca="false">IF(D14="","",IFERROR(INDEX(ProjCodes,MATCH(D14,ProjNames,0)),""))</f>
        <v/>
      </c>
      <c r="G14" s="32"/>
      <c r="H14" s="11"/>
      <c r="I14" s="33"/>
      <c r="J14" s="8" t="str">
        <f aca="false">IF(COUNTA(B14,D14,G14,H14,I14)=0,"",IF(B14="","Enter date",IF(OR(B14&lt;$AC$2,B14&gt;$AC$3),"Date not in March",IF(D14="","Pick project",IF(ISNA(MATCH(D14,ProjNames,0)),"Project not in list",IF(G14="","Add task description",IF(H14="","Pick NTIME or P6",IF(N(I14)&lt;=0,"Enter hours",IF(AND(AllowOT&lt;&gt;"Yes",SUMIF($B$7:$B$256,B14,$I$7:$I$256)&gt;INDEX($O$58:$O$88,DAY(B14))),"Day over "&amp;INDEX($O$58:$O$88,DAY(B14))&amp;" h","✓")))))))))</f>
        <v/>
      </c>
      <c r="K14" s="1"/>
      <c r="L14" s="24" t="str">
        <f aca="false">"Week 5"&amp;IF(M14="",""," ("&amp;DAY(M14)&amp;"–"&amp;DAY(N14)&amp;")")</f>
        <v>Week 5 (23–29)</v>
      </c>
      <c r="M14" s="34" t="n">
        <f aca="false">IF($AC$4+7*4&gt;$AC$3,"",MAX($AC$2,$AC$4+7*4))</f>
        <v>46104</v>
      </c>
      <c r="N14" s="34" t="n">
        <f aca="false">IF(M14="","",MIN($AC$3,$AC$4+7*5-1))</f>
        <v>46110</v>
      </c>
      <c r="O14" s="24" t="n">
        <f aca="false">IF($M14="","",AF14+IF(OHSystem="NTIME",AH14,0))</f>
        <v>0</v>
      </c>
      <c r="P14" s="24" t="n">
        <f aca="false">IF($M14="","",AG14+IF(OHSystem="P6",AH14,0))</f>
        <v>0</v>
      </c>
      <c r="Q14" s="24" t="n">
        <f aca="false">IF($M14="","",AH14)</f>
        <v>0</v>
      </c>
      <c r="R14" s="24" t="n">
        <f aca="false">IF($M14="","",SUMIFS($S$58:$S$88,$L$58:$L$88,"&gt;="&amp;$M14,$L$58:$L$88,"&lt;="&amp;$N14))</f>
        <v>0</v>
      </c>
      <c r="S14" s="24" t="n">
        <f aca="false">IF($M14="","",SUMIFS($T$58:$T$88,$L$58:$L$88,"&gt;="&amp;$M14,$L$58:$L$88,"&lt;="&amp;$N14))</f>
        <v>0</v>
      </c>
      <c r="T14" s="1"/>
      <c r="U14" s="1"/>
      <c r="V14" s="1"/>
      <c r="W14" s="1" t="str">
        <f aca="false">IF(Projects!B12="","",Projects!B12)</f>
        <v/>
      </c>
      <c r="X14" s="1" t="n">
        <f aca="false">IF(W14="",0,SUMIFS($I$7:$I$256,$D$7:$D$256,W14,$H$7:$H$256,"NTIME"))</f>
        <v>0</v>
      </c>
      <c r="Y14" s="1" t="n">
        <f aca="false">IF(W14="",0,SUMIFS($I$7:$I$256,$D$7:$D$256,W14,$H$7:$H$256,"P6"))</f>
        <v>0</v>
      </c>
      <c r="Z14" s="1" t="n">
        <f aca="false">X14+Y14</f>
        <v>0</v>
      </c>
      <c r="AA14" s="1" t="n">
        <f aca="false">IF(Z14&gt;0,Z14+(201-8)/10^6,0)</f>
        <v>0</v>
      </c>
      <c r="AB14" s="1"/>
      <c r="AC14" s="1"/>
      <c r="AD14" s="1"/>
      <c r="AE14" s="1"/>
      <c r="AF14" s="1" t="n">
        <f aca="false">IF($M14="",0,SUMIFS($P$58:$P$88,$L$58:$L$88,"&gt;="&amp;$M14,$L$58:$L$88,"&lt;="&amp;$N14))</f>
        <v>0</v>
      </c>
      <c r="AG14" s="1" t="n">
        <f aca="false">IF($M14="",0,SUMIFS($Q$58:$Q$88,$L$58:$L$88,"&gt;="&amp;$M14,$L$58:$L$88,"&lt;="&amp;$N14))</f>
        <v>0</v>
      </c>
      <c r="AH14" s="1" t="n">
        <f aca="false">IF($M14="",0,SUMIFS($R$58:$R$88,$L$58:$L$88,"&gt;="&amp;$M14,$L$58:$L$88,"&lt;="&amp;$N14))</f>
        <v>0</v>
      </c>
    </row>
    <row r="15" customFormat="false" ht="15" hidden="false" customHeight="false" outlineLevel="0" collapsed="false">
      <c r="A15" s="1"/>
      <c r="B15" s="10"/>
      <c r="C15" s="31" t="str">
        <f aca="false">IF(B15="","",TEXT(B15,"ddd"))</f>
        <v/>
      </c>
      <c r="D15" s="11"/>
      <c r="E15" s="8" t="str">
        <f aca="false">IF(D15="","",IFERROR(INDEX(ProjNumbers,MATCH(D15,ProjNames,0)),""))</f>
        <v/>
      </c>
      <c r="F15" s="8" t="str">
        <f aca="false">IF(D15="","",IFERROR(INDEX(ProjCodes,MATCH(D15,ProjNames,0)),""))</f>
        <v/>
      </c>
      <c r="G15" s="32"/>
      <c r="H15" s="11"/>
      <c r="I15" s="33"/>
      <c r="J15" s="8" t="str">
        <f aca="false">IF(COUNTA(B15,D15,G15,H15,I15)=0,"",IF(B15="","Enter date",IF(OR(B15&lt;$AC$2,B15&gt;$AC$3),"Date not in March",IF(D15="","Pick project",IF(ISNA(MATCH(D15,ProjNames,0)),"Project not in list",IF(G15="","Add task description",IF(H15="","Pick NTIME or P6",IF(N(I15)&lt;=0,"Enter hours",IF(AND(AllowOT&lt;&gt;"Yes",SUMIF($B$7:$B$256,B15,$I$7:$I$256)&gt;INDEX($O$58:$O$88,DAY(B15))),"Day over "&amp;INDEX($O$58:$O$88,DAY(B15))&amp;" h","✓")))))))))</f>
        <v/>
      </c>
      <c r="K15" s="1"/>
      <c r="L15" s="24" t="str">
        <f aca="false">"Week 6"&amp;IF(M15="",""," ("&amp;DAY(M15)&amp;"–"&amp;DAY(N15)&amp;")")</f>
        <v>Week 6 (30–31)</v>
      </c>
      <c r="M15" s="34" t="n">
        <f aca="false">IF($AC$4+7*5&gt;$AC$3,"",MAX($AC$2,$AC$4+7*5))</f>
        <v>46111</v>
      </c>
      <c r="N15" s="34" t="n">
        <f aca="false">IF(M15="","",MIN($AC$3,$AC$4+7*6-1))</f>
        <v>46112</v>
      </c>
      <c r="O15" s="24" t="n">
        <f aca="false">IF($M15="","",AF15+IF(OHSystem="NTIME",AH15,0))</f>
        <v>0</v>
      </c>
      <c r="P15" s="24" t="n">
        <f aca="false">IF($M15="","",AG15+IF(OHSystem="P6",AH15,0))</f>
        <v>0</v>
      </c>
      <c r="Q15" s="24" t="n">
        <f aca="false">IF($M15="","",AH15)</f>
        <v>0</v>
      </c>
      <c r="R15" s="24" t="n">
        <f aca="false">IF($M15="","",SUMIFS($S$58:$S$88,$L$58:$L$88,"&gt;="&amp;$M15,$L$58:$L$88,"&lt;="&amp;$N15))</f>
        <v>0</v>
      </c>
      <c r="S15" s="24" t="n">
        <f aca="false">IF($M15="","",SUMIFS($T$58:$T$88,$L$58:$L$88,"&gt;="&amp;$M15,$L$58:$L$88,"&lt;="&amp;$N15))</f>
        <v>0</v>
      </c>
      <c r="T15" s="1"/>
      <c r="U15" s="1"/>
      <c r="V15" s="1"/>
      <c r="W15" s="1" t="str">
        <f aca="false">IF(Projects!B13="","",Projects!B13)</f>
        <v/>
      </c>
      <c r="X15" s="1" t="n">
        <f aca="false">IF(W15="",0,SUMIFS($I$7:$I$256,$D$7:$D$256,W15,$H$7:$H$256,"NTIME"))</f>
        <v>0</v>
      </c>
      <c r="Y15" s="1" t="n">
        <f aca="false">IF(W15="",0,SUMIFS($I$7:$I$256,$D$7:$D$256,W15,$H$7:$H$256,"P6"))</f>
        <v>0</v>
      </c>
      <c r="Z15" s="1" t="n">
        <f aca="false">X15+Y15</f>
        <v>0</v>
      </c>
      <c r="AA15" s="1" t="n">
        <f aca="false">IF(Z15&gt;0,Z15+(201-9)/10^6,0)</f>
        <v>0</v>
      </c>
      <c r="AB15" s="1"/>
      <c r="AC15" s="1"/>
      <c r="AD15" s="1"/>
      <c r="AE15" s="1"/>
      <c r="AF15" s="1" t="n">
        <f aca="false">IF($M15="",0,SUMIFS($P$58:$P$88,$L$58:$L$88,"&gt;="&amp;$M15,$L$58:$L$88,"&lt;="&amp;$N15))</f>
        <v>0</v>
      </c>
      <c r="AG15" s="1" t="n">
        <f aca="false">IF($M15="",0,SUMIFS($Q$58:$Q$88,$L$58:$L$88,"&gt;="&amp;$M15,$L$58:$L$88,"&lt;="&amp;$N15))</f>
        <v>0</v>
      </c>
      <c r="AH15" s="1" t="n">
        <f aca="false">IF($M15="",0,SUMIFS($R$58:$R$88,$L$58:$L$88,"&gt;="&amp;$M15,$L$58:$L$88,"&lt;="&amp;$N15))</f>
        <v>0</v>
      </c>
    </row>
    <row r="16" customFormat="false" ht="15" hidden="false" customHeight="false" outlineLevel="0" collapsed="false">
      <c r="A16" s="1"/>
      <c r="B16" s="10"/>
      <c r="C16" s="31" t="str">
        <f aca="false">IF(B16="","",TEXT(B16,"ddd"))</f>
        <v/>
      </c>
      <c r="D16" s="11"/>
      <c r="E16" s="8" t="str">
        <f aca="false">IF(D16="","",IFERROR(INDEX(ProjNumbers,MATCH(D16,ProjNames,0)),""))</f>
        <v/>
      </c>
      <c r="F16" s="8" t="str">
        <f aca="false">IF(D16="","",IFERROR(INDEX(ProjCodes,MATCH(D16,ProjNames,0)),""))</f>
        <v/>
      </c>
      <c r="G16" s="32"/>
      <c r="H16" s="11"/>
      <c r="I16" s="33"/>
      <c r="J16" s="8" t="str">
        <f aca="false">IF(COUNTA(B16,D16,G16,H16,I16)=0,"",IF(B16="","Enter date",IF(OR(B16&lt;$AC$2,B16&gt;$AC$3),"Date not in March",IF(D16="","Pick project",IF(ISNA(MATCH(D16,ProjNames,0)),"Project not in list",IF(G16="","Add task description",IF(H16="","Pick NTIME or P6",IF(N(I16)&lt;=0,"Enter hours",IF(AND(AllowOT&lt;&gt;"Yes",SUMIF($B$7:$B$256,B16,$I$7:$I$256)&gt;INDEX($O$58:$O$88,DAY(B16))),"Day over "&amp;INDEX($O$58:$O$88,DAY(B16))&amp;" h","✓")))))))))</f>
        <v/>
      </c>
      <c r="K16" s="1"/>
      <c r="L16" s="27" t="s">
        <v>84</v>
      </c>
      <c r="M16" s="27"/>
      <c r="N16" s="27"/>
      <c r="O16" s="27" t="n">
        <f aca="false">SUM(O10:O15)</f>
        <v>0</v>
      </c>
      <c r="P16" s="27" t="n">
        <f aca="false">SUM(P10:P15)</f>
        <v>0</v>
      </c>
      <c r="Q16" s="27" t="n">
        <f aca="false">SUM(Q10:Q15)</f>
        <v>0</v>
      </c>
      <c r="R16" s="27" t="n">
        <f aca="false">SUM(R10:R15)</f>
        <v>0</v>
      </c>
      <c r="S16" s="27" t="n">
        <f aca="false">SUM(S10:S15)</f>
        <v>0</v>
      </c>
      <c r="T16" s="1"/>
      <c r="U16" s="1"/>
      <c r="V16" s="1"/>
      <c r="W16" s="1" t="str">
        <f aca="false">IF(Projects!B14="","",Projects!B14)</f>
        <v/>
      </c>
      <c r="X16" s="1" t="n">
        <f aca="false">IF(W16="",0,SUMIFS($I$7:$I$256,$D$7:$D$256,W16,$H$7:$H$256,"NTIME"))</f>
        <v>0</v>
      </c>
      <c r="Y16" s="1" t="n">
        <f aca="false">IF(W16="",0,SUMIFS($I$7:$I$256,$D$7:$D$256,W16,$H$7:$H$256,"P6"))</f>
        <v>0</v>
      </c>
      <c r="Z16" s="1" t="n">
        <f aca="false">X16+Y16</f>
        <v>0</v>
      </c>
      <c r="AA16" s="1" t="n">
        <f aca="false">IF(Z16&gt;0,Z16+(201-10)/10^6,0)</f>
        <v>0</v>
      </c>
      <c r="AB16" s="1"/>
      <c r="AC16" s="1"/>
      <c r="AD16" s="1"/>
      <c r="AE16" s="1"/>
      <c r="AF16" s="1" t="n">
        <f aca="false">SUM(AF10:AF15)</f>
        <v>0</v>
      </c>
      <c r="AG16" s="1" t="n">
        <f aca="false">SUM(AG10:AG15)</f>
        <v>0</v>
      </c>
      <c r="AH16" s="1" t="n">
        <f aca="false">SUM(AH10:AH15)</f>
        <v>0</v>
      </c>
    </row>
    <row r="17" customFormat="false" ht="15" hidden="false" customHeight="false" outlineLevel="0" collapsed="false">
      <c r="A17" s="1"/>
      <c r="B17" s="10"/>
      <c r="C17" s="31" t="str">
        <f aca="false">IF(B17="","",TEXT(B17,"ddd"))</f>
        <v/>
      </c>
      <c r="D17" s="11"/>
      <c r="E17" s="8" t="str">
        <f aca="false">IF(D17="","",IFERROR(INDEX(ProjNumbers,MATCH(D17,ProjNames,0)),""))</f>
        <v/>
      </c>
      <c r="F17" s="8" t="str">
        <f aca="false">IF(D17="","",IFERROR(INDEX(ProjCodes,MATCH(D17,ProjNames,0)),""))</f>
        <v/>
      </c>
      <c r="G17" s="32"/>
      <c r="H17" s="11"/>
      <c r="I17" s="33"/>
      <c r="J17" s="8" t="str">
        <f aca="false">IF(COUNTA(B17,D17,G17,H17,I17)=0,"",IF(B17="","Enter date",IF(OR(B17&lt;$AC$2,B17&gt;$AC$3),"Date not in March",IF(D17="","Pick project",IF(ISNA(MATCH(D17,ProjNames,0)),"Project not in list",IF(G17="","Add task description",IF(H17="","Pick NTIME or P6",IF(N(I17)&lt;=0,"Enter hours",IF(AND(AllowOT&lt;&gt;"Yes",SUMIF($B$7:$B$256,B17,$I$7:$I$256)&gt;INDEX($O$58:$O$88,DAY(B17))),"Day over "&amp;INDEX($O$58:$O$88,DAY(B17))&amp;" h","✓")))))))))</f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tr">
        <f aca="false">IF(Projects!B15="","",Projects!B15)</f>
        <v/>
      </c>
      <c r="X17" s="1" t="n">
        <f aca="false">IF(W17="",0,SUMIFS($I$7:$I$256,$D$7:$D$256,W17,$H$7:$H$256,"NTIME"))</f>
        <v>0</v>
      </c>
      <c r="Y17" s="1" t="n">
        <f aca="false">IF(W17="",0,SUMIFS($I$7:$I$256,$D$7:$D$256,W17,$H$7:$H$256,"P6"))</f>
        <v>0</v>
      </c>
      <c r="Z17" s="1" t="n">
        <f aca="false">X17+Y17</f>
        <v>0</v>
      </c>
      <c r="AA17" s="1" t="n">
        <f aca="false">IF(Z17&gt;0,Z17+(201-11)/10^6,0)</f>
        <v>0</v>
      </c>
      <c r="AB17" s="1"/>
      <c r="AC17" s="1"/>
      <c r="AD17" s="1"/>
      <c r="AE17" s="1"/>
      <c r="AF17" s="1"/>
      <c r="AG17" s="1"/>
      <c r="AH17" s="1"/>
    </row>
    <row r="18" customFormat="false" ht="15" hidden="false" customHeight="false" outlineLevel="0" collapsed="false">
      <c r="A18" s="1"/>
      <c r="B18" s="10"/>
      <c r="C18" s="31" t="str">
        <f aca="false">IF(B18="","",TEXT(B18,"ddd"))</f>
        <v/>
      </c>
      <c r="D18" s="11"/>
      <c r="E18" s="8" t="str">
        <f aca="false">IF(D18="","",IFERROR(INDEX(ProjNumbers,MATCH(D18,ProjNames,0)),""))</f>
        <v/>
      </c>
      <c r="F18" s="8" t="str">
        <f aca="false">IF(D18="","",IFERROR(INDEX(ProjCodes,MATCH(D18,ProjNames,0)),""))</f>
        <v/>
      </c>
      <c r="G18" s="32"/>
      <c r="H18" s="11"/>
      <c r="I18" s="33"/>
      <c r="J18" s="8" t="str">
        <f aca="false">IF(COUNTA(B18,D18,G18,H18,I18)=0,"",IF(B18="","Enter date",IF(OR(B18&lt;$AC$2,B18&gt;$AC$3),"Date not in March",IF(D18="","Pick project",IF(ISNA(MATCH(D18,ProjNames,0)),"Project not in list",IF(G18="","Add task description",IF(H18="","Pick NTIME or P6",IF(N(I18)&lt;=0,"Enter hours",IF(AND(AllowOT&lt;&gt;"Yes",SUMIF($B$7:$B$256,B18,$I$7:$I$256)&gt;INDEX($O$58:$O$88,DAY(B18))),"Day over "&amp;INDEX($O$58:$O$88,DAY(B18))&amp;" h","✓")))))))))</f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 aca="false">IF(Projects!B16="","",Projects!B16)</f>
        <v/>
      </c>
      <c r="X18" s="1" t="n">
        <f aca="false">IF(W18="",0,SUMIFS($I$7:$I$256,$D$7:$D$256,W18,$H$7:$H$256,"NTIME"))</f>
        <v>0</v>
      </c>
      <c r="Y18" s="1" t="n">
        <f aca="false">IF(W18="",0,SUMIFS($I$7:$I$256,$D$7:$D$256,W18,$H$7:$H$256,"P6"))</f>
        <v>0</v>
      </c>
      <c r="Z18" s="1" t="n">
        <f aca="false">X18+Y18</f>
        <v>0</v>
      </c>
      <c r="AA18" s="1" t="n">
        <f aca="false">IF(Z18&gt;0,Z18+(201-12)/10^6,0)</f>
        <v>0</v>
      </c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/>
      <c r="B19" s="10"/>
      <c r="C19" s="31" t="str">
        <f aca="false">IF(B19="","",TEXT(B19,"ddd"))</f>
        <v/>
      </c>
      <c r="D19" s="11"/>
      <c r="E19" s="8" t="str">
        <f aca="false">IF(D19="","",IFERROR(INDEX(ProjNumbers,MATCH(D19,ProjNames,0)),""))</f>
        <v/>
      </c>
      <c r="F19" s="8" t="str">
        <f aca="false">IF(D19="","",IFERROR(INDEX(ProjCodes,MATCH(D19,ProjNames,0)),""))</f>
        <v/>
      </c>
      <c r="G19" s="32"/>
      <c r="H19" s="11"/>
      <c r="I19" s="33"/>
      <c r="J19" s="8" t="str">
        <f aca="false">IF(COUNTA(B19,D19,G19,H19,I19)=0,"",IF(B19="","Enter date",IF(OR(B19&lt;$AC$2,B19&gt;$AC$3),"Date not in March",IF(D19="","Pick project",IF(ISNA(MATCH(D19,ProjNames,0)),"Project not in list",IF(G19="","Add task description",IF(H19="","Pick NTIME or P6",IF(N(I19)&lt;=0,"Enter hours",IF(AND(AllowOT&lt;&gt;"Yes",SUMIF($B$7:$B$256,B19,$I$7:$I$256)&gt;INDEX($O$58:$O$88,DAY(B19))),"Day over "&amp;INDEX($O$58:$O$88,DAY(B19))&amp;" h","✓")))))))))</f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tr">
        <f aca="false">IF(Projects!B17="","",Projects!B17)</f>
        <v/>
      </c>
      <c r="X19" s="1" t="n">
        <f aca="false">IF(W19="",0,SUMIFS($I$7:$I$256,$D$7:$D$256,W19,$H$7:$H$256,"NTIME"))</f>
        <v>0</v>
      </c>
      <c r="Y19" s="1" t="n">
        <f aca="false">IF(W19="",0,SUMIFS($I$7:$I$256,$D$7:$D$256,W19,$H$7:$H$256,"P6"))</f>
        <v>0</v>
      </c>
      <c r="Z19" s="1" t="n">
        <f aca="false">X19+Y19</f>
        <v>0</v>
      </c>
      <c r="AA19" s="1" t="n">
        <f aca="false">IF(Z19&gt;0,Z19+(201-13)/10^6,0)</f>
        <v>0</v>
      </c>
      <c r="AB19" s="1"/>
      <c r="AC19" s="1"/>
      <c r="AD19" s="1"/>
      <c r="AE19" s="1"/>
      <c r="AF19" s="1"/>
      <c r="AG19" s="1"/>
      <c r="AH19" s="1"/>
    </row>
    <row r="20" customFormat="false" ht="15" hidden="false" customHeight="false" outlineLevel="0" collapsed="false">
      <c r="A20" s="1"/>
      <c r="B20" s="10"/>
      <c r="C20" s="31" t="str">
        <f aca="false">IF(B20="","",TEXT(B20,"ddd"))</f>
        <v/>
      </c>
      <c r="D20" s="11"/>
      <c r="E20" s="8" t="str">
        <f aca="false">IF(D20="","",IFERROR(INDEX(ProjNumbers,MATCH(D20,ProjNames,0)),""))</f>
        <v/>
      </c>
      <c r="F20" s="8" t="str">
        <f aca="false">IF(D20="","",IFERROR(INDEX(ProjCodes,MATCH(D20,ProjNames,0)),""))</f>
        <v/>
      </c>
      <c r="G20" s="32"/>
      <c r="H20" s="11"/>
      <c r="I20" s="33"/>
      <c r="J20" s="8" t="str">
        <f aca="false">IF(COUNTA(B20,D20,G20,H20,I20)=0,"",IF(B20="","Enter date",IF(OR(B20&lt;$AC$2,B20&gt;$AC$3),"Date not in March",IF(D20="","Pick project",IF(ISNA(MATCH(D20,ProjNames,0)),"Project not in list",IF(G20="","Add task description",IF(H20="","Pick NTIME or P6",IF(N(I20)&lt;=0,"Enter hours",IF(AND(AllowOT&lt;&gt;"Yes",SUMIF($B$7:$B$256,B20,$I$7:$I$256)&gt;INDEX($O$58:$O$88,DAY(B20))),"Day over "&amp;INDEX($O$58:$O$88,DAY(B20))&amp;" h","✓")))))))))</f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tr">
        <f aca="false">IF(Projects!B18="","",Projects!B18)</f>
        <v/>
      </c>
      <c r="X20" s="1" t="n">
        <f aca="false">IF(W20="",0,SUMIFS($I$7:$I$256,$D$7:$D$256,W20,$H$7:$H$256,"NTIME"))</f>
        <v>0</v>
      </c>
      <c r="Y20" s="1" t="n">
        <f aca="false">IF(W20="",0,SUMIFS($I$7:$I$256,$D$7:$D$256,W20,$H$7:$H$256,"P6"))</f>
        <v>0</v>
      </c>
      <c r="Z20" s="1" t="n">
        <f aca="false">X20+Y20</f>
        <v>0</v>
      </c>
      <c r="AA20" s="1" t="n">
        <f aca="false">IF(Z20&gt;0,Z20+(201-14)/10^6,0)</f>
        <v>0</v>
      </c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/>
      <c r="B21" s="10"/>
      <c r="C21" s="31" t="str">
        <f aca="false">IF(B21="","",TEXT(B21,"ddd"))</f>
        <v/>
      </c>
      <c r="D21" s="11"/>
      <c r="E21" s="8" t="str">
        <f aca="false">IF(D21="","",IFERROR(INDEX(ProjNumbers,MATCH(D21,ProjNames,0)),""))</f>
        <v/>
      </c>
      <c r="F21" s="8" t="str">
        <f aca="false">IF(D21="","",IFERROR(INDEX(ProjCodes,MATCH(D21,ProjNames,0)),""))</f>
        <v/>
      </c>
      <c r="G21" s="32"/>
      <c r="H21" s="11"/>
      <c r="I21" s="33"/>
      <c r="J21" s="8" t="str">
        <f aca="false">IF(COUNTA(B21,D21,G21,H21,I21)=0,"",IF(B21="","Enter date",IF(OR(B21&lt;$AC$2,B21&gt;$AC$3),"Date not in March",IF(D21="","Pick project",IF(ISNA(MATCH(D21,ProjNames,0)),"Project not in list",IF(G21="","Add task description",IF(H21="","Pick NTIME or P6",IF(N(I21)&lt;=0,"Enter hours",IF(AND(AllowOT&lt;&gt;"Yes",SUMIF($B$7:$B$256,B21,$I$7:$I$256)&gt;INDEX($O$58:$O$88,DAY(B21))),"Day over "&amp;INDEX($O$58:$O$88,DAY(B21))&amp;" h","✓")))))))))</f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tr">
        <f aca="false">IF(Projects!B19="","",Projects!B19)</f>
        <v/>
      </c>
      <c r="X21" s="1" t="n">
        <f aca="false">IF(W21="",0,SUMIFS($I$7:$I$256,$D$7:$D$256,W21,$H$7:$H$256,"NTIME"))</f>
        <v>0</v>
      </c>
      <c r="Y21" s="1" t="n">
        <f aca="false">IF(W21="",0,SUMIFS($I$7:$I$256,$D$7:$D$256,W21,$H$7:$H$256,"P6"))</f>
        <v>0</v>
      </c>
      <c r="Z21" s="1" t="n">
        <f aca="false">X21+Y21</f>
        <v>0</v>
      </c>
      <c r="AA21" s="1" t="n">
        <f aca="false">IF(Z21&gt;0,Z21+(201-15)/10^6,0)</f>
        <v>0</v>
      </c>
      <c r="AB21" s="1"/>
      <c r="AC21" s="1"/>
      <c r="AD21" s="1"/>
      <c r="AE21" s="1"/>
      <c r="AF21" s="1"/>
      <c r="AG21" s="1"/>
      <c r="AH21" s="1"/>
    </row>
    <row r="22" customFormat="false" ht="15" hidden="false" customHeight="false" outlineLevel="0" collapsed="false">
      <c r="A22" s="1"/>
      <c r="B22" s="10"/>
      <c r="C22" s="31" t="str">
        <f aca="false">IF(B22="","",TEXT(B22,"ddd"))</f>
        <v/>
      </c>
      <c r="D22" s="11"/>
      <c r="E22" s="8" t="str">
        <f aca="false">IF(D22="","",IFERROR(INDEX(ProjNumbers,MATCH(D22,ProjNames,0)),""))</f>
        <v/>
      </c>
      <c r="F22" s="8" t="str">
        <f aca="false">IF(D22="","",IFERROR(INDEX(ProjCodes,MATCH(D22,ProjNames,0)),""))</f>
        <v/>
      </c>
      <c r="G22" s="32"/>
      <c r="H22" s="11"/>
      <c r="I22" s="33"/>
      <c r="J22" s="8" t="str">
        <f aca="false">IF(COUNTA(B22,D22,G22,H22,I22)=0,"",IF(B22="","Enter date",IF(OR(B22&lt;$AC$2,B22&gt;$AC$3),"Date not in March",IF(D22="","Pick project",IF(ISNA(MATCH(D22,ProjNames,0)),"Project not in list",IF(G22="","Add task description",IF(H22="","Pick NTIME or P6",IF(N(I22)&lt;=0,"Enter hours",IF(AND(AllowOT&lt;&gt;"Yes",SUMIF($B$7:$B$256,B22,$I$7:$I$256)&gt;INDEX($O$58:$O$88,DAY(B22))),"Day over "&amp;INDEX($O$58:$O$88,DAY(B22))&amp;" h","✓")))))))))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tr">
        <f aca="false">IF(Projects!B20="","",Projects!B20)</f>
        <v/>
      </c>
      <c r="X22" s="1" t="n">
        <f aca="false">IF(W22="",0,SUMIFS($I$7:$I$256,$D$7:$D$256,W22,$H$7:$H$256,"NTIME"))</f>
        <v>0</v>
      </c>
      <c r="Y22" s="1" t="n">
        <f aca="false">IF(W22="",0,SUMIFS($I$7:$I$256,$D$7:$D$256,W22,$H$7:$H$256,"P6"))</f>
        <v>0</v>
      </c>
      <c r="Z22" s="1" t="n">
        <f aca="false">X22+Y22</f>
        <v>0</v>
      </c>
      <c r="AA22" s="1" t="n">
        <f aca="false">IF(Z22&gt;0,Z22+(201-16)/10^6,0)</f>
        <v>0</v>
      </c>
      <c r="AB22" s="1"/>
      <c r="AC22" s="1"/>
      <c r="AD22" s="1"/>
      <c r="AE22" s="1"/>
      <c r="AF22" s="1"/>
      <c r="AG22" s="1"/>
      <c r="AH22" s="1"/>
    </row>
    <row r="23" customFormat="false" ht="15" hidden="false" customHeight="false" outlineLevel="0" collapsed="false">
      <c r="A23" s="1"/>
      <c r="B23" s="10"/>
      <c r="C23" s="31" t="str">
        <f aca="false">IF(B23="","",TEXT(B23,"ddd"))</f>
        <v/>
      </c>
      <c r="D23" s="11"/>
      <c r="E23" s="8" t="str">
        <f aca="false">IF(D23="","",IFERROR(INDEX(ProjNumbers,MATCH(D23,ProjNames,0)),""))</f>
        <v/>
      </c>
      <c r="F23" s="8" t="str">
        <f aca="false">IF(D23="","",IFERROR(INDEX(ProjCodes,MATCH(D23,ProjNames,0)),""))</f>
        <v/>
      </c>
      <c r="G23" s="32"/>
      <c r="H23" s="11"/>
      <c r="I23" s="33"/>
      <c r="J23" s="8" t="str">
        <f aca="false">IF(COUNTA(B23,D23,G23,H23,I23)=0,"",IF(B23="","Enter date",IF(OR(B23&lt;$AC$2,B23&gt;$AC$3),"Date not in March",IF(D23="","Pick project",IF(ISNA(MATCH(D23,ProjNames,0)),"Project not in list",IF(G23="","Add task description",IF(H23="","Pick NTIME or P6",IF(N(I23)&lt;=0,"Enter hours",IF(AND(AllowOT&lt;&gt;"Yes",SUMIF($B$7:$B$256,B23,$I$7:$I$256)&gt;INDEX($O$58:$O$88,DAY(B23))),"Day over "&amp;INDEX($O$58:$O$88,DAY(B23))&amp;" h","✓")))))))))</f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tr">
        <f aca="false">IF(Projects!B21="","",Projects!B21)</f>
        <v/>
      </c>
      <c r="X23" s="1" t="n">
        <f aca="false">IF(W23="",0,SUMIFS($I$7:$I$256,$D$7:$D$256,W23,$H$7:$H$256,"NTIME"))</f>
        <v>0</v>
      </c>
      <c r="Y23" s="1" t="n">
        <f aca="false">IF(W23="",0,SUMIFS($I$7:$I$256,$D$7:$D$256,W23,$H$7:$H$256,"P6"))</f>
        <v>0</v>
      </c>
      <c r="Z23" s="1" t="n">
        <f aca="false">X23+Y23</f>
        <v>0</v>
      </c>
      <c r="AA23" s="1" t="n">
        <f aca="false">IF(Z23&gt;0,Z23+(201-17)/10^6,0)</f>
        <v>0</v>
      </c>
      <c r="AB23" s="1"/>
      <c r="AC23" s="1"/>
      <c r="AD23" s="1"/>
      <c r="AE23" s="1"/>
      <c r="AF23" s="1"/>
      <c r="AG23" s="1"/>
      <c r="AH23" s="1"/>
    </row>
    <row r="24" customFormat="false" ht="15" hidden="false" customHeight="false" outlineLevel="0" collapsed="false">
      <c r="A24" s="1"/>
      <c r="B24" s="10"/>
      <c r="C24" s="31" t="str">
        <f aca="false">IF(B24="","",TEXT(B24,"ddd"))</f>
        <v/>
      </c>
      <c r="D24" s="11"/>
      <c r="E24" s="8" t="str">
        <f aca="false">IF(D24="","",IFERROR(INDEX(ProjNumbers,MATCH(D24,ProjNames,0)),""))</f>
        <v/>
      </c>
      <c r="F24" s="8" t="str">
        <f aca="false">IF(D24="","",IFERROR(INDEX(ProjCodes,MATCH(D24,ProjNames,0)),""))</f>
        <v/>
      </c>
      <c r="G24" s="32"/>
      <c r="H24" s="11"/>
      <c r="I24" s="33"/>
      <c r="J24" s="8" t="str">
        <f aca="false">IF(COUNTA(B24,D24,G24,H24,I24)=0,"",IF(B24="","Enter date",IF(OR(B24&lt;$AC$2,B24&gt;$AC$3),"Date not in March",IF(D24="","Pick project",IF(ISNA(MATCH(D24,ProjNames,0)),"Project not in list",IF(G24="","Add task description",IF(H24="","Pick NTIME or P6",IF(N(I24)&lt;=0,"Enter hours",IF(AND(AllowOT&lt;&gt;"Yes",SUMIF($B$7:$B$256,B24,$I$7:$I$256)&gt;INDEX($O$58:$O$88,DAY(B24))),"Day over "&amp;INDEX($O$58:$O$88,DAY(B24))&amp;" h","✓")))))))))</f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tr">
        <f aca="false">IF(Projects!B22="","",Projects!B22)</f>
        <v/>
      </c>
      <c r="X24" s="1" t="n">
        <f aca="false">IF(W24="",0,SUMIFS($I$7:$I$256,$D$7:$D$256,W24,$H$7:$H$256,"NTIME"))</f>
        <v>0</v>
      </c>
      <c r="Y24" s="1" t="n">
        <f aca="false">IF(W24="",0,SUMIFS($I$7:$I$256,$D$7:$D$256,W24,$H$7:$H$256,"P6"))</f>
        <v>0</v>
      </c>
      <c r="Z24" s="1" t="n">
        <f aca="false">X24+Y24</f>
        <v>0</v>
      </c>
      <c r="AA24" s="1" t="n">
        <f aca="false">IF(Z24&gt;0,Z24+(201-18)/10^6,0)</f>
        <v>0</v>
      </c>
      <c r="AB24" s="1"/>
      <c r="AC24" s="1"/>
      <c r="AD24" s="1"/>
      <c r="AE24" s="1"/>
      <c r="AF24" s="1"/>
      <c r="AG24" s="1"/>
      <c r="AH24" s="1"/>
    </row>
    <row r="25" customFormat="false" ht="15" hidden="false" customHeight="false" outlineLevel="0" collapsed="false">
      <c r="A25" s="1"/>
      <c r="B25" s="10"/>
      <c r="C25" s="31" t="str">
        <f aca="false">IF(B25="","",TEXT(B25,"ddd"))</f>
        <v/>
      </c>
      <c r="D25" s="11"/>
      <c r="E25" s="8" t="str">
        <f aca="false">IF(D25="","",IFERROR(INDEX(ProjNumbers,MATCH(D25,ProjNames,0)),""))</f>
        <v/>
      </c>
      <c r="F25" s="8" t="str">
        <f aca="false">IF(D25="","",IFERROR(INDEX(ProjCodes,MATCH(D25,ProjNames,0)),""))</f>
        <v/>
      </c>
      <c r="G25" s="32"/>
      <c r="H25" s="11"/>
      <c r="I25" s="33"/>
      <c r="J25" s="8" t="str">
        <f aca="false">IF(COUNTA(B25,D25,G25,H25,I25)=0,"",IF(B25="","Enter date",IF(OR(B25&lt;$AC$2,B25&gt;$AC$3),"Date not in March",IF(D25="","Pick project",IF(ISNA(MATCH(D25,ProjNames,0)),"Project not in list",IF(G25="","Add task description",IF(H25="","Pick NTIME or P6",IF(N(I25)&lt;=0,"Enter hours",IF(AND(AllowOT&lt;&gt;"Yes",SUMIF($B$7:$B$256,B25,$I$7:$I$256)&gt;INDEX($O$58:$O$88,DAY(B25))),"Day over "&amp;INDEX($O$58:$O$88,DAY(B25))&amp;" h","✓")))))))))</f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tr">
        <f aca="false">IF(Projects!B23="","",Projects!B23)</f>
        <v/>
      </c>
      <c r="X25" s="1" t="n">
        <f aca="false">IF(W25="",0,SUMIFS($I$7:$I$256,$D$7:$D$256,W25,$H$7:$H$256,"NTIME"))</f>
        <v>0</v>
      </c>
      <c r="Y25" s="1" t="n">
        <f aca="false">IF(W25="",0,SUMIFS($I$7:$I$256,$D$7:$D$256,W25,$H$7:$H$256,"P6"))</f>
        <v>0</v>
      </c>
      <c r="Z25" s="1" t="n">
        <f aca="false">X25+Y25</f>
        <v>0</v>
      </c>
      <c r="AA25" s="1" t="n">
        <f aca="false">IF(Z25&gt;0,Z25+(201-19)/10^6,0)</f>
        <v>0</v>
      </c>
      <c r="AB25" s="1"/>
      <c r="AC25" s="1"/>
      <c r="AD25" s="1"/>
      <c r="AE25" s="1"/>
      <c r="AF25" s="1"/>
      <c r="AG25" s="1"/>
      <c r="AH25" s="1"/>
    </row>
    <row r="26" customFormat="false" ht="15" hidden="false" customHeight="false" outlineLevel="0" collapsed="false">
      <c r="A26" s="1"/>
      <c r="B26" s="10"/>
      <c r="C26" s="31" t="str">
        <f aca="false">IF(B26="","",TEXT(B26,"ddd"))</f>
        <v/>
      </c>
      <c r="D26" s="11"/>
      <c r="E26" s="8" t="str">
        <f aca="false">IF(D26="","",IFERROR(INDEX(ProjNumbers,MATCH(D26,ProjNames,0)),""))</f>
        <v/>
      </c>
      <c r="F26" s="8" t="str">
        <f aca="false">IF(D26="","",IFERROR(INDEX(ProjCodes,MATCH(D26,ProjNames,0)),""))</f>
        <v/>
      </c>
      <c r="G26" s="32"/>
      <c r="H26" s="11"/>
      <c r="I26" s="33"/>
      <c r="J26" s="8" t="str">
        <f aca="false">IF(COUNTA(B26,D26,G26,H26,I26)=0,"",IF(B26="","Enter date",IF(OR(B26&lt;$AC$2,B26&gt;$AC$3),"Date not in March",IF(D26="","Pick project",IF(ISNA(MATCH(D26,ProjNames,0)),"Project not in list",IF(G26="","Add task description",IF(H26="","Pick NTIME or P6",IF(N(I26)&lt;=0,"Enter hours",IF(AND(AllowOT&lt;&gt;"Yes",SUMIF($B$7:$B$256,B26,$I$7:$I$256)&gt;INDEX($O$58:$O$88,DAY(B26))),"Day over "&amp;INDEX($O$58:$O$88,DAY(B26))&amp;" h","✓")))))))))</f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tr">
        <f aca="false">IF(Projects!B24="","",Projects!B24)</f>
        <v/>
      </c>
      <c r="X26" s="1" t="n">
        <f aca="false">IF(W26="",0,SUMIFS($I$7:$I$256,$D$7:$D$256,W26,$H$7:$H$256,"NTIME"))</f>
        <v>0</v>
      </c>
      <c r="Y26" s="1" t="n">
        <f aca="false">IF(W26="",0,SUMIFS($I$7:$I$256,$D$7:$D$256,W26,$H$7:$H$256,"P6"))</f>
        <v>0</v>
      </c>
      <c r="Z26" s="1" t="n">
        <f aca="false">X26+Y26</f>
        <v>0</v>
      </c>
      <c r="AA26" s="1" t="n">
        <f aca="false">IF(Z26&gt;0,Z26+(201-20)/10^6,0)</f>
        <v>0</v>
      </c>
      <c r="AB26" s="1"/>
      <c r="AC26" s="1"/>
      <c r="AD26" s="1"/>
      <c r="AE26" s="1"/>
      <c r="AF26" s="1"/>
      <c r="AG26" s="1"/>
      <c r="AH26" s="1"/>
    </row>
    <row r="27" customFormat="false" ht="15" hidden="false" customHeight="false" outlineLevel="0" collapsed="false">
      <c r="A27" s="1"/>
      <c r="B27" s="10"/>
      <c r="C27" s="31" t="str">
        <f aca="false">IF(B27="","",TEXT(B27,"ddd"))</f>
        <v/>
      </c>
      <c r="D27" s="11"/>
      <c r="E27" s="8" t="str">
        <f aca="false">IF(D27="","",IFERROR(INDEX(ProjNumbers,MATCH(D27,ProjNames,0)),""))</f>
        <v/>
      </c>
      <c r="F27" s="8" t="str">
        <f aca="false">IF(D27="","",IFERROR(INDEX(ProjCodes,MATCH(D27,ProjNames,0)),""))</f>
        <v/>
      </c>
      <c r="G27" s="32"/>
      <c r="H27" s="11"/>
      <c r="I27" s="33"/>
      <c r="J27" s="8" t="str">
        <f aca="false">IF(COUNTA(B27,D27,G27,H27,I27)=0,"",IF(B27="","Enter date",IF(OR(B27&lt;$AC$2,B27&gt;$AC$3),"Date not in March",IF(D27="","Pick project",IF(ISNA(MATCH(D27,ProjNames,0)),"Project not in list",IF(G27="","Add task description",IF(H27="","Pick NTIME or P6",IF(N(I27)&lt;=0,"Enter hours",IF(AND(AllowOT&lt;&gt;"Yes",SUMIF($B$7:$B$256,B27,$I$7:$I$256)&gt;INDEX($O$58:$O$88,DAY(B27))),"Day over "&amp;INDEX($O$58:$O$88,DAY(B27))&amp;" h","✓")))))))))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aca="false">IF(Projects!B25="","",Projects!B25)</f>
        <v/>
      </c>
      <c r="X27" s="1" t="n">
        <f aca="false">IF(W27="",0,SUMIFS($I$7:$I$256,$D$7:$D$256,W27,$H$7:$H$256,"NTIME"))</f>
        <v>0</v>
      </c>
      <c r="Y27" s="1" t="n">
        <f aca="false">IF(W27="",0,SUMIFS($I$7:$I$256,$D$7:$D$256,W27,$H$7:$H$256,"P6"))</f>
        <v>0</v>
      </c>
      <c r="Z27" s="1" t="n">
        <f aca="false">X27+Y27</f>
        <v>0</v>
      </c>
      <c r="AA27" s="1" t="n">
        <f aca="false">IF(Z27&gt;0,Z27+(201-21)/10^6,0)</f>
        <v>0</v>
      </c>
      <c r="AB27" s="1"/>
      <c r="AC27" s="1"/>
      <c r="AD27" s="1"/>
      <c r="AE27" s="1"/>
      <c r="AF27" s="1"/>
      <c r="AG27" s="1"/>
      <c r="AH27" s="1"/>
    </row>
    <row r="28" customFormat="false" ht="15" hidden="false" customHeight="false" outlineLevel="0" collapsed="false">
      <c r="A28" s="1"/>
      <c r="B28" s="10"/>
      <c r="C28" s="31" t="str">
        <f aca="false">IF(B28="","",TEXT(B28,"ddd"))</f>
        <v/>
      </c>
      <c r="D28" s="11"/>
      <c r="E28" s="8" t="str">
        <f aca="false">IF(D28="","",IFERROR(INDEX(ProjNumbers,MATCH(D28,ProjNames,0)),""))</f>
        <v/>
      </c>
      <c r="F28" s="8" t="str">
        <f aca="false">IF(D28="","",IFERROR(INDEX(ProjCodes,MATCH(D28,ProjNames,0)),""))</f>
        <v/>
      </c>
      <c r="G28" s="32"/>
      <c r="H28" s="11"/>
      <c r="I28" s="33"/>
      <c r="J28" s="8" t="str">
        <f aca="false">IF(COUNTA(B28,D28,G28,H28,I28)=0,"",IF(B28="","Enter date",IF(OR(B28&lt;$AC$2,B28&gt;$AC$3),"Date not in March",IF(D28="","Pick project",IF(ISNA(MATCH(D28,ProjNames,0)),"Project not in list",IF(G28="","Add task description",IF(H28="","Pick NTIME or P6",IF(N(I28)&lt;=0,"Enter hours",IF(AND(AllowOT&lt;&gt;"Yes",SUMIF($B$7:$B$256,B28,$I$7:$I$256)&gt;INDEX($O$58:$O$88,DAY(B28))),"Day over "&amp;INDEX($O$58:$O$88,DAY(B28))&amp;" h","✓")))))))))</f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tr">
        <f aca="false">IF(Projects!B26="","",Projects!B26)</f>
        <v/>
      </c>
      <c r="X28" s="1" t="n">
        <f aca="false">IF(W28="",0,SUMIFS($I$7:$I$256,$D$7:$D$256,W28,$H$7:$H$256,"NTIME"))</f>
        <v>0</v>
      </c>
      <c r="Y28" s="1" t="n">
        <f aca="false">IF(W28="",0,SUMIFS($I$7:$I$256,$D$7:$D$256,W28,$H$7:$H$256,"P6"))</f>
        <v>0</v>
      </c>
      <c r="Z28" s="1" t="n">
        <f aca="false">X28+Y28</f>
        <v>0</v>
      </c>
      <c r="AA28" s="1" t="n">
        <f aca="false">IF(Z28&gt;0,Z28+(201-22)/10^6,0)</f>
        <v>0</v>
      </c>
      <c r="AB28" s="1"/>
      <c r="AC28" s="1"/>
      <c r="AD28" s="1"/>
      <c r="AE28" s="1"/>
      <c r="AF28" s="1"/>
      <c r="AG28" s="1"/>
      <c r="AH28" s="1"/>
    </row>
    <row r="29" customFormat="false" ht="15" hidden="false" customHeight="false" outlineLevel="0" collapsed="false">
      <c r="A29" s="1"/>
      <c r="B29" s="10"/>
      <c r="C29" s="31" t="str">
        <f aca="false">IF(B29="","",TEXT(B29,"ddd"))</f>
        <v/>
      </c>
      <c r="D29" s="11"/>
      <c r="E29" s="8" t="str">
        <f aca="false">IF(D29="","",IFERROR(INDEX(ProjNumbers,MATCH(D29,ProjNames,0)),""))</f>
        <v/>
      </c>
      <c r="F29" s="8" t="str">
        <f aca="false">IF(D29="","",IFERROR(INDEX(ProjCodes,MATCH(D29,ProjNames,0)),""))</f>
        <v/>
      </c>
      <c r="G29" s="32"/>
      <c r="H29" s="11"/>
      <c r="I29" s="33"/>
      <c r="J29" s="8" t="str">
        <f aca="false">IF(COUNTA(B29,D29,G29,H29,I29)=0,"",IF(B29="","Enter date",IF(OR(B29&lt;$AC$2,B29&gt;$AC$3),"Date not in March",IF(D29="","Pick project",IF(ISNA(MATCH(D29,ProjNames,0)),"Project not in list",IF(G29="","Add task description",IF(H29="","Pick NTIME or P6",IF(N(I29)&lt;=0,"Enter hours",IF(AND(AllowOT&lt;&gt;"Yes",SUMIF($B$7:$B$256,B29,$I$7:$I$256)&gt;INDEX($O$58:$O$88,DAY(B29))),"Day over "&amp;INDEX($O$58:$O$88,DAY(B29))&amp;" h","✓")))))))))</f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tr">
        <f aca="false">IF(Projects!B27="","",Projects!B27)</f>
        <v/>
      </c>
      <c r="X29" s="1" t="n">
        <f aca="false">IF(W29="",0,SUMIFS($I$7:$I$256,$D$7:$D$256,W29,$H$7:$H$256,"NTIME"))</f>
        <v>0</v>
      </c>
      <c r="Y29" s="1" t="n">
        <f aca="false">IF(W29="",0,SUMIFS($I$7:$I$256,$D$7:$D$256,W29,$H$7:$H$256,"P6"))</f>
        <v>0</v>
      </c>
      <c r="Z29" s="1" t="n">
        <f aca="false">X29+Y29</f>
        <v>0</v>
      </c>
      <c r="AA29" s="1" t="n">
        <f aca="false">IF(Z29&gt;0,Z29+(201-23)/10^6,0)</f>
        <v>0</v>
      </c>
      <c r="AB29" s="1"/>
      <c r="AC29" s="1"/>
      <c r="AD29" s="1"/>
      <c r="AE29" s="1"/>
      <c r="AF29" s="1"/>
      <c r="AG29" s="1"/>
      <c r="AH29" s="1"/>
    </row>
    <row r="30" customFormat="false" ht="15" hidden="false" customHeight="false" outlineLevel="0" collapsed="false">
      <c r="A30" s="1"/>
      <c r="B30" s="10"/>
      <c r="C30" s="31" t="str">
        <f aca="false">IF(B30="","",TEXT(B30,"ddd"))</f>
        <v/>
      </c>
      <c r="D30" s="11"/>
      <c r="E30" s="8" t="str">
        <f aca="false">IF(D30="","",IFERROR(INDEX(ProjNumbers,MATCH(D30,ProjNames,0)),""))</f>
        <v/>
      </c>
      <c r="F30" s="8" t="str">
        <f aca="false">IF(D30="","",IFERROR(INDEX(ProjCodes,MATCH(D30,ProjNames,0)),""))</f>
        <v/>
      </c>
      <c r="G30" s="32"/>
      <c r="H30" s="11"/>
      <c r="I30" s="33"/>
      <c r="J30" s="8" t="str">
        <f aca="false">IF(COUNTA(B30,D30,G30,H30,I30)=0,"",IF(B30="","Enter date",IF(OR(B30&lt;$AC$2,B30&gt;$AC$3),"Date not in March",IF(D30="","Pick project",IF(ISNA(MATCH(D30,ProjNames,0)),"Project not in list",IF(G30="","Add task description",IF(H30="","Pick NTIME or P6",IF(N(I30)&lt;=0,"Enter hours",IF(AND(AllowOT&lt;&gt;"Yes",SUMIF($B$7:$B$256,B30,$I$7:$I$256)&gt;INDEX($O$58:$O$88,DAY(B30))),"Day over "&amp;INDEX($O$58:$O$88,DAY(B30))&amp;" h","✓")))))))))</f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tr">
        <f aca="false">IF(Projects!B28="","",Projects!B28)</f>
        <v/>
      </c>
      <c r="X30" s="1" t="n">
        <f aca="false">IF(W30="",0,SUMIFS($I$7:$I$256,$D$7:$D$256,W30,$H$7:$H$256,"NTIME"))</f>
        <v>0</v>
      </c>
      <c r="Y30" s="1" t="n">
        <f aca="false">IF(W30="",0,SUMIFS($I$7:$I$256,$D$7:$D$256,W30,$H$7:$H$256,"P6"))</f>
        <v>0</v>
      </c>
      <c r="Z30" s="1" t="n">
        <f aca="false">X30+Y30</f>
        <v>0</v>
      </c>
      <c r="AA30" s="1" t="n">
        <f aca="false">IF(Z30&gt;0,Z30+(201-24)/10^6,0)</f>
        <v>0</v>
      </c>
      <c r="AB30" s="1"/>
      <c r="AC30" s="1"/>
      <c r="AD30" s="1"/>
      <c r="AE30" s="1"/>
      <c r="AF30" s="1"/>
      <c r="AG30" s="1"/>
      <c r="AH30" s="1"/>
    </row>
    <row r="31" customFormat="false" ht="15" hidden="false" customHeight="false" outlineLevel="0" collapsed="false">
      <c r="A31" s="1"/>
      <c r="B31" s="10"/>
      <c r="C31" s="31" t="str">
        <f aca="false">IF(B31="","",TEXT(B31,"ddd"))</f>
        <v/>
      </c>
      <c r="D31" s="11"/>
      <c r="E31" s="8" t="str">
        <f aca="false">IF(D31="","",IFERROR(INDEX(ProjNumbers,MATCH(D31,ProjNames,0)),""))</f>
        <v/>
      </c>
      <c r="F31" s="8" t="str">
        <f aca="false">IF(D31="","",IFERROR(INDEX(ProjCodes,MATCH(D31,ProjNames,0)),""))</f>
        <v/>
      </c>
      <c r="G31" s="32"/>
      <c r="H31" s="11"/>
      <c r="I31" s="33"/>
      <c r="J31" s="8" t="str">
        <f aca="false">IF(COUNTA(B31,D31,G31,H31,I31)=0,"",IF(B31="","Enter date",IF(OR(B31&lt;$AC$2,B31&gt;$AC$3),"Date not in March",IF(D31="","Pick project",IF(ISNA(MATCH(D31,ProjNames,0)),"Project not in list",IF(G31="","Add task description",IF(H31="","Pick NTIME or P6",IF(N(I31)&lt;=0,"Enter hours",IF(AND(AllowOT&lt;&gt;"Yes",SUMIF($B$7:$B$256,B31,$I$7:$I$256)&gt;INDEX($O$58:$O$88,DAY(B31))),"Day over "&amp;INDEX($O$58:$O$88,DAY(B31))&amp;" h","✓")))))))))</f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tr">
        <f aca="false">IF(Projects!B29="","",Projects!B29)</f>
        <v/>
      </c>
      <c r="X31" s="1" t="n">
        <f aca="false">IF(W31="",0,SUMIFS($I$7:$I$256,$D$7:$D$256,W31,$H$7:$H$256,"NTIME"))</f>
        <v>0</v>
      </c>
      <c r="Y31" s="1" t="n">
        <f aca="false">IF(W31="",0,SUMIFS($I$7:$I$256,$D$7:$D$256,W31,$H$7:$H$256,"P6"))</f>
        <v>0</v>
      </c>
      <c r="Z31" s="1" t="n">
        <f aca="false">X31+Y31</f>
        <v>0</v>
      </c>
      <c r="AA31" s="1" t="n">
        <f aca="false">IF(Z31&gt;0,Z31+(201-25)/10^6,0)</f>
        <v>0</v>
      </c>
      <c r="AB31" s="1"/>
      <c r="AC31" s="1"/>
      <c r="AD31" s="1"/>
      <c r="AE31" s="1"/>
      <c r="AF31" s="1"/>
      <c r="AG31" s="1"/>
      <c r="AH31" s="1"/>
    </row>
    <row r="32" customFormat="false" ht="15" hidden="false" customHeight="false" outlineLevel="0" collapsed="false">
      <c r="A32" s="1"/>
      <c r="B32" s="10"/>
      <c r="C32" s="31" t="str">
        <f aca="false">IF(B32="","",TEXT(B32,"ddd"))</f>
        <v/>
      </c>
      <c r="D32" s="11"/>
      <c r="E32" s="8" t="str">
        <f aca="false">IF(D32="","",IFERROR(INDEX(ProjNumbers,MATCH(D32,ProjNames,0)),""))</f>
        <v/>
      </c>
      <c r="F32" s="8" t="str">
        <f aca="false">IF(D32="","",IFERROR(INDEX(ProjCodes,MATCH(D32,ProjNames,0)),""))</f>
        <v/>
      </c>
      <c r="G32" s="32"/>
      <c r="H32" s="11"/>
      <c r="I32" s="33"/>
      <c r="J32" s="8" t="str">
        <f aca="false">IF(COUNTA(B32,D32,G32,H32,I32)=0,"",IF(B32="","Enter date",IF(OR(B32&lt;$AC$2,B32&gt;$AC$3),"Date not in March",IF(D32="","Pick project",IF(ISNA(MATCH(D32,ProjNames,0)),"Project not in list",IF(G32="","Add task description",IF(H32="","Pick NTIME or P6",IF(N(I32)&lt;=0,"Enter hours",IF(AND(AllowOT&lt;&gt;"Yes",SUMIF($B$7:$B$256,B32,$I$7:$I$256)&gt;INDEX($O$58:$O$88,DAY(B32))),"Day over "&amp;INDEX($O$58:$O$88,DAY(B32))&amp;" h","✓")))))))))</f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tr">
        <f aca="false">IF(Projects!B30="","",Projects!B30)</f>
        <v/>
      </c>
      <c r="X32" s="1" t="n">
        <f aca="false">IF(W32="",0,SUMIFS($I$7:$I$256,$D$7:$D$256,W32,$H$7:$H$256,"NTIME"))</f>
        <v>0</v>
      </c>
      <c r="Y32" s="1" t="n">
        <f aca="false">IF(W32="",0,SUMIFS($I$7:$I$256,$D$7:$D$256,W32,$H$7:$H$256,"P6"))</f>
        <v>0</v>
      </c>
      <c r="Z32" s="1" t="n">
        <f aca="false">X32+Y32</f>
        <v>0</v>
      </c>
      <c r="AA32" s="1" t="n">
        <f aca="false">IF(Z32&gt;0,Z32+(201-26)/10^6,0)</f>
        <v>0</v>
      </c>
      <c r="AB32" s="1"/>
      <c r="AC32" s="1"/>
      <c r="AD32" s="1"/>
      <c r="AE32" s="1"/>
      <c r="AF32" s="1"/>
      <c r="AG32" s="1"/>
      <c r="AH32" s="1"/>
    </row>
    <row r="33" customFormat="false" ht="15" hidden="false" customHeight="false" outlineLevel="0" collapsed="false">
      <c r="A33" s="1"/>
      <c r="B33" s="10"/>
      <c r="C33" s="31" t="str">
        <f aca="false">IF(B33="","",TEXT(B33,"ddd"))</f>
        <v/>
      </c>
      <c r="D33" s="11"/>
      <c r="E33" s="8" t="str">
        <f aca="false">IF(D33="","",IFERROR(INDEX(ProjNumbers,MATCH(D33,ProjNames,0)),""))</f>
        <v/>
      </c>
      <c r="F33" s="8" t="str">
        <f aca="false">IF(D33="","",IFERROR(INDEX(ProjCodes,MATCH(D33,ProjNames,0)),""))</f>
        <v/>
      </c>
      <c r="G33" s="32"/>
      <c r="H33" s="11"/>
      <c r="I33" s="33"/>
      <c r="J33" s="8" t="str">
        <f aca="false">IF(COUNTA(B33,D33,G33,H33,I33)=0,"",IF(B33="","Enter date",IF(OR(B33&lt;$AC$2,B33&gt;$AC$3),"Date not in March",IF(D33="","Pick project",IF(ISNA(MATCH(D33,ProjNames,0)),"Project not in list",IF(G33="","Add task description",IF(H33="","Pick NTIME or P6",IF(N(I33)&lt;=0,"Enter hours",IF(AND(AllowOT&lt;&gt;"Yes",SUMIF($B$7:$B$256,B33,$I$7:$I$256)&gt;INDEX($O$58:$O$88,DAY(B33))),"Day over "&amp;INDEX($O$58:$O$88,DAY(B33))&amp;" h","✓")))))))))</f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tr">
        <f aca="false">IF(Projects!B31="","",Projects!B31)</f>
        <v/>
      </c>
      <c r="X33" s="1" t="n">
        <f aca="false">IF(W33="",0,SUMIFS($I$7:$I$256,$D$7:$D$256,W33,$H$7:$H$256,"NTIME"))</f>
        <v>0</v>
      </c>
      <c r="Y33" s="1" t="n">
        <f aca="false">IF(W33="",0,SUMIFS($I$7:$I$256,$D$7:$D$256,W33,$H$7:$H$256,"P6"))</f>
        <v>0</v>
      </c>
      <c r="Z33" s="1" t="n">
        <f aca="false">X33+Y33</f>
        <v>0</v>
      </c>
      <c r="AA33" s="1" t="n">
        <f aca="false">IF(Z33&gt;0,Z33+(201-27)/10^6,0)</f>
        <v>0</v>
      </c>
      <c r="AB33" s="1"/>
      <c r="AC33" s="1"/>
      <c r="AD33" s="1"/>
      <c r="AE33" s="1"/>
      <c r="AF33" s="1"/>
      <c r="AG33" s="1"/>
      <c r="AH33" s="1"/>
    </row>
    <row r="34" customFormat="false" ht="15" hidden="false" customHeight="false" outlineLevel="0" collapsed="false">
      <c r="A34" s="1"/>
      <c r="B34" s="10"/>
      <c r="C34" s="31" t="str">
        <f aca="false">IF(B34="","",TEXT(B34,"ddd"))</f>
        <v/>
      </c>
      <c r="D34" s="11"/>
      <c r="E34" s="8" t="str">
        <f aca="false">IF(D34="","",IFERROR(INDEX(ProjNumbers,MATCH(D34,ProjNames,0)),""))</f>
        <v/>
      </c>
      <c r="F34" s="8" t="str">
        <f aca="false">IF(D34="","",IFERROR(INDEX(ProjCodes,MATCH(D34,ProjNames,0)),""))</f>
        <v/>
      </c>
      <c r="G34" s="32"/>
      <c r="H34" s="11"/>
      <c r="I34" s="33"/>
      <c r="J34" s="8" t="str">
        <f aca="false">IF(COUNTA(B34,D34,G34,H34,I34)=0,"",IF(B34="","Enter date",IF(OR(B34&lt;$AC$2,B34&gt;$AC$3),"Date not in March",IF(D34="","Pick project",IF(ISNA(MATCH(D34,ProjNames,0)),"Project not in list",IF(G34="","Add task description",IF(H34="","Pick NTIME or P6",IF(N(I34)&lt;=0,"Enter hours",IF(AND(AllowOT&lt;&gt;"Yes",SUMIF($B$7:$B$256,B34,$I$7:$I$256)&gt;INDEX($O$58:$O$88,DAY(B34))),"Day over "&amp;INDEX($O$58:$O$88,DAY(B34))&amp;" h","✓")))))))))</f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tr">
        <f aca="false">IF(Projects!B32="","",Projects!B32)</f>
        <v/>
      </c>
      <c r="X34" s="1" t="n">
        <f aca="false">IF(W34="",0,SUMIFS($I$7:$I$256,$D$7:$D$256,W34,$H$7:$H$256,"NTIME"))</f>
        <v>0</v>
      </c>
      <c r="Y34" s="1" t="n">
        <f aca="false">IF(W34="",0,SUMIFS($I$7:$I$256,$D$7:$D$256,W34,$H$7:$H$256,"P6"))</f>
        <v>0</v>
      </c>
      <c r="Z34" s="1" t="n">
        <f aca="false">X34+Y34</f>
        <v>0</v>
      </c>
      <c r="AA34" s="1" t="n">
        <f aca="false">IF(Z34&gt;0,Z34+(201-28)/10^6,0)</f>
        <v>0</v>
      </c>
      <c r="AB34" s="1"/>
      <c r="AC34" s="1"/>
      <c r="AD34" s="1"/>
      <c r="AE34" s="1"/>
      <c r="AF34" s="1"/>
      <c r="AG34" s="1"/>
      <c r="AH34" s="1"/>
    </row>
    <row r="35" customFormat="false" ht="15" hidden="false" customHeight="false" outlineLevel="0" collapsed="false">
      <c r="A35" s="1"/>
      <c r="B35" s="10"/>
      <c r="C35" s="31" t="str">
        <f aca="false">IF(B35="","",TEXT(B35,"ddd"))</f>
        <v/>
      </c>
      <c r="D35" s="11"/>
      <c r="E35" s="8" t="str">
        <f aca="false">IF(D35="","",IFERROR(INDEX(ProjNumbers,MATCH(D35,ProjNames,0)),""))</f>
        <v/>
      </c>
      <c r="F35" s="8" t="str">
        <f aca="false">IF(D35="","",IFERROR(INDEX(ProjCodes,MATCH(D35,ProjNames,0)),""))</f>
        <v/>
      </c>
      <c r="G35" s="32"/>
      <c r="H35" s="11"/>
      <c r="I35" s="33"/>
      <c r="J35" s="8" t="str">
        <f aca="false">IF(COUNTA(B35,D35,G35,H35,I35)=0,"",IF(B35="","Enter date",IF(OR(B35&lt;$AC$2,B35&gt;$AC$3),"Date not in March",IF(D35="","Pick project",IF(ISNA(MATCH(D35,ProjNames,0)),"Project not in list",IF(G35="","Add task description",IF(H35="","Pick NTIME or P6",IF(N(I35)&lt;=0,"Enter hours",IF(AND(AllowOT&lt;&gt;"Yes",SUMIF($B$7:$B$256,B35,$I$7:$I$256)&gt;INDEX($O$58:$O$88,DAY(B35))),"Day over "&amp;INDEX($O$58:$O$88,DAY(B35))&amp;" h","✓")))))))))</f>
        <v/>
      </c>
      <c r="K35" s="1"/>
      <c r="L35" s="4" t="s">
        <v>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 t="str">
        <f aca="false">IF(Projects!B33="","",Projects!B33)</f>
        <v/>
      </c>
      <c r="X35" s="1" t="n">
        <f aca="false">IF(W35="",0,SUMIFS($I$7:$I$256,$D$7:$D$256,W35,$H$7:$H$256,"NTIME"))</f>
        <v>0</v>
      </c>
      <c r="Y35" s="1" t="n">
        <f aca="false">IF(W35="",0,SUMIFS($I$7:$I$256,$D$7:$D$256,W35,$H$7:$H$256,"P6"))</f>
        <v>0</v>
      </c>
      <c r="Z35" s="1" t="n">
        <f aca="false">X35+Y35</f>
        <v>0</v>
      </c>
      <c r="AA35" s="1" t="n">
        <f aca="false">IF(Z35&gt;0,Z35+(201-29)/10^6,0)</f>
        <v>0</v>
      </c>
      <c r="AB35" s="1"/>
      <c r="AC35" s="1"/>
      <c r="AD35" s="1"/>
      <c r="AE35" s="1"/>
      <c r="AF35" s="1"/>
      <c r="AG35" s="1"/>
      <c r="AH35" s="1"/>
    </row>
    <row r="36" customFormat="false" ht="23.85" hidden="false" customHeight="false" outlineLevel="0" collapsed="false">
      <c r="A36" s="1"/>
      <c r="B36" s="10"/>
      <c r="C36" s="31" t="str">
        <f aca="false">IF(B36="","",TEXT(B36,"ddd"))</f>
        <v/>
      </c>
      <c r="D36" s="11"/>
      <c r="E36" s="8" t="str">
        <f aca="false">IF(D36="","",IFERROR(INDEX(ProjNumbers,MATCH(D36,ProjNames,0)),""))</f>
        <v/>
      </c>
      <c r="F36" s="8" t="str">
        <f aca="false">IF(D36="","",IFERROR(INDEX(ProjCodes,MATCH(D36,ProjNames,0)),""))</f>
        <v/>
      </c>
      <c r="G36" s="32"/>
      <c r="H36" s="11"/>
      <c r="I36" s="33"/>
      <c r="J36" s="8" t="str">
        <f aca="false">IF(COUNTA(B36,D36,G36,H36,I36)=0,"",IF(B36="","Enter date",IF(OR(B36&lt;$AC$2,B36&gt;$AC$3),"Date not in March",IF(D36="","Pick project",IF(ISNA(MATCH(D36,ProjNames,0)),"Project not in list",IF(G36="","Add task description",IF(H36="","Pick NTIME or P6",IF(N(I36)&lt;=0,"Enter hours",IF(AND(AllowOT&lt;&gt;"Yes",SUMIF($B$7:$B$256,B36,$I$7:$I$256)&gt;INDEX($O$58:$O$88,DAY(B36))),"Day over "&amp;INDEX($O$58:$O$88,DAY(B36))&amp;" h","✓")))))))))</f>
        <v/>
      </c>
      <c r="K36" s="1"/>
      <c r="L36" s="9" t="s">
        <v>72</v>
      </c>
      <c r="M36" s="9" t="s">
        <v>36</v>
      </c>
      <c r="N36" s="9" t="s">
        <v>37</v>
      </c>
      <c r="O36" s="20" t="s">
        <v>46</v>
      </c>
      <c r="P36" s="21" t="s">
        <v>56</v>
      </c>
      <c r="Q36" s="9" t="s">
        <v>57</v>
      </c>
      <c r="R36" s="9" t="s">
        <v>86</v>
      </c>
      <c r="S36" s="1"/>
      <c r="T36" s="1"/>
      <c r="U36" s="1"/>
      <c r="V36" s="1"/>
      <c r="W36" s="1" t="str">
        <f aca="false">IF(Projects!B34="","",Projects!B34)</f>
        <v/>
      </c>
      <c r="X36" s="1" t="n">
        <f aca="false">IF(W36="",0,SUMIFS($I$7:$I$256,$D$7:$D$256,W36,$H$7:$H$256,"NTIME"))</f>
        <v>0</v>
      </c>
      <c r="Y36" s="1" t="n">
        <f aca="false">IF(W36="",0,SUMIFS($I$7:$I$256,$D$7:$D$256,W36,$H$7:$H$256,"P6"))</f>
        <v>0</v>
      </c>
      <c r="Z36" s="1" t="n">
        <f aca="false">X36+Y36</f>
        <v>0</v>
      </c>
      <c r="AA36" s="1" t="n">
        <f aca="false">IF(Z36&gt;0,Z36+(201-30)/10^6,0)</f>
        <v>0</v>
      </c>
      <c r="AB36" s="1"/>
      <c r="AC36" s="1"/>
      <c r="AD36" s="1"/>
      <c r="AE36" s="1"/>
      <c r="AF36" s="1"/>
      <c r="AG36" s="1"/>
      <c r="AH36" s="1"/>
    </row>
    <row r="37" customFormat="false" ht="15" hidden="false" customHeight="false" outlineLevel="0" collapsed="false">
      <c r="A37" s="1"/>
      <c r="B37" s="10"/>
      <c r="C37" s="31" t="str">
        <f aca="false">IF(B37="","",TEXT(B37,"ddd"))</f>
        <v/>
      </c>
      <c r="D37" s="11"/>
      <c r="E37" s="8" t="str">
        <f aca="false">IF(D37="","",IFERROR(INDEX(ProjNumbers,MATCH(D37,ProjNames,0)),""))</f>
        <v/>
      </c>
      <c r="F37" s="8" t="str">
        <f aca="false">IF(D37="","",IFERROR(INDEX(ProjCodes,MATCH(D37,ProjNames,0)),""))</f>
        <v/>
      </c>
      <c r="G37" s="32"/>
      <c r="H37" s="11"/>
      <c r="I37" s="33"/>
      <c r="J37" s="8" t="str">
        <f aca="false">IF(COUNTA(B37,D37,G37,H37,I37)=0,"",IF(B37="","Enter date",IF(OR(B37&lt;$AC$2,B37&gt;$AC$3),"Date not in March",IF(D37="","Pick project",IF(ISNA(MATCH(D37,ProjNames,0)),"Project not in list",IF(G37="","Add task description",IF(H37="","Pick NTIME or P6",IF(N(I37)&lt;=0,"Enter hours",IF(AND(AllowOT&lt;&gt;"Yes",SUMIF($B$7:$B$256,B37,$I$7:$I$256)&gt;INDEX($O$58:$O$88,DAY(B37))),"Day over "&amp;INDEX($O$58:$O$88,DAY(B37))&amp;" h","✓")))))))))</f>
        <v/>
      </c>
      <c r="K37" s="1"/>
      <c r="L37" s="24" t="str">
        <f aca="false">IF($AD37=0,"",INDEX($W$7:$W$206,$AD37))</f>
        <v/>
      </c>
      <c r="M37" s="24" t="str">
        <f aca="false">IF($AD37=0,"",INDEX(ProjNumbers,$AD37))</f>
        <v/>
      </c>
      <c r="N37" s="24" t="str">
        <f aca="false">IF($AD37=0,"",INDEX(ProjCodes,$AD37))</f>
        <v/>
      </c>
      <c r="O37" s="24" t="str">
        <f aca="false">IF($AD37=0,"",INDEX($X$7:$X$206,$AD37))</f>
        <v/>
      </c>
      <c r="P37" s="24" t="str">
        <f aca="false">IF($AD37=0,"",INDEX($Y$7:$Y$206,$AD37))</f>
        <v/>
      </c>
      <c r="Q37" s="24" t="str">
        <f aca="false">IF($AD37=0,"",INDEX($Z$7:$Z$206,$AD37))</f>
        <v/>
      </c>
      <c r="R37" s="25" t="str">
        <f aca="false">IF(OR($AD37=0,$L$5=0),"",Q37/$L$5)</f>
        <v/>
      </c>
      <c r="S37" s="1"/>
      <c r="T37" s="1"/>
      <c r="U37" s="1"/>
      <c r="V37" s="1"/>
      <c r="W37" s="1" t="str">
        <f aca="false">IF(Projects!B35="","",Projects!B35)</f>
        <v/>
      </c>
      <c r="X37" s="1" t="n">
        <f aca="false">IF(W37="",0,SUMIFS($I$7:$I$256,$D$7:$D$256,W37,$H$7:$H$256,"NTIME"))</f>
        <v>0</v>
      </c>
      <c r="Y37" s="1" t="n">
        <f aca="false">IF(W37="",0,SUMIFS($I$7:$I$256,$D$7:$D$256,W37,$H$7:$H$256,"P6"))</f>
        <v>0</v>
      </c>
      <c r="Z37" s="1" t="n">
        <f aca="false">X37+Y37</f>
        <v>0</v>
      </c>
      <c r="AA37" s="1" t="n">
        <f aca="false">IF(Z37&gt;0,Z37+(201-31)/10^6,0)</f>
        <v>0</v>
      </c>
      <c r="AB37" s="1"/>
      <c r="AC37" s="1"/>
      <c r="AD37" s="1" t="n">
        <f aca="false">IF(LARGE($AA$7:$AA$206,1)&lt;=0,0,MATCH(LARGE($AA$7:$AA$206,1),$AA$7:$AA$206,0))</f>
        <v>0</v>
      </c>
      <c r="AE37" s="1"/>
      <c r="AF37" s="1"/>
      <c r="AG37" s="1"/>
      <c r="AH37" s="1"/>
    </row>
    <row r="38" customFormat="false" ht="15" hidden="false" customHeight="false" outlineLevel="0" collapsed="false">
      <c r="A38" s="1"/>
      <c r="B38" s="10"/>
      <c r="C38" s="31" t="str">
        <f aca="false">IF(B38="","",TEXT(B38,"ddd"))</f>
        <v/>
      </c>
      <c r="D38" s="11"/>
      <c r="E38" s="8" t="str">
        <f aca="false">IF(D38="","",IFERROR(INDEX(ProjNumbers,MATCH(D38,ProjNames,0)),""))</f>
        <v/>
      </c>
      <c r="F38" s="8" t="str">
        <f aca="false">IF(D38="","",IFERROR(INDEX(ProjCodes,MATCH(D38,ProjNames,0)),""))</f>
        <v/>
      </c>
      <c r="G38" s="32"/>
      <c r="H38" s="11"/>
      <c r="I38" s="33"/>
      <c r="J38" s="8" t="str">
        <f aca="false">IF(COUNTA(B38,D38,G38,H38,I38)=0,"",IF(B38="","Enter date",IF(OR(B38&lt;$AC$2,B38&gt;$AC$3),"Date not in March",IF(D38="","Pick project",IF(ISNA(MATCH(D38,ProjNames,0)),"Project not in list",IF(G38="","Add task description",IF(H38="","Pick NTIME or P6",IF(N(I38)&lt;=0,"Enter hours",IF(AND(AllowOT&lt;&gt;"Yes",SUMIF($B$7:$B$256,B38,$I$7:$I$256)&gt;INDEX($O$58:$O$88,DAY(B38))),"Day over "&amp;INDEX($O$58:$O$88,DAY(B38))&amp;" h","✓")))))))))</f>
        <v/>
      </c>
      <c r="K38" s="1"/>
      <c r="L38" s="24" t="str">
        <f aca="false">IF($AD38=0,"",INDEX($W$7:$W$206,$AD38))</f>
        <v/>
      </c>
      <c r="M38" s="24" t="str">
        <f aca="false">IF($AD38=0,"",INDEX(ProjNumbers,$AD38))</f>
        <v/>
      </c>
      <c r="N38" s="24" t="str">
        <f aca="false">IF($AD38=0,"",INDEX(ProjCodes,$AD38))</f>
        <v/>
      </c>
      <c r="O38" s="24" t="str">
        <f aca="false">IF($AD38=0,"",INDEX($X$7:$X$206,$AD38))</f>
        <v/>
      </c>
      <c r="P38" s="24" t="str">
        <f aca="false">IF($AD38=0,"",INDEX($Y$7:$Y$206,$AD38))</f>
        <v/>
      </c>
      <c r="Q38" s="24" t="str">
        <f aca="false">IF($AD38=0,"",INDEX($Z$7:$Z$206,$AD38))</f>
        <v/>
      </c>
      <c r="R38" s="25" t="str">
        <f aca="false">IF(OR($AD38=0,$L$5=0),"",Q38/$L$5)</f>
        <v/>
      </c>
      <c r="S38" s="1"/>
      <c r="T38" s="1"/>
      <c r="U38" s="1"/>
      <c r="V38" s="1"/>
      <c r="W38" s="1" t="str">
        <f aca="false">IF(Projects!B36="","",Projects!B36)</f>
        <v/>
      </c>
      <c r="X38" s="1" t="n">
        <f aca="false">IF(W38="",0,SUMIFS($I$7:$I$256,$D$7:$D$256,W38,$H$7:$H$256,"NTIME"))</f>
        <v>0</v>
      </c>
      <c r="Y38" s="1" t="n">
        <f aca="false">IF(W38="",0,SUMIFS($I$7:$I$256,$D$7:$D$256,W38,$H$7:$H$256,"P6"))</f>
        <v>0</v>
      </c>
      <c r="Z38" s="1" t="n">
        <f aca="false">X38+Y38</f>
        <v>0</v>
      </c>
      <c r="AA38" s="1" t="n">
        <f aca="false">IF(Z38&gt;0,Z38+(201-32)/10^6,0)</f>
        <v>0</v>
      </c>
      <c r="AB38" s="1"/>
      <c r="AC38" s="1"/>
      <c r="AD38" s="1" t="n">
        <f aca="false">IF(LARGE($AA$7:$AA$206,2)&lt;=0,0,MATCH(LARGE($AA$7:$AA$206,2),$AA$7:$AA$206,0))</f>
        <v>0</v>
      </c>
      <c r="AE38" s="1"/>
      <c r="AF38" s="1"/>
      <c r="AG38" s="1"/>
      <c r="AH38" s="1"/>
    </row>
    <row r="39" customFormat="false" ht="15" hidden="false" customHeight="false" outlineLevel="0" collapsed="false">
      <c r="A39" s="1"/>
      <c r="B39" s="10"/>
      <c r="C39" s="31" t="str">
        <f aca="false">IF(B39="","",TEXT(B39,"ddd"))</f>
        <v/>
      </c>
      <c r="D39" s="11"/>
      <c r="E39" s="8" t="str">
        <f aca="false">IF(D39="","",IFERROR(INDEX(ProjNumbers,MATCH(D39,ProjNames,0)),""))</f>
        <v/>
      </c>
      <c r="F39" s="8" t="str">
        <f aca="false">IF(D39="","",IFERROR(INDEX(ProjCodes,MATCH(D39,ProjNames,0)),""))</f>
        <v/>
      </c>
      <c r="G39" s="32"/>
      <c r="H39" s="11"/>
      <c r="I39" s="33"/>
      <c r="J39" s="8" t="str">
        <f aca="false">IF(COUNTA(B39,D39,G39,H39,I39)=0,"",IF(B39="","Enter date",IF(OR(B39&lt;$AC$2,B39&gt;$AC$3),"Date not in March",IF(D39="","Pick project",IF(ISNA(MATCH(D39,ProjNames,0)),"Project not in list",IF(G39="","Add task description",IF(H39="","Pick NTIME or P6",IF(N(I39)&lt;=0,"Enter hours",IF(AND(AllowOT&lt;&gt;"Yes",SUMIF($B$7:$B$256,B39,$I$7:$I$256)&gt;INDEX($O$58:$O$88,DAY(B39))),"Day over "&amp;INDEX($O$58:$O$88,DAY(B39))&amp;" h","✓")))))))))</f>
        <v/>
      </c>
      <c r="K39" s="1"/>
      <c r="L39" s="24" t="str">
        <f aca="false">IF($AD39=0,"",INDEX($W$7:$W$206,$AD39))</f>
        <v/>
      </c>
      <c r="M39" s="24" t="str">
        <f aca="false">IF($AD39=0,"",INDEX(ProjNumbers,$AD39))</f>
        <v/>
      </c>
      <c r="N39" s="24" t="str">
        <f aca="false">IF($AD39=0,"",INDEX(ProjCodes,$AD39))</f>
        <v/>
      </c>
      <c r="O39" s="24" t="str">
        <f aca="false">IF($AD39=0,"",INDEX($X$7:$X$206,$AD39))</f>
        <v/>
      </c>
      <c r="P39" s="24" t="str">
        <f aca="false">IF($AD39=0,"",INDEX($Y$7:$Y$206,$AD39))</f>
        <v/>
      </c>
      <c r="Q39" s="24" t="str">
        <f aca="false">IF($AD39=0,"",INDEX($Z$7:$Z$206,$AD39))</f>
        <v/>
      </c>
      <c r="R39" s="25" t="str">
        <f aca="false">IF(OR($AD39=0,$L$5=0),"",Q39/$L$5)</f>
        <v/>
      </c>
      <c r="S39" s="1"/>
      <c r="T39" s="1"/>
      <c r="U39" s="1"/>
      <c r="V39" s="1"/>
      <c r="W39" s="1" t="str">
        <f aca="false">IF(Projects!B37="","",Projects!B37)</f>
        <v/>
      </c>
      <c r="X39" s="1" t="n">
        <f aca="false">IF(W39="",0,SUMIFS($I$7:$I$256,$D$7:$D$256,W39,$H$7:$H$256,"NTIME"))</f>
        <v>0</v>
      </c>
      <c r="Y39" s="1" t="n">
        <f aca="false">IF(W39="",0,SUMIFS($I$7:$I$256,$D$7:$D$256,W39,$H$7:$H$256,"P6"))</f>
        <v>0</v>
      </c>
      <c r="Z39" s="1" t="n">
        <f aca="false">X39+Y39</f>
        <v>0</v>
      </c>
      <c r="AA39" s="1" t="n">
        <f aca="false">IF(Z39&gt;0,Z39+(201-33)/10^6,0)</f>
        <v>0</v>
      </c>
      <c r="AB39" s="1"/>
      <c r="AC39" s="1"/>
      <c r="AD39" s="1" t="n">
        <f aca="false">IF(LARGE($AA$7:$AA$206,3)&lt;=0,0,MATCH(LARGE($AA$7:$AA$206,3),$AA$7:$AA$206,0))</f>
        <v>0</v>
      </c>
      <c r="AE39" s="1"/>
      <c r="AF39" s="1"/>
      <c r="AG39" s="1"/>
      <c r="AH39" s="1"/>
    </row>
    <row r="40" customFormat="false" ht="15" hidden="false" customHeight="false" outlineLevel="0" collapsed="false">
      <c r="A40" s="1"/>
      <c r="B40" s="10"/>
      <c r="C40" s="31" t="str">
        <f aca="false">IF(B40="","",TEXT(B40,"ddd"))</f>
        <v/>
      </c>
      <c r="D40" s="11"/>
      <c r="E40" s="8" t="str">
        <f aca="false">IF(D40="","",IFERROR(INDEX(ProjNumbers,MATCH(D40,ProjNames,0)),""))</f>
        <v/>
      </c>
      <c r="F40" s="8" t="str">
        <f aca="false">IF(D40="","",IFERROR(INDEX(ProjCodes,MATCH(D40,ProjNames,0)),""))</f>
        <v/>
      </c>
      <c r="G40" s="32"/>
      <c r="H40" s="11"/>
      <c r="I40" s="33"/>
      <c r="J40" s="8" t="str">
        <f aca="false">IF(COUNTA(B40,D40,G40,H40,I40)=0,"",IF(B40="","Enter date",IF(OR(B40&lt;$AC$2,B40&gt;$AC$3),"Date not in March",IF(D40="","Pick project",IF(ISNA(MATCH(D40,ProjNames,0)),"Project not in list",IF(G40="","Add task description",IF(H40="","Pick NTIME or P6",IF(N(I40)&lt;=0,"Enter hours",IF(AND(AllowOT&lt;&gt;"Yes",SUMIF($B$7:$B$256,B40,$I$7:$I$256)&gt;INDEX($O$58:$O$88,DAY(B40))),"Day over "&amp;INDEX($O$58:$O$88,DAY(B40))&amp;" h","✓")))))))))</f>
        <v/>
      </c>
      <c r="K40" s="1"/>
      <c r="L40" s="24" t="str">
        <f aca="false">IF($AD40=0,"",INDEX($W$7:$W$206,$AD40))</f>
        <v/>
      </c>
      <c r="M40" s="24" t="str">
        <f aca="false">IF($AD40=0,"",INDEX(ProjNumbers,$AD40))</f>
        <v/>
      </c>
      <c r="N40" s="24" t="str">
        <f aca="false">IF($AD40=0,"",INDEX(ProjCodes,$AD40))</f>
        <v/>
      </c>
      <c r="O40" s="24" t="str">
        <f aca="false">IF($AD40=0,"",INDEX($X$7:$X$206,$AD40))</f>
        <v/>
      </c>
      <c r="P40" s="24" t="str">
        <f aca="false">IF($AD40=0,"",INDEX($Y$7:$Y$206,$AD40))</f>
        <v/>
      </c>
      <c r="Q40" s="24" t="str">
        <f aca="false">IF($AD40=0,"",INDEX($Z$7:$Z$206,$AD40))</f>
        <v/>
      </c>
      <c r="R40" s="25" t="str">
        <f aca="false">IF(OR($AD40=0,$L$5=0),"",Q40/$L$5)</f>
        <v/>
      </c>
      <c r="S40" s="1"/>
      <c r="T40" s="1"/>
      <c r="U40" s="1"/>
      <c r="V40" s="1"/>
      <c r="W40" s="1" t="str">
        <f aca="false">IF(Projects!B38="","",Projects!B38)</f>
        <v/>
      </c>
      <c r="X40" s="1" t="n">
        <f aca="false">IF(W40="",0,SUMIFS($I$7:$I$256,$D$7:$D$256,W40,$H$7:$H$256,"NTIME"))</f>
        <v>0</v>
      </c>
      <c r="Y40" s="1" t="n">
        <f aca="false">IF(W40="",0,SUMIFS($I$7:$I$256,$D$7:$D$256,W40,$H$7:$H$256,"P6"))</f>
        <v>0</v>
      </c>
      <c r="Z40" s="1" t="n">
        <f aca="false">X40+Y40</f>
        <v>0</v>
      </c>
      <c r="AA40" s="1" t="n">
        <f aca="false">IF(Z40&gt;0,Z40+(201-34)/10^6,0)</f>
        <v>0</v>
      </c>
      <c r="AB40" s="1"/>
      <c r="AC40" s="1"/>
      <c r="AD40" s="1" t="n">
        <f aca="false">IF(LARGE($AA$7:$AA$206,4)&lt;=0,0,MATCH(LARGE($AA$7:$AA$206,4),$AA$7:$AA$206,0))</f>
        <v>0</v>
      </c>
      <c r="AE40" s="1"/>
      <c r="AF40" s="1"/>
      <c r="AG40" s="1"/>
      <c r="AH40" s="1"/>
    </row>
    <row r="41" customFormat="false" ht="15" hidden="false" customHeight="false" outlineLevel="0" collapsed="false">
      <c r="A41" s="1"/>
      <c r="B41" s="10"/>
      <c r="C41" s="31" t="str">
        <f aca="false">IF(B41="","",TEXT(B41,"ddd"))</f>
        <v/>
      </c>
      <c r="D41" s="11"/>
      <c r="E41" s="8" t="str">
        <f aca="false">IF(D41="","",IFERROR(INDEX(ProjNumbers,MATCH(D41,ProjNames,0)),""))</f>
        <v/>
      </c>
      <c r="F41" s="8" t="str">
        <f aca="false">IF(D41="","",IFERROR(INDEX(ProjCodes,MATCH(D41,ProjNames,0)),""))</f>
        <v/>
      </c>
      <c r="G41" s="32"/>
      <c r="H41" s="11"/>
      <c r="I41" s="33"/>
      <c r="J41" s="8" t="str">
        <f aca="false">IF(COUNTA(B41,D41,G41,H41,I41)=0,"",IF(B41="","Enter date",IF(OR(B41&lt;$AC$2,B41&gt;$AC$3),"Date not in March",IF(D41="","Pick project",IF(ISNA(MATCH(D41,ProjNames,0)),"Project not in list",IF(G41="","Add task description",IF(H41="","Pick NTIME or P6",IF(N(I41)&lt;=0,"Enter hours",IF(AND(AllowOT&lt;&gt;"Yes",SUMIF($B$7:$B$256,B41,$I$7:$I$256)&gt;INDEX($O$58:$O$88,DAY(B41))),"Day over "&amp;INDEX($O$58:$O$88,DAY(B41))&amp;" h","✓")))))))))</f>
        <v/>
      </c>
      <c r="K41" s="1"/>
      <c r="L41" s="24" t="str">
        <f aca="false">IF($AD41=0,"",INDEX($W$7:$W$206,$AD41))</f>
        <v/>
      </c>
      <c r="M41" s="24" t="str">
        <f aca="false">IF($AD41=0,"",INDEX(ProjNumbers,$AD41))</f>
        <v/>
      </c>
      <c r="N41" s="24" t="str">
        <f aca="false">IF($AD41=0,"",INDEX(ProjCodes,$AD41))</f>
        <v/>
      </c>
      <c r="O41" s="24" t="str">
        <f aca="false">IF($AD41=0,"",INDEX($X$7:$X$206,$AD41))</f>
        <v/>
      </c>
      <c r="P41" s="24" t="str">
        <f aca="false">IF($AD41=0,"",INDEX($Y$7:$Y$206,$AD41))</f>
        <v/>
      </c>
      <c r="Q41" s="24" t="str">
        <f aca="false">IF($AD41=0,"",INDEX($Z$7:$Z$206,$AD41))</f>
        <v/>
      </c>
      <c r="R41" s="25" t="str">
        <f aca="false">IF(OR($AD41=0,$L$5=0),"",Q41/$L$5)</f>
        <v/>
      </c>
      <c r="S41" s="1"/>
      <c r="T41" s="1"/>
      <c r="U41" s="1"/>
      <c r="V41" s="1"/>
      <c r="W41" s="1" t="str">
        <f aca="false">IF(Projects!B39="","",Projects!B39)</f>
        <v/>
      </c>
      <c r="X41" s="1" t="n">
        <f aca="false">IF(W41="",0,SUMIFS($I$7:$I$256,$D$7:$D$256,W41,$H$7:$H$256,"NTIME"))</f>
        <v>0</v>
      </c>
      <c r="Y41" s="1" t="n">
        <f aca="false">IF(W41="",0,SUMIFS($I$7:$I$256,$D$7:$D$256,W41,$H$7:$H$256,"P6"))</f>
        <v>0</v>
      </c>
      <c r="Z41" s="1" t="n">
        <f aca="false">X41+Y41</f>
        <v>0</v>
      </c>
      <c r="AA41" s="1" t="n">
        <f aca="false">IF(Z41&gt;0,Z41+(201-35)/10^6,0)</f>
        <v>0</v>
      </c>
      <c r="AB41" s="1"/>
      <c r="AC41" s="1"/>
      <c r="AD41" s="1" t="n">
        <f aca="false">IF(LARGE($AA$7:$AA$206,5)&lt;=0,0,MATCH(LARGE($AA$7:$AA$206,5),$AA$7:$AA$206,0))</f>
        <v>0</v>
      </c>
      <c r="AE41" s="1"/>
      <c r="AF41" s="1"/>
      <c r="AG41" s="1"/>
      <c r="AH41" s="1"/>
    </row>
    <row r="42" customFormat="false" ht="15" hidden="false" customHeight="false" outlineLevel="0" collapsed="false">
      <c r="A42" s="1"/>
      <c r="B42" s="10"/>
      <c r="C42" s="31" t="str">
        <f aca="false">IF(B42="","",TEXT(B42,"ddd"))</f>
        <v/>
      </c>
      <c r="D42" s="11"/>
      <c r="E42" s="8" t="str">
        <f aca="false">IF(D42="","",IFERROR(INDEX(ProjNumbers,MATCH(D42,ProjNames,0)),""))</f>
        <v/>
      </c>
      <c r="F42" s="8" t="str">
        <f aca="false">IF(D42="","",IFERROR(INDEX(ProjCodes,MATCH(D42,ProjNames,0)),""))</f>
        <v/>
      </c>
      <c r="G42" s="32"/>
      <c r="H42" s="11"/>
      <c r="I42" s="33"/>
      <c r="J42" s="8" t="str">
        <f aca="false">IF(COUNTA(B42,D42,G42,H42,I42)=0,"",IF(B42="","Enter date",IF(OR(B42&lt;$AC$2,B42&gt;$AC$3),"Date not in March",IF(D42="","Pick project",IF(ISNA(MATCH(D42,ProjNames,0)),"Project not in list",IF(G42="","Add task description",IF(H42="","Pick NTIME or P6",IF(N(I42)&lt;=0,"Enter hours",IF(AND(AllowOT&lt;&gt;"Yes",SUMIF($B$7:$B$256,B42,$I$7:$I$256)&gt;INDEX($O$58:$O$88,DAY(B42))),"Day over "&amp;INDEX($O$58:$O$88,DAY(B42))&amp;" h","✓")))))))))</f>
        <v/>
      </c>
      <c r="K42" s="1"/>
      <c r="L42" s="24" t="str">
        <f aca="false">IF($AD42=0,"",INDEX($W$7:$W$206,$AD42))</f>
        <v/>
      </c>
      <c r="M42" s="24" t="str">
        <f aca="false">IF($AD42=0,"",INDEX(ProjNumbers,$AD42))</f>
        <v/>
      </c>
      <c r="N42" s="24" t="str">
        <f aca="false">IF($AD42=0,"",INDEX(ProjCodes,$AD42))</f>
        <v/>
      </c>
      <c r="O42" s="24" t="str">
        <f aca="false">IF($AD42=0,"",INDEX($X$7:$X$206,$AD42))</f>
        <v/>
      </c>
      <c r="P42" s="24" t="str">
        <f aca="false">IF($AD42=0,"",INDEX($Y$7:$Y$206,$AD42))</f>
        <v/>
      </c>
      <c r="Q42" s="24" t="str">
        <f aca="false">IF($AD42=0,"",INDEX($Z$7:$Z$206,$AD42))</f>
        <v/>
      </c>
      <c r="R42" s="25" t="str">
        <f aca="false">IF(OR($AD42=0,$L$5=0),"",Q42/$L$5)</f>
        <v/>
      </c>
      <c r="S42" s="1"/>
      <c r="T42" s="1"/>
      <c r="U42" s="1"/>
      <c r="V42" s="1"/>
      <c r="W42" s="1" t="str">
        <f aca="false">IF(Projects!B40="","",Projects!B40)</f>
        <v/>
      </c>
      <c r="X42" s="1" t="n">
        <f aca="false">IF(W42="",0,SUMIFS($I$7:$I$256,$D$7:$D$256,W42,$H$7:$H$256,"NTIME"))</f>
        <v>0</v>
      </c>
      <c r="Y42" s="1" t="n">
        <f aca="false">IF(W42="",0,SUMIFS($I$7:$I$256,$D$7:$D$256,W42,$H$7:$H$256,"P6"))</f>
        <v>0</v>
      </c>
      <c r="Z42" s="1" t="n">
        <f aca="false">X42+Y42</f>
        <v>0</v>
      </c>
      <c r="AA42" s="1" t="n">
        <f aca="false">IF(Z42&gt;0,Z42+(201-36)/10^6,0)</f>
        <v>0</v>
      </c>
      <c r="AB42" s="1"/>
      <c r="AC42" s="1"/>
      <c r="AD42" s="1" t="n">
        <f aca="false">IF(LARGE($AA$7:$AA$206,6)&lt;=0,0,MATCH(LARGE($AA$7:$AA$206,6),$AA$7:$AA$206,0))</f>
        <v>0</v>
      </c>
      <c r="AE42" s="1"/>
      <c r="AF42" s="1"/>
      <c r="AG42" s="1"/>
      <c r="AH42" s="1"/>
    </row>
    <row r="43" customFormat="false" ht="15" hidden="false" customHeight="false" outlineLevel="0" collapsed="false">
      <c r="A43" s="1"/>
      <c r="B43" s="10"/>
      <c r="C43" s="31" t="str">
        <f aca="false">IF(B43="","",TEXT(B43,"ddd"))</f>
        <v/>
      </c>
      <c r="D43" s="11"/>
      <c r="E43" s="8" t="str">
        <f aca="false">IF(D43="","",IFERROR(INDEX(ProjNumbers,MATCH(D43,ProjNames,0)),""))</f>
        <v/>
      </c>
      <c r="F43" s="8" t="str">
        <f aca="false">IF(D43="","",IFERROR(INDEX(ProjCodes,MATCH(D43,ProjNames,0)),""))</f>
        <v/>
      </c>
      <c r="G43" s="32"/>
      <c r="H43" s="11"/>
      <c r="I43" s="33"/>
      <c r="J43" s="8" t="str">
        <f aca="false">IF(COUNTA(B43,D43,G43,H43,I43)=0,"",IF(B43="","Enter date",IF(OR(B43&lt;$AC$2,B43&gt;$AC$3),"Date not in March",IF(D43="","Pick project",IF(ISNA(MATCH(D43,ProjNames,0)),"Project not in list",IF(G43="","Add task description",IF(H43="","Pick NTIME or P6",IF(N(I43)&lt;=0,"Enter hours",IF(AND(AllowOT&lt;&gt;"Yes",SUMIF($B$7:$B$256,B43,$I$7:$I$256)&gt;INDEX($O$58:$O$88,DAY(B43))),"Day over "&amp;INDEX($O$58:$O$88,DAY(B43))&amp;" h","✓")))))))))</f>
        <v/>
      </c>
      <c r="K43" s="1"/>
      <c r="L43" s="24" t="str">
        <f aca="false">IF($AD43=0,"",INDEX($W$7:$W$206,$AD43))</f>
        <v/>
      </c>
      <c r="M43" s="24" t="str">
        <f aca="false">IF($AD43=0,"",INDEX(ProjNumbers,$AD43))</f>
        <v/>
      </c>
      <c r="N43" s="24" t="str">
        <f aca="false">IF($AD43=0,"",INDEX(ProjCodes,$AD43))</f>
        <v/>
      </c>
      <c r="O43" s="24" t="str">
        <f aca="false">IF($AD43=0,"",INDEX($X$7:$X$206,$AD43))</f>
        <v/>
      </c>
      <c r="P43" s="24" t="str">
        <f aca="false">IF($AD43=0,"",INDEX($Y$7:$Y$206,$AD43))</f>
        <v/>
      </c>
      <c r="Q43" s="24" t="str">
        <f aca="false">IF($AD43=0,"",INDEX($Z$7:$Z$206,$AD43))</f>
        <v/>
      </c>
      <c r="R43" s="25" t="str">
        <f aca="false">IF(OR($AD43=0,$L$5=0),"",Q43/$L$5)</f>
        <v/>
      </c>
      <c r="S43" s="1"/>
      <c r="T43" s="1"/>
      <c r="U43" s="1"/>
      <c r="V43" s="1"/>
      <c r="W43" s="1" t="str">
        <f aca="false">IF(Projects!B41="","",Projects!B41)</f>
        <v/>
      </c>
      <c r="X43" s="1" t="n">
        <f aca="false">IF(W43="",0,SUMIFS($I$7:$I$256,$D$7:$D$256,W43,$H$7:$H$256,"NTIME"))</f>
        <v>0</v>
      </c>
      <c r="Y43" s="1" t="n">
        <f aca="false">IF(W43="",0,SUMIFS($I$7:$I$256,$D$7:$D$256,W43,$H$7:$H$256,"P6"))</f>
        <v>0</v>
      </c>
      <c r="Z43" s="1" t="n">
        <f aca="false">X43+Y43</f>
        <v>0</v>
      </c>
      <c r="AA43" s="1" t="n">
        <f aca="false">IF(Z43&gt;0,Z43+(201-37)/10^6,0)</f>
        <v>0</v>
      </c>
      <c r="AB43" s="1"/>
      <c r="AC43" s="1"/>
      <c r="AD43" s="1" t="n">
        <f aca="false">IF(LARGE($AA$7:$AA$206,7)&lt;=0,0,MATCH(LARGE($AA$7:$AA$206,7),$AA$7:$AA$206,0))</f>
        <v>0</v>
      </c>
      <c r="AE43" s="1"/>
      <c r="AF43" s="1"/>
      <c r="AG43" s="1"/>
      <c r="AH43" s="1"/>
    </row>
    <row r="44" customFormat="false" ht="15" hidden="false" customHeight="false" outlineLevel="0" collapsed="false">
      <c r="A44" s="1"/>
      <c r="B44" s="10"/>
      <c r="C44" s="31" t="str">
        <f aca="false">IF(B44="","",TEXT(B44,"ddd"))</f>
        <v/>
      </c>
      <c r="D44" s="11"/>
      <c r="E44" s="8" t="str">
        <f aca="false">IF(D44="","",IFERROR(INDEX(ProjNumbers,MATCH(D44,ProjNames,0)),""))</f>
        <v/>
      </c>
      <c r="F44" s="8" t="str">
        <f aca="false">IF(D44="","",IFERROR(INDEX(ProjCodes,MATCH(D44,ProjNames,0)),""))</f>
        <v/>
      </c>
      <c r="G44" s="32"/>
      <c r="H44" s="11"/>
      <c r="I44" s="33"/>
      <c r="J44" s="8" t="str">
        <f aca="false">IF(COUNTA(B44,D44,G44,H44,I44)=0,"",IF(B44="","Enter date",IF(OR(B44&lt;$AC$2,B44&gt;$AC$3),"Date not in March",IF(D44="","Pick project",IF(ISNA(MATCH(D44,ProjNames,0)),"Project not in list",IF(G44="","Add task description",IF(H44="","Pick NTIME or P6",IF(N(I44)&lt;=0,"Enter hours",IF(AND(AllowOT&lt;&gt;"Yes",SUMIF($B$7:$B$256,B44,$I$7:$I$256)&gt;INDEX($O$58:$O$88,DAY(B44))),"Day over "&amp;INDEX($O$58:$O$88,DAY(B44))&amp;" h","✓")))))))))</f>
        <v/>
      </c>
      <c r="K44" s="1"/>
      <c r="L44" s="24" t="str">
        <f aca="false">IF($AD44=0,"",INDEX($W$7:$W$206,$AD44))</f>
        <v/>
      </c>
      <c r="M44" s="24" t="str">
        <f aca="false">IF($AD44=0,"",INDEX(ProjNumbers,$AD44))</f>
        <v/>
      </c>
      <c r="N44" s="24" t="str">
        <f aca="false">IF($AD44=0,"",INDEX(ProjCodes,$AD44))</f>
        <v/>
      </c>
      <c r="O44" s="24" t="str">
        <f aca="false">IF($AD44=0,"",INDEX($X$7:$X$206,$AD44))</f>
        <v/>
      </c>
      <c r="P44" s="24" t="str">
        <f aca="false">IF($AD44=0,"",INDEX($Y$7:$Y$206,$AD44))</f>
        <v/>
      </c>
      <c r="Q44" s="24" t="str">
        <f aca="false">IF($AD44=0,"",INDEX($Z$7:$Z$206,$AD44))</f>
        <v/>
      </c>
      <c r="R44" s="25" t="str">
        <f aca="false">IF(OR($AD44=0,$L$5=0),"",Q44/$L$5)</f>
        <v/>
      </c>
      <c r="S44" s="1"/>
      <c r="T44" s="1"/>
      <c r="U44" s="1"/>
      <c r="V44" s="1"/>
      <c r="W44" s="1" t="str">
        <f aca="false">IF(Projects!B42="","",Projects!B42)</f>
        <v/>
      </c>
      <c r="X44" s="1" t="n">
        <f aca="false">IF(W44="",0,SUMIFS($I$7:$I$256,$D$7:$D$256,W44,$H$7:$H$256,"NTIME"))</f>
        <v>0</v>
      </c>
      <c r="Y44" s="1" t="n">
        <f aca="false">IF(W44="",0,SUMIFS($I$7:$I$256,$D$7:$D$256,W44,$H$7:$H$256,"P6"))</f>
        <v>0</v>
      </c>
      <c r="Z44" s="1" t="n">
        <f aca="false">X44+Y44</f>
        <v>0</v>
      </c>
      <c r="AA44" s="1" t="n">
        <f aca="false">IF(Z44&gt;0,Z44+(201-38)/10^6,0)</f>
        <v>0</v>
      </c>
      <c r="AB44" s="1"/>
      <c r="AC44" s="1"/>
      <c r="AD44" s="1" t="n">
        <f aca="false">IF(LARGE($AA$7:$AA$206,8)&lt;=0,0,MATCH(LARGE($AA$7:$AA$206,8),$AA$7:$AA$206,0))</f>
        <v>0</v>
      </c>
      <c r="AE44" s="1"/>
      <c r="AF44" s="1"/>
      <c r="AG44" s="1"/>
      <c r="AH44" s="1"/>
    </row>
    <row r="45" customFormat="false" ht="15" hidden="false" customHeight="false" outlineLevel="0" collapsed="false">
      <c r="A45" s="1"/>
      <c r="B45" s="10"/>
      <c r="C45" s="31" t="str">
        <f aca="false">IF(B45="","",TEXT(B45,"ddd"))</f>
        <v/>
      </c>
      <c r="D45" s="11"/>
      <c r="E45" s="8" t="str">
        <f aca="false">IF(D45="","",IFERROR(INDEX(ProjNumbers,MATCH(D45,ProjNames,0)),""))</f>
        <v/>
      </c>
      <c r="F45" s="8" t="str">
        <f aca="false">IF(D45="","",IFERROR(INDEX(ProjCodes,MATCH(D45,ProjNames,0)),""))</f>
        <v/>
      </c>
      <c r="G45" s="32"/>
      <c r="H45" s="11"/>
      <c r="I45" s="33"/>
      <c r="J45" s="8" t="str">
        <f aca="false">IF(COUNTA(B45,D45,G45,H45,I45)=0,"",IF(B45="","Enter date",IF(OR(B45&lt;$AC$2,B45&gt;$AC$3),"Date not in March",IF(D45="","Pick project",IF(ISNA(MATCH(D45,ProjNames,0)),"Project not in list",IF(G45="","Add task description",IF(H45="","Pick NTIME or P6",IF(N(I45)&lt;=0,"Enter hours",IF(AND(AllowOT&lt;&gt;"Yes",SUMIF($B$7:$B$256,B45,$I$7:$I$256)&gt;INDEX($O$58:$O$88,DAY(B45))),"Day over "&amp;INDEX($O$58:$O$88,DAY(B45))&amp;" h","✓")))))))))</f>
        <v/>
      </c>
      <c r="K45" s="1"/>
      <c r="L45" s="24" t="str">
        <f aca="false">IF($AD45=0,"",INDEX($W$7:$W$206,$AD45))</f>
        <v/>
      </c>
      <c r="M45" s="24" t="str">
        <f aca="false">IF($AD45=0,"",INDEX(ProjNumbers,$AD45))</f>
        <v/>
      </c>
      <c r="N45" s="24" t="str">
        <f aca="false">IF($AD45=0,"",INDEX(ProjCodes,$AD45))</f>
        <v/>
      </c>
      <c r="O45" s="24" t="str">
        <f aca="false">IF($AD45=0,"",INDEX($X$7:$X$206,$AD45))</f>
        <v/>
      </c>
      <c r="P45" s="24" t="str">
        <f aca="false">IF($AD45=0,"",INDEX($Y$7:$Y$206,$AD45))</f>
        <v/>
      </c>
      <c r="Q45" s="24" t="str">
        <f aca="false">IF($AD45=0,"",INDEX($Z$7:$Z$206,$AD45))</f>
        <v/>
      </c>
      <c r="R45" s="25" t="str">
        <f aca="false">IF(OR($AD45=0,$L$5=0),"",Q45/$L$5)</f>
        <v/>
      </c>
      <c r="S45" s="1"/>
      <c r="T45" s="1"/>
      <c r="U45" s="1"/>
      <c r="V45" s="1"/>
      <c r="W45" s="1" t="str">
        <f aca="false">IF(Projects!B43="","",Projects!B43)</f>
        <v/>
      </c>
      <c r="X45" s="1" t="n">
        <f aca="false">IF(W45="",0,SUMIFS($I$7:$I$256,$D$7:$D$256,W45,$H$7:$H$256,"NTIME"))</f>
        <v>0</v>
      </c>
      <c r="Y45" s="1" t="n">
        <f aca="false">IF(W45="",0,SUMIFS($I$7:$I$256,$D$7:$D$256,W45,$H$7:$H$256,"P6"))</f>
        <v>0</v>
      </c>
      <c r="Z45" s="1" t="n">
        <f aca="false">X45+Y45</f>
        <v>0</v>
      </c>
      <c r="AA45" s="1" t="n">
        <f aca="false">IF(Z45&gt;0,Z45+(201-39)/10^6,0)</f>
        <v>0</v>
      </c>
      <c r="AB45" s="1"/>
      <c r="AC45" s="1"/>
      <c r="AD45" s="1" t="n">
        <f aca="false">IF(LARGE($AA$7:$AA$206,9)&lt;=0,0,MATCH(LARGE($AA$7:$AA$206,9),$AA$7:$AA$206,0))</f>
        <v>0</v>
      </c>
      <c r="AE45" s="1"/>
      <c r="AF45" s="1"/>
      <c r="AG45" s="1"/>
      <c r="AH45" s="1"/>
    </row>
    <row r="46" customFormat="false" ht="15" hidden="false" customHeight="false" outlineLevel="0" collapsed="false">
      <c r="A46" s="1"/>
      <c r="B46" s="10"/>
      <c r="C46" s="31" t="str">
        <f aca="false">IF(B46="","",TEXT(B46,"ddd"))</f>
        <v/>
      </c>
      <c r="D46" s="11"/>
      <c r="E46" s="8" t="str">
        <f aca="false">IF(D46="","",IFERROR(INDEX(ProjNumbers,MATCH(D46,ProjNames,0)),""))</f>
        <v/>
      </c>
      <c r="F46" s="8" t="str">
        <f aca="false">IF(D46="","",IFERROR(INDEX(ProjCodes,MATCH(D46,ProjNames,0)),""))</f>
        <v/>
      </c>
      <c r="G46" s="32"/>
      <c r="H46" s="11"/>
      <c r="I46" s="33"/>
      <c r="J46" s="8" t="str">
        <f aca="false">IF(COUNTA(B46,D46,G46,H46,I46)=0,"",IF(B46="","Enter date",IF(OR(B46&lt;$AC$2,B46&gt;$AC$3),"Date not in March",IF(D46="","Pick project",IF(ISNA(MATCH(D46,ProjNames,0)),"Project not in list",IF(G46="","Add task description",IF(H46="","Pick NTIME or P6",IF(N(I46)&lt;=0,"Enter hours",IF(AND(AllowOT&lt;&gt;"Yes",SUMIF($B$7:$B$256,B46,$I$7:$I$256)&gt;INDEX($O$58:$O$88,DAY(B46))),"Day over "&amp;INDEX($O$58:$O$88,DAY(B46))&amp;" h","✓")))))))))</f>
        <v/>
      </c>
      <c r="K46" s="1"/>
      <c r="L46" s="24" t="str">
        <f aca="false">IF($AD46=0,"",INDEX($W$7:$W$206,$AD46))</f>
        <v/>
      </c>
      <c r="M46" s="24" t="str">
        <f aca="false">IF($AD46=0,"",INDEX(ProjNumbers,$AD46))</f>
        <v/>
      </c>
      <c r="N46" s="24" t="str">
        <f aca="false">IF($AD46=0,"",INDEX(ProjCodes,$AD46))</f>
        <v/>
      </c>
      <c r="O46" s="24" t="str">
        <f aca="false">IF($AD46=0,"",INDEX($X$7:$X$206,$AD46))</f>
        <v/>
      </c>
      <c r="P46" s="24" t="str">
        <f aca="false">IF($AD46=0,"",INDEX($Y$7:$Y$206,$AD46))</f>
        <v/>
      </c>
      <c r="Q46" s="24" t="str">
        <f aca="false">IF($AD46=0,"",INDEX($Z$7:$Z$206,$AD46))</f>
        <v/>
      </c>
      <c r="R46" s="25" t="str">
        <f aca="false">IF(OR($AD46=0,$L$5=0),"",Q46/$L$5)</f>
        <v/>
      </c>
      <c r="S46" s="1"/>
      <c r="T46" s="1"/>
      <c r="U46" s="1"/>
      <c r="V46" s="1"/>
      <c r="W46" s="1" t="str">
        <f aca="false">IF(Projects!B44="","",Projects!B44)</f>
        <v/>
      </c>
      <c r="X46" s="1" t="n">
        <f aca="false">IF(W46="",0,SUMIFS($I$7:$I$256,$D$7:$D$256,W46,$H$7:$H$256,"NTIME"))</f>
        <v>0</v>
      </c>
      <c r="Y46" s="1" t="n">
        <f aca="false">IF(W46="",0,SUMIFS($I$7:$I$256,$D$7:$D$256,W46,$H$7:$H$256,"P6"))</f>
        <v>0</v>
      </c>
      <c r="Z46" s="1" t="n">
        <f aca="false">X46+Y46</f>
        <v>0</v>
      </c>
      <c r="AA46" s="1" t="n">
        <f aca="false">IF(Z46&gt;0,Z46+(201-40)/10^6,0)</f>
        <v>0</v>
      </c>
      <c r="AB46" s="1"/>
      <c r="AC46" s="1"/>
      <c r="AD46" s="1" t="n">
        <f aca="false">IF(LARGE($AA$7:$AA$206,10)&lt;=0,0,MATCH(LARGE($AA$7:$AA$206,10),$AA$7:$AA$206,0))</f>
        <v>0</v>
      </c>
      <c r="AE46" s="1"/>
      <c r="AF46" s="1"/>
      <c r="AG46" s="1"/>
      <c r="AH46" s="1"/>
    </row>
    <row r="47" customFormat="false" ht="15" hidden="false" customHeight="false" outlineLevel="0" collapsed="false">
      <c r="A47" s="1"/>
      <c r="B47" s="10"/>
      <c r="C47" s="31" t="str">
        <f aca="false">IF(B47="","",TEXT(B47,"ddd"))</f>
        <v/>
      </c>
      <c r="D47" s="11"/>
      <c r="E47" s="8" t="str">
        <f aca="false">IF(D47="","",IFERROR(INDEX(ProjNumbers,MATCH(D47,ProjNames,0)),""))</f>
        <v/>
      </c>
      <c r="F47" s="8" t="str">
        <f aca="false">IF(D47="","",IFERROR(INDEX(ProjCodes,MATCH(D47,ProjNames,0)),""))</f>
        <v/>
      </c>
      <c r="G47" s="32"/>
      <c r="H47" s="11"/>
      <c r="I47" s="33"/>
      <c r="J47" s="8" t="str">
        <f aca="false">IF(COUNTA(B47,D47,G47,H47,I47)=0,"",IF(B47="","Enter date",IF(OR(B47&lt;$AC$2,B47&gt;$AC$3),"Date not in March",IF(D47="","Pick project",IF(ISNA(MATCH(D47,ProjNames,0)),"Project not in list",IF(G47="","Add task description",IF(H47="","Pick NTIME or P6",IF(N(I47)&lt;=0,"Enter hours",IF(AND(AllowOT&lt;&gt;"Yes",SUMIF($B$7:$B$256,B47,$I$7:$I$256)&gt;INDEX($O$58:$O$88,DAY(B47))),"Day over "&amp;INDEX($O$58:$O$88,DAY(B47))&amp;" h","✓")))))))))</f>
        <v/>
      </c>
      <c r="K47" s="1"/>
      <c r="L47" s="24" t="str">
        <f aca="false">IF($AD47=0,"",INDEX($W$7:$W$206,$AD47))</f>
        <v/>
      </c>
      <c r="M47" s="24" t="str">
        <f aca="false">IF($AD47=0,"",INDEX(ProjNumbers,$AD47))</f>
        <v/>
      </c>
      <c r="N47" s="24" t="str">
        <f aca="false">IF($AD47=0,"",INDEX(ProjCodes,$AD47))</f>
        <v/>
      </c>
      <c r="O47" s="24" t="str">
        <f aca="false">IF($AD47=0,"",INDEX($X$7:$X$206,$AD47))</f>
        <v/>
      </c>
      <c r="P47" s="24" t="str">
        <f aca="false">IF($AD47=0,"",INDEX($Y$7:$Y$206,$AD47))</f>
        <v/>
      </c>
      <c r="Q47" s="24" t="str">
        <f aca="false">IF($AD47=0,"",INDEX($Z$7:$Z$206,$AD47))</f>
        <v/>
      </c>
      <c r="R47" s="25" t="str">
        <f aca="false">IF(OR($AD47=0,$L$5=0),"",Q47/$L$5)</f>
        <v/>
      </c>
      <c r="S47" s="1"/>
      <c r="T47" s="1"/>
      <c r="U47" s="1"/>
      <c r="V47" s="1"/>
      <c r="W47" s="1" t="str">
        <f aca="false">IF(Projects!B45="","",Projects!B45)</f>
        <v/>
      </c>
      <c r="X47" s="1" t="n">
        <f aca="false">IF(W47="",0,SUMIFS($I$7:$I$256,$D$7:$D$256,W47,$H$7:$H$256,"NTIME"))</f>
        <v>0</v>
      </c>
      <c r="Y47" s="1" t="n">
        <f aca="false">IF(W47="",0,SUMIFS($I$7:$I$256,$D$7:$D$256,W47,$H$7:$H$256,"P6"))</f>
        <v>0</v>
      </c>
      <c r="Z47" s="1" t="n">
        <f aca="false">X47+Y47</f>
        <v>0</v>
      </c>
      <c r="AA47" s="1" t="n">
        <f aca="false">IF(Z47&gt;0,Z47+(201-41)/10^6,0)</f>
        <v>0</v>
      </c>
      <c r="AB47" s="1"/>
      <c r="AC47" s="1"/>
      <c r="AD47" s="1" t="n">
        <f aca="false">IF(LARGE($AA$7:$AA$206,11)&lt;=0,0,MATCH(LARGE($AA$7:$AA$206,11),$AA$7:$AA$206,0))</f>
        <v>0</v>
      </c>
      <c r="AE47" s="1"/>
      <c r="AF47" s="1"/>
      <c r="AG47" s="1"/>
      <c r="AH47" s="1"/>
    </row>
    <row r="48" customFormat="false" ht="15" hidden="false" customHeight="false" outlineLevel="0" collapsed="false">
      <c r="A48" s="1"/>
      <c r="B48" s="10"/>
      <c r="C48" s="31" t="str">
        <f aca="false">IF(B48="","",TEXT(B48,"ddd"))</f>
        <v/>
      </c>
      <c r="D48" s="11"/>
      <c r="E48" s="8" t="str">
        <f aca="false">IF(D48="","",IFERROR(INDEX(ProjNumbers,MATCH(D48,ProjNames,0)),""))</f>
        <v/>
      </c>
      <c r="F48" s="8" t="str">
        <f aca="false">IF(D48="","",IFERROR(INDEX(ProjCodes,MATCH(D48,ProjNames,0)),""))</f>
        <v/>
      </c>
      <c r="G48" s="32"/>
      <c r="H48" s="11"/>
      <c r="I48" s="33"/>
      <c r="J48" s="8" t="str">
        <f aca="false">IF(COUNTA(B48,D48,G48,H48,I48)=0,"",IF(B48="","Enter date",IF(OR(B48&lt;$AC$2,B48&gt;$AC$3),"Date not in March",IF(D48="","Pick project",IF(ISNA(MATCH(D48,ProjNames,0)),"Project not in list",IF(G48="","Add task description",IF(H48="","Pick NTIME or P6",IF(N(I48)&lt;=0,"Enter hours",IF(AND(AllowOT&lt;&gt;"Yes",SUMIF($B$7:$B$256,B48,$I$7:$I$256)&gt;INDEX($O$58:$O$88,DAY(B48))),"Day over "&amp;INDEX($O$58:$O$88,DAY(B48))&amp;" h","✓")))))))))</f>
        <v/>
      </c>
      <c r="K48" s="1"/>
      <c r="L48" s="24" t="str">
        <f aca="false">IF($AD48=0,"",INDEX($W$7:$W$206,$AD48))</f>
        <v/>
      </c>
      <c r="M48" s="24" t="str">
        <f aca="false">IF($AD48=0,"",INDEX(ProjNumbers,$AD48))</f>
        <v/>
      </c>
      <c r="N48" s="24" t="str">
        <f aca="false">IF($AD48=0,"",INDEX(ProjCodes,$AD48))</f>
        <v/>
      </c>
      <c r="O48" s="24" t="str">
        <f aca="false">IF($AD48=0,"",INDEX($X$7:$X$206,$AD48))</f>
        <v/>
      </c>
      <c r="P48" s="24" t="str">
        <f aca="false">IF($AD48=0,"",INDEX($Y$7:$Y$206,$AD48))</f>
        <v/>
      </c>
      <c r="Q48" s="24" t="str">
        <f aca="false">IF($AD48=0,"",INDEX($Z$7:$Z$206,$AD48))</f>
        <v/>
      </c>
      <c r="R48" s="25" t="str">
        <f aca="false">IF(OR($AD48=0,$L$5=0),"",Q48/$L$5)</f>
        <v/>
      </c>
      <c r="S48" s="1"/>
      <c r="T48" s="1"/>
      <c r="U48" s="1"/>
      <c r="V48" s="1"/>
      <c r="W48" s="1" t="str">
        <f aca="false">IF(Projects!B46="","",Projects!B46)</f>
        <v/>
      </c>
      <c r="X48" s="1" t="n">
        <f aca="false">IF(W48="",0,SUMIFS($I$7:$I$256,$D$7:$D$256,W48,$H$7:$H$256,"NTIME"))</f>
        <v>0</v>
      </c>
      <c r="Y48" s="1" t="n">
        <f aca="false">IF(W48="",0,SUMIFS($I$7:$I$256,$D$7:$D$256,W48,$H$7:$H$256,"P6"))</f>
        <v>0</v>
      </c>
      <c r="Z48" s="1" t="n">
        <f aca="false">X48+Y48</f>
        <v>0</v>
      </c>
      <c r="AA48" s="1" t="n">
        <f aca="false">IF(Z48&gt;0,Z48+(201-42)/10^6,0)</f>
        <v>0</v>
      </c>
      <c r="AB48" s="1"/>
      <c r="AC48" s="1"/>
      <c r="AD48" s="1" t="n">
        <f aca="false">IF(LARGE($AA$7:$AA$206,12)&lt;=0,0,MATCH(LARGE($AA$7:$AA$206,12),$AA$7:$AA$206,0))</f>
        <v>0</v>
      </c>
      <c r="AE48" s="1"/>
      <c r="AF48" s="1"/>
      <c r="AG48" s="1"/>
      <c r="AH48" s="1"/>
    </row>
    <row r="49" customFormat="false" ht="15" hidden="false" customHeight="false" outlineLevel="0" collapsed="false">
      <c r="A49" s="1"/>
      <c r="B49" s="10"/>
      <c r="C49" s="31" t="str">
        <f aca="false">IF(B49="","",TEXT(B49,"ddd"))</f>
        <v/>
      </c>
      <c r="D49" s="11"/>
      <c r="E49" s="8" t="str">
        <f aca="false">IF(D49="","",IFERROR(INDEX(ProjNumbers,MATCH(D49,ProjNames,0)),""))</f>
        <v/>
      </c>
      <c r="F49" s="8" t="str">
        <f aca="false">IF(D49="","",IFERROR(INDEX(ProjCodes,MATCH(D49,ProjNames,0)),""))</f>
        <v/>
      </c>
      <c r="G49" s="32"/>
      <c r="H49" s="11"/>
      <c r="I49" s="33"/>
      <c r="J49" s="8" t="str">
        <f aca="false">IF(COUNTA(B49,D49,G49,H49,I49)=0,"",IF(B49="","Enter date",IF(OR(B49&lt;$AC$2,B49&gt;$AC$3),"Date not in March",IF(D49="","Pick project",IF(ISNA(MATCH(D49,ProjNames,0)),"Project not in list",IF(G49="","Add task description",IF(H49="","Pick NTIME or P6",IF(N(I49)&lt;=0,"Enter hours",IF(AND(AllowOT&lt;&gt;"Yes",SUMIF($B$7:$B$256,B49,$I$7:$I$256)&gt;INDEX($O$58:$O$88,DAY(B49))),"Day over "&amp;INDEX($O$58:$O$88,DAY(B49))&amp;" h","✓")))))))))</f>
        <v/>
      </c>
      <c r="K49" s="1"/>
      <c r="L49" s="24" t="str">
        <f aca="false">IF($AD49=0,"",INDEX($W$7:$W$206,$AD49))</f>
        <v/>
      </c>
      <c r="M49" s="24" t="str">
        <f aca="false">IF($AD49=0,"",INDEX(ProjNumbers,$AD49))</f>
        <v/>
      </c>
      <c r="N49" s="24" t="str">
        <f aca="false">IF($AD49=0,"",INDEX(ProjCodes,$AD49))</f>
        <v/>
      </c>
      <c r="O49" s="24" t="str">
        <f aca="false">IF($AD49=0,"",INDEX($X$7:$X$206,$AD49))</f>
        <v/>
      </c>
      <c r="P49" s="24" t="str">
        <f aca="false">IF($AD49=0,"",INDEX($Y$7:$Y$206,$AD49))</f>
        <v/>
      </c>
      <c r="Q49" s="24" t="str">
        <f aca="false">IF($AD49=0,"",INDEX($Z$7:$Z$206,$AD49))</f>
        <v/>
      </c>
      <c r="R49" s="25" t="str">
        <f aca="false">IF(OR($AD49=0,$L$5=0),"",Q49/$L$5)</f>
        <v/>
      </c>
      <c r="S49" s="1"/>
      <c r="T49" s="1"/>
      <c r="U49" s="1"/>
      <c r="V49" s="1"/>
      <c r="W49" s="1" t="str">
        <f aca="false">IF(Projects!B47="","",Projects!B47)</f>
        <v/>
      </c>
      <c r="X49" s="1" t="n">
        <f aca="false">IF(W49="",0,SUMIFS($I$7:$I$256,$D$7:$D$256,W49,$H$7:$H$256,"NTIME"))</f>
        <v>0</v>
      </c>
      <c r="Y49" s="1" t="n">
        <f aca="false">IF(W49="",0,SUMIFS($I$7:$I$256,$D$7:$D$256,W49,$H$7:$H$256,"P6"))</f>
        <v>0</v>
      </c>
      <c r="Z49" s="1" t="n">
        <f aca="false">X49+Y49</f>
        <v>0</v>
      </c>
      <c r="AA49" s="1" t="n">
        <f aca="false">IF(Z49&gt;0,Z49+(201-43)/10^6,0)</f>
        <v>0</v>
      </c>
      <c r="AB49" s="1"/>
      <c r="AC49" s="1"/>
      <c r="AD49" s="1" t="n">
        <f aca="false">IF(LARGE($AA$7:$AA$206,13)&lt;=0,0,MATCH(LARGE($AA$7:$AA$206,13),$AA$7:$AA$206,0))</f>
        <v>0</v>
      </c>
      <c r="AE49" s="1"/>
      <c r="AF49" s="1"/>
      <c r="AG49" s="1"/>
      <c r="AH49" s="1"/>
    </row>
    <row r="50" customFormat="false" ht="15" hidden="false" customHeight="false" outlineLevel="0" collapsed="false">
      <c r="A50" s="1"/>
      <c r="B50" s="10"/>
      <c r="C50" s="31" t="str">
        <f aca="false">IF(B50="","",TEXT(B50,"ddd"))</f>
        <v/>
      </c>
      <c r="D50" s="11"/>
      <c r="E50" s="8" t="str">
        <f aca="false">IF(D50="","",IFERROR(INDEX(ProjNumbers,MATCH(D50,ProjNames,0)),""))</f>
        <v/>
      </c>
      <c r="F50" s="8" t="str">
        <f aca="false">IF(D50="","",IFERROR(INDEX(ProjCodes,MATCH(D50,ProjNames,0)),""))</f>
        <v/>
      </c>
      <c r="G50" s="32"/>
      <c r="H50" s="11"/>
      <c r="I50" s="33"/>
      <c r="J50" s="8" t="str">
        <f aca="false">IF(COUNTA(B50,D50,G50,H50,I50)=0,"",IF(B50="","Enter date",IF(OR(B50&lt;$AC$2,B50&gt;$AC$3),"Date not in March",IF(D50="","Pick project",IF(ISNA(MATCH(D50,ProjNames,0)),"Project not in list",IF(G50="","Add task description",IF(H50="","Pick NTIME or P6",IF(N(I50)&lt;=0,"Enter hours",IF(AND(AllowOT&lt;&gt;"Yes",SUMIF($B$7:$B$256,B50,$I$7:$I$256)&gt;INDEX($O$58:$O$88,DAY(B50))),"Day over "&amp;INDEX($O$58:$O$88,DAY(B50))&amp;" h","✓")))))))))</f>
        <v/>
      </c>
      <c r="K50" s="1"/>
      <c r="L50" s="24" t="str">
        <f aca="false">IF($AD50=0,"",INDEX($W$7:$W$206,$AD50))</f>
        <v/>
      </c>
      <c r="M50" s="24" t="str">
        <f aca="false">IF($AD50=0,"",INDEX(ProjNumbers,$AD50))</f>
        <v/>
      </c>
      <c r="N50" s="24" t="str">
        <f aca="false">IF($AD50=0,"",INDEX(ProjCodes,$AD50))</f>
        <v/>
      </c>
      <c r="O50" s="24" t="str">
        <f aca="false">IF($AD50=0,"",INDEX($X$7:$X$206,$AD50))</f>
        <v/>
      </c>
      <c r="P50" s="24" t="str">
        <f aca="false">IF($AD50=0,"",INDEX($Y$7:$Y$206,$AD50))</f>
        <v/>
      </c>
      <c r="Q50" s="24" t="str">
        <f aca="false">IF($AD50=0,"",INDEX($Z$7:$Z$206,$AD50))</f>
        <v/>
      </c>
      <c r="R50" s="25" t="str">
        <f aca="false">IF(OR($AD50=0,$L$5=0),"",Q50/$L$5)</f>
        <v/>
      </c>
      <c r="S50" s="1"/>
      <c r="T50" s="1"/>
      <c r="U50" s="1"/>
      <c r="V50" s="1"/>
      <c r="W50" s="1" t="str">
        <f aca="false">IF(Projects!B48="","",Projects!B48)</f>
        <v/>
      </c>
      <c r="X50" s="1" t="n">
        <f aca="false">IF(W50="",0,SUMIFS($I$7:$I$256,$D$7:$D$256,W50,$H$7:$H$256,"NTIME"))</f>
        <v>0</v>
      </c>
      <c r="Y50" s="1" t="n">
        <f aca="false">IF(W50="",0,SUMIFS($I$7:$I$256,$D$7:$D$256,W50,$H$7:$H$256,"P6"))</f>
        <v>0</v>
      </c>
      <c r="Z50" s="1" t="n">
        <f aca="false">X50+Y50</f>
        <v>0</v>
      </c>
      <c r="AA50" s="1" t="n">
        <f aca="false">IF(Z50&gt;0,Z50+(201-44)/10^6,0)</f>
        <v>0</v>
      </c>
      <c r="AB50" s="1"/>
      <c r="AC50" s="1"/>
      <c r="AD50" s="1" t="n">
        <f aca="false">IF(LARGE($AA$7:$AA$206,14)&lt;=0,0,MATCH(LARGE($AA$7:$AA$206,14),$AA$7:$AA$206,0))</f>
        <v>0</v>
      </c>
      <c r="AE50" s="1"/>
      <c r="AF50" s="1"/>
      <c r="AG50" s="1"/>
      <c r="AH50" s="1"/>
    </row>
    <row r="51" customFormat="false" ht="15" hidden="false" customHeight="false" outlineLevel="0" collapsed="false">
      <c r="A51" s="1"/>
      <c r="B51" s="10"/>
      <c r="C51" s="31" t="str">
        <f aca="false">IF(B51="","",TEXT(B51,"ddd"))</f>
        <v/>
      </c>
      <c r="D51" s="11"/>
      <c r="E51" s="8" t="str">
        <f aca="false">IF(D51="","",IFERROR(INDEX(ProjNumbers,MATCH(D51,ProjNames,0)),""))</f>
        <v/>
      </c>
      <c r="F51" s="8" t="str">
        <f aca="false">IF(D51="","",IFERROR(INDEX(ProjCodes,MATCH(D51,ProjNames,0)),""))</f>
        <v/>
      </c>
      <c r="G51" s="32"/>
      <c r="H51" s="11"/>
      <c r="I51" s="33"/>
      <c r="J51" s="8" t="str">
        <f aca="false">IF(COUNTA(B51,D51,G51,H51,I51)=0,"",IF(B51="","Enter date",IF(OR(B51&lt;$AC$2,B51&gt;$AC$3),"Date not in March",IF(D51="","Pick project",IF(ISNA(MATCH(D51,ProjNames,0)),"Project not in list",IF(G51="","Add task description",IF(H51="","Pick NTIME or P6",IF(N(I51)&lt;=0,"Enter hours",IF(AND(AllowOT&lt;&gt;"Yes",SUMIF($B$7:$B$256,B51,$I$7:$I$256)&gt;INDEX($O$58:$O$88,DAY(B51))),"Day over "&amp;INDEX($O$58:$O$88,DAY(B51))&amp;" h","✓")))))))))</f>
        <v/>
      </c>
      <c r="K51" s="1"/>
      <c r="L51" s="24" t="str">
        <f aca="false">IF($AD51=0,"",INDEX($W$7:$W$206,$AD51))</f>
        <v/>
      </c>
      <c r="M51" s="24" t="str">
        <f aca="false">IF($AD51=0,"",INDEX(ProjNumbers,$AD51))</f>
        <v/>
      </c>
      <c r="N51" s="24" t="str">
        <f aca="false">IF($AD51=0,"",INDEX(ProjCodes,$AD51))</f>
        <v/>
      </c>
      <c r="O51" s="24" t="str">
        <f aca="false">IF($AD51=0,"",INDEX($X$7:$X$206,$AD51))</f>
        <v/>
      </c>
      <c r="P51" s="24" t="str">
        <f aca="false">IF($AD51=0,"",INDEX($Y$7:$Y$206,$AD51))</f>
        <v/>
      </c>
      <c r="Q51" s="24" t="str">
        <f aca="false">IF($AD51=0,"",INDEX($Z$7:$Z$206,$AD51))</f>
        <v/>
      </c>
      <c r="R51" s="25" t="str">
        <f aca="false">IF(OR($AD51=0,$L$5=0),"",Q51/$L$5)</f>
        <v/>
      </c>
      <c r="S51" s="1"/>
      <c r="T51" s="1"/>
      <c r="U51" s="1"/>
      <c r="V51" s="1"/>
      <c r="W51" s="1" t="str">
        <f aca="false">IF(Projects!B49="","",Projects!B49)</f>
        <v/>
      </c>
      <c r="X51" s="1" t="n">
        <f aca="false">IF(W51="",0,SUMIFS($I$7:$I$256,$D$7:$D$256,W51,$H$7:$H$256,"NTIME"))</f>
        <v>0</v>
      </c>
      <c r="Y51" s="1" t="n">
        <f aca="false">IF(W51="",0,SUMIFS($I$7:$I$256,$D$7:$D$256,W51,$H$7:$H$256,"P6"))</f>
        <v>0</v>
      </c>
      <c r="Z51" s="1" t="n">
        <f aca="false">X51+Y51</f>
        <v>0</v>
      </c>
      <c r="AA51" s="1" t="n">
        <f aca="false">IF(Z51&gt;0,Z51+(201-45)/10^6,0)</f>
        <v>0</v>
      </c>
      <c r="AB51" s="1"/>
      <c r="AC51" s="1"/>
      <c r="AD51" s="1" t="n">
        <f aca="false">IF(LARGE($AA$7:$AA$206,15)&lt;=0,0,MATCH(LARGE($AA$7:$AA$206,15),$AA$7:$AA$206,0))</f>
        <v>0</v>
      </c>
      <c r="AE51" s="1"/>
      <c r="AF51" s="1"/>
      <c r="AG51" s="1"/>
      <c r="AH51" s="1"/>
    </row>
    <row r="52" customFormat="false" ht="15" hidden="false" customHeight="false" outlineLevel="0" collapsed="false">
      <c r="A52" s="1"/>
      <c r="B52" s="10"/>
      <c r="C52" s="31" t="str">
        <f aca="false">IF(B52="","",TEXT(B52,"ddd"))</f>
        <v/>
      </c>
      <c r="D52" s="11"/>
      <c r="E52" s="8" t="str">
        <f aca="false">IF(D52="","",IFERROR(INDEX(ProjNumbers,MATCH(D52,ProjNames,0)),""))</f>
        <v/>
      </c>
      <c r="F52" s="8" t="str">
        <f aca="false">IF(D52="","",IFERROR(INDEX(ProjCodes,MATCH(D52,ProjNames,0)),""))</f>
        <v/>
      </c>
      <c r="G52" s="32"/>
      <c r="H52" s="11"/>
      <c r="I52" s="33"/>
      <c r="J52" s="8" t="str">
        <f aca="false">IF(COUNTA(B52,D52,G52,H52,I52)=0,"",IF(B52="","Enter date",IF(OR(B52&lt;$AC$2,B52&gt;$AC$3),"Date not in March",IF(D52="","Pick project",IF(ISNA(MATCH(D52,ProjNames,0)),"Project not in list",IF(G52="","Add task description",IF(H52="","Pick NTIME or P6",IF(N(I52)&lt;=0,"Enter hours",IF(AND(AllowOT&lt;&gt;"Yes",SUMIF($B$7:$B$256,B52,$I$7:$I$256)&gt;INDEX($O$58:$O$88,DAY(B52))),"Day over "&amp;INDEX($O$58:$O$88,DAY(B52))&amp;" h","✓")))))))))</f>
        <v/>
      </c>
      <c r="K52" s="1"/>
      <c r="L52" s="24" t="s">
        <v>87</v>
      </c>
      <c r="M52" s="24"/>
      <c r="N52" s="24"/>
      <c r="O52" s="24" t="n">
        <f aca="false">SUM($P$58:$P$88)-SUM($X$7:$X$206)</f>
        <v>0</v>
      </c>
      <c r="P52" s="24" t="n">
        <f aca="false">SUM($Q$58:$Q$88)-SUM($Y$7:$Y$206)</f>
        <v>0</v>
      </c>
      <c r="Q52" s="24" t="n">
        <f aca="false">O52+P52</f>
        <v>0</v>
      </c>
      <c r="R52" s="25" t="str">
        <f aca="false">IF($L$5=0,"",Q52/$L$5)</f>
        <v/>
      </c>
      <c r="S52" s="1"/>
      <c r="T52" s="1"/>
      <c r="U52" s="1"/>
      <c r="V52" s="1"/>
      <c r="W52" s="1" t="str">
        <f aca="false">IF(Projects!B50="","",Projects!B50)</f>
        <v/>
      </c>
      <c r="X52" s="1" t="n">
        <f aca="false">IF(W52="",0,SUMIFS($I$7:$I$256,$D$7:$D$256,W52,$H$7:$H$256,"NTIME"))</f>
        <v>0</v>
      </c>
      <c r="Y52" s="1" t="n">
        <f aca="false">IF(W52="",0,SUMIFS($I$7:$I$256,$D$7:$D$256,W52,$H$7:$H$256,"P6"))</f>
        <v>0</v>
      </c>
      <c r="Z52" s="1" t="n">
        <f aca="false">X52+Y52</f>
        <v>0</v>
      </c>
      <c r="AA52" s="1" t="n">
        <f aca="false">IF(Z52&gt;0,Z52+(201-46)/10^6,0)</f>
        <v>0</v>
      </c>
      <c r="AB52" s="1"/>
      <c r="AC52" s="1"/>
      <c r="AD52" s="1"/>
      <c r="AE52" s="1"/>
      <c r="AF52" s="1"/>
      <c r="AG52" s="1"/>
      <c r="AH52" s="1"/>
    </row>
    <row r="53" customFormat="false" ht="15" hidden="false" customHeight="false" outlineLevel="0" collapsed="false">
      <c r="A53" s="1"/>
      <c r="B53" s="10"/>
      <c r="C53" s="31" t="str">
        <f aca="false">IF(B53="","",TEXT(B53,"ddd"))</f>
        <v/>
      </c>
      <c r="D53" s="11"/>
      <c r="E53" s="8" t="str">
        <f aca="false">IF(D53="","",IFERROR(INDEX(ProjNumbers,MATCH(D53,ProjNames,0)),""))</f>
        <v/>
      </c>
      <c r="F53" s="8" t="str">
        <f aca="false">IF(D53="","",IFERROR(INDEX(ProjCodes,MATCH(D53,ProjNames,0)),""))</f>
        <v/>
      </c>
      <c r="G53" s="32"/>
      <c r="H53" s="11"/>
      <c r="I53" s="33"/>
      <c r="J53" s="8" t="str">
        <f aca="false">IF(COUNTA(B53,D53,G53,H53,I53)=0,"",IF(B53="","Enter date",IF(OR(B53&lt;$AC$2,B53&gt;$AC$3),"Date not in March",IF(D53="","Pick project",IF(ISNA(MATCH(D53,ProjNames,0)),"Project not in list",IF(G53="","Add task description",IF(H53="","Pick NTIME or P6",IF(N(I53)&lt;=0,"Enter hours",IF(AND(AllowOT&lt;&gt;"Yes",SUMIF($B$7:$B$256,B53,$I$7:$I$256)&gt;INDEX($O$58:$O$88,DAY(B53))),"Day over "&amp;INDEX($O$58:$O$88,DAY(B53))&amp;" h","✓")))))))))</f>
        <v/>
      </c>
      <c r="K53" s="1"/>
      <c r="L53" s="24" t="s">
        <v>15</v>
      </c>
      <c r="M53" s="24" t="s">
        <v>88</v>
      </c>
      <c r="N53" s="24"/>
      <c r="O53" s="24" t="str">
        <f aca="false">IF(OHSystem="NTIME",O5,"")</f>
        <v/>
      </c>
      <c r="P53" s="24" t="str">
        <f aca="false">IF(OHSystem="P6",O5,"")</f>
        <v/>
      </c>
      <c r="Q53" s="24" t="n">
        <f aca="false">O5</f>
        <v>0</v>
      </c>
      <c r="R53" s="25" t="str">
        <f aca="false">IF($L$5=0,"",Q53/$L$5)</f>
        <v/>
      </c>
      <c r="S53" s="1"/>
      <c r="T53" s="1"/>
      <c r="U53" s="1"/>
      <c r="V53" s="1"/>
      <c r="W53" s="1" t="str">
        <f aca="false">IF(Projects!B51="","",Projects!B51)</f>
        <v/>
      </c>
      <c r="X53" s="1" t="n">
        <f aca="false">IF(W53="",0,SUMIFS($I$7:$I$256,$D$7:$D$256,W53,$H$7:$H$256,"NTIME"))</f>
        <v>0</v>
      </c>
      <c r="Y53" s="1" t="n">
        <f aca="false">IF(W53="",0,SUMIFS($I$7:$I$256,$D$7:$D$256,W53,$H$7:$H$256,"P6"))</f>
        <v>0</v>
      </c>
      <c r="Z53" s="1" t="n">
        <f aca="false">X53+Y53</f>
        <v>0</v>
      </c>
      <c r="AA53" s="1" t="n">
        <f aca="false">IF(Z53&gt;0,Z53+(201-47)/10^6,0)</f>
        <v>0</v>
      </c>
      <c r="AB53" s="1"/>
      <c r="AC53" s="1"/>
      <c r="AD53" s="1"/>
      <c r="AE53" s="1"/>
      <c r="AF53" s="1"/>
      <c r="AG53" s="1"/>
      <c r="AH53" s="1"/>
    </row>
    <row r="54" customFormat="false" ht="15" hidden="false" customHeight="false" outlineLevel="0" collapsed="false">
      <c r="A54" s="1"/>
      <c r="B54" s="10"/>
      <c r="C54" s="31" t="str">
        <f aca="false">IF(B54="","",TEXT(B54,"ddd"))</f>
        <v/>
      </c>
      <c r="D54" s="11"/>
      <c r="E54" s="8" t="str">
        <f aca="false">IF(D54="","",IFERROR(INDEX(ProjNumbers,MATCH(D54,ProjNames,0)),""))</f>
        <v/>
      </c>
      <c r="F54" s="8" t="str">
        <f aca="false">IF(D54="","",IFERROR(INDEX(ProjCodes,MATCH(D54,ProjNames,0)),""))</f>
        <v/>
      </c>
      <c r="G54" s="32"/>
      <c r="H54" s="11"/>
      <c r="I54" s="33"/>
      <c r="J54" s="8" t="str">
        <f aca="false">IF(COUNTA(B54,D54,G54,H54,I54)=0,"",IF(B54="","Enter date",IF(OR(B54&lt;$AC$2,B54&gt;$AC$3),"Date not in March",IF(D54="","Pick project",IF(ISNA(MATCH(D54,ProjNames,0)),"Project not in list",IF(G54="","Add task description",IF(H54="","Pick NTIME or P6",IF(N(I54)&lt;=0,"Enter hours",IF(AND(AllowOT&lt;&gt;"Yes",SUMIF($B$7:$B$256,B54,$I$7:$I$256)&gt;INDEX($O$58:$O$88,DAY(B54))),"Day over "&amp;INDEX($O$58:$O$88,DAY(B54))&amp;" h","✓")))))))))</f>
        <v/>
      </c>
      <c r="K54" s="1"/>
      <c r="L54" s="27" t="s">
        <v>57</v>
      </c>
      <c r="M54" s="27"/>
      <c r="N54" s="27"/>
      <c r="O54" s="27" t="n">
        <f aca="false">M5</f>
        <v>0</v>
      </c>
      <c r="P54" s="27" t="n">
        <f aca="false">N5</f>
        <v>0</v>
      </c>
      <c r="Q54" s="27" t="n">
        <f aca="false">L5</f>
        <v>0</v>
      </c>
      <c r="R54" s="27"/>
      <c r="S54" s="1"/>
      <c r="T54" s="1"/>
      <c r="U54" s="1"/>
      <c r="V54" s="1"/>
      <c r="W54" s="1" t="str">
        <f aca="false">IF(Projects!B52="","",Projects!B52)</f>
        <v/>
      </c>
      <c r="X54" s="1" t="n">
        <f aca="false">IF(W54="",0,SUMIFS($I$7:$I$256,$D$7:$D$256,W54,$H$7:$H$256,"NTIME"))</f>
        <v>0</v>
      </c>
      <c r="Y54" s="1" t="n">
        <f aca="false">IF(W54="",0,SUMIFS($I$7:$I$256,$D$7:$D$256,W54,$H$7:$H$256,"P6"))</f>
        <v>0</v>
      </c>
      <c r="Z54" s="1" t="n">
        <f aca="false">X54+Y54</f>
        <v>0</v>
      </c>
      <c r="AA54" s="1" t="n">
        <f aca="false">IF(Z54&gt;0,Z54+(201-48)/10^6,0)</f>
        <v>0</v>
      </c>
      <c r="AB54" s="1"/>
      <c r="AC54" s="1"/>
      <c r="AD54" s="1"/>
      <c r="AE54" s="1"/>
      <c r="AF54" s="1"/>
      <c r="AG54" s="1"/>
      <c r="AH54" s="1"/>
    </row>
    <row r="55" customFormat="false" ht="15" hidden="false" customHeight="false" outlineLevel="0" collapsed="false">
      <c r="A55" s="1"/>
      <c r="B55" s="10"/>
      <c r="C55" s="31" t="str">
        <f aca="false">IF(B55="","",TEXT(B55,"ddd"))</f>
        <v/>
      </c>
      <c r="D55" s="11"/>
      <c r="E55" s="8" t="str">
        <f aca="false">IF(D55="","",IFERROR(INDEX(ProjNumbers,MATCH(D55,ProjNames,0)),""))</f>
        <v/>
      </c>
      <c r="F55" s="8" t="str">
        <f aca="false">IF(D55="","",IFERROR(INDEX(ProjCodes,MATCH(D55,ProjNames,0)),""))</f>
        <v/>
      </c>
      <c r="G55" s="32"/>
      <c r="H55" s="11"/>
      <c r="I55" s="33"/>
      <c r="J55" s="8" t="str">
        <f aca="false">IF(COUNTA(B55,D55,G55,H55,I55)=0,"",IF(B55="","Enter date",IF(OR(B55&lt;$AC$2,B55&gt;$AC$3),"Date not in March",IF(D55="","Pick project",IF(ISNA(MATCH(D55,ProjNames,0)),"Project not in list",IF(G55="","Add task description",IF(H55="","Pick NTIME or P6",IF(N(I55)&lt;=0,"Enter hours",IF(AND(AllowOT&lt;&gt;"Yes",SUMIF($B$7:$B$256,B55,$I$7:$I$256)&gt;INDEX($O$58:$O$88,DAY(B55))),"Day over "&amp;INDEX($O$58:$O$88,DAY(B55))&amp;" h","✓")))))))))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tr">
        <f aca="false">IF(Projects!B53="","",Projects!B53)</f>
        <v/>
      </c>
      <c r="X55" s="1" t="n">
        <f aca="false">IF(W55="",0,SUMIFS($I$7:$I$256,$D$7:$D$256,W55,$H$7:$H$256,"NTIME"))</f>
        <v>0</v>
      </c>
      <c r="Y55" s="1" t="n">
        <f aca="false">IF(W55="",0,SUMIFS($I$7:$I$256,$D$7:$D$256,W55,$H$7:$H$256,"P6"))</f>
        <v>0</v>
      </c>
      <c r="Z55" s="1" t="n">
        <f aca="false">X55+Y55</f>
        <v>0</v>
      </c>
      <c r="AA55" s="1" t="n">
        <f aca="false">IF(Z55&gt;0,Z55+(201-49)/10^6,0)</f>
        <v>0</v>
      </c>
      <c r="AB55" s="1"/>
      <c r="AC55" s="1"/>
      <c r="AD55" s="1"/>
      <c r="AE55" s="1"/>
      <c r="AF55" s="1"/>
      <c r="AG55" s="1"/>
      <c r="AH55" s="1"/>
    </row>
    <row r="56" customFormat="false" ht="15" hidden="false" customHeight="false" outlineLevel="0" collapsed="false">
      <c r="A56" s="1"/>
      <c r="B56" s="10"/>
      <c r="C56" s="31" t="str">
        <f aca="false">IF(B56="","",TEXT(B56,"ddd"))</f>
        <v/>
      </c>
      <c r="D56" s="11"/>
      <c r="E56" s="8" t="str">
        <f aca="false">IF(D56="","",IFERROR(INDEX(ProjNumbers,MATCH(D56,ProjNames,0)),""))</f>
        <v/>
      </c>
      <c r="F56" s="8" t="str">
        <f aca="false">IF(D56="","",IFERROR(INDEX(ProjCodes,MATCH(D56,ProjNames,0)),""))</f>
        <v/>
      </c>
      <c r="G56" s="32"/>
      <c r="H56" s="11"/>
      <c r="I56" s="33"/>
      <c r="J56" s="8" t="str">
        <f aca="false">IF(COUNTA(B56,D56,G56,H56,I56)=0,"",IF(B56="","Enter date",IF(OR(B56&lt;$AC$2,B56&gt;$AC$3),"Date not in March",IF(D56="","Pick project",IF(ISNA(MATCH(D56,ProjNames,0)),"Project not in list",IF(G56="","Add task description",IF(H56="","Pick NTIME or P6",IF(N(I56)&lt;=0,"Enter hours",IF(AND(AllowOT&lt;&gt;"Yes",SUMIF($B$7:$B$256,B56,$I$7:$I$256)&gt;INDEX($O$58:$O$88,DAY(B56))),"Day over "&amp;INDEX($O$58:$O$88,DAY(B56))&amp;" h","✓")))))))))</f>
        <v/>
      </c>
      <c r="K56" s="1"/>
      <c r="L56" s="4" t="s">
        <v>89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 aca="false">IF(Projects!B54="","",Projects!B54)</f>
        <v/>
      </c>
      <c r="X56" s="1" t="n">
        <f aca="false">IF(W56="",0,SUMIFS($I$7:$I$256,$D$7:$D$256,W56,$H$7:$H$256,"NTIME"))</f>
        <v>0</v>
      </c>
      <c r="Y56" s="1" t="n">
        <f aca="false">IF(W56="",0,SUMIFS($I$7:$I$256,$D$7:$D$256,W56,$H$7:$H$256,"P6"))</f>
        <v>0</v>
      </c>
      <c r="Z56" s="1" t="n">
        <f aca="false">X56+Y56</f>
        <v>0</v>
      </c>
      <c r="AA56" s="1" t="n">
        <f aca="false">IF(Z56&gt;0,Z56+(201-50)/10^6,0)</f>
        <v>0</v>
      </c>
      <c r="AB56" s="1"/>
      <c r="AC56" s="1"/>
      <c r="AD56" s="1"/>
      <c r="AE56" s="1"/>
      <c r="AF56" s="1"/>
      <c r="AG56" s="1"/>
      <c r="AH56" s="1"/>
    </row>
    <row r="57" customFormat="false" ht="15" hidden="false" customHeight="false" outlineLevel="0" collapsed="false">
      <c r="A57" s="1"/>
      <c r="B57" s="10"/>
      <c r="C57" s="31" t="str">
        <f aca="false">IF(B57="","",TEXT(B57,"ddd"))</f>
        <v/>
      </c>
      <c r="D57" s="11"/>
      <c r="E57" s="8" t="str">
        <f aca="false">IF(D57="","",IFERROR(INDEX(ProjNumbers,MATCH(D57,ProjNames,0)),""))</f>
        <v/>
      </c>
      <c r="F57" s="8" t="str">
        <f aca="false">IF(D57="","",IFERROR(INDEX(ProjCodes,MATCH(D57,ProjNames,0)),""))</f>
        <v/>
      </c>
      <c r="G57" s="32"/>
      <c r="H57" s="11"/>
      <c r="I57" s="33"/>
      <c r="J57" s="8" t="str">
        <f aca="false">IF(COUNTA(B57,D57,G57,H57,I57)=0,"",IF(B57="","Enter date",IF(OR(B57&lt;$AC$2,B57&gt;$AC$3),"Date not in March",IF(D57="","Pick project",IF(ISNA(MATCH(D57,ProjNames,0)),"Project not in list",IF(G57="","Add task description",IF(H57="","Pick NTIME or P6",IF(N(I57)&lt;=0,"Enter hours",IF(AND(AllowOT&lt;&gt;"Yes",SUMIF($B$7:$B$256,B57,$I$7:$I$256)&gt;INDEX($O$58:$O$88,DAY(B57))),"Day over "&amp;INDEX($O$58:$O$88,DAY(B57))&amp;" h","✓")))))))))</f>
        <v/>
      </c>
      <c r="K57" s="1"/>
      <c r="L57" s="9" t="s">
        <v>33</v>
      </c>
      <c r="M57" s="9" t="s">
        <v>34</v>
      </c>
      <c r="N57" s="9" t="s">
        <v>90</v>
      </c>
      <c r="O57" s="9" t="s">
        <v>91</v>
      </c>
      <c r="P57" s="20" t="s">
        <v>46</v>
      </c>
      <c r="Q57" s="21" t="s">
        <v>56</v>
      </c>
      <c r="R57" s="22" t="s">
        <v>15</v>
      </c>
      <c r="S57" s="9" t="s">
        <v>24</v>
      </c>
      <c r="T57" s="9" t="s">
        <v>57</v>
      </c>
      <c r="U57" s="9" t="s">
        <v>92</v>
      </c>
      <c r="V57" s="1"/>
      <c r="W57" s="1" t="str">
        <f aca="false">IF(Projects!B55="","",Projects!B55)</f>
        <v/>
      </c>
      <c r="X57" s="1" t="n">
        <f aca="false">IF(W57="",0,SUMIFS($I$7:$I$256,$D$7:$D$256,W57,$H$7:$H$256,"NTIME"))</f>
        <v>0</v>
      </c>
      <c r="Y57" s="1" t="n">
        <f aca="false">IF(W57="",0,SUMIFS($I$7:$I$256,$D$7:$D$256,W57,$H$7:$H$256,"P6"))</f>
        <v>0</v>
      </c>
      <c r="Z57" s="1" t="n">
        <f aca="false">X57+Y57</f>
        <v>0</v>
      </c>
      <c r="AA57" s="1" t="n">
        <f aca="false">IF(Z57&gt;0,Z57+(201-51)/10^6,0)</f>
        <v>0</v>
      </c>
      <c r="AB57" s="1"/>
      <c r="AC57" s="1"/>
      <c r="AD57" s="1"/>
      <c r="AE57" s="1"/>
      <c r="AF57" s="1"/>
      <c r="AG57" s="1"/>
      <c r="AH57" s="1"/>
    </row>
    <row r="58" customFormat="false" ht="15" hidden="false" customHeight="false" outlineLevel="0" collapsed="false">
      <c r="A58" s="1"/>
      <c r="B58" s="10"/>
      <c r="C58" s="31" t="str">
        <f aca="false">IF(B58="","",TEXT(B58,"ddd"))</f>
        <v/>
      </c>
      <c r="D58" s="11"/>
      <c r="E58" s="8" t="str">
        <f aca="false">IF(D58="","",IFERROR(INDEX(ProjNumbers,MATCH(D58,ProjNames,0)),""))</f>
        <v/>
      </c>
      <c r="F58" s="8" t="str">
        <f aca="false">IF(D58="","",IFERROR(INDEX(ProjCodes,MATCH(D58,ProjNames,0)),""))</f>
        <v/>
      </c>
      <c r="G58" s="32"/>
      <c r="H58" s="11"/>
      <c r="I58" s="33"/>
      <c r="J58" s="8" t="str">
        <f aca="false">IF(COUNTA(B58,D58,G58,H58,I58)=0,"",IF(B58="","Enter date",IF(OR(B58&lt;$AC$2,B58&gt;$AC$3),"Date not in March",IF(D58="","Pick project",IF(ISNA(MATCH(D58,ProjNames,0)),"Project not in list",IF(G58="","Add task description",IF(H58="","Pick NTIME or P6",IF(N(I58)&lt;=0,"Enter hours",IF(AND(AllowOT&lt;&gt;"Yes",SUMIF($B$7:$B$256,B58,$I$7:$I$256)&gt;INDEX($O$58:$O$88,DAY(B58))),"Day over "&amp;INDEX($O$58:$O$88,DAY(B58))&amp;" h","✓")))))))))</f>
        <v/>
      </c>
      <c r="K58" s="1"/>
      <c r="L58" s="35" t="n">
        <v>46082</v>
      </c>
      <c r="M58" s="36" t="str">
        <f aca="false">TEXT(L58,"ddd")</f>
        <v>Sun</v>
      </c>
      <c r="N58" s="37" t="s">
        <v>94</v>
      </c>
      <c r="O58" s="37" t="n">
        <f aca="false">AvailHours</f>
        <v>8</v>
      </c>
      <c r="P58" s="24" t="n">
        <f aca="false">SUMIFS($I$7:$I$256,$B$7:$B$256,L58,$H$7:$H$256,"NTIME")</f>
        <v>0</v>
      </c>
      <c r="Q58" s="24" t="n">
        <f aca="false">SUMIFS($I$7:$I$256,$B$7:$B$256,L58,$H$7:$H$256,"P6")</f>
        <v>0</v>
      </c>
      <c r="R58" s="24" t="n">
        <f aca="false">IF(N58="Overhead only",O58,IF(AND(N58="Working",P58+Q58&gt;0),MAX(0,O58-P58-Q58),0))</f>
        <v>0</v>
      </c>
      <c r="S58" s="24" t="n">
        <f aca="false">IF(OR(N58="Working",N58="Overhead only"),MAX(0,P58+Q58-O58),0)</f>
        <v>0</v>
      </c>
      <c r="T58" s="24" t="n">
        <f aca="false">P58+Q58+R58</f>
        <v>0</v>
      </c>
      <c r="U58" s="24" t="str">
        <f aca="true">IF(N58="Working",IF(P58+Q58=0,IF(L58&lt;=TODAY(),"Not logged",""),IF(P58+Q58&gt;O58,IF(AllowOT="Yes","Overtime","Over "&amp;O58&amp;" h!"),"✓")),IF(N58="Overhead only","✓ Overhead day",IF(P58+Q58&gt;0,"Entries on "&amp;LOWER(N58)&amp;" day",N58)))</f>
        <v>Weekend</v>
      </c>
      <c r="V58" s="1"/>
      <c r="W58" s="1" t="str">
        <f aca="false">IF(Projects!B56="","",Projects!B56)</f>
        <v/>
      </c>
      <c r="X58" s="1" t="n">
        <f aca="false">IF(W58="",0,SUMIFS($I$7:$I$256,$D$7:$D$256,W58,$H$7:$H$256,"NTIME"))</f>
        <v>0</v>
      </c>
      <c r="Y58" s="1" t="n">
        <f aca="false">IF(W58="",0,SUMIFS($I$7:$I$256,$D$7:$D$256,W58,$H$7:$H$256,"P6"))</f>
        <v>0</v>
      </c>
      <c r="Z58" s="1" t="n">
        <f aca="false">X58+Y58</f>
        <v>0</v>
      </c>
      <c r="AA58" s="1" t="n">
        <f aca="false">IF(Z58&gt;0,Z58+(201-52)/10^6,0)</f>
        <v>0</v>
      </c>
      <c r="AB58" s="1"/>
      <c r="AC58" s="1"/>
      <c r="AD58" s="1"/>
      <c r="AE58" s="1"/>
      <c r="AF58" s="1"/>
      <c r="AG58" s="1"/>
      <c r="AH58" s="1"/>
    </row>
    <row r="59" customFormat="false" ht="15" hidden="false" customHeight="false" outlineLevel="0" collapsed="false">
      <c r="A59" s="1"/>
      <c r="B59" s="10"/>
      <c r="C59" s="31" t="str">
        <f aca="false">IF(B59="","",TEXT(B59,"ddd"))</f>
        <v/>
      </c>
      <c r="D59" s="11"/>
      <c r="E59" s="8" t="str">
        <f aca="false">IF(D59="","",IFERROR(INDEX(ProjNumbers,MATCH(D59,ProjNames,0)),""))</f>
        <v/>
      </c>
      <c r="F59" s="8" t="str">
        <f aca="false">IF(D59="","",IFERROR(INDEX(ProjCodes,MATCH(D59,ProjNames,0)),""))</f>
        <v/>
      </c>
      <c r="G59" s="32"/>
      <c r="H59" s="11"/>
      <c r="I59" s="33"/>
      <c r="J59" s="8" t="str">
        <f aca="false">IF(COUNTA(B59,D59,G59,H59,I59)=0,"",IF(B59="","Enter date",IF(OR(B59&lt;$AC$2,B59&gt;$AC$3),"Date not in March",IF(D59="","Pick project",IF(ISNA(MATCH(D59,ProjNames,0)),"Project not in list",IF(G59="","Add task description",IF(H59="","Pick NTIME or P6",IF(N(I59)&lt;=0,"Enter hours",IF(AND(AllowOT&lt;&gt;"Yes",SUMIF($B$7:$B$256,B59,$I$7:$I$256)&gt;INDEX($O$58:$O$88,DAY(B59))),"Day over "&amp;INDEX($O$58:$O$88,DAY(B59))&amp;" h","✓")))))))))</f>
        <v/>
      </c>
      <c r="K59" s="1"/>
      <c r="L59" s="35" t="n">
        <v>46083</v>
      </c>
      <c r="M59" s="36" t="str">
        <f aca="false">TEXT(L59,"ddd")</f>
        <v>Mon</v>
      </c>
      <c r="N59" s="37" t="s">
        <v>93</v>
      </c>
      <c r="O59" s="37" t="n">
        <f aca="false">AvailHours</f>
        <v>8</v>
      </c>
      <c r="P59" s="24" t="n">
        <f aca="false">SUMIFS($I$7:$I$256,$B$7:$B$256,L59,$H$7:$H$256,"NTIME")</f>
        <v>0</v>
      </c>
      <c r="Q59" s="24" t="n">
        <f aca="false">SUMIFS($I$7:$I$256,$B$7:$B$256,L59,$H$7:$H$256,"P6")</f>
        <v>0</v>
      </c>
      <c r="R59" s="24" t="n">
        <f aca="false">IF(N59="Overhead only",O59,IF(AND(N59="Working",P59+Q59&gt;0),MAX(0,O59-P59-Q59),0))</f>
        <v>0</v>
      </c>
      <c r="S59" s="24" t="n">
        <f aca="false">IF(OR(N59="Working",N59="Overhead only"),MAX(0,P59+Q59-O59),0)</f>
        <v>0</v>
      </c>
      <c r="T59" s="24" t="n">
        <f aca="false">P59+Q59+R59</f>
        <v>0</v>
      </c>
      <c r="U59" s="24" t="str">
        <f aca="true">IF(N59="Working",IF(P59+Q59=0,IF(L59&lt;=TODAY(),"Not logged",""),IF(P59+Q59&gt;O59,IF(AllowOT="Yes","Overtime","Over "&amp;O59&amp;" h!"),"✓")),IF(N59="Overhead only","✓ Overhead day",IF(P59+Q59&gt;0,"Entries on "&amp;LOWER(N59)&amp;" day",N59)))</f>
        <v>Not logged</v>
      </c>
      <c r="V59" s="1"/>
      <c r="W59" s="1" t="str">
        <f aca="false">IF(Projects!B57="","",Projects!B57)</f>
        <v/>
      </c>
      <c r="X59" s="1" t="n">
        <f aca="false">IF(W59="",0,SUMIFS($I$7:$I$256,$D$7:$D$256,W59,$H$7:$H$256,"NTIME"))</f>
        <v>0</v>
      </c>
      <c r="Y59" s="1" t="n">
        <f aca="false">IF(W59="",0,SUMIFS($I$7:$I$256,$D$7:$D$256,W59,$H$7:$H$256,"P6"))</f>
        <v>0</v>
      </c>
      <c r="Z59" s="1" t="n">
        <f aca="false">X59+Y59</f>
        <v>0</v>
      </c>
      <c r="AA59" s="1" t="n">
        <f aca="false">IF(Z59&gt;0,Z59+(201-53)/10^6,0)</f>
        <v>0</v>
      </c>
      <c r="AB59" s="1"/>
      <c r="AC59" s="1"/>
      <c r="AD59" s="1"/>
      <c r="AE59" s="1"/>
      <c r="AF59" s="1"/>
      <c r="AG59" s="1"/>
      <c r="AH59" s="1"/>
    </row>
    <row r="60" customFormat="false" ht="15" hidden="false" customHeight="false" outlineLevel="0" collapsed="false">
      <c r="A60" s="1"/>
      <c r="B60" s="10"/>
      <c r="C60" s="31" t="str">
        <f aca="false">IF(B60="","",TEXT(B60,"ddd"))</f>
        <v/>
      </c>
      <c r="D60" s="11"/>
      <c r="E60" s="8" t="str">
        <f aca="false">IF(D60="","",IFERROR(INDEX(ProjNumbers,MATCH(D60,ProjNames,0)),""))</f>
        <v/>
      </c>
      <c r="F60" s="8" t="str">
        <f aca="false">IF(D60="","",IFERROR(INDEX(ProjCodes,MATCH(D60,ProjNames,0)),""))</f>
        <v/>
      </c>
      <c r="G60" s="32"/>
      <c r="H60" s="11"/>
      <c r="I60" s="33"/>
      <c r="J60" s="8" t="str">
        <f aca="false">IF(COUNTA(B60,D60,G60,H60,I60)=0,"",IF(B60="","Enter date",IF(OR(B60&lt;$AC$2,B60&gt;$AC$3),"Date not in March",IF(D60="","Pick project",IF(ISNA(MATCH(D60,ProjNames,0)),"Project not in list",IF(G60="","Add task description",IF(H60="","Pick NTIME or P6",IF(N(I60)&lt;=0,"Enter hours",IF(AND(AllowOT&lt;&gt;"Yes",SUMIF($B$7:$B$256,B60,$I$7:$I$256)&gt;INDEX($O$58:$O$88,DAY(B60))),"Day over "&amp;INDEX($O$58:$O$88,DAY(B60))&amp;" h","✓")))))))))</f>
        <v/>
      </c>
      <c r="K60" s="1"/>
      <c r="L60" s="35" t="n">
        <v>46084</v>
      </c>
      <c r="M60" s="36" t="str">
        <f aca="false">TEXT(L60,"ddd")</f>
        <v>Tue</v>
      </c>
      <c r="N60" s="37" t="s">
        <v>93</v>
      </c>
      <c r="O60" s="37" t="n">
        <f aca="false">AvailHours</f>
        <v>8</v>
      </c>
      <c r="P60" s="24" t="n">
        <f aca="false">SUMIFS($I$7:$I$256,$B$7:$B$256,L60,$H$7:$H$256,"NTIME")</f>
        <v>0</v>
      </c>
      <c r="Q60" s="24" t="n">
        <f aca="false">SUMIFS($I$7:$I$256,$B$7:$B$256,L60,$H$7:$H$256,"P6")</f>
        <v>0</v>
      </c>
      <c r="R60" s="24" t="n">
        <f aca="false">IF(N60="Overhead only",O60,IF(AND(N60="Working",P60+Q60&gt;0),MAX(0,O60-P60-Q60),0))</f>
        <v>0</v>
      </c>
      <c r="S60" s="24" t="n">
        <f aca="false">IF(OR(N60="Working",N60="Overhead only"),MAX(0,P60+Q60-O60),0)</f>
        <v>0</v>
      </c>
      <c r="T60" s="24" t="n">
        <f aca="false">P60+Q60+R60</f>
        <v>0</v>
      </c>
      <c r="U60" s="24" t="str">
        <f aca="true">IF(N60="Working",IF(P60+Q60=0,IF(L60&lt;=TODAY(),"Not logged",""),IF(P60+Q60&gt;O60,IF(AllowOT="Yes","Overtime","Over "&amp;O60&amp;" h!"),"✓")),IF(N60="Overhead only","✓ Overhead day",IF(P60+Q60&gt;0,"Entries on "&amp;LOWER(N60)&amp;" day",N60)))</f>
        <v>Not logged</v>
      </c>
      <c r="V60" s="1"/>
      <c r="W60" s="1" t="str">
        <f aca="false">IF(Projects!B58="","",Projects!B58)</f>
        <v/>
      </c>
      <c r="X60" s="1" t="n">
        <f aca="false">IF(W60="",0,SUMIFS($I$7:$I$256,$D$7:$D$256,W60,$H$7:$H$256,"NTIME"))</f>
        <v>0</v>
      </c>
      <c r="Y60" s="1" t="n">
        <f aca="false">IF(W60="",0,SUMIFS($I$7:$I$256,$D$7:$D$256,W60,$H$7:$H$256,"P6"))</f>
        <v>0</v>
      </c>
      <c r="Z60" s="1" t="n">
        <f aca="false">X60+Y60</f>
        <v>0</v>
      </c>
      <c r="AA60" s="1" t="n">
        <f aca="false">IF(Z60&gt;0,Z60+(201-54)/10^6,0)</f>
        <v>0</v>
      </c>
      <c r="AB60" s="1"/>
      <c r="AC60" s="1"/>
      <c r="AD60" s="1"/>
      <c r="AE60" s="1"/>
      <c r="AF60" s="1"/>
      <c r="AG60" s="1"/>
      <c r="AH60" s="1"/>
    </row>
    <row r="61" customFormat="false" ht="15" hidden="false" customHeight="false" outlineLevel="0" collapsed="false">
      <c r="A61" s="1"/>
      <c r="B61" s="10"/>
      <c r="C61" s="31" t="str">
        <f aca="false">IF(B61="","",TEXT(B61,"ddd"))</f>
        <v/>
      </c>
      <c r="D61" s="11"/>
      <c r="E61" s="8" t="str">
        <f aca="false">IF(D61="","",IFERROR(INDEX(ProjNumbers,MATCH(D61,ProjNames,0)),""))</f>
        <v/>
      </c>
      <c r="F61" s="8" t="str">
        <f aca="false">IF(D61="","",IFERROR(INDEX(ProjCodes,MATCH(D61,ProjNames,0)),""))</f>
        <v/>
      </c>
      <c r="G61" s="32"/>
      <c r="H61" s="11"/>
      <c r="I61" s="33"/>
      <c r="J61" s="8" t="str">
        <f aca="false">IF(COUNTA(B61,D61,G61,H61,I61)=0,"",IF(B61="","Enter date",IF(OR(B61&lt;$AC$2,B61&gt;$AC$3),"Date not in March",IF(D61="","Pick project",IF(ISNA(MATCH(D61,ProjNames,0)),"Project not in list",IF(G61="","Add task description",IF(H61="","Pick NTIME or P6",IF(N(I61)&lt;=0,"Enter hours",IF(AND(AllowOT&lt;&gt;"Yes",SUMIF($B$7:$B$256,B61,$I$7:$I$256)&gt;INDEX($O$58:$O$88,DAY(B61))),"Day over "&amp;INDEX($O$58:$O$88,DAY(B61))&amp;" h","✓")))))))))</f>
        <v/>
      </c>
      <c r="K61" s="1"/>
      <c r="L61" s="35" t="n">
        <v>46085</v>
      </c>
      <c r="M61" s="36" t="str">
        <f aca="false">TEXT(L61,"ddd")</f>
        <v>Wed</v>
      </c>
      <c r="N61" s="37" t="s">
        <v>93</v>
      </c>
      <c r="O61" s="37" t="n">
        <f aca="false">AvailHours</f>
        <v>8</v>
      </c>
      <c r="P61" s="24" t="n">
        <f aca="false">SUMIFS($I$7:$I$256,$B$7:$B$256,L61,$H$7:$H$256,"NTIME")</f>
        <v>0</v>
      </c>
      <c r="Q61" s="24" t="n">
        <f aca="false">SUMIFS($I$7:$I$256,$B$7:$B$256,L61,$H$7:$H$256,"P6")</f>
        <v>0</v>
      </c>
      <c r="R61" s="24" t="n">
        <f aca="false">IF(N61="Overhead only",O61,IF(AND(N61="Working",P61+Q61&gt;0),MAX(0,O61-P61-Q61),0))</f>
        <v>0</v>
      </c>
      <c r="S61" s="24" t="n">
        <f aca="false">IF(OR(N61="Working",N61="Overhead only"),MAX(0,P61+Q61-O61),0)</f>
        <v>0</v>
      </c>
      <c r="T61" s="24" t="n">
        <f aca="false">P61+Q61+R61</f>
        <v>0</v>
      </c>
      <c r="U61" s="24" t="str">
        <f aca="true">IF(N61="Working",IF(P61+Q61=0,IF(L61&lt;=TODAY(),"Not logged",""),IF(P61+Q61&gt;O61,IF(AllowOT="Yes","Overtime","Over "&amp;O61&amp;" h!"),"✓")),IF(N61="Overhead only","✓ Overhead day",IF(P61+Q61&gt;0,"Entries on "&amp;LOWER(N61)&amp;" day",N61)))</f>
        <v>Not logged</v>
      </c>
      <c r="V61" s="1"/>
      <c r="W61" s="1" t="str">
        <f aca="false">IF(Projects!B59="","",Projects!B59)</f>
        <v/>
      </c>
      <c r="X61" s="1" t="n">
        <f aca="false">IF(W61="",0,SUMIFS($I$7:$I$256,$D$7:$D$256,W61,$H$7:$H$256,"NTIME"))</f>
        <v>0</v>
      </c>
      <c r="Y61" s="1" t="n">
        <f aca="false">IF(W61="",0,SUMIFS($I$7:$I$256,$D$7:$D$256,W61,$H$7:$H$256,"P6"))</f>
        <v>0</v>
      </c>
      <c r="Z61" s="1" t="n">
        <f aca="false">X61+Y61</f>
        <v>0</v>
      </c>
      <c r="AA61" s="1" t="n">
        <f aca="false">IF(Z61&gt;0,Z61+(201-55)/10^6,0)</f>
        <v>0</v>
      </c>
      <c r="AB61" s="1"/>
      <c r="AC61" s="1"/>
      <c r="AD61" s="1"/>
      <c r="AE61" s="1"/>
      <c r="AF61" s="1"/>
      <c r="AG61" s="1"/>
      <c r="AH61" s="1"/>
    </row>
    <row r="62" customFormat="false" ht="15" hidden="false" customHeight="false" outlineLevel="0" collapsed="false">
      <c r="A62" s="1"/>
      <c r="B62" s="10"/>
      <c r="C62" s="31" t="str">
        <f aca="false">IF(B62="","",TEXT(B62,"ddd"))</f>
        <v/>
      </c>
      <c r="D62" s="11"/>
      <c r="E62" s="8" t="str">
        <f aca="false">IF(D62="","",IFERROR(INDEX(ProjNumbers,MATCH(D62,ProjNames,0)),""))</f>
        <v/>
      </c>
      <c r="F62" s="8" t="str">
        <f aca="false">IF(D62="","",IFERROR(INDEX(ProjCodes,MATCH(D62,ProjNames,0)),""))</f>
        <v/>
      </c>
      <c r="G62" s="32"/>
      <c r="H62" s="11"/>
      <c r="I62" s="33"/>
      <c r="J62" s="8" t="str">
        <f aca="false">IF(COUNTA(B62,D62,G62,H62,I62)=0,"",IF(B62="","Enter date",IF(OR(B62&lt;$AC$2,B62&gt;$AC$3),"Date not in March",IF(D62="","Pick project",IF(ISNA(MATCH(D62,ProjNames,0)),"Project not in list",IF(G62="","Add task description",IF(H62="","Pick NTIME or P6",IF(N(I62)&lt;=0,"Enter hours",IF(AND(AllowOT&lt;&gt;"Yes",SUMIF($B$7:$B$256,B62,$I$7:$I$256)&gt;INDEX($O$58:$O$88,DAY(B62))),"Day over "&amp;INDEX($O$58:$O$88,DAY(B62))&amp;" h","✓")))))))))</f>
        <v/>
      </c>
      <c r="K62" s="1"/>
      <c r="L62" s="35" t="n">
        <v>46086</v>
      </c>
      <c r="M62" s="36" t="str">
        <f aca="false">TEXT(L62,"ddd")</f>
        <v>Thu</v>
      </c>
      <c r="N62" s="37" t="s">
        <v>93</v>
      </c>
      <c r="O62" s="37" t="n">
        <f aca="false">AvailHours</f>
        <v>8</v>
      </c>
      <c r="P62" s="24" t="n">
        <f aca="false">SUMIFS($I$7:$I$256,$B$7:$B$256,L62,$H$7:$H$256,"NTIME")</f>
        <v>0</v>
      </c>
      <c r="Q62" s="24" t="n">
        <f aca="false">SUMIFS($I$7:$I$256,$B$7:$B$256,L62,$H$7:$H$256,"P6")</f>
        <v>0</v>
      </c>
      <c r="R62" s="24" t="n">
        <f aca="false">IF(N62="Overhead only",O62,IF(AND(N62="Working",P62+Q62&gt;0),MAX(0,O62-P62-Q62),0))</f>
        <v>0</v>
      </c>
      <c r="S62" s="24" t="n">
        <f aca="false">IF(OR(N62="Working",N62="Overhead only"),MAX(0,P62+Q62-O62),0)</f>
        <v>0</v>
      </c>
      <c r="T62" s="24" t="n">
        <f aca="false">P62+Q62+R62</f>
        <v>0</v>
      </c>
      <c r="U62" s="24" t="str">
        <f aca="true">IF(N62="Working",IF(P62+Q62=0,IF(L62&lt;=TODAY(),"Not logged",""),IF(P62+Q62&gt;O62,IF(AllowOT="Yes","Overtime","Over "&amp;O62&amp;" h!"),"✓")),IF(N62="Overhead only","✓ Overhead day",IF(P62+Q62&gt;0,"Entries on "&amp;LOWER(N62)&amp;" day",N62)))</f>
        <v>Not logged</v>
      </c>
      <c r="V62" s="1"/>
      <c r="W62" s="1" t="str">
        <f aca="false">IF(Projects!B60="","",Projects!B60)</f>
        <v/>
      </c>
      <c r="X62" s="1" t="n">
        <f aca="false">IF(W62="",0,SUMIFS($I$7:$I$256,$D$7:$D$256,W62,$H$7:$H$256,"NTIME"))</f>
        <v>0</v>
      </c>
      <c r="Y62" s="1" t="n">
        <f aca="false">IF(W62="",0,SUMIFS($I$7:$I$256,$D$7:$D$256,W62,$H$7:$H$256,"P6"))</f>
        <v>0</v>
      </c>
      <c r="Z62" s="1" t="n">
        <f aca="false">X62+Y62</f>
        <v>0</v>
      </c>
      <c r="AA62" s="1" t="n">
        <f aca="false">IF(Z62&gt;0,Z62+(201-56)/10^6,0)</f>
        <v>0</v>
      </c>
      <c r="AB62" s="1"/>
      <c r="AC62" s="1"/>
      <c r="AD62" s="1"/>
      <c r="AE62" s="1"/>
      <c r="AF62" s="1"/>
      <c r="AG62" s="1"/>
      <c r="AH62" s="1"/>
    </row>
    <row r="63" customFormat="false" ht="15" hidden="false" customHeight="false" outlineLevel="0" collapsed="false">
      <c r="A63" s="1"/>
      <c r="B63" s="10"/>
      <c r="C63" s="31" t="str">
        <f aca="false">IF(B63="","",TEXT(B63,"ddd"))</f>
        <v/>
      </c>
      <c r="D63" s="11"/>
      <c r="E63" s="8" t="str">
        <f aca="false">IF(D63="","",IFERROR(INDEX(ProjNumbers,MATCH(D63,ProjNames,0)),""))</f>
        <v/>
      </c>
      <c r="F63" s="8" t="str">
        <f aca="false">IF(D63="","",IFERROR(INDEX(ProjCodes,MATCH(D63,ProjNames,0)),""))</f>
        <v/>
      </c>
      <c r="G63" s="32"/>
      <c r="H63" s="11"/>
      <c r="I63" s="33"/>
      <c r="J63" s="8" t="str">
        <f aca="false">IF(COUNTA(B63,D63,G63,H63,I63)=0,"",IF(B63="","Enter date",IF(OR(B63&lt;$AC$2,B63&gt;$AC$3),"Date not in March",IF(D63="","Pick project",IF(ISNA(MATCH(D63,ProjNames,0)),"Project not in list",IF(G63="","Add task description",IF(H63="","Pick NTIME or P6",IF(N(I63)&lt;=0,"Enter hours",IF(AND(AllowOT&lt;&gt;"Yes",SUMIF($B$7:$B$256,B63,$I$7:$I$256)&gt;INDEX($O$58:$O$88,DAY(B63))),"Day over "&amp;INDEX($O$58:$O$88,DAY(B63))&amp;" h","✓")))))))))</f>
        <v/>
      </c>
      <c r="K63" s="1"/>
      <c r="L63" s="35" t="n">
        <v>46087</v>
      </c>
      <c r="M63" s="36" t="str">
        <f aca="false">TEXT(L63,"ddd")</f>
        <v>Fri</v>
      </c>
      <c r="N63" s="37" t="s">
        <v>93</v>
      </c>
      <c r="O63" s="37" t="n">
        <f aca="false">AvailHours</f>
        <v>8</v>
      </c>
      <c r="P63" s="24" t="n">
        <f aca="false">SUMIFS($I$7:$I$256,$B$7:$B$256,L63,$H$7:$H$256,"NTIME")</f>
        <v>0</v>
      </c>
      <c r="Q63" s="24" t="n">
        <f aca="false">SUMIFS($I$7:$I$256,$B$7:$B$256,L63,$H$7:$H$256,"P6")</f>
        <v>0</v>
      </c>
      <c r="R63" s="24" t="n">
        <f aca="false">IF(N63="Overhead only",O63,IF(AND(N63="Working",P63+Q63&gt;0),MAX(0,O63-P63-Q63),0))</f>
        <v>0</v>
      </c>
      <c r="S63" s="24" t="n">
        <f aca="false">IF(OR(N63="Working",N63="Overhead only"),MAX(0,P63+Q63-O63),0)</f>
        <v>0</v>
      </c>
      <c r="T63" s="24" t="n">
        <f aca="false">P63+Q63+R63</f>
        <v>0</v>
      </c>
      <c r="U63" s="24" t="str">
        <f aca="true">IF(N63="Working",IF(P63+Q63=0,IF(L63&lt;=TODAY(),"Not logged",""),IF(P63+Q63&gt;O63,IF(AllowOT="Yes","Overtime","Over "&amp;O63&amp;" h!"),"✓")),IF(N63="Overhead only","✓ Overhead day",IF(P63+Q63&gt;0,"Entries on "&amp;LOWER(N63)&amp;" day",N63)))</f>
        <v>Not logged</v>
      </c>
      <c r="V63" s="1"/>
      <c r="W63" s="1" t="str">
        <f aca="false">IF(Projects!B61="","",Projects!B61)</f>
        <v/>
      </c>
      <c r="X63" s="1" t="n">
        <f aca="false">IF(W63="",0,SUMIFS($I$7:$I$256,$D$7:$D$256,W63,$H$7:$H$256,"NTIME"))</f>
        <v>0</v>
      </c>
      <c r="Y63" s="1" t="n">
        <f aca="false">IF(W63="",0,SUMIFS($I$7:$I$256,$D$7:$D$256,W63,$H$7:$H$256,"P6"))</f>
        <v>0</v>
      </c>
      <c r="Z63" s="1" t="n">
        <f aca="false">X63+Y63</f>
        <v>0</v>
      </c>
      <c r="AA63" s="1" t="n">
        <f aca="false">IF(Z63&gt;0,Z63+(201-57)/10^6,0)</f>
        <v>0</v>
      </c>
      <c r="AB63" s="1"/>
      <c r="AC63" s="1"/>
      <c r="AD63" s="1"/>
      <c r="AE63" s="1"/>
      <c r="AF63" s="1"/>
      <c r="AG63" s="1"/>
      <c r="AH63" s="1"/>
    </row>
    <row r="64" customFormat="false" ht="15" hidden="false" customHeight="false" outlineLevel="0" collapsed="false">
      <c r="A64" s="1"/>
      <c r="B64" s="10"/>
      <c r="C64" s="31" t="str">
        <f aca="false">IF(B64="","",TEXT(B64,"ddd"))</f>
        <v/>
      </c>
      <c r="D64" s="11"/>
      <c r="E64" s="8" t="str">
        <f aca="false">IF(D64="","",IFERROR(INDEX(ProjNumbers,MATCH(D64,ProjNames,0)),""))</f>
        <v/>
      </c>
      <c r="F64" s="8" t="str">
        <f aca="false">IF(D64="","",IFERROR(INDEX(ProjCodes,MATCH(D64,ProjNames,0)),""))</f>
        <v/>
      </c>
      <c r="G64" s="32"/>
      <c r="H64" s="11"/>
      <c r="I64" s="33"/>
      <c r="J64" s="8" t="str">
        <f aca="false">IF(COUNTA(B64,D64,G64,H64,I64)=0,"",IF(B64="","Enter date",IF(OR(B64&lt;$AC$2,B64&gt;$AC$3),"Date not in March",IF(D64="","Pick project",IF(ISNA(MATCH(D64,ProjNames,0)),"Project not in list",IF(G64="","Add task description",IF(H64="","Pick NTIME or P6",IF(N(I64)&lt;=0,"Enter hours",IF(AND(AllowOT&lt;&gt;"Yes",SUMIF($B$7:$B$256,B64,$I$7:$I$256)&gt;INDEX($O$58:$O$88,DAY(B64))),"Day over "&amp;INDEX($O$58:$O$88,DAY(B64))&amp;" h","✓")))))))))</f>
        <v/>
      </c>
      <c r="K64" s="1"/>
      <c r="L64" s="35" t="n">
        <v>46088</v>
      </c>
      <c r="M64" s="36" t="str">
        <f aca="false">TEXT(L64,"ddd")</f>
        <v>Sat</v>
      </c>
      <c r="N64" s="37" t="s">
        <v>94</v>
      </c>
      <c r="O64" s="37" t="n">
        <f aca="false">AvailHours</f>
        <v>8</v>
      </c>
      <c r="P64" s="24" t="n">
        <f aca="false">SUMIFS($I$7:$I$256,$B$7:$B$256,L64,$H$7:$H$256,"NTIME")</f>
        <v>0</v>
      </c>
      <c r="Q64" s="24" t="n">
        <f aca="false">SUMIFS($I$7:$I$256,$B$7:$B$256,L64,$H$7:$H$256,"P6")</f>
        <v>0</v>
      </c>
      <c r="R64" s="24" t="n">
        <f aca="false">IF(N64="Overhead only",O64,IF(AND(N64="Working",P64+Q64&gt;0),MAX(0,O64-P64-Q64),0))</f>
        <v>0</v>
      </c>
      <c r="S64" s="24" t="n">
        <f aca="false">IF(OR(N64="Working",N64="Overhead only"),MAX(0,P64+Q64-O64),0)</f>
        <v>0</v>
      </c>
      <c r="T64" s="24" t="n">
        <f aca="false">P64+Q64+R64</f>
        <v>0</v>
      </c>
      <c r="U64" s="24" t="str">
        <f aca="true">IF(N64="Working",IF(P64+Q64=0,IF(L64&lt;=TODAY(),"Not logged",""),IF(P64+Q64&gt;O64,IF(AllowOT="Yes","Overtime","Over "&amp;O64&amp;" h!"),"✓")),IF(N64="Overhead only","✓ Overhead day",IF(P64+Q64&gt;0,"Entries on "&amp;LOWER(N64)&amp;" day",N64)))</f>
        <v>Weekend</v>
      </c>
      <c r="V64" s="1"/>
      <c r="W64" s="1" t="str">
        <f aca="false">IF(Projects!B62="","",Projects!B62)</f>
        <v/>
      </c>
      <c r="X64" s="1" t="n">
        <f aca="false">IF(W64="",0,SUMIFS($I$7:$I$256,$D$7:$D$256,W64,$H$7:$H$256,"NTIME"))</f>
        <v>0</v>
      </c>
      <c r="Y64" s="1" t="n">
        <f aca="false">IF(W64="",0,SUMIFS($I$7:$I$256,$D$7:$D$256,W64,$H$7:$H$256,"P6"))</f>
        <v>0</v>
      </c>
      <c r="Z64" s="1" t="n">
        <f aca="false">X64+Y64</f>
        <v>0</v>
      </c>
      <c r="AA64" s="1" t="n">
        <f aca="false">IF(Z64&gt;0,Z64+(201-58)/10^6,0)</f>
        <v>0</v>
      </c>
      <c r="AB64" s="1"/>
      <c r="AC64" s="1"/>
      <c r="AD64" s="1"/>
      <c r="AE64" s="1"/>
      <c r="AF64" s="1"/>
      <c r="AG64" s="1"/>
      <c r="AH64" s="1"/>
    </row>
    <row r="65" customFormat="false" ht="15" hidden="false" customHeight="false" outlineLevel="0" collapsed="false">
      <c r="A65" s="1"/>
      <c r="B65" s="10"/>
      <c r="C65" s="31" t="str">
        <f aca="false">IF(B65="","",TEXT(B65,"ddd"))</f>
        <v/>
      </c>
      <c r="D65" s="11"/>
      <c r="E65" s="8" t="str">
        <f aca="false">IF(D65="","",IFERROR(INDEX(ProjNumbers,MATCH(D65,ProjNames,0)),""))</f>
        <v/>
      </c>
      <c r="F65" s="8" t="str">
        <f aca="false">IF(D65="","",IFERROR(INDEX(ProjCodes,MATCH(D65,ProjNames,0)),""))</f>
        <v/>
      </c>
      <c r="G65" s="32"/>
      <c r="H65" s="11"/>
      <c r="I65" s="33"/>
      <c r="J65" s="8" t="str">
        <f aca="false">IF(COUNTA(B65,D65,G65,H65,I65)=0,"",IF(B65="","Enter date",IF(OR(B65&lt;$AC$2,B65&gt;$AC$3),"Date not in March",IF(D65="","Pick project",IF(ISNA(MATCH(D65,ProjNames,0)),"Project not in list",IF(G65="","Add task description",IF(H65="","Pick NTIME or P6",IF(N(I65)&lt;=0,"Enter hours",IF(AND(AllowOT&lt;&gt;"Yes",SUMIF($B$7:$B$256,B65,$I$7:$I$256)&gt;INDEX($O$58:$O$88,DAY(B65))),"Day over "&amp;INDEX($O$58:$O$88,DAY(B65))&amp;" h","✓")))))))))</f>
        <v/>
      </c>
      <c r="K65" s="1"/>
      <c r="L65" s="35" t="n">
        <v>46089</v>
      </c>
      <c r="M65" s="36" t="str">
        <f aca="false">TEXT(L65,"ddd")</f>
        <v>Sun</v>
      </c>
      <c r="N65" s="37" t="s">
        <v>94</v>
      </c>
      <c r="O65" s="37" t="n">
        <f aca="false">AvailHours</f>
        <v>8</v>
      </c>
      <c r="P65" s="24" t="n">
        <f aca="false">SUMIFS($I$7:$I$256,$B$7:$B$256,L65,$H$7:$H$256,"NTIME")</f>
        <v>0</v>
      </c>
      <c r="Q65" s="24" t="n">
        <f aca="false">SUMIFS($I$7:$I$256,$B$7:$B$256,L65,$H$7:$H$256,"P6")</f>
        <v>0</v>
      </c>
      <c r="R65" s="24" t="n">
        <f aca="false">IF(N65="Overhead only",O65,IF(AND(N65="Working",P65+Q65&gt;0),MAX(0,O65-P65-Q65),0))</f>
        <v>0</v>
      </c>
      <c r="S65" s="24" t="n">
        <f aca="false">IF(OR(N65="Working",N65="Overhead only"),MAX(0,P65+Q65-O65),0)</f>
        <v>0</v>
      </c>
      <c r="T65" s="24" t="n">
        <f aca="false">P65+Q65+R65</f>
        <v>0</v>
      </c>
      <c r="U65" s="24" t="str">
        <f aca="true">IF(N65="Working",IF(P65+Q65=0,IF(L65&lt;=TODAY(),"Not logged",""),IF(P65+Q65&gt;O65,IF(AllowOT="Yes","Overtime","Over "&amp;O65&amp;" h!"),"✓")),IF(N65="Overhead only","✓ Overhead day",IF(P65+Q65&gt;0,"Entries on "&amp;LOWER(N65)&amp;" day",N65)))</f>
        <v>Weekend</v>
      </c>
      <c r="V65" s="1"/>
      <c r="W65" s="1" t="str">
        <f aca="false">IF(Projects!B63="","",Projects!B63)</f>
        <v/>
      </c>
      <c r="X65" s="1" t="n">
        <f aca="false">IF(W65="",0,SUMIFS($I$7:$I$256,$D$7:$D$256,W65,$H$7:$H$256,"NTIME"))</f>
        <v>0</v>
      </c>
      <c r="Y65" s="1" t="n">
        <f aca="false">IF(W65="",0,SUMIFS($I$7:$I$256,$D$7:$D$256,W65,$H$7:$H$256,"P6"))</f>
        <v>0</v>
      </c>
      <c r="Z65" s="1" t="n">
        <f aca="false">X65+Y65</f>
        <v>0</v>
      </c>
      <c r="AA65" s="1" t="n">
        <f aca="false">IF(Z65&gt;0,Z65+(201-59)/10^6,0)</f>
        <v>0</v>
      </c>
      <c r="AB65" s="1"/>
      <c r="AC65" s="1"/>
      <c r="AD65" s="1"/>
      <c r="AE65" s="1"/>
      <c r="AF65" s="1"/>
      <c r="AG65" s="1"/>
      <c r="AH65" s="1"/>
    </row>
    <row r="66" customFormat="false" ht="15" hidden="false" customHeight="false" outlineLevel="0" collapsed="false">
      <c r="A66" s="1"/>
      <c r="B66" s="10"/>
      <c r="C66" s="31" t="str">
        <f aca="false">IF(B66="","",TEXT(B66,"ddd"))</f>
        <v/>
      </c>
      <c r="D66" s="11"/>
      <c r="E66" s="8" t="str">
        <f aca="false">IF(D66="","",IFERROR(INDEX(ProjNumbers,MATCH(D66,ProjNames,0)),""))</f>
        <v/>
      </c>
      <c r="F66" s="8" t="str">
        <f aca="false">IF(D66="","",IFERROR(INDEX(ProjCodes,MATCH(D66,ProjNames,0)),""))</f>
        <v/>
      </c>
      <c r="G66" s="32"/>
      <c r="H66" s="11"/>
      <c r="I66" s="33"/>
      <c r="J66" s="8" t="str">
        <f aca="false">IF(COUNTA(B66,D66,G66,H66,I66)=0,"",IF(B66="","Enter date",IF(OR(B66&lt;$AC$2,B66&gt;$AC$3),"Date not in March",IF(D66="","Pick project",IF(ISNA(MATCH(D66,ProjNames,0)),"Project not in list",IF(G66="","Add task description",IF(H66="","Pick NTIME or P6",IF(N(I66)&lt;=0,"Enter hours",IF(AND(AllowOT&lt;&gt;"Yes",SUMIF($B$7:$B$256,B66,$I$7:$I$256)&gt;INDEX($O$58:$O$88,DAY(B66))),"Day over "&amp;INDEX($O$58:$O$88,DAY(B66))&amp;" h","✓")))))))))</f>
        <v/>
      </c>
      <c r="K66" s="1"/>
      <c r="L66" s="35" t="n">
        <v>46090</v>
      </c>
      <c r="M66" s="36" t="str">
        <f aca="false">TEXT(L66,"ddd")</f>
        <v>Mon</v>
      </c>
      <c r="N66" s="37" t="s">
        <v>93</v>
      </c>
      <c r="O66" s="37" t="n">
        <f aca="false">AvailHours</f>
        <v>8</v>
      </c>
      <c r="P66" s="24" t="n">
        <f aca="false">SUMIFS($I$7:$I$256,$B$7:$B$256,L66,$H$7:$H$256,"NTIME")</f>
        <v>0</v>
      </c>
      <c r="Q66" s="24" t="n">
        <f aca="false">SUMIFS($I$7:$I$256,$B$7:$B$256,L66,$H$7:$H$256,"P6")</f>
        <v>0</v>
      </c>
      <c r="R66" s="24" t="n">
        <f aca="false">IF(N66="Overhead only",O66,IF(AND(N66="Working",P66+Q66&gt;0),MAX(0,O66-P66-Q66),0))</f>
        <v>0</v>
      </c>
      <c r="S66" s="24" t="n">
        <f aca="false">IF(OR(N66="Working",N66="Overhead only"),MAX(0,P66+Q66-O66),0)</f>
        <v>0</v>
      </c>
      <c r="T66" s="24" t="n">
        <f aca="false">P66+Q66+R66</f>
        <v>0</v>
      </c>
      <c r="U66" s="24" t="str">
        <f aca="true">IF(N66="Working",IF(P66+Q66=0,IF(L66&lt;=TODAY(),"Not logged",""),IF(P66+Q66&gt;O66,IF(AllowOT="Yes","Overtime","Over "&amp;O66&amp;" h!"),"✓")),IF(N66="Overhead only","✓ Overhead day",IF(P66+Q66&gt;0,"Entries on "&amp;LOWER(N66)&amp;" day",N66)))</f>
        <v>Not logged</v>
      </c>
      <c r="V66" s="1"/>
      <c r="W66" s="1" t="str">
        <f aca="false">IF(Projects!B64="","",Projects!B64)</f>
        <v/>
      </c>
      <c r="X66" s="1" t="n">
        <f aca="false">IF(W66="",0,SUMIFS($I$7:$I$256,$D$7:$D$256,W66,$H$7:$H$256,"NTIME"))</f>
        <v>0</v>
      </c>
      <c r="Y66" s="1" t="n">
        <f aca="false">IF(W66="",0,SUMIFS($I$7:$I$256,$D$7:$D$256,W66,$H$7:$H$256,"P6"))</f>
        <v>0</v>
      </c>
      <c r="Z66" s="1" t="n">
        <f aca="false">X66+Y66</f>
        <v>0</v>
      </c>
      <c r="AA66" s="1" t="n">
        <f aca="false">IF(Z66&gt;0,Z66+(201-60)/10^6,0)</f>
        <v>0</v>
      </c>
      <c r="AB66" s="1"/>
      <c r="AC66" s="1"/>
      <c r="AD66" s="1"/>
      <c r="AE66" s="1"/>
      <c r="AF66" s="1"/>
      <c r="AG66" s="1"/>
      <c r="AH66" s="1"/>
    </row>
    <row r="67" customFormat="false" ht="15" hidden="false" customHeight="false" outlineLevel="0" collapsed="false">
      <c r="A67" s="1"/>
      <c r="B67" s="10"/>
      <c r="C67" s="31" t="str">
        <f aca="false">IF(B67="","",TEXT(B67,"ddd"))</f>
        <v/>
      </c>
      <c r="D67" s="11"/>
      <c r="E67" s="8" t="str">
        <f aca="false">IF(D67="","",IFERROR(INDEX(ProjNumbers,MATCH(D67,ProjNames,0)),""))</f>
        <v/>
      </c>
      <c r="F67" s="8" t="str">
        <f aca="false">IF(D67="","",IFERROR(INDEX(ProjCodes,MATCH(D67,ProjNames,0)),""))</f>
        <v/>
      </c>
      <c r="G67" s="32"/>
      <c r="H67" s="11"/>
      <c r="I67" s="33"/>
      <c r="J67" s="8" t="str">
        <f aca="false">IF(COUNTA(B67,D67,G67,H67,I67)=0,"",IF(B67="","Enter date",IF(OR(B67&lt;$AC$2,B67&gt;$AC$3),"Date not in March",IF(D67="","Pick project",IF(ISNA(MATCH(D67,ProjNames,0)),"Project not in list",IF(G67="","Add task description",IF(H67="","Pick NTIME or P6",IF(N(I67)&lt;=0,"Enter hours",IF(AND(AllowOT&lt;&gt;"Yes",SUMIF($B$7:$B$256,B67,$I$7:$I$256)&gt;INDEX($O$58:$O$88,DAY(B67))),"Day over "&amp;INDEX($O$58:$O$88,DAY(B67))&amp;" h","✓")))))))))</f>
        <v/>
      </c>
      <c r="K67" s="1"/>
      <c r="L67" s="35" t="n">
        <v>46091</v>
      </c>
      <c r="M67" s="36" t="str">
        <f aca="false">TEXT(L67,"ddd")</f>
        <v>Tue</v>
      </c>
      <c r="N67" s="37" t="s">
        <v>93</v>
      </c>
      <c r="O67" s="37" t="n">
        <f aca="false">AvailHours</f>
        <v>8</v>
      </c>
      <c r="P67" s="24" t="n">
        <f aca="false">SUMIFS($I$7:$I$256,$B$7:$B$256,L67,$H$7:$H$256,"NTIME")</f>
        <v>0</v>
      </c>
      <c r="Q67" s="24" t="n">
        <f aca="false">SUMIFS($I$7:$I$256,$B$7:$B$256,L67,$H$7:$H$256,"P6")</f>
        <v>0</v>
      </c>
      <c r="R67" s="24" t="n">
        <f aca="false">IF(N67="Overhead only",O67,IF(AND(N67="Working",P67+Q67&gt;0),MAX(0,O67-P67-Q67),0))</f>
        <v>0</v>
      </c>
      <c r="S67" s="24" t="n">
        <f aca="false">IF(OR(N67="Working",N67="Overhead only"),MAX(0,P67+Q67-O67),0)</f>
        <v>0</v>
      </c>
      <c r="T67" s="24" t="n">
        <f aca="false">P67+Q67+R67</f>
        <v>0</v>
      </c>
      <c r="U67" s="24" t="str">
        <f aca="true">IF(N67="Working",IF(P67+Q67=0,IF(L67&lt;=TODAY(),"Not logged",""),IF(P67+Q67&gt;O67,IF(AllowOT="Yes","Overtime","Over "&amp;O67&amp;" h!"),"✓")),IF(N67="Overhead only","✓ Overhead day",IF(P67+Q67&gt;0,"Entries on "&amp;LOWER(N67)&amp;" day",N67)))</f>
        <v>Not logged</v>
      </c>
      <c r="V67" s="1"/>
      <c r="W67" s="1" t="str">
        <f aca="false">IF(Projects!B65="","",Projects!B65)</f>
        <v/>
      </c>
      <c r="X67" s="1" t="n">
        <f aca="false">IF(W67="",0,SUMIFS($I$7:$I$256,$D$7:$D$256,W67,$H$7:$H$256,"NTIME"))</f>
        <v>0</v>
      </c>
      <c r="Y67" s="1" t="n">
        <f aca="false">IF(W67="",0,SUMIFS($I$7:$I$256,$D$7:$D$256,W67,$H$7:$H$256,"P6"))</f>
        <v>0</v>
      </c>
      <c r="Z67" s="1" t="n">
        <f aca="false">X67+Y67</f>
        <v>0</v>
      </c>
      <c r="AA67" s="1" t="n">
        <f aca="false">IF(Z67&gt;0,Z67+(201-61)/10^6,0)</f>
        <v>0</v>
      </c>
      <c r="AB67" s="1"/>
      <c r="AC67" s="1"/>
      <c r="AD67" s="1"/>
      <c r="AE67" s="1"/>
      <c r="AF67" s="1"/>
      <c r="AG67" s="1"/>
      <c r="AH67" s="1"/>
    </row>
    <row r="68" customFormat="false" ht="15" hidden="false" customHeight="false" outlineLevel="0" collapsed="false">
      <c r="A68" s="1"/>
      <c r="B68" s="10"/>
      <c r="C68" s="31" t="str">
        <f aca="false">IF(B68="","",TEXT(B68,"ddd"))</f>
        <v/>
      </c>
      <c r="D68" s="11"/>
      <c r="E68" s="8" t="str">
        <f aca="false">IF(D68="","",IFERROR(INDEX(ProjNumbers,MATCH(D68,ProjNames,0)),""))</f>
        <v/>
      </c>
      <c r="F68" s="8" t="str">
        <f aca="false">IF(D68="","",IFERROR(INDEX(ProjCodes,MATCH(D68,ProjNames,0)),""))</f>
        <v/>
      </c>
      <c r="G68" s="32"/>
      <c r="H68" s="11"/>
      <c r="I68" s="33"/>
      <c r="J68" s="8" t="str">
        <f aca="false">IF(COUNTA(B68,D68,G68,H68,I68)=0,"",IF(B68="","Enter date",IF(OR(B68&lt;$AC$2,B68&gt;$AC$3),"Date not in March",IF(D68="","Pick project",IF(ISNA(MATCH(D68,ProjNames,0)),"Project not in list",IF(G68="","Add task description",IF(H68="","Pick NTIME or P6",IF(N(I68)&lt;=0,"Enter hours",IF(AND(AllowOT&lt;&gt;"Yes",SUMIF($B$7:$B$256,B68,$I$7:$I$256)&gt;INDEX($O$58:$O$88,DAY(B68))),"Day over "&amp;INDEX($O$58:$O$88,DAY(B68))&amp;" h","✓")))))))))</f>
        <v/>
      </c>
      <c r="K68" s="1"/>
      <c r="L68" s="35" t="n">
        <v>46092</v>
      </c>
      <c r="M68" s="36" t="str">
        <f aca="false">TEXT(L68,"ddd")</f>
        <v>Wed</v>
      </c>
      <c r="N68" s="37" t="s">
        <v>93</v>
      </c>
      <c r="O68" s="37" t="n">
        <f aca="false">AvailHours</f>
        <v>8</v>
      </c>
      <c r="P68" s="24" t="n">
        <f aca="false">SUMIFS($I$7:$I$256,$B$7:$B$256,L68,$H$7:$H$256,"NTIME")</f>
        <v>0</v>
      </c>
      <c r="Q68" s="24" t="n">
        <f aca="false">SUMIFS($I$7:$I$256,$B$7:$B$256,L68,$H$7:$H$256,"P6")</f>
        <v>0</v>
      </c>
      <c r="R68" s="24" t="n">
        <f aca="false">IF(N68="Overhead only",O68,IF(AND(N68="Working",P68+Q68&gt;0),MAX(0,O68-P68-Q68),0))</f>
        <v>0</v>
      </c>
      <c r="S68" s="24" t="n">
        <f aca="false">IF(OR(N68="Working",N68="Overhead only"),MAX(0,P68+Q68-O68),0)</f>
        <v>0</v>
      </c>
      <c r="T68" s="24" t="n">
        <f aca="false">P68+Q68+R68</f>
        <v>0</v>
      </c>
      <c r="U68" s="24" t="str">
        <f aca="true">IF(N68="Working",IF(P68+Q68=0,IF(L68&lt;=TODAY(),"Not logged",""),IF(P68+Q68&gt;O68,IF(AllowOT="Yes","Overtime","Over "&amp;O68&amp;" h!"),"✓")),IF(N68="Overhead only","✓ Overhead day",IF(P68+Q68&gt;0,"Entries on "&amp;LOWER(N68)&amp;" day",N68)))</f>
        <v>Not logged</v>
      </c>
      <c r="V68" s="1"/>
      <c r="W68" s="1" t="str">
        <f aca="false">IF(Projects!B66="","",Projects!B66)</f>
        <v/>
      </c>
      <c r="X68" s="1" t="n">
        <f aca="false">IF(W68="",0,SUMIFS($I$7:$I$256,$D$7:$D$256,W68,$H$7:$H$256,"NTIME"))</f>
        <v>0</v>
      </c>
      <c r="Y68" s="1" t="n">
        <f aca="false">IF(W68="",0,SUMIFS($I$7:$I$256,$D$7:$D$256,W68,$H$7:$H$256,"P6"))</f>
        <v>0</v>
      </c>
      <c r="Z68" s="1" t="n">
        <f aca="false">X68+Y68</f>
        <v>0</v>
      </c>
      <c r="AA68" s="1" t="n">
        <f aca="false">IF(Z68&gt;0,Z68+(201-62)/10^6,0)</f>
        <v>0</v>
      </c>
      <c r="AB68" s="1"/>
      <c r="AC68" s="1"/>
      <c r="AD68" s="1"/>
      <c r="AE68" s="1"/>
      <c r="AF68" s="1"/>
      <c r="AG68" s="1"/>
      <c r="AH68" s="1"/>
    </row>
    <row r="69" customFormat="false" ht="15" hidden="false" customHeight="false" outlineLevel="0" collapsed="false">
      <c r="A69" s="1"/>
      <c r="B69" s="10"/>
      <c r="C69" s="31" t="str">
        <f aca="false">IF(B69="","",TEXT(B69,"ddd"))</f>
        <v/>
      </c>
      <c r="D69" s="11"/>
      <c r="E69" s="8" t="str">
        <f aca="false">IF(D69="","",IFERROR(INDEX(ProjNumbers,MATCH(D69,ProjNames,0)),""))</f>
        <v/>
      </c>
      <c r="F69" s="8" t="str">
        <f aca="false">IF(D69="","",IFERROR(INDEX(ProjCodes,MATCH(D69,ProjNames,0)),""))</f>
        <v/>
      </c>
      <c r="G69" s="32"/>
      <c r="H69" s="11"/>
      <c r="I69" s="33"/>
      <c r="J69" s="8" t="str">
        <f aca="false">IF(COUNTA(B69,D69,G69,H69,I69)=0,"",IF(B69="","Enter date",IF(OR(B69&lt;$AC$2,B69&gt;$AC$3),"Date not in March",IF(D69="","Pick project",IF(ISNA(MATCH(D69,ProjNames,0)),"Project not in list",IF(G69="","Add task description",IF(H69="","Pick NTIME or P6",IF(N(I69)&lt;=0,"Enter hours",IF(AND(AllowOT&lt;&gt;"Yes",SUMIF($B$7:$B$256,B69,$I$7:$I$256)&gt;INDEX($O$58:$O$88,DAY(B69))),"Day over "&amp;INDEX($O$58:$O$88,DAY(B69))&amp;" h","✓")))))))))</f>
        <v/>
      </c>
      <c r="K69" s="1"/>
      <c r="L69" s="35" t="n">
        <v>46093</v>
      </c>
      <c r="M69" s="36" t="str">
        <f aca="false">TEXT(L69,"ddd")</f>
        <v>Thu</v>
      </c>
      <c r="N69" s="37" t="s">
        <v>93</v>
      </c>
      <c r="O69" s="37" t="n">
        <f aca="false">AvailHours</f>
        <v>8</v>
      </c>
      <c r="P69" s="24" t="n">
        <f aca="false">SUMIFS($I$7:$I$256,$B$7:$B$256,L69,$H$7:$H$256,"NTIME")</f>
        <v>0</v>
      </c>
      <c r="Q69" s="24" t="n">
        <f aca="false">SUMIFS($I$7:$I$256,$B$7:$B$256,L69,$H$7:$H$256,"P6")</f>
        <v>0</v>
      </c>
      <c r="R69" s="24" t="n">
        <f aca="false">IF(N69="Overhead only",O69,IF(AND(N69="Working",P69+Q69&gt;0),MAX(0,O69-P69-Q69),0))</f>
        <v>0</v>
      </c>
      <c r="S69" s="24" t="n">
        <f aca="false">IF(OR(N69="Working",N69="Overhead only"),MAX(0,P69+Q69-O69),0)</f>
        <v>0</v>
      </c>
      <c r="T69" s="24" t="n">
        <f aca="false">P69+Q69+R69</f>
        <v>0</v>
      </c>
      <c r="U69" s="24" t="str">
        <f aca="true">IF(N69="Working",IF(P69+Q69=0,IF(L69&lt;=TODAY(),"Not logged",""),IF(P69+Q69&gt;O69,IF(AllowOT="Yes","Overtime","Over "&amp;O69&amp;" h!"),"✓")),IF(N69="Overhead only","✓ Overhead day",IF(P69+Q69&gt;0,"Entries on "&amp;LOWER(N69)&amp;" day",N69)))</f>
        <v>Not logged</v>
      </c>
      <c r="V69" s="1"/>
      <c r="W69" s="1" t="str">
        <f aca="false">IF(Projects!B67="","",Projects!B67)</f>
        <v/>
      </c>
      <c r="X69" s="1" t="n">
        <f aca="false">IF(W69="",0,SUMIFS($I$7:$I$256,$D$7:$D$256,W69,$H$7:$H$256,"NTIME"))</f>
        <v>0</v>
      </c>
      <c r="Y69" s="1" t="n">
        <f aca="false">IF(W69="",0,SUMIFS($I$7:$I$256,$D$7:$D$256,W69,$H$7:$H$256,"P6"))</f>
        <v>0</v>
      </c>
      <c r="Z69" s="1" t="n">
        <f aca="false">X69+Y69</f>
        <v>0</v>
      </c>
      <c r="AA69" s="1" t="n">
        <f aca="false">IF(Z69&gt;0,Z69+(201-63)/10^6,0)</f>
        <v>0</v>
      </c>
      <c r="AB69" s="1"/>
      <c r="AC69" s="1"/>
      <c r="AD69" s="1"/>
      <c r="AE69" s="1"/>
      <c r="AF69" s="1"/>
      <c r="AG69" s="1"/>
      <c r="AH69" s="1"/>
    </row>
    <row r="70" customFormat="false" ht="15" hidden="false" customHeight="false" outlineLevel="0" collapsed="false">
      <c r="A70" s="1"/>
      <c r="B70" s="10"/>
      <c r="C70" s="31" t="str">
        <f aca="false">IF(B70="","",TEXT(B70,"ddd"))</f>
        <v/>
      </c>
      <c r="D70" s="11"/>
      <c r="E70" s="8" t="str">
        <f aca="false">IF(D70="","",IFERROR(INDEX(ProjNumbers,MATCH(D70,ProjNames,0)),""))</f>
        <v/>
      </c>
      <c r="F70" s="8" t="str">
        <f aca="false">IF(D70="","",IFERROR(INDEX(ProjCodes,MATCH(D70,ProjNames,0)),""))</f>
        <v/>
      </c>
      <c r="G70" s="32"/>
      <c r="H70" s="11"/>
      <c r="I70" s="33"/>
      <c r="J70" s="8" t="str">
        <f aca="false">IF(COUNTA(B70,D70,G70,H70,I70)=0,"",IF(B70="","Enter date",IF(OR(B70&lt;$AC$2,B70&gt;$AC$3),"Date not in March",IF(D70="","Pick project",IF(ISNA(MATCH(D70,ProjNames,0)),"Project not in list",IF(G70="","Add task description",IF(H70="","Pick NTIME or P6",IF(N(I70)&lt;=0,"Enter hours",IF(AND(AllowOT&lt;&gt;"Yes",SUMIF($B$7:$B$256,B70,$I$7:$I$256)&gt;INDEX($O$58:$O$88,DAY(B70))),"Day over "&amp;INDEX($O$58:$O$88,DAY(B70))&amp;" h","✓")))))))))</f>
        <v/>
      </c>
      <c r="K70" s="1"/>
      <c r="L70" s="35" t="n">
        <v>46094</v>
      </c>
      <c r="M70" s="36" t="str">
        <f aca="false">TEXT(L70,"ddd")</f>
        <v>Fri</v>
      </c>
      <c r="N70" s="37" t="s">
        <v>93</v>
      </c>
      <c r="O70" s="37" t="n">
        <f aca="false">AvailHours</f>
        <v>8</v>
      </c>
      <c r="P70" s="24" t="n">
        <f aca="false">SUMIFS($I$7:$I$256,$B$7:$B$256,L70,$H$7:$H$256,"NTIME")</f>
        <v>0</v>
      </c>
      <c r="Q70" s="24" t="n">
        <f aca="false">SUMIFS($I$7:$I$256,$B$7:$B$256,L70,$H$7:$H$256,"P6")</f>
        <v>0</v>
      </c>
      <c r="R70" s="24" t="n">
        <f aca="false">IF(N70="Overhead only",O70,IF(AND(N70="Working",P70+Q70&gt;0),MAX(0,O70-P70-Q70),0))</f>
        <v>0</v>
      </c>
      <c r="S70" s="24" t="n">
        <f aca="false">IF(OR(N70="Working",N70="Overhead only"),MAX(0,P70+Q70-O70),0)</f>
        <v>0</v>
      </c>
      <c r="T70" s="24" t="n">
        <f aca="false">P70+Q70+R70</f>
        <v>0</v>
      </c>
      <c r="U70" s="24" t="str">
        <f aca="true">IF(N70="Working",IF(P70+Q70=0,IF(L70&lt;=TODAY(),"Not logged",""),IF(P70+Q70&gt;O70,IF(AllowOT="Yes","Overtime","Over "&amp;O70&amp;" h!"),"✓")),IF(N70="Overhead only","✓ Overhead day",IF(P70+Q70&gt;0,"Entries on "&amp;LOWER(N70)&amp;" day",N70)))</f>
        <v>Not logged</v>
      </c>
      <c r="V70" s="1"/>
      <c r="W70" s="1" t="str">
        <f aca="false">IF(Projects!B68="","",Projects!B68)</f>
        <v/>
      </c>
      <c r="X70" s="1" t="n">
        <f aca="false">IF(W70="",0,SUMIFS($I$7:$I$256,$D$7:$D$256,W70,$H$7:$H$256,"NTIME"))</f>
        <v>0</v>
      </c>
      <c r="Y70" s="1" t="n">
        <f aca="false">IF(W70="",0,SUMIFS($I$7:$I$256,$D$7:$D$256,W70,$H$7:$H$256,"P6"))</f>
        <v>0</v>
      </c>
      <c r="Z70" s="1" t="n">
        <f aca="false">X70+Y70</f>
        <v>0</v>
      </c>
      <c r="AA70" s="1" t="n">
        <f aca="false">IF(Z70&gt;0,Z70+(201-64)/10^6,0)</f>
        <v>0</v>
      </c>
      <c r="AB70" s="1"/>
      <c r="AC70" s="1"/>
      <c r="AD70" s="1"/>
      <c r="AE70" s="1"/>
      <c r="AF70" s="1"/>
      <c r="AG70" s="1"/>
      <c r="AH70" s="1"/>
    </row>
    <row r="71" customFormat="false" ht="15" hidden="false" customHeight="false" outlineLevel="0" collapsed="false">
      <c r="A71" s="1"/>
      <c r="B71" s="10"/>
      <c r="C71" s="31" t="str">
        <f aca="false">IF(B71="","",TEXT(B71,"ddd"))</f>
        <v/>
      </c>
      <c r="D71" s="11"/>
      <c r="E71" s="8" t="str">
        <f aca="false">IF(D71="","",IFERROR(INDEX(ProjNumbers,MATCH(D71,ProjNames,0)),""))</f>
        <v/>
      </c>
      <c r="F71" s="8" t="str">
        <f aca="false">IF(D71="","",IFERROR(INDEX(ProjCodes,MATCH(D71,ProjNames,0)),""))</f>
        <v/>
      </c>
      <c r="G71" s="32"/>
      <c r="H71" s="11"/>
      <c r="I71" s="33"/>
      <c r="J71" s="8" t="str">
        <f aca="false">IF(COUNTA(B71,D71,G71,H71,I71)=0,"",IF(B71="","Enter date",IF(OR(B71&lt;$AC$2,B71&gt;$AC$3),"Date not in March",IF(D71="","Pick project",IF(ISNA(MATCH(D71,ProjNames,0)),"Project not in list",IF(G71="","Add task description",IF(H71="","Pick NTIME or P6",IF(N(I71)&lt;=0,"Enter hours",IF(AND(AllowOT&lt;&gt;"Yes",SUMIF($B$7:$B$256,B71,$I$7:$I$256)&gt;INDEX($O$58:$O$88,DAY(B71))),"Day over "&amp;INDEX($O$58:$O$88,DAY(B71))&amp;" h","✓")))))))))</f>
        <v/>
      </c>
      <c r="K71" s="1"/>
      <c r="L71" s="35" t="n">
        <v>46095</v>
      </c>
      <c r="M71" s="36" t="str">
        <f aca="false">TEXT(L71,"ddd")</f>
        <v>Sat</v>
      </c>
      <c r="N71" s="37" t="s">
        <v>94</v>
      </c>
      <c r="O71" s="37" t="n">
        <f aca="false">AvailHours</f>
        <v>8</v>
      </c>
      <c r="P71" s="24" t="n">
        <f aca="false">SUMIFS($I$7:$I$256,$B$7:$B$256,L71,$H$7:$H$256,"NTIME")</f>
        <v>0</v>
      </c>
      <c r="Q71" s="24" t="n">
        <f aca="false">SUMIFS($I$7:$I$256,$B$7:$B$256,L71,$H$7:$H$256,"P6")</f>
        <v>0</v>
      </c>
      <c r="R71" s="24" t="n">
        <f aca="false">IF(N71="Overhead only",O71,IF(AND(N71="Working",P71+Q71&gt;0),MAX(0,O71-P71-Q71),0))</f>
        <v>0</v>
      </c>
      <c r="S71" s="24" t="n">
        <f aca="false">IF(OR(N71="Working",N71="Overhead only"),MAX(0,P71+Q71-O71),0)</f>
        <v>0</v>
      </c>
      <c r="T71" s="24" t="n">
        <f aca="false">P71+Q71+R71</f>
        <v>0</v>
      </c>
      <c r="U71" s="24" t="str">
        <f aca="true">IF(N71="Working",IF(P71+Q71=0,IF(L71&lt;=TODAY(),"Not logged",""),IF(P71+Q71&gt;O71,IF(AllowOT="Yes","Overtime","Over "&amp;O71&amp;" h!"),"✓")),IF(N71="Overhead only","✓ Overhead day",IF(P71+Q71&gt;0,"Entries on "&amp;LOWER(N71)&amp;" day",N71)))</f>
        <v>Weekend</v>
      </c>
      <c r="V71" s="1"/>
      <c r="W71" s="1" t="str">
        <f aca="false">IF(Projects!B69="","",Projects!B69)</f>
        <v/>
      </c>
      <c r="X71" s="1" t="n">
        <f aca="false">IF(W71="",0,SUMIFS($I$7:$I$256,$D$7:$D$256,W71,$H$7:$H$256,"NTIME"))</f>
        <v>0</v>
      </c>
      <c r="Y71" s="1" t="n">
        <f aca="false">IF(W71="",0,SUMIFS($I$7:$I$256,$D$7:$D$256,W71,$H$7:$H$256,"P6"))</f>
        <v>0</v>
      </c>
      <c r="Z71" s="1" t="n">
        <f aca="false">X71+Y71</f>
        <v>0</v>
      </c>
      <c r="AA71" s="1" t="n">
        <f aca="false">IF(Z71&gt;0,Z71+(201-65)/10^6,0)</f>
        <v>0</v>
      </c>
      <c r="AB71" s="1"/>
      <c r="AC71" s="1"/>
      <c r="AD71" s="1"/>
      <c r="AE71" s="1"/>
      <c r="AF71" s="1"/>
      <c r="AG71" s="1"/>
      <c r="AH71" s="1"/>
    </row>
    <row r="72" customFormat="false" ht="15" hidden="false" customHeight="false" outlineLevel="0" collapsed="false">
      <c r="A72" s="1"/>
      <c r="B72" s="10"/>
      <c r="C72" s="31" t="str">
        <f aca="false">IF(B72="","",TEXT(B72,"ddd"))</f>
        <v/>
      </c>
      <c r="D72" s="11"/>
      <c r="E72" s="8" t="str">
        <f aca="false">IF(D72="","",IFERROR(INDEX(ProjNumbers,MATCH(D72,ProjNames,0)),""))</f>
        <v/>
      </c>
      <c r="F72" s="8" t="str">
        <f aca="false">IF(D72="","",IFERROR(INDEX(ProjCodes,MATCH(D72,ProjNames,0)),""))</f>
        <v/>
      </c>
      <c r="G72" s="32"/>
      <c r="H72" s="11"/>
      <c r="I72" s="33"/>
      <c r="J72" s="8" t="str">
        <f aca="false">IF(COUNTA(B72,D72,G72,H72,I72)=0,"",IF(B72="","Enter date",IF(OR(B72&lt;$AC$2,B72&gt;$AC$3),"Date not in March",IF(D72="","Pick project",IF(ISNA(MATCH(D72,ProjNames,0)),"Project not in list",IF(G72="","Add task description",IF(H72="","Pick NTIME or P6",IF(N(I72)&lt;=0,"Enter hours",IF(AND(AllowOT&lt;&gt;"Yes",SUMIF($B$7:$B$256,B72,$I$7:$I$256)&gt;INDEX($O$58:$O$88,DAY(B72))),"Day over "&amp;INDEX($O$58:$O$88,DAY(B72))&amp;" h","✓")))))))))</f>
        <v/>
      </c>
      <c r="K72" s="1"/>
      <c r="L72" s="35" t="n">
        <v>46096</v>
      </c>
      <c r="M72" s="36" t="str">
        <f aca="false">TEXT(L72,"ddd")</f>
        <v>Sun</v>
      </c>
      <c r="N72" s="37" t="s">
        <v>94</v>
      </c>
      <c r="O72" s="37" t="n">
        <f aca="false">AvailHours</f>
        <v>8</v>
      </c>
      <c r="P72" s="24" t="n">
        <f aca="false">SUMIFS($I$7:$I$256,$B$7:$B$256,L72,$H$7:$H$256,"NTIME")</f>
        <v>0</v>
      </c>
      <c r="Q72" s="24" t="n">
        <f aca="false">SUMIFS($I$7:$I$256,$B$7:$B$256,L72,$H$7:$H$256,"P6")</f>
        <v>0</v>
      </c>
      <c r="R72" s="24" t="n">
        <f aca="false">IF(N72="Overhead only",O72,IF(AND(N72="Working",P72+Q72&gt;0),MAX(0,O72-P72-Q72),0))</f>
        <v>0</v>
      </c>
      <c r="S72" s="24" t="n">
        <f aca="false">IF(OR(N72="Working",N72="Overhead only"),MAX(0,P72+Q72-O72),0)</f>
        <v>0</v>
      </c>
      <c r="T72" s="24" t="n">
        <f aca="false">P72+Q72+R72</f>
        <v>0</v>
      </c>
      <c r="U72" s="24" t="str">
        <f aca="true">IF(N72="Working",IF(P72+Q72=0,IF(L72&lt;=TODAY(),"Not logged",""),IF(P72+Q72&gt;O72,IF(AllowOT="Yes","Overtime","Over "&amp;O72&amp;" h!"),"✓")),IF(N72="Overhead only","✓ Overhead day",IF(P72+Q72&gt;0,"Entries on "&amp;LOWER(N72)&amp;" day",N72)))</f>
        <v>Weekend</v>
      </c>
      <c r="V72" s="1"/>
      <c r="W72" s="1" t="str">
        <f aca="false">IF(Projects!B70="","",Projects!B70)</f>
        <v/>
      </c>
      <c r="X72" s="1" t="n">
        <f aca="false">IF(W72="",0,SUMIFS($I$7:$I$256,$D$7:$D$256,W72,$H$7:$H$256,"NTIME"))</f>
        <v>0</v>
      </c>
      <c r="Y72" s="1" t="n">
        <f aca="false">IF(W72="",0,SUMIFS($I$7:$I$256,$D$7:$D$256,W72,$H$7:$H$256,"P6"))</f>
        <v>0</v>
      </c>
      <c r="Z72" s="1" t="n">
        <f aca="false">X72+Y72</f>
        <v>0</v>
      </c>
      <c r="AA72" s="1" t="n">
        <f aca="false">IF(Z72&gt;0,Z72+(201-66)/10^6,0)</f>
        <v>0</v>
      </c>
      <c r="AB72" s="1"/>
      <c r="AC72" s="1"/>
      <c r="AD72" s="1"/>
      <c r="AE72" s="1"/>
      <c r="AF72" s="1"/>
      <c r="AG72" s="1"/>
      <c r="AH72" s="1"/>
    </row>
    <row r="73" customFormat="false" ht="15" hidden="false" customHeight="false" outlineLevel="0" collapsed="false">
      <c r="A73" s="1"/>
      <c r="B73" s="10"/>
      <c r="C73" s="31" t="str">
        <f aca="false">IF(B73="","",TEXT(B73,"ddd"))</f>
        <v/>
      </c>
      <c r="D73" s="11"/>
      <c r="E73" s="8" t="str">
        <f aca="false">IF(D73="","",IFERROR(INDEX(ProjNumbers,MATCH(D73,ProjNames,0)),""))</f>
        <v/>
      </c>
      <c r="F73" s="8" t="str">
        <f aca="false">IF(D73="","",IFERROR(INDEX(ProjCodes,MATCH(D73,ProjNames,0)),""))</f>
        <v/>
      </c>
      <c r="G73" s="32"/>
      <c r="H73" s="11"/>
      <c r="I73" s="33"/>
      <c r="J73" s="8" t="str">
        <f aca="false">IF(COUNTA(B73,D73,G73,H73,I73)=0,"",IF(B73="","Enter date",IF(OR(B73&lt;$AC$2,B73&gt;$AC$3),"Date not in March",IF(D73="","Pick project",IF(ISNA(MATCH(D73,ProjNames,0)),"Project not in list",IF(G73="","Add task description",IF(H73="","Pick NTIME or P6",IF(N(I73)&lt;=0,"Enter hours",IF(AND(AllowOT&lt;&gt;"Yes",SUMIF($B$7:$B$256,B73,$I$7:$I$256)&gt;INDEX($O$58:$O$88,DAY(B73))),"Day over "&amp;INDEX($O$58:$O$88,DAY(B73))&amp;" h","✓")))))))))</f>
        <v/>
      </c>
      <c r="K73" s="1"/>
      <c r="L73" s="35" t="n">
        <v>46097</v>
      </c>
      <c r="M73" s="36" t="str">
        <f aca="false">TEXT(L73,"ddd")</f>
        <v>Mon</v>
      </c>
      <c r="N73" s="37" t="s">
        <v>93</v>
      </c>
      <c r="O73" s="37" t="n">
        <f aca="false">AvailHours</f>
        <v>8</v>
      </c>
      <c r="P73" s="24" t="n">
        <f aca="false">SUMIFS($I$7:$I$256,$B$7:$B$256,L73,$H$7:$H$256,"NTIME")</f>
        <v>0</v>
      </c>
      <c r="Q73" s="24" t="n">
        <f aca="false">SUMIFS($I$7:$I$256,$B$7:$B$256,L73,$H$7:$H$256,"P6")</f>
        <v>0</v>
      </c>
      <c r="R73" s="24" t="n">
        <f aca="false">IF(N73="Overhead only",O73,IF(AND(N73="Working",P73+Q73&gt;0),MAX(0,O73-P73-Q73),0))</f>
        <v>0</v>
      </c>
      <c r="S73" s="24" t="n">
        <f aca="false">IF(OR(N73="Working",N73="Overhead only"),MAX(0,P73+Q73-O73),0)</f>
        <v>0</v>
      </c>
      <c r="T73" s="24" t="n">
        <f aca="false">P73+Q73+R73</f>
        <v>0</v>
      </c>
      <c r="U73" s="24" t="str">
        <f aca="true">IF(N73="Working",IF(P73+Q73=0,IF(L73&lt;=TODAY(),"Not logged",""),IF(P73+Q73&gt;O73,IF(AllowOT="Yes","Overtime","Over "&amp;O73&amp;" h!"),"✓")),IF(N73="Overhead only","✓ Overhead day",IF(P73+Q73&gt;0,"Entries on "&amp;LOWER(N73)&amp;" day",N73)))</f>
        <v>Not logged</v>
      </c>
      <c r="V73" s="1"/>
      <c r="W73" s="1" t="str">
        <f aca="false">IF(Projects!B71="","",Projects!B71)</f>
        <v/>
      </c>
      <c r="X73" s="1" t="n">
        <f aca="false">IF(W73="",0,SUMIFS($I$7:$I$256,$D$7:$D$256,W73,$H$7:$H$256,"NTIME"))</f>
        <v>0</v>
      </c>
      <c r="Y73" s="1" t="n">
        <f aca="false">IF(W73="",0,SUMIFS($I$7:$I$256,$D$7:$D$256,W73,$H$7:$H$256,"P6"))</f>
        <v>0</v>
      </c>
      <c r="Z73" s="1" t="n">
        <f aca="false">X73+Y73</f>
        <v>0</v>
      </c>
      <c r="AA73" s="1" t="n">
        <f aca="false">IF(Z73&gt;0,Z73+(201-67)/10^6,0)</f>
        <v>0</v>
      </c>
      <c r="AB73" s="1"/>
      <c r="AC73" s="1"/>
      <c r="AD73" s="1"/>
      <c r="AE73" s="1"/>
      <c r="AF73" s="1"/>
      <c r="AG73" s="1"/>
      <c r="AH73" s="1"/>
    </row>
    <row r="74" customFormat="false" ht="15" hidden="false" customHeight="false" outlineLevel="0" collapsed="false">
      <c r="A74" s="1"/>
      <c r="B74" s="10"/>
      <c r="C74" s="31" t="str">
        <f aca="false">IF(B74="","",TEXT(B74,"ddd"))</f>
        <v/>
      </c>
      <c r="D74" s="11"/>
      <c r="E74" s="8" t="str">
        <f aca="false">IF(D74="","",IFERROR(INDEX(ProjNumbers,MATCH(D74,ProjNames,0)),""))</f>
        <v/>
      </c>
      <c r="F74" s="8" t="str">
        <f aca="false">IF(D74="","",IFERROR(INDEX(ProjCodes,MATCH(D74,ProjNames,0)),""))</f>
        <v/>
      </c>
      <c r="G74" s="32"/>
      <c r="H74" s="11"/>
      <c r="I74" s="33"/>
      <c r="J74" s="8" t="str">
        <f aca="false">IF(COUNTA(B74,D74,G74,H74,I74)=0,"",IF(B74="","Enter date",IF(OR(B74&lt;$AC$2,B74&gt;$AC$3),"Date not in March",IF(D74="","Pick project",IF(ISNA(MATCH(D74,ProjNames,0)),"Project not in list",IF(G74="","Add task description",IF(H74="","Pick NTIME or P6",IF(N(I74)&lt;=0,"Enter hours",IF(AND(AllowOT&lt;&gt;"Yes",SUMIF($B$7:$B$256,B74,$I$7:$I$256)&gt;INDEX($O$58:$O$88,DAY(B74))),"Day over "&amp;INDEX($O$58:$O$88,DAY(B74))&amp;" h","✓")))))))))</f>
        <v/>
      </c>
      <c r="K74" s="1"/>
      <c r="L74" s="35" t="n">
        <v>46098</v>
      </c>
      <c r="M74" s="36" t="str">
        <f aca="false">TEXT(L74,"ddd")</f>
        <v>Tue</v>
      </c>
      <c r="N74" s="37" t="s">
        <v>93</v>
      </c>
      <c r="O74" s="37" t="n">
        <f aca="false">AvailHours</f>
        <v>8</v>
      </c>
      <c r="P74" s="24" t="n">
        <f aca="false">SUMIFS($I$7:$I$256,$B$7:$B$256,L74,$H$7:$H$256,"NTIME")</f>
        <v>0</v>
      </c>
      <c r="Q74" s="24" t="n">
        <f aca="false">SUMIFS($I$7:$I$256,$B$7:$B$256,L74,$H$7:$H$256,"P6")</f>
        <v>0</v>
      </c>
      <c r="R74" s="24" t="n">
        <f aca="false">IF(N74="Overhead only",O74,IF(AND(N74="Working",P74+Q74&gt;0),MAX(0,O74-P74-Q74),0))</f>
        <v>0</v>
      </c>
      <c r="S74" s="24" t="n">
        <f aca="false">IF(OR(N74="Working",N74="Overhead only"),MAX(0,P74+Q74-O74),0)</f>
        <v>0</v>
      </c>
      <c r="T74" s="24" t="n">
        <f aca="false">P74+Q74+R74</f>
        <v>0</v>
      </c>
      <c r="U74" s="24" t="str">
        <f aca="true">IF(N74="Working",IF(P74+Q74=0,IF(L74&lt;=TODAY(),"Not logged",""),IF(P74+Q74&gt;O74,IF(AllowOT="Yes","Overtime","Over "&amp;O74&amp;" h!"),"✓")),IF(N74="Overhead only","✓ Overhead day",IF(P74+Q74&gt;0,"Entries on "&amp;LOWER(N74)&amp;" day",N74)))</f>
        <v>Not logged</v>
      </c>
      <c r="V74" s="1"/>
      <c r="W74" s="1" t="str">
        <f aca="false">IF(Projects!B72="","",Projects!B72)</f>
        <v/>
      </c>
      <c r="X74" s="1" t="n">
        <f aca="false">IF(W74="",0,SUMIFS($I$7:$I$256,$D$7:$D$256,W74,$H$7:$H$256,"NTIME"))</f>
        <v>0</v>
      </c>
      <c r="Y74" s="1" t="n">
        <f aca="false">IF(W74="",0,SUMIFS($I$7:$I$256,$D$7:$D$256,W74,$H$7:$H$256,"P6"))</f>
        <v>0</v>
      </c>
      <c r="Z74" s="1" t="n">
        <f aca="false">X74+Y74</f>
        <v>0</v>
      </c>
      <c r="AA74" s="1" t="n">
        <f aca="false">IF(Z74&gt;0,Z74+(201-68)/10^6,0)</f>
        <v>0</v>
      </c>
      <c r="AB74" s="1"/>
      <c r="AC74" s="1"/>
      <c r="AD74" s="1"/>
      <c r="AE74" s="1"/>
      <c r="AF74" s="1"/>
      <c r="AG74" s="1"/>
      <c r="AH74" s="1"/>
    </row>
    <row r="75" customFormat="false" ht="15" hidden="false" customHeight="false" outlineLevel="0" collapsed="false">
      <c r="A75" s="1"/>
      <c r="B75" s="10"/>
      <c r="C75" s="31" t="str">
        <f aca="false">IF(B75="","",TEXT(B75,"ddd"))</f>
        <v/>
      </c>
      <c r="D75" s="11"/>
      <c r="E75" s="8" t="str">
        <f aca="false">IF(D75="","",IFERROR(INDEX(ProjNumbers,MATCH(D75,ProjNames,0)),""))</f>
        <v/>
      </c>
      <c r="F75" s="8" t="str">
        <f aca="false">IF(D75="","",IFERROR(INDEX(ProjCodes,MATCH(D75,ProjNames,0)),""))</f>
        <v/>
      </c>
      <c r="G75" s="32"/>
      <c r="H75" s="11"/>
      <c r="I75" s="33"/>
      <c r="J75" s="8" t="str">
        <f aca="false">IF(COUNTA(B75,D75,G75,H75,I75)=0,"",IF(B75="","Enter date",IF(OR(B75&lt;$AC$2,B75&gt;$AC$3),"Date not in March",IF(D75="","Pick project",IF(ISNA(MATCH(D75,ProjNames,0)),"Project not in list",IF(G75="","Add task description",IF(H75="","Pick NTIME or P6",IF(N(I75)&lt;=0,"Enter hours",IF(AND(AllowOT&lt;&gt;"Yes",SUMIF($B$7:$B$256,B75,$I$7:$I$256)&gt;INDEX($O$58:$O$88,DAY(B75))),"Day over "&amp;INDEX($O$58:$O$88,DAY(B75))&amp;" h","✓")))))))))</f>
        <v/>
      </c>
      <c r="K75" s="1"/>
      <c r="L75" s="35" t="n">
        <v>46099</v>
      </c>
      <c r="M75" s="36" t="str">
        <f aca="false">TEXT(L75,"ddd")</f>
        <v>Wed</v>
      </c>
      <c r="N75" s="37" t="s">
        <v>93</v>
      </c>
      <c r="O75" s="37" t="n">
        <f aca="false">AvailHours</f>
        <v>8</v>
      </c>
      <c r="P75" s="24" t="n">
        <f aca="false">SUMIFS($I$7:$I$256,$B$7:$B$256,L75,$H$7:$H$256,"NTIME")</f>
        <v>0</v>
      </c>
      <c r="Q75" s="24" t="n">
        <f aca="false">SUMIFS($I$7:$I$256,$B$7:$B$256,L75,$H$7:$H$256,"P6")</f>
        <v>0</v>
      </c>
      <c r="R75" s="24" t="n">
        <f aca="false">IF(N75="Overhead only",O75,IF(AND(N75="Working",P75+Q75&gt;0),MAX(0,O75-P75-Q75),0))</f>
        <v>0</v>
      </c>
      <c r="S75" s="24" t="n">
        <f aca="false">IF(OR(N75="Working",N75="Overhead only"),MAX(0,P75+Q75-O75),0)</f>
        <v>0</v>
      </c>
      <c r="T75" s="24" t="n">
        <f aca="false">P75+Q75+R75</f>
        <v>0</v>
      </c>
      <c r="U75" s="24" t="str">
        <f aca="true">IF(N75="Working",IF(P75+Q75=0,IF(L75&lt;=TODAY(),"Not logged",""),IF(P75+Q75&gt;O75,IF(AllowOT="Yes","Overtime","Over "&amp;O75&amp;" h!"),"✓")),IF(N75="Overhead only","✓ Overhead day",IF(P75+Q75&gt;0,"Entries on "&amp;LOWER(N75)&amp;" day",N75)))</f>
        <v>Not logged</v>
      </c>
      <c r="V75" s="1"/>
      <c r="W75" s="1" t="str">
        <f aca="false">IF(Projects!B73="","",Projects!B73)</f>
        <v/>
      </c>
      <c r="X75" s="1" t="n">
        <f aca="false">IF(W75="",0,SUMIFS($I$7:$I$256,$D$7:$D$256,W75,$H$7:$H$256,"NTIME"))</f>
        <v>0</v>
      </c>
      <c r="Y75" s="1" t="n">
        <f aca="false">IF(W75="",0,SUMIFS($I$7:$I$256,$D$7:$D$256,W75,$H$7:$H$256,"P6"))</f>
        <v>0</v>
      </c>
      <c r="Z75" s="1" t="n">
        <f aca="false">X75+Y75</f>
        <v>0</v>
      </c>
      <c r="AA75" s="1" t="n">
        <f aca="false">IF(Z75&gt;0,Z75+(201-69)/10^6,0)</f>
        <v>0</v>
      </c>
      <c r="AB75" s="1"/>
      <c r="AC75" s="1"/>
      <c r="AD75" s="1"/>
      <c r="AE75" s="1"/>
      <c r="AF75" s="1"/>
      <c r="AG75" s="1"/>
      <c r="AH75" s="1"/>
    </row>
    <row r="76" customFormat="false" ht="15" hidden="false" customHeight="false" outlineLevel="0" collapsed="false">
      <c r="A76" s="1"/>
      <c r="B76" s="10"/>
      <c r="C76" s="31" t="str">
        <f aca="false">IF(B76="","",TEXT(B76,"ddd"))</f>
        <v/>
      </c>
      <c r="D76" s="11"/>
      <c r="E76" s="8" t="str">
        <f aca="false">IF(D76="","",IFERROR(INDEX(ProjNumbers,MATCH(D76,ProjNames,0)),""))</f>
        <v/>
      </c>
      <c r="F76" s="8" t="str">
        <f aca="false">IF(D76="","",IFERROR(INDEX(ProjCodes,MATCH(D76,ProjNames,0)),""))</f>
        <v/>
      </c>
      <c r="G76" s="32"/>
      <c r="H76" s="11"/>
      <c r="I76" s="33"/>
      <c r="J76" s="8" t="str">
        <f aca="false">IF(COUNTA(B76,D76,G76,H76,I76)=0,"",IF(B76="","Enter date",IF(OR(B76&lt;$AC$2,B76&gt;$AC$3),"Date not in March",IF(D76="","Pick project",IF(ISNA(MATCH(D76,ProjNames,0)),"Project not in list",IF(G76="","Add task description",IF(H76="","Pick NTIME or P6",IF(N(I76)&lt;=0,"Enter hours",IF(AND(AllowOT&lt;&gt;"Yes",SUMIF($B$7:$B$256,B76,$I$7:$I$256)&gt;INDEX($O$58:$O$88,DAY(B76))),"Day over "&amp;INDEX($O$58:$O$88,DAY(B76))&amp;" h","✓")))))))))</f>
        <v/>
      </c>
      <c r="K76" s="1"/>
      <c r="L76" s="35" t="n">
        <v>46100</v>
      </c>
      <c r="M76" s="36" t="str">
        <f aca="false">TEXT(L76,"ddd")</f>
        <v>Thu</v>
      </c>
      <c r="N76" s="37" t="s">
        <v>93</v>
      </c>
      <c r="O76" s="37" t="n">
        <f aca="false">AvailHours</f>
        <v>8</v>
      </c>
      <c r="P76" s="24" t="n">
        <f aca="false">SUMIFS($I$7:$I$256,$B$7:$B$256,L76,$H$7:$H$256,"NTIME")</f>
        <v>0</v>
      </c>
      <c r="Q76" s="24" t="n">
        <f aca="false">SUMIFS($I$7:$I$256,$B$7:$B$256,L76,$H$7:$H$256,"P6")</f>
        <v>0</v>
      </c>
      <c r="R76" s="24" t="n">
        <f aca="false">IF(N76="Overhead only",O76,IF(AND(N76="Working",P76+Q76&gt;0),MAX(0,O76-P76-Q76),0))</f>
        <v>0</v>
      </c>
      <c r="S76" s="24" t="n">
        <f aca="false">IF(OR(N76="Working",N76="Overhead only"),MAX(0,P76+Q76-O76),0)</f>
        <v>0</v>
      </c>
      <c r="T76" s="24" t="n">
        <f aca="false">P76+Q76+R76</f>
        <v>0</v>
      </c>
      <c r="U76" s="24" t="str">
        <f aca="true">IF(N76="Working",IF(P76+Q76=0,IF(L76&lt;=TODAY(),"Not logged",""),IF(P76+Q76&gt;O76,IF(AllowOT="Yes","Overtime","Over "&amp;O76&amp;" h!"),"✓")),IF(N76="Overhead only","✓ Overhead day",IF(P76+Q76&gt;0,"Entries on "&amp;LOWER(N76)&amp;" day",N76)))</f>
        <v>Not logged</v>
      </c>
      <c r="V76" s="1"/>
      <c r="W76" s="1" t="str">
        <f aca="false">IF(Projects!B74="","",Projects!B74)</f>
        <v/>
      </c>
      <c r="X76" s="1" t="n">
        <f aca="false">IF(W76="",0,SUMIFS($I$7:$I$256,$D$7:$D$256,W76,$H$7:$H$256,"NTIME"))</f>
        <v>0</v>
      </c>
      <c r="Y76" s="1" t="n">
        <f aca="false">IF(W76="",0,SUMIFS($I$7:$I$256,$D$7:$D$256,W76,$H$7:$H$256,"P6"))</f>
        <v>0</v>
      </c>
      <c r="Z76" s="1" t="n">
        <f aca="false">X76+Y76</f>
        <v>0</v>
      </c>
      <c r="AA76" s="1" t="n">
        <f aca="false">IF(Z76&gt;0,Z76+(201-70)/10^6,0)</f>
        <v>0</v>
      </c>
      <c r="AB76" s="1"/>
      <c r="AC76" s="1"/>
      <c r="AD76" s="1"/>
      <c r="AE76" s="1"/>
      <c r="AF76" s="1"/>
      <c r="AG76" s="1"/>
      <c r="AH76" s="1"/>
    </row>
    <row r="77" customFormat="false" ht="15" hidden="false" customHeight="false" outlineLevel="0" collapsed="false">
      <c r="A77" s="1"/>
      <c r="B77" s="10"/>
      <c r="C77" s="31" t="str">
        <f aca="false">IF(B77="","",TEXT(B77,"ddd"))</f>
        <v/>
      </c>
      <c r="D77" s="11"/>
      <c r="E77" s="8" t="str">
        <f aca="false">IF(D77="","",IFERROR(INDEX(ProjNumbers,MATCH(D77,ProjNames,0)),""))</f>
        <v/>
      </c>
      <c r="F77" s="8" t="str">
        <f aca="false">IF(D77="","",IFERROR(INDEX(ProjCodes,MATCH(D77,ProjNames,0)),""))</f>
        <v/>
      </c>
      <c r="G77" s="32"/>
      <c r="H77" s="11"/>
      <c r="I77" s="33"/>
      <c r="J77" s="8" t="str">
        <f aca="false">IF(COUNTA(B77,D77,G77,H77,I77)=0,"",IF(B77="","Enter date",IF(OR(B77&lt;$AC$2,B77&gt;$AC$3),"Date not in March",IF(D77="","Pick project",IF(ISNA(MATCH(D77,ProjNames,0)),"Project not in list",IF(G77="","Add task description",IF(H77="","Pick NTIME or P6",IF(N(I77)&lt;=0,"Enter hours",IF(AND(AllowOT&lt;&gt;"Yes",SUMIF($B$7:$B$256,B77,$I$7:$I$256)&gt;INDEX($O$58:$O$88,DAY(B77))),"Day over "&amp;INDEX($O$58:$O$88,DAY(B77))&amp;" h","✓")))))))))</f>
        <v/>
      </c>
      <c r="K77" s="1"/>
      <c r="L77" s="35" t="n">
        <v>46101</v>
      </c>
      <c r="M77" s="36" t="str">
        <f aca="false">TEXT(L77,"ddd")</f>
        <v>Fri</v>
      </c>
      <c r="N77" s="37" t="s">
        <v>93</v>
      </c>
      <c r="O77" s="37" t="n">
        <f aca="false">AvailHours</f>
        <v>8</v>
      </c>
      <c r="P77" s="24" t="n">
        <f aca="false">SUMIFS($I$7:$I$256,$B$7:$B$256,L77,$H$7:$H$256,"NTIME")</f>
        <v>0</v>
      </c>
      <c r="Q77" s="24" t="n">
        <f aca="false">SUMIFS($I$7:$I$256,$B$7:$B$256,L77,$H$7:$H$256,"P6")</f>
        <v>0</v>
      </c>
      <c r="R77" s="24" t="n">
        <f aca="false">IF(N77="Overhead only",O77,IF(AND(N77="Working",P77+Q77&gt;0),MAX(0,O77-P77-Q77),0))</f>
        <v>0</v>
      </c>
      <c r="S77" s="24" t="n">
        <f aca="false">IF(OR(N77="Working",N77="Overhead only"),MAX(0,P77+Q77-O77),0)</f>
        <v>0</v>
      </c>
      <c r="T77" s="24" t="n">
        <f aca="false">P77+Q77+R77</f>
        <v>0</v>
      </c>
      <c r="U77" s="24" t="str">
        <f aca="true">IF(N77="Working",IF(P77+Q77=0,IF(L77&lt;=TODAY(),"Not logged",""),IF(P77+Q77&gt;O77,IF(AllowOT="Yes","Overtime","Over "&amp;O77&amp;" h!"),"✓")),IF(N77="Overhead only","✓ Overhead day",IF(P77+Q77&gt;0,"Entries on "&amp;LOWER(N77)&amp;" day",N77)))</f>
        <v>Not logged</v>
      </c>
      <c r="V77" s="1"/>
      <c r="W77" s="1" t="str">
        <f aca="false">IF(Projects!B75="","",Projects!B75)</f>
        <v/>
      </c>
      <c r="X77" s="1" t="n">
        <f aca="false">IF(W77="",0,SUMIFS($I$7:$I$256,$D$7:$D$256,W77,$H$7:$H$256,"NTIME"))</f>
        <v>0</v>
      </c>
      <c r="Y77" s="1" t="n">
        <f aca="false">IF(W77="",0,SUMIFS($I$7:$I$256,$D$7:$D$256,W77,$H$7:$H$256,"P6"))</f>
        <v>0</v>
      </c>
      <c r="Z77" s="1" t="n">
        <f aca="false">X77+Y77</f>
        <v>0</v>
      </c>
      <c r="AA77" s="1" t="n">
        <f aca="false">IF(Z77&gt;0,Z77+(201-71)/10^6,0)</f>
        <v>0</v>
      </c>
      <c r="AB77" s="1"/>
      <c r="AC77" s="1"/>
      <c r="AD77" s="1"/>
      <c r="AE77" s="1"/>
      <c r="AF77" s="1"/>
      <c r="AG77" s="1"/>
      <c r="AH77" s="1"/>
    </row>
    <row r="78" customFormat="false" ht="15" hidden="false" customHeight="false" outlineLevel="0" collapsed="false">
      <c r="A78" s="1"/>
      <c r="B78" s="10"/>
      <c r="C78" s="31" t="str">
        <f aca="false">IF(B78="","",TEXT(B78,"ddd"))</f>
        <v/>
      </c>
      <c r="D78" s="11"/>
      <c r="E78" s="8" t="str">
        <f aca="false">IF(D78="","",IFERROR(INDEX(ProjNumbers,MATCH(D78,ProjNames,0)),""))</f>
        <v/>
      </c>
      <c r="F78" s="8" t="str">
        <f aca="false">IF(D78="","",IFERROR(INDEX(ProjCodes,MATCH(D78,ProjNames,0)),""))</f>
        <v/>
      </c>
      <c r="G78" s="32"/>
      <c r="H78" s="11"/>
      <c r="I78" s="33"/>
      <c r="J78" s="8" t="str">
        <f aca="false">IF(COUNTA(B78,D78,G78,H78,I78)=0,"",IF(B78="","Enter date",IF(OR(B78&lt;$AC$2,B78&gt;$AC$3),"Date not in March",IF(D78="","Pick project",IF(ISNA(MATCH(D78,ProjNames,0)),"Project not in list",IF(G78="","Add task description",IF(H78="","Pick NTIME or P6",IF(N(I78)&lt;=0,"Enter hours",IF(AND(AllowOT&lt;&gt;"Yes",SUMIF($B$7:$B$256,B78,$I$7:$I$256)&gt;INDEX($O$58:$O$88,DAY(B78))),"Day over "&amp;INDEX($O$58:$O$88,DAY(B78))&amp;" h","✓")))))))))</f>
        <v/>
      </c>
      <c r="K78" s="1"/>
      <c r="L78" s="35" t="n">
        <v>46102</v>
      </c>
      <c r="M78" s="36" t="str">
        <f aca="false">TEXT(L78,"ddd")</f>
        <v>Sat</v>
      </c>
      <c r="N78" s="37" t="s">
        <v>94</v>
      </c>
      <c r="O78" s="37" t="n">
        <f aca="false">AvailHours</f>
        <v>8</v>
      </c>
      <c r="P78" s="24" t="n">
        <f aca="false">SUMIFS($I$7:$I$256,$B$7:$B$256,L78,$H$7:$H$256,"NTIME")</f>
        <v>0</v>
      </c>
      <c r="Q78" s="24" t="n">
        <f aca="false">SUMIFS($I$7:$I$256,$B$7:$B$256,L78,$H$7:$H$256,"P6")</f>
        <v>0</v>
      </c>
      <c r="R78" s="24" t="n">
        <f aca="false">IF(N78="Overhead only",O78,IF(AND(N78="Working",P78+Q78&gt;0),MAX(0,O78-P78-Q78),0))</f>
        <v>0</v>
      </c>
      <c r="S78" s="24" t="n">
        <f aca="false">IF(OR(N78="Working",N78="Overhead only"),MAX(0,P78+Q78-O78),0)</f>
        <v>0</v>
      </c>
      <c r="T78" s="24" t="n">
        <f aca="false">P78+Q78+R78</f>
        <v>0</v>
      </c>
      <c r="U78" s="24" t="str">
        <f aca="true">IF(N78="Working",IF(P78+Q78=0,IF(L78&lt;=TODAY(),"Not logged",""),IF(P78+Q78&gt;O78,IF(AllowOT="Yes","Overtime","Over "&amp;O78&amp;" h!"),"✓")),IF(N78="Overhead only","✓ Overhead day",IF(P78+Q78&gt;0,"Entries on "&amp;LOWER(N78)&amp;" day",N78)))</f>
        <v>Weekend</v>
      </c>
      <c r="V78" s="1"/>
      <c r="W78" s="1" t="str">
        <f aca="false">IF(Projects!B76="","",Projects!B76)</f>
        <v/>
      </c>
      <c r="X78" s="1" t="n">
        <f aca="false">IF(W78="",0,SUMIFS($I$7:$I$256,$D$7:$D$256,W78,$H$7:$H$256,"NTIME"))</f>
        <v>0</v>
      </c>
      <c r="Y78" s="1" t="n">
        <f aca="false">IF(W78="",0,SUMIFS($I$7:$I$256,$D$7:$D$256,W78,$H$7:$H$256,"P6"))</f>
        <v>0</v>
      </c>
      <c r="Z78" s="1" t="n">
        <f aca="false">X78+Y78</f>
        <v>0</v>
      </c>
      <c r="AA78" s="1" t="n">
        <f aca="false">IF(Z78&gt;0,Z78+(201-72)/10^6,0)</f>
        <v>0</v>
      </c>
      <c r="AB78" s="1"/>
      <c r="AC78" s="1"/>
      <c r="AD78" s="1"/>
      <c r="AE78" s="1"/>
      <c r="AF78" s="1"/>
      <c r="AG78" s="1"/>
      <c r="AH78" s="1"/>
    </row>
    <row r="79" customFormat="false" ht="15" hidden="false" customHeight="false" outlineLevel="0" collapsed="false">
      <c r="A79" s="1"/>
      <c r="B79" s="10"/>
      <c r="C79" s="31" t="str">
        <f aca="false">IF(B79="","",TEXT(B79,"ddd"))</f>
        <v/>
      </c>
      <c r="D79" s="11"/>
      <c r="E79" s="8" t="str">
        <f aca="false">IF(D79="","",IFERROR(INDEX(ProjNumbers,MATCH(D79,ProjNames,0)),""))</f>
        <v/>
      </c>
      <c r="F79" s="8" t="str">
        <f aca="false">IF(D79="","",IFERROR(INDEX(ProjCodes,MATCH(D79,ProjNames,0)),""))</f>
        <v/>
      </c>
      <c r="G79" s="32"/>
      <c r="H79" s="11"/>
      <c r="I79" s="33"/>
      <c r="J79" s="8" t="str">
        <f aca="false">IF(COUNTA(B79,D79,G79,H79,I79)=0,"",IF(B79="","Enter date",IF(OR(B79&lt;$AC$2,B79&gt;$AC$3),"Date not in March",IF(D79="","Pick project",IF(ISNA(MATCH(D79,ProjNames,0)),"Project not in list",IF(G79="","Add task description",IF(H79="","Pick NTIME or P6",IF(N(I79)&lt;=0,"Enter hours",IF(AND(AllowOT&lt;&gt;"Yes",SUMIF($B$7:$B$256,B79,$I$7:$I$256)&gt;INDEX($O$58:$O$88,DAY(B79))),"Day over "&amp;INDEX($O$58:$O$88,DAY(B79))&amp;" h","✓")))))))))</f>
        <v/>
      </c>
      <c r="K79" s="1"/>
      <c r="L79" s="35" t="n">
        <v>46103</v>
      </c>
      <c r="M79" s="36" t="str">
        <f aca="false">TEXT(L79,"ddd")</f>
        <v>Sun</v>
      </c>
      <c r="N79" s="37" t="s">
        <v>94</v>
      </c>
      <c r="O79" s="37" t="n">
        <f aca="false">AvailHours</f>
        <v>8</v>
      </c>
      <c r="P79" s="24" t="n">
        <f aca="false">SUMIFS($I$7:$I$256,$B$7:$B$256,L79,$H$7:$H$256,"NTIME")</f>
        <v>0</v>
      </c>
      <c r="Q79" s="24" t="n">
        <f aca="false">SUMIFS($I$7:$I$256,$B$7:$B$256,L79,$H$7:$H$256,"P6")</f>
        <v>0</v>
      </c>
      <c r="R79" s="24" t="n">
        <f aca="false">IF(N79="Overhead only",O79,IF(AND(N79="Working",P79+Q79&gt;0),MAX(0,O79-P79-Q79),0))</f>
        <v>0</v>
      </c>
      <c r="S79" s="24" t="n">
        <f aca="false">IF(OR(N79="Working",N79="Overhead only"),MAX(0,P79+Q79-O79),0)</f>
        <v>0</v>
      </c>
      <c r="T79" s="24" t="n">
        <f aca="false">P79+Q79+R79</f>
        <v>0</v>
      </c>
      <c r="U79" s="24" t="str">
        <f aca="true">IF(N79="Working",IF(P79+Q79=0,IF(L79&lt;=TODAY(),"Not logged",""),IF(P79+Q79&gt;O79,IF(AllowOT="Yes","Overtime","Over "&amp;O79&amp;" h!"),"✓")),IF(N79="Overhead only","✓ Overhead day",IF(P79+Q79&gt;0,"Entries on "&amp;LOWER(N79)&amp;" day",N79)))</f>
        <v>Weekend</v>
      </c>
      <c r="V79" s="1"/>
      <c r="W79" s="1" t="str">
        <f aca="false">IF(Projects!B77="","",Projects!B77)</f>
        <v/>
      </c>
      <c r="X79" s="1" t="n">
        <f aca="false">IF(W79="",0,SUMIFS($I$7:$I$256,$D$7:$D$256,W79,$H$7:$H$256,"NTIME"))</f>
        <v>0</v>
      </c>
      <c r="Y79" s="1" t="n">
        <f aca="false">IF(W79="",0,SUMIFS($I$7:$I$256,$D$7:$D$256,W79,$H$7:$H$256,"P6"))</f>
        <v>0</v>
      </c>
      <c r="Z79" s="1" t="n">
        <f aca="false">X79+Y79</f>
        <v>0</v>
      </c>
      <c r="AA79" s="1" t="n">
        <f aca="false">IF(Z79&gt;0,Z79+(201-73)/10^6,0)</f>
        <v>0</v>
      </c>
      <c r="AB79" s="1"/>
      <c r="AC79" s="1"/>
      <c r="AD79" s="1"/>
      <c r="AE79" s="1"/>
      <c r="AF79" s="1"/>
      <c r="AG79" s="1"/>
      <c r="AH79" s="1"/>
    </row>
    <row r="80" customFormat="false" ht="15" hidden="false" customHeight="false" outlineLevel="0" collapsed="false">
      <c r="A80" s="1"/>
      <c r="B80" s="10"/>
      <c r="C80" s="31" t="str">
        <f aca="false">IF(B80="","",TEXT(B80,"ddd"))</f>
        <v/>
      </c>
      <c r="D80" s="11"/>
      <c r="E80" s="8" t="str">
        <f aca="false">IF(D80="","",IFERROR(INDEX(ProjNumbers,MATCH(D80,ProjNames,0)),""))</f>
        <v/>
      </c>
      <c r="F80" s="8" t="str">
        <f aca="false">IF(D80="","",IFERROR(INDEX(ProjCodes,MATCH(D80,ProjNames,0)),""))</f>
        <v/>
      </c>
      <c r="G80" s="32"/>
      <c r="H80" s="11"/>
      <c r="I80" s="33"/>
      <c r="J80" s="8" t="str">
        <f aca="false">IF(COUNTA(B80,D80,G80,H80,I80)=0,"",IF(B80="","Enter date",IF(OR(B80&lt;$AC$2,B80&gt;$AC$3),"Date not in March",IF(D80="","Pick project",IF(ISNA(MATCH(D80,ProjNames,0)),"Project not in list",IF(G80="","Add task description",IF(H80="","Pick NTIME or P6",IF(N(I80)&lt;=0,"Enter hours",IF(AND(AllowOT&lt;&gt;"Yes",SUMIF($B$7:$B$256,B80,$I$7:$I$256)&gt;INDEX($O$58:$O$88,DAY(B80))),"Day over "&amp;INDEX($O$58:$O$88,DAY(B80))&amp;" h","✓")))))))))</f>
        <v/>
      </c>
      <c r="K80" s="1"/>
      <c r="L80" s="35" t="n">
        <v>46104</v>
      </c>
      <c r="M80" s="36" t="str">
        <f aca="false">TEXT(L80,"ddd")</f>
        <v>Mon</v>
      </c>
      <c r="N80" s="37" t="s">
        <v>93</v>
      </c>
      <c r="O80" s="37" t="n">
        <f aca="false">AvailHours</f>
        <v>8</v>
      </c>
      <c r="P80" s="24" t="n">
        <f aca="false">SUMIFS($I$7:$I$256,$B$7:$B$256,L80,$H$7:$H$256,"NTIME")</f>
        <v>0</v>
      </c>
      <c r="Q80" s="24" t="n">
        <f aca="false">SUMIFS($I$7:$I$256,$B$7:$B$256,L80,$H$7:$H$256,"P6")</f>
        <v>0</v>
      </c>
      <c r="R80" s="24" t="n">
        <f aca="false">IF(N80="Overhead only",O80,IF(AND(N80="Working",P80+Q80&gt;0),MAX(0,O80-P80-Q80),0))</f>
        <v>0</v>
      </c>
      <c r="S80" s="24" t="n">
        <f aca="false">IF(OR(N80="Working",N80="Overhead only"),MAX(0,P80+Q80-O80),0)</f>
        <v>0</v>
      </c>
      <c r="T80" s="24" t="n">
        <f aca="false">P80+Q80+R80</f>
        <v>0</v>
      </c>
      <c r="U80" s="24" t="str">
        <f aca="true">IF(N80="Working",IF(P80+Q80=0,IF(L80&lt;=TODAY(),"Not logged",""),IF(P80+Q80&gt;O80,IF(AllowOT="Yes","Overtime","Over "&amp;O80&amp;" h!"),"✓")),IF(N80="Overhead only","✓ Overhead day",IF(P80+Q80&gt;0,"Entries on "&amp;LOWER(N80)&amp;" day",N80)))</f>
        <v>Not logged</v>
      </c>
      <c r="V80" s="1"/>
      <c r="W80" s="1" t="str">
        <f aca="false">IF(Projects!B78="","",Projects!B78)</f>
        <v/>
      </c>
      <c r="X80" s="1" t="n">
        <f aca="false">IF(W80="",0,SUMIFS($I$7:$I$256,$D$7:$D$256,W80,$H$7:$H$256,"NTIME"))</f>
        <v>0</v>
      </c>
      <c r="Y80" s="1" t="n">
        <f aca="false">IF(W80="",0,SUMIFS($I$7:$I$256,$D$7:$D$256,W80,$H$7:$H$256,"P6"))</f>
        <v>0</v>
      </c>
      <c r="Z80" s="1" t="n">
        <f aca="false">X80+Y80</f>
        <v>0</v>
      </c>
      <c r="AA80" s="1" t="n">
        <f aca="false">IF(Z80&gt;0,Z80+(201-74)/10^6,0)</f>
        <v>0</v>
      </c>
      <c r="AB80" s="1"/>
      <c r="AC80" s="1"/>
      <c r="AD80" s="1"/>
      <c r="AE80" s="1"/>
      <c r="AF80" s="1"/>
      <c r="AG80" s="1"/>
      <c r="AH80" s="1"/>
    </row>
    <row r="81" customFormat="false" ht="15" hidden="false" customHeight="false" outlineLevel="0" collapsed="false">
      <c r="A81" s="1"/>
      <c r="B81" s="10"/>
      <c r="C81" s="31" t="str">
        <f aca="false">IF(B81="","",TEXT(B81,"ddd"))</f>
        <v/>
      </c>
      <c r="D81" s="11"/>
      <c r="E81" s="8" t="str">
        <f aca="false">IF(D81="","",IFERROR(INDEX(ProjNumbers,MATCH(D81,ProjNames,0)),""))</f>
        <v/>
      </c>
      <c r="F81" s="8" t="str">
        <f aca="false">IF(D81="","",IFERROR(INDEX(ProjCodes,MATCH(D81,ProjNames,0)),""))</f>
        <v/>
      </c>
      <c r="G81" s="32"/>
      <c r="H81" s="11"/>
      <c r="I81" s="33"/>
      <c r="J81" s="8" t="str">
        <f aca="false">IF(COUNTA(B81,D81,G81,H81,I81)=0,"",IF(B81="","Enter date",IF(OR(B81&lt;$AC$2,B81&gt;$AC$3),"Date not in March",IF(D81="","Pick project",IF(ISNA(MATCH(D81,ProjNames,0)),"Project not in list",IF(G81="","Add task description",IF(H81="","Pick NTIME or P6",IF(N(I81)&lt;=0,"Enter hours",IF(AND(AllowOT&lt;&gt;"Yes",SUMIF($B$7:$B$256,B81,$I$7:$I$256)&gt;INDEX($O$58:$O$88,DAY(B81))),"Day over "&amp;INDEX($O$58:$O$88,DAY(B81))&amp;" h","✓")))))))))</f>
        <v/>
      </c>
      <c r="K81" s="1"/>
      <c r="L81" s="35" t="n">
        <v>46105</v>
      </c>
      <c r="M81" s="36" t="str">
        <f aca="false">TEXT(L81,"ddd")</f>
        <v>Tue</v>
      </c>
      <c r="N81" s="37" t="s">
        <v>93</v>
      </c>
      <c r="O81" s="37" t="n">
        <f aca="false">AvailHours</f>
        <v>8</v>
      </c>
      <c r="P81" s="24" t="n">
        <f aca="false">SUMIFS($I$7:$I$256,$B$7:$B$256,L81,$H$7:$H$256,"NTIME")</f>
        <v>0</v>
      </c>
      <c r="Q81" s="24" t="n">
        <f aca="false">SUMIFS($I$7:$I$256,$B$7:$B$256,L81,$H$7:$H$256,"P6")</f>
        <v>0</v>
      </c>
      <c r="R81" s="24" t="n">
        <f aca="false">IF(N81="Overhead only",O81,IF(AND(N81="Working",P81+Q81&gt;0),MAX(0,O81-P81-Q81),0))</f>
        <v>0</v>
      </c>
      <c r="S81" s="24" t="n">
        <f aca="false">IF(OR(N81="Working",N81="Overhead only"),MAX(0,P81+Q81-O81),0)</f>
        <v>0</v>
      </c>
      <c r="T81" s="24" t="n">
        <f aca="false">P81+Q81+R81</f>
        <v>0</v>
      </c>
      <c r="U81" s="24" t="str">
        <f aca="true">IF(N81="Working",IF(P81+Q81=0,IF(L81&lt;=TODAY(),"Not logged",""),IF(P81+Q81&gt;O81,IF(AllowOT="Yes","Overtime","Over "&amp;O81&amp;" h!"),"✓")),IF(N81="Overhead only","✓ Overhead day",IF(P81+Q81&gt;0,"Entries on "&amp;LOWER(N81)&amp;" day",N81)))</f>
        <v>Not logged</v>
      </c>
      <c r="V81" s="1"/>
      <c r="W81" s="1" t="str">
        <f aca="false">IF(Projects!B79="","",Projects!B79)</f>
        <v/>
      </c>
      <c r="X81" s="1" t="n">
        <f aca="false">IF(W81="",0,SUMIFS($I$7:$I$256,$D$7:$D$256,W81,$H$7:$H$256,"NTIME"))</f>
        <v>0</v>
      </c>
      <c r="Y81" s="1" t="n">
        <f aca="false">IF(W81="",0,SUMIFS($I$7:$I$256,$D$7:$D$256,W81,$H$7:$H$256,"P6"))</f>
        <v>0</v>
      </c>
      <c r="Z81" s="1" t="n">
        <f aca="false">X81+Y81</f>
        <v>0</v>
      </c>
      <c r="AA81" s="1" t="n">
        <f aca="false">IF(Z81&gt;0,Z81+(201-75)/10^6,0)</f>
        <v>0</v>
      </c>
      <c r="AB81" s="1"/>
      <c r="AC81" s="1"/>
      <c r="AD81" s="1"/>
      <c r="AE81" s="1"/>
      <c r="AF81" s="1"/>
      <c r="AG81" s="1"/>
      <c r="AH81" s="1"/>
    </row>
    <row r="82" customFormat="false" ht="15" hidden="false" customHeight="false" outlineLevel="0" collapsed="false">
      <c r="A82" s="1"/>
      <c r="B82" s="10"/>
      <c r="C82" s="31" t="str">
        <f aca="false">IF(B82="","",TEXT(B82,"ddd"))</f>
        <v/>
      </c>
      <c r="D82" s="11"/>
      <c r="E82" s="8" t="str">
        <f aca="false">IF(D82="","",IFERROR(INDEX(ProjNumbers,MATCH(D82,ProjNames,0)),""))</f>
        <v/>
      </c>
      <c r="F82" s="8" t="str">
        <f aca="false">IF(D82="","",IFERROR(INDEX(ProjCodes,MATCH(D82,ProjNames,0)),""))</f>
        <v/>
      </c>
      <c r="G82" s="32"/>
      <c r="H82" s="11"/>
      <c r="I82" s="33"/>
      <c r="J82" s="8" t="str">
        <f aca="false">IF(COUNTA(B82,D82,G82,H82,I82)=0,"",IF(B82="","Enter date",IF(OR(B82&lt;$AC$2,B82&gt;$AC$3),"Date not in March",IF(D82="","Pick project",IF(ISNA(MATCH(D82,ProjNames,0)),"Project not in list",IF(G82="","Add task description",IF(H82="","Pick NTIME or P6",IF(N(I82)&lt;=0,"Enter hours",IF(AND(AllowOT&lt;&gt;"Yes",SUMIF($B$7:$B$256,B82,$I$7:$I$256)&gt;INDEX($O$58:$O$88,DAY(B82))),"Day over "&amp;INDEX($O$58:$O$88,DAY(B82))&amp;" h","✓")))))))))</f>
        <v/>
      </c>
      <c r="K82" s="1"/>
      <c r="L82" s="35" t="n">
        <v>46106</v>
      </c>
      <c r="M82" s="36" t="str">
        <f aca="false">TEXT(L82,"ddd")</f>
        <v>Wed</v>
      </c>
      <c r="N82" s="37" t="s">
        <v>93</v>
      </c>
      <c r="O82" s="37" t="n">
        <f aca="false">AvailHours</f>
        <v>8</v>
      </c>
      <c r="P82" s="24" t="n">
        <f aca="false">SUMIFS($I$7:$I$256,$B$7:$B$256,L82,$H$7:$H$256,"NTIME")</f>
        <v>0</v>
      </c>
      <c r="Q82" s="24" t="n">
        <f aca="false">SUMIFS($I$7:$I$256,$B$7:$B$256,L82,$H$7:$H$256,"P6")</f>
        <v>0</v>
      </c>
      <c r="R82" s="24" t="n">
        <f aca="false">IF(N82="Overhead only",O82,IF(AND(N82="Working",P82+Q82&gt;0),MAX(0,O82-P82-Q82),0))</f>
        <v>0</v>
      </c>
      <c r="S82" s="24" t="n">
        <f aca="false">IF(OR(N82="Working",N82="Overhead only"),MAX(0,P82+Q82-O82),0)</f>
        <v>0</v>
      </c>
      <c r="T82" s="24" t="n">
        <f aca="false">P82+Q82+R82</f>
        <v>0</v>
      </c>
      <c r="U82" s="24" t="str">
        <f aca="true">IF(N82="Working",IF(P82+Q82=0,IF(L82&lt;=TODAY(),"Not logged",""),IF(P82+Q82&gt;O82,IF(AllowOT="Yes","Overtime","Over "&amp;O82&amp;" h!"),"✓")),IF(N82="Overhead only","✓ Overhead day",IF(P82+Q82&gt;0,"Entries on "&amp;LOWER(N82)&amp;" day",N82)))</f>
        <v>Not logged</v>
      </c>
      <c r="V82" s="1"/>
      <c r="W82" s="1" t="str">
        <f aca="false">IF(Projects!B80="","",Projects!B80)</f>
        <v/>
      </c>
      <c r="X82" s="1" t="n">
        <f aca="false">IF(W82="",0,SUMIFS($I$7:$I$256,$D$7:$D$256,W82,$H$7:$H$256,"NTIME"))</f>
        <v>0</v>
      </c>
      <c r="Y82" s="1" t="n">
        <f aca="false">IF(W82="",0,SUMIFS($I$7:$I$256,$D$7:$D$256,W82,$H$7:$H$256,"P6"))</f>
        <v>0</v>
      </c>
      <c r="Z82" s="1" t="n">
        <f aca="false">X82+Y82</f>
        <v>0</v>
      </c>
      <c r="AA82" s="1" t="n">
        <f aca="false">IF(Z82&gt;0,Z82+(201-76)/10^6,0)</f>
        <v>0</v>
      </c>
      <c r="AB82" s="1"/>
      <c r="AC82" s="1"/>
      <c r="AD82" s="1"/>
      <c r="AE82" s="1"/>
      <c r="AF82" s="1"/>
      <c r="AG82" s="1"/>
      <c r="AH82" s="1"/>
    </row>
    <row r="83" customFormat="false" ht="15" hidden="false" customHeight="false" outlineLevel="0" collapsed="false">
      <c r="A83" s="1"/>
      <c r="B83" s="10"/>
      <c r="C83" s="31" t="str">
        <f aca="false">IF(B83="","",TEXT(B83,"ddd"))</f>
        <v/>
      </c>
      <c r="D83" s="11"/>
      <c r="E83" s="8" t="str">
        <f aca="false">IF(D83="","",IFERROR(INDEX(ProjNumbers,MATCH(D83,ProjNames,0)),""))</f>
        <v/>
      </c>
      <c r="F83" s="8" t="str">
        <f aca="false">IF(D83="","",IFERROR(INDEX(ProjCodes,MATCH(D83,ProjNames,0)),""))</f>
        <v/>
      </c>
      <c r="G83" s="32"/>
      <c r="H83" s="11"/>
      <c r="I83" s="33"/>
      <c r="J83" s="8" t="str">
        <f aca="false">IF(COUNTA(B83,D83,G83,H83,I83)=0,"",IF(B83="","Enter date",IF(OR(B83&lt;$AC$2,B83&gt;$AC$3),"Date not in March",IF(D83="","Pick project",IF(ISNA(MATCH(D83,ProjNames,0)),"Project not in list",IF(G83="","Add task description",IF(H83="","Pick NTIME or P6",IF(N(I83)&lt;=0,"Enter hours",IF(AND(AllowOT&lt;&gt;"Yes",SUMIF($B$7:$B$256,B83,$I$7:$I$256)&gt;INDEX($O$58:$O$88,DAY(B83))),"Day over "&amp;INDEX($O$58:$O$88,DAY(B83))&amp;" h","✓")))))))))</f>
        <v/>
      </c>
      <c r="K83" s="1"/>
      <c r="L83" s="35" t="n">
        <v>46107</v>
      </c>
      <c r="M83" s="36" t="str">
        <f aca="false">TEXT(L83,"ddd")</f>
        <v>Thu</v>
      </c>
      <c r="N83" s="37" t="s">
        <v>93</v>
      </c>
      <c r="O83" s="37" t="n">
        <f aca="false">AvailHours</f>
        <v>8</v>
      </c>
      <c r="P83" s="24" t="n">
        <f aca="false">SUMIFS($I$7:$I$256,$B$7:$B$256,L83,$H$7:$H$256,"NTIME")</f>
        <v>0</v>
      </c>
      <c r="Q83" s="24" t="n">
        <f aca="false">SUMIFS($I$7:$I$256,$B$7:$B$256,L83,$H$7:$H$256,"P6")</f>
        <v>0</v>
      </c>
      <c r="R83" s="24" t="n">
        <f aca="false">IF(N83="Overhead only",O83,IF(AND(N83="Working",P83+Q83&gt;0),MAX(0,O83-P83-Q83),0))</f>
        <v>0</v>
      </c>
      <c r="S83" s="24" t="n">
        <f aca="false">IF(OR(N83="Working",N83="Overhead only"),MAX(0,P83+Q83-O83),0)</f>
        <v>0</v>
      </c>
      <c r="T83" s="24" t="n">
        <f aca="false">P83+Q83+R83</f>
        <v>0</v>
      </c>
      <c r="U83" s="24" t="str">
        <f aca="true">IF(N83="Working",IF(P83+Q83=0,IF(L83&lt;=TODAY(),"Not logged",""),IF(P83+Q83&gt;O83,IF(AllowOT="Yes","Overtime","Over "&amp;O83&amp;" h!"),"✓")),IF(N83="Overhead only","✓ Overhead day",IF(P83+Q83&gt;0,"Entries on "&amp;LOWER(N83)&amp;" day",N83)))</f>
        <v>Not logged</v>
      </c>
      <c r="V83" s="1"/>
      <c r="W83" s="1" t="str">
        <f aca="false">IF(Projects!B81="","",Projects!B81)</f>
        <v/>
      </c>
      <c r="X83" s="1" t="n">
        <f aca="false">IF(W83="",0,SUMIFS($I$7:$I$256,$D$7:$D$256,W83,$H$7:$H$256,"NTIME"))</f>
        <v>0</v>
      </c>
      <c r="Y83" s="1" t="n">
        <f aca="false">IF(W83="",0,SUMIFS($I$7:$I$256,$D$7:$D$256,W83,$H$7:$H$256,"P6"))</f>
        <v>0</v>
      </c>
      <c r="Z83" s="1" t="n">
        <f aca="false">X83+Y83</f>
        <v>0</v>
      </c>
      <c r="AA83" s="1" t="n">
        <f aca="false">IF(Z83&gt;0,Z83+(201-77)/10^6,0)</f>
        <v>0</v>
      </c>
      <c r="AB83" s="1"/>
      <c r="AC83" s="1"/>
      <c r="AD83" s="1"/>
      <c r="AE83" s="1"/>
      <c r="AF83" s="1"/>
      <c r="AG83" s="1"/>
      <c r="AH83" s="1"/>
    </row>
    <row r="84" customFormat="false" ht="15" hidden="false" customHeight="false" outlineLevel="0" collapsed="false">
      <c r="A84" s="1"/>
      <c r="B84" s="10"/>
      <c r="C84" s="31" t="str">
        <f aca="false">IF(B84="","",TEXT(B84,"ddd"))</f>
        <v/>
      </c>
      <c r="D84" s="11"/>
      <c r="E84" s="8" t="str">
        <f aca="false">IF(D84="","",IFERROR(INDEX(ProjNumbers,MATCH(D84,ProjNames,0)),""))</f>
        <v/>
      </c>
      <c r="F84" s="8" t="str">
        <f aca="false">IF(D84="","",IFERROR(INDEX(ProjCodes,MATCH(D84,ProjNames,0)),""))</f>
        <v/>
      </c>
      <c r="G84" s="32"/>
      <c r="H84" s="11"/>
      <c r="I84" s="33"/>
      <c r="J84" s="8" t="str">
        <f aca="false">IF(COUNTA(B84,D84,G84,H84,I84)=0,"",IF(B84="","Enter date",IF(OR(B84&lt;$AC$2,B84&gt;$AC$3),"Date not in March",IF(D84="","Pick project",IF(ISNA(MATCH(D84,ProjNames,0)),"Project not in list",IF(G84="","Add task description",IF(H84="","Pick NTIME or P6",IF(N(I84)&lt;=0,"Enter hours",IF(AND(AllowOT&lt;&gt;"Yes",SUMIF($B$7:$B$256,B84,$I$7:$I$256)&gt;INDEX($O$58:$O$88,DAY(B84))),"Day over "&amp;INDEX($O$58:$O$88,DAY(B84))&amp;" h","✓")))))))))</f>
        <v/>
      </c>
      <c r="K84" s="1"/>
      <c r="L84" s="35" t="n">
        <v>46108</v>
      </c>
      <c r="M84" s="36" t="str">
        <f aca="false">TEXT(L84,"ddd")</f>
        <v>Fri</v>
      </c>
      <c r="N84" s="37" t="s">
        <v>93</v>
      </c>
      <c r="O84" s="37" t="n">
        <f aca="false">AvailHours</f>
        <v>8</v>
      </c>
      <c r="P84" s="24" t="n">
        <f aca="false">SUMIFS($I$7:$I$256,$B$7:$B$256,L84,$H$7:$H$256,"NTIME")</f>
        <v>0</v>
      </c>
      <c r="Q84" s="24" t="n">
        <f aca="false">SUMIFS($I$7:$I$256,$B$7:$B$256,L84,$H$7:$H$256,"P6")</f>
        <v>0</v>
      </c>
      <c r="R84" s="24" t="n">
        <f aca="false">IF(N84="Overhead only",O84,IF(AND(N84="Working",P84+Q84&gt;0),MAX(0,O84-P84-Q84),0))</f>
        <v>0</v>
      </c>
      <c r="S84" s="24" t="n">
        <f aca="false">IF(OR(N84="Working",N84="Overhead only"),MAX(0,P84+Q84-O84),0)</f>
        <v>0</v>
      </c>
      <c r="T84" s="24" t="n">
        <f aca="false">P84+Q84+R84</f>
        <v>0</v>
      </c>
      <c r="U84" s="24" t="str">
        <f aca="true">IF(N84="Working",IF(P84+Q84=0,IF(L84&lt;=TODAY(),"Not logged",""),IF(P84+Q84&gt;O84,IF(AllowOT="Yes","Overtime","Over "&amp;O84&amp;" h!"),"✓")),IF(N84="Overhead only","✓ Overhead day",IF(P84+Q84&gt;0,"Entries on "&amp;LOWER(N84)&amp;" day",N84)))</f>
        <v>Not logged</v>
      </c>
      <c r="V84" s="1"/>
      <c r="W84" s="1" t="str">
        <f aca="false">IF(Projects!B82="","",Projects!B82)</f>
        <v/>
      </c>
      <c r="X84" s="1" t="n">
        <f aca="false">IF(W84="",0,SUMIFS($I$7:$I$256,$D$7:$D$256,W84,$H$7:$H$256,"NTIME"))</f>
        <v>0</v>
      </c>
      <c r="Y84" s="1" t="n">
        <f aca="false">IF(W84="",0,SUMIFS($I$7:$I$256,$D$7:$D$256,W84,$H$7:$H$256,"P6"))</f>
        <v>0</v>
      </c>
      <c r="Z84" s="1" t="n">
        <f aca="false">X84+Y84</f>
        <v>0</v>
      </c>
      <c r="AA84" s="1" t="n">
        <f aca="false">IF(Z84&gt;0,Z84+(201-78)/10^6,0)</f>
        <v>0</v>
      </c>
      <c r="AB84" s="1"/>
      <c r="AC84" s="1"/>
      <c r="AD84" s="1"/>
      <c r="AE84" s="1"/>
      <c r="AF84" s="1"/>
      <c r="AG84" s="1"/>
      <c r="AH84" s="1"/>
    </row>
    <row r="85" customFormat="false" ht="15" hidden="false" customHeight="false" outlineLevel="0" collapsed="false">
      <c r="A85" s="1"/>
      <c r="B85" s="10"/>
      <c r="C85" s="31" t="str">
        <f aca="false">IF(B85="","",TEXT(B85,"ddd"))</f>
        <v/>
      </c>
      <c r="D85" s="11"/>
      <c r="E85" s="8" t="str">
        <f aca="false">IF(D85="","",IFERROR(INDEX(ProjNumbers,MATCH(D85,ProjNames,0)),""))</f>
        <v/>
      </c>
      <c r="F85" s="8" t="str">
        <f aca="false">IF(D85="","",IFERROR(INDEX(ProjCodes,MATCH(D85,ProjNames,0)),""))</f>
        <v/>
      </c>
      <c r="G85" s="32"/>
      <c r="H85" s="11"/>
      <c r="I85" s="33"/>
      <c r="J85" s="8" t="str">
        <f aca="false">IF(COUNTA(B85,D85,G85,H85,I85)=0,"",IF(B85="","Enter date",IF(OR(B85&lt;$AC$2,B85&gt;$AC$3),"Date not in March",IF(D85="","Pick project",IF(ISNA(MATCH(D85,ProjNames,0)),"Project not in list",IF(G85="","Add task description",IF(H85="","Pick NTIME or P6",IF(N(I85)&lt;=0,"Enter hours",IF(AND(AllowOT&lt;&gt;"Yes",SUMIF($B$7:$B$256,B85,$I$7:$I$256)&gt;INDEX($O$58:$O$88,DAY(B85))),"Day over "&amp;INDEX($O$58:$O$88,DAY(B85))&amp;" h","✓")))))))))</f>
        <v/>
      </c>
      <c r="K85" s="1"/>
      <c r="L85" s="35" t="n">
        <v>46109</v>
      </c>
      <c r="M85" s="36" t="str">
        <f aca="false">TEXT(L85,"ddd")</f>
        <v>Sat</v>
      </c>
      <c r="N85" s="37" t="s">
        <v>94</v>
      </c>
      <c r="O85" s="37" t="n">
        <f aca="false">AvailHours</f>
        <v>8</v>
      </c>
      <c r="P85" s="24" t="n">
        <f aca="false">SUMIFS($I$7:$I$256,$B$7:$B$256,L85,$H$7:$H$256,"NTIME")</f>
        <v>0</v>
      </c>
      <c r="Q85" s="24" t="n">
        <f aca="false">SUMIFS($I$7:$I$256,$B$7:$B$256,L85,$H$7:$H$256,"P6")</f>
        <v>0</v>
      </c>
      <c r="R85" s="24" t="n">
        <f aca="false">IF(N85="Overhead only",O85,IF(AND(N85="Working",P85+Q85&gt;0),MAX(0,O85-P85-Q85),0))</f>
        <v>0</v>
      </c>
      <c r="S85" s="24" t="n">
        <f aca="false">IF(OR(N85="Working",N85="Overhead only"),MAX(0,P85+Q85-O85),0)</f>
        <v>0</v>
      </c>
      <c r="T85" s="24" t="n">
        <f aca="false">P85+Q85+R85</f>
        <v>0</v>
      </c>
      <c r="U85" s="24" t="str">
        <f aca="true">IF(N85="Working",IF(P85+Q85=0,IF(L85&lt;=TODAY(),"Not logged",""),IF(P85+Q85&gt;O85,IF(AllowOT="Yes","Overtime","Over "&amp;O85&amp;" h!"),"✓")),IF(N85="Overhead only","✓ Overhead day",IF(P85+Q85&gt;0,"Entries on "&amp;LOWER(N85)&amp;" day",N85)))</f>
        <v>Weekend</v>
      </c>
      <c r="V85" s="1"/>
      <c r="W85" s="1" t="str">
        <f aca="false">IF(Projects!B83="","",Projects!B83)</f>
        <v/>
      </c>
      <c r="X85" s="1" t="n">
        <f aca="false">IF(W85="",0,SUMIFS($I$7:$I$256,$D$7:$D$256,W85,$H$7:$H$256,"NTIME"))</f>
        <v>0</v>
      </c>
      <c r="Y85" s="1" t="n">
        <f aca="false">IF(W85="",0,SUMIFS($I$7:$I$256,$D$7:$D$256,W85,$H$7:$H$256,"P6"))</f>
        <v>0</v>
      </c>
      <c r="Z85" s="1" t="n">
        <f aca="false">X85+Y85</f>
        <v>0</v>
      </c>
      <c r="AA85" s="1" t="n">
        <f aca="false">IF(Z85&gt;0,Z85+(201-79)/10^6,0)</f>
        <v>0</v>
      </c>
      <c r="AB85" s="1"/>
      <c r="AC85" s="1"/>
      <c r="AD85" s="1"/>
      <c r="AE85" s="1"/>
      <c r="AF85" s="1"/>
      <c r="AG85" s="1"/>
      <c r="AH85" s="1"/>
    </row>
    <row r="86" customFormat="false" ht="15" hidden="false" customHeight="false" outlineLevel="0" collapsed="false">
      <c r="A86" s="1"/>
      <c r="B86" s="10"/>
      <c r="C86" s="31" t="str">
        <f aca="false">IF(B86="","",TEXT(B86,"ddd"))</f>
        <v/>
      </c>
      <c r="D86" s="11"/>
      <c r="E86" s="8" t="str">
        <f aca="false">IF(D86="","",IFERROR(INDEX(ProjNumbers,MATCH(D86,ProjNames,0)),""))</f>
        <v/>
      </c>
      <c r="F86" s="8" t="str">
        <f aca="false">IF(D86="","",IFERROR(INDEX(ProjCodes,MATCH(D86,ProjNames,0)),""))</f>
        <v/>
      </c>
      <c r="G86" s="32"/>
      <c r="H86" s="11"/>
      <c r="I86" s="33"/>
      <c r="J86" s="8" t="str">
        <f aca="false">IF(COUNTA(B86,D86,G86,H86,I86)=0,"",IF(B86="","Enter date",IF(OR(B86&lt;$AC$2,B86&gt;$AC$3),"Date not in March",IF(D86="","Pick project",IF(ISNA(MATCH(D86,ProjNames,0)),"Project not in list",IF(G86="","Add task description",IF(H86="","Pick NTIME or P6",IF(N(I86)&lt;=0,"Enter hours",IF(AND(AllowOT&lt;&gt;"Yes",SUMIF($B$7:$B$256,B86,$I$7:$I$256)&gt;INDEX($O$58:$O$88,DAY(B86))),"Day over "&amp;INDEX($O$58:$O$88,DAY(B86))&amp;" h","✓")))))))))</f>
        <v/>
      </c>
      <c r="K86" s="1"/>
      <c r="L86" s="35" t="n">
        <v>46110</v>
      </c>
      <c r="M86" s="36" t="str">
        <f aca="false">TEXT(L86,"ddd")</f>
        <v>Sun</v>
      </c>
      <c r="N86" s="37" t="s">
        <v>94</v>
      </c>
      <c r="O86" s="37" t="n">
        <f aca="false">AvailHours</f>
        <v>8</v>
      </c>
      <c r="P86" s="24" t="n">
        <f aca="false">SUMIFS($I$7:$I$256,$B$7:$B$256,L86,$H$7:$H$256,"NTIME")</f>
        <v>0</v>
      </c>
      <c r="Q86" s="24" t="n">
        <f aca="false">SUMIFS($I$7:$I$256,$B$7:$B$256,L86,$H$7:$H$256,"P6")</f>
        <v>0</v>
      </c>
      <c r="R86" s="24" t="n">
        <f aca="false">IF(N86="Overhead only",O86,IF(AND(N86="Working",P86+Q86&gt;0),MAX(0,O86-P86-Q86),0))</f>
        <v>0</v>
      </c>
      <c r="S86" s="24" t="n">
        <f aca="false">IF(OR(N86="Working",N86="Overhead only"),MAX(0,P86+Q86-O86),0)</f>
        <v>0</v>
      </c>
      <c r="T86" s="24" t="n">
        <f aca="false">P86+Q86+R86</f>
        <v>0</v>
      </c>
      <c r="U86" s="24" t="str">
        <f aca="true">IF(N86="Working",IF(P86+Q86=0,IF(L86&lt;=TODAY(),"Not logged",""),IF(P86+Q86&gt;O86,IF(AllowOT="Yes","Overtime","Over "&amp;O86&amp;" h!"),"✓")),IF(N86="Overhead only","✓ Overhead day",IF(P86+Q86&gt;0,"Entries on "&amp;LOWER(N86)&amp;" day",N86)))</f>
        <v>Weekend</v>
      </c>
      <c r="V86" s="1"/>
      <c r="W86" s="1" t="str">
        <f aca="false">IF(Projects!B84="","",Projects!B84)</f>
        <v/>
      </c>
      <c r="X86" s="1" t="n">
        <f aca="false">IF(W86="",0,SUMIFS($I$7:$I$256,$D$7:$D$256,W86,$H$7:$H$256,"NTIME"))</f>
        <v>0</v>
      </c>
      <c r="Y86" s="1" t="n">
        <f aca="false">IF(W86="",0,SUMIFS($I$7:$I$256,$D$7:$D$256,W86,$H$7:$H$256,"P6"))</f>
        <v>0</v>
      </c>
      <c r="Z86" s="1" t="n">
        <f aca="false">X86+Y86</f>
        <v>0</v>
      </c>
      <c r="AA86" s="1" t="n">
        <f aca="false">IF(Z86&gt;0,Z86+(201-80)/10^6,0)</f>
        <v>0</v>
      </c>
      <c r="AB86" s="1"/>
      <c r="AC86" s="1"/>
      <c r="AD86" s="1"/>
      <c r="AE86" s="1"/>
      <c r="AF86" s="1"/>
      <c r="AG86" s="1"/>
      <c r="AH86" s="1"/>
    </row>
    <row r="87" customFormat="false" ht="15" hidden="false" customHeight="false" outlineLevel="0" collapsed="false">
      <c r="A87" s="1"/>
      <c r="B87" s="10"/>
      <c r="C87" s="31" t="str">
        <f aca="false">IF(B87="","",TEXT(B87,"ddd"))</f>
        <v/>
      </c>
      <c r="D87" s="11"/>
      <c r="E87" s="8" t="str">
        <f aca="false">IF(D87="","",IFERROR(INDEX(ProjNumbers,MATCH(D87,ProjNames,0)),""))</f>
        <v/>
      </c>
      <c r="F87" s="8" t="str">
        <f aca="false">IF(D87="","",IFERROR(INDEX(ProjCodes,MATCH(D87,ProjNames,0)),""))</f>
        <v/>
      </c>
      <c r="G87" s="32"/>
      <c r="H87" s="11"/>
      <c r="I87" s="33"/>
      <c r="J87" s="8" t="str">
        <f aca="false">IF(COUNTA(B87,D87,G87,H87,I87)=0,"",IF(B87="","Enter date",IF(OR(B87&lt;$AC$2,B87&gt;$AC$3),"Date not in March",IF(D87="","Pick project",IF(ISNA(MATCH(D87,ProjNames,0)),"Project not in list",IF(G87="","Add task description",IF(H87="","Pick NTIME or P6",IF(N(I87)&lt;=0,"Enter hours",IF(AND(AllowOT&lt;&gt;"Yes",SUMIF($B$7:$B$256,B87,$I$7:$I$256)&gt;INDEX($O$58:$O$88,DAY(B87))),"Day over "&amp;INDEX($O$58:$O$88,DAY(B87))&amp;" h","✓")))))))))</f>
        <v/>
      </c>
      <c r="K87" s="1"/>
      <c r="L87" s="35" t="n">
        <v>46111</v>
      </c>
      <c r="M87" s="36" t="str">
        <f aca="false">TEXT(L87,"ddd")</f>
        <v>Mon</v>
      </c>
      <c r="N87" s="37" t="s">
        <v>93</v>
      </c>
      <c r="O87" s="37" t="n">
        <f aca="false">AvailHours</f>
        <v>8</v>
      </c>
      <c r="P87" s="24" t="n">
        <f aca="false">SUMIFS($I$7:$I$256,$B$7:$B$256,L87,$H$7:$H$256,"NTIME")</f>
        <v>0</v>
      </c>
      <c r="Q87" s="24" t="n">
        <f aca="false">SUMIFS($I$7:$I$256,$B$7:$B$256,L87,$H$7:$H$256,"P6")</f>
        <v>0</v>
      </c>
      <c r="R87" s="24" t="n">
        <f aca="false">IF(N87="Overhead only",O87,IF(AND(N87="Working",P87+Q87&gt;0),MAX(0,O87-P87-Q87),0))</f>
        <v>0</v>
      </c>
      <c r="S87" s="24" t="n">
        <f aca="false">IF(OR(N87="Working",N87="Overhead only"),MAX(0,P87+Q87-O87),0)</f>
        <v>0</v>
      </c>
      <c r="T87" s="24" t="n">
        <f aca="false">P87+Q87+R87</f>
        <v>0</v>
      </c>
      <c r="U87" s="24" t="str">
        <f aca="true">IF(N87="Working",IF(P87+Q87=0,IF(L87&lt;=TODAY(),"Not logged",""),IF(P87+Q87&gt;O87,IF(AllowOT="Yes","Overtime","Over "&amp;O87&amp;" h!"),"✓")),IF(N87="Overhead only","✓ Overhead day",IF(P87+Q87&gt;0,"Entries on "&amp;LOWER(N87)&amp;" day",N87)))</f>
        <v>Not logged</v>
      </c>
      <c r="V87" s="1"/>
      <c r="W87" s="1" t="str">
        <f aca="false">IF(Projects!B85="","",Projects!B85)</f>
        <v/>
      </c>
      <c r="X87" s="1" t="n">
        <f aca="false">IF(W87="",0,SUMIFS($I$7:$I$256,$D$7:$D$256,W87,$H$7:$H$256,"NTIME"))</f>
        <v>0</v>
      </c>
      <c r="Y87" s="1" t="n">
        <f aca="false">IF(W87="",0,SUMIFS($I$7:$I$256,$D$7:$D$256,W87,$H$7:$H$256,"P6"))</f>
        <v>0</v>
      </c>
      <c r="Z87" s="1" t="n">
        <f aca="false">X87+Y87</f>
        <v>0</v>
      </c>
      <c r="AA87" s="1" t="n">
        <f aca="false">IF(Z87&gt;0,Z87+(201-81)/10^6,0)</f>
        <v>0</v>
      </c>
      <c r="AB87" s="1"/>
      <c r="AC87" s="1"/>
      <c r="AD87" s="1"/>
      <c r="AE87" s="1"/>
      <c r="AF87" s="1"/>
      <c r="AG87" s="1"/>
      <c r="AH87" s="1"/>
    </row>
    <row r="88" customFormat="false" ht="15" hidden="false" customHeight="false" outlineLevel="0" collapsed="false">
      <c r="A88" s="1"/>
      <c r="B88" s="10"/>
      <c r="C88" s="31" t="str">
        <f aca="false">IF(B88="","",TEXT(B88,"ddd"))</f>
        <v/>
      </c>
      <c r="D88" s="11"/>
      <c r="E88" s="8" t="str">
        <f aca="false">IF(D88="","",IFERROR(INDEX(ProjNumbers,MATCH(D88,ProjNames,0)),""))</f>
        <v/>
      </c>
      <c r="F88" s="8" t="str">
        <f aca="false">IF(D88="","",IFERROR(INDEX(ProjCodes,MATCH(D88,ProjNames,0)),""))</f>
        <v/>
      </c>
      <c r="G88" s="32"/>
      <c r="H88" s="11"/>
      <c r="I88" s="33"/>
      <c r="J88" s="8" t="str">
        <f aca="false">IF(COUNTA(B88,D88,G88,H88,I88)=0,"",IF(B88="","Enter date",IF(OR(B88&lt;$AC$2,B88&gt;$AC$3),"Date not in March",IF(D88="","Pick project",IF(ISNA(MATCH(D88,ProjNames,0)),"Project not in list",IF(G88="","Add task description",IF(H88="","Pick NTIME or P6",IF(N(I88)&lt;=0,"Enter hours",IF(AND(AllowOT&lt;&gt;"Yes",SUMIF($B$7:$B$256,B88,$I$7:$I$256)&gt;INDEX($O$58:$O$88,DAY(B88))),"Day over "&amp;INDEX($O$58:$O$88,DAY(B88))&amp;" h","✓")))))))))</f>
        <v/>
      </c>
      <c r="K88" s="1"/>
      <c r="L88" s="35" t="n">
        <v>46112</v>
      </c>
      <c r="M88" s="36" t="str">
        <f aca="false">TEXT(L88,"ddd")</f>
        <v>Tue</v>
      </c>
      <c r="N88" s="37" t="s">
        <v>93</v>
      </c>
      <c r="O88" s="37" t="n">
        <f aca="false">AvailHours</f>
        <v>8</v>
      </c>
      <c r="P88" s="24" t="n">
        <f aca="false">SUMIFS($I$7:$I$256,$B$7:$B$256,L88,$H$7:$H$256,"NTIME")</f>
        <v>0</v>
      </c>
      <c r="Q88" s="24" t="n">
        <f aca="false">SUMIFS($I$7:$I$256,$B$7:$B$256,L88,$H$7:$H$256,"P6")</f>
        <v>0</v>
      </c>
      <c r="R88" s="24" t="n">
        <f aca="false">IF(N88="Overhead only",O88,IF(AND(N88="Working",P88+Q88&gt;0),MAX(0,O88-P88-Q88),0))</f>
        <v>0</v>
      </c>
      <c r="S88" s="24" t="n">
        <f aca="false">IF(OR(N88="Working",N88="Overhead only"),MAX(0,P88+Q88-O88),0)</f>
        <v>0</v>
      </c>
      <c r="T88" s="24" t="n">
        <f aca="false">P88+Q88+R88</f>
        <v>0</v>
      </c>
      <c r="U88" s="24" t="str">
        <f aca="true">IF(N88="Working",IF(P88+Q88=0,IF(L88&lt;=TODAY(),"Not logged",""),IF(P88+Q88&gt;O88,IF(AllowOT="Yes","Overtime","Over "&amp;O88&amp;" h!"),"✓")),IF(N88="Overhead only","✓ Overhead day",IF(P88+Q88&gt;0,"Entries on "&amp;LOWER(N88)&amp;" day",N88)))</f>
        <v>Not logged</v>
      </c>
      <c r="V88" s="1"/>
      <c r="W88" s="1" t="str">
        <f aca="false">IF(Projects!B86="","",Projects!B86)</f>
        <v/>
      </c>
      <c r="X88" s="1" t="n">
        <f aca="false">IF(W88="",0,SUMIFS($I$7:$I$256,$D$7:$D$256,W88,$H$7:$H$256,"NTIME"))</f>
        <v>0</v>
      </c>
      <c r="Y88" s="1" t="n">
        <f aca="false">IF(W88="",0,SUMIFS($I$7:$I$256,$D$7:$D$256,W88,$H$7:$H$256,"P6"))</f>
        <v>0</v>
      </c>
      <c r="Z88" s="1" t="n">
        <f aca="false">X88+Y88</f>
        <v>0</v>
      </c>
      <c r="AA88" s="1" t="n">
        <f aca="false">IF(Z88&gt;0,Z88+(201-82)/10^6,0)</f>
        <v>0</v>
      </c>
      <c r="AB88" s="1"/>
      <c r="AC88" s="1"/>
      <c r="AD88" s="1"/>
      <c r="AE88" s="1"/>
      <c r="AF88" s="1"/>
      <c r="AG88" s="1"/>
      <c r="AH88" s="1"/>
    </row>
    <row r="89" customFormat="false" ht="15" hidden="false" customHeight="false" outlineLevel="0" collapsed="false">
      <c r="A89" s="1"/>
      <c r="B89" s="10"/>
      <c r="C89" s="31" t="str">
        <f aca="false">IF(B89="","",TEXT(B89,"ddd"))</f>
        <v/>
      </c>
      <c r="D89" s="11"/>
      <c r="E89" s="8" t="str">
        <f aca="false">IF(D89="","",IFERROR(INDEX(ProjNumbers,MATCH(D89,ProjNames,0)),""))</f>
        <v/>
      </c>
      <c r="F89" s="8" t="str">
        <f aca="false">IF(D89="","",IFERROR(INDEX(ProjCodes,MATCH(D89,ProjNames,0)),""))</f>
        <v/>
      </c>
      <c r="G89" s="32"/>
      <c r="H89" s="11"/>
      <c r="I89" s="33"/>
      <c r="J89" s="8" t="str">
        <f aca="false">IF(COUNTA(B89,D89,G89,H89,I89)=0,"",IF(B89="","Enter date",IF(OR(B89&lt;$AC$2,B89&gt;$AC$3),"Date not in March",IF(D89="","Pick project",IF(ISNA(MATCH(D89,ProjNames,0)),"Project not in list",IF(G89="","Add task description",IF(H89="","Pick NTIME or P6",IF(N(I89)&lt;=0,"Enter hours",IF(AND(AllowOT&lt;&gt;"Yes",SUMIF($B$7:$B$256,B89,$I$7:$I$256)&gt;INDEX($O$58:$O$88,DAY(B89))),"Day over "&amp;INDEX($O$58:$O$88,DAY(B89))&amp;" h","✓")))))))))</f>
        <v/>
      </c>
      <c r="K89" s="1"/>
      <c r="L89" s="27" t="s">
        <v>84</v>
      </c>
      <c r="M89" s="27"/>
      <c r="N89" s="27"/>
      <c r="O89" s="27"/>
      <c r="P89" s="27" t="n">
        <f aca="false">SUM(P58:P88)</f>
        <v>0</v>
      </c>
      <c r="Q89" s="27" t="n">
        <f aca="false">SUM(Q58:Q88)</f>
        <v>0</v>
      </c>
      <c r="R89" s="27" t="n">
        <f aca="false">SUM(R58:R88)</f>
        <v>0</v>
      </c>
      <c r="S89" s="27" t="n">
        <f aca="false">SUM(S58:S88)</f>
        <v>0</v>
      </c>
      <c r="T89" s="27" t="n">
        <f aca="false">SUM(T58:T88)</f>
        <v>0</v>
      </c>
      <c r="U89" s="27"/>
      <c r="V89" s="1"/>
      <c r="W89" s="1" t="str">
        <f aca="false">IF(Projects!B87="","",Projects!B87)</f>
        <v/>
      </c>
      <c r="X89" s="1" t="n">
        <f aca="false">IF(W89="",0,SUMIFS($I$7:$I$256,$D$7:$D$256,W89,$H$7:$H$256,"NTIME"))</f>
        <v>0</v>
      </c>
      <c r="Y89" s="1" t="n">
        <f aca="false">IF(W89="",0,SUMIFS($I$7:$I$256,$D$7:$D$256,W89,$H$7:$H$256,"P6"))</f>
        <v>0</v>
      </c>
      <c r="Z89" s="1" t="n">
        <f aca="false">X89+Y89</f>
        <v>0</v>
      </c>
      <c r="AA89" s="1" t="n">
        <f aca="false">IF(Z89&gt;0,Z89+(201-83)/10^6,0)</f>
        <v>0</v>
      </c>
      <c r="AB89" s="1"/>
      <c r="AC89" s="1"/>
      <c r="AD89" s="1"/>
      <c r="AE89" s="1"/>
      <c r="AF89" s="1"/>
      <c r="AG89" s="1"/>
      <c r="AH89" s="1"/>
    </row>
    <row r="90" customFormat="false" ht="15" hidden="false" customHeight="false" outlineLevel="0" collapsed="false">
      <c r="A90" s="1"/>
      <c r="B90" s="10"/>
      <c r="C90" s="31" t="str">
        <f aca="false">IF(B90="","",TEXT(B90,"ddd"))</f>
        <v/>
      </c>
      <c r="D90" s="11"/>
      <c r="E90" s="8" t="str">
        <f aca="false">IF(D90="","",IFERROR(INDEX(ProjNumbers,MATCH(D90,ProjNames,0)),""))</f>
        <v/>
      </c>
      <c r="F90" s="8" t="str">
        <f aca="false">IF(D90="","",IFERROR(INDEX(ProjCodes,MATCH(D90,ProjNames,0)),""))</f>
        <v/>
      </c>
      <c r="G90" s="32"/>
      <c r="H90" s="11"/>
      <c r="I90" s="33"/>
      <c r="J90" s="8" t="str">
        <f aca="false">IF(COUNTA(B90,D90,G90,H90,I90)=0,"",IF(B90="","Enter date",IF(OR(B90&lt;$AC$2,B90&gt;$AC$3),"Date not in March",IF(D90="","Pick project",IF(ISNA(MATCH(D90,ProjNames,0)),"Project not in list",IF(G90="","Add task description",IF(H90="","Pick NTIME or P6",IF(N(I90)&lt;=0,"Enter hours",IF(AND(AllowOT&lt;&gt;"Yes",SUMIF($B$7:$B$256,B90,$I$7:$I$256)&gt;INDEX($O$58:$O$88,DAY(B90))),"Day over "&amp;INDEX($O$58:$O$88,DAY(B90))&amp;" h","✓")))))))))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tr">
        <f aca="false">IF(Projects!B88="","",Projects!B88)</f>
        <v/>
      </c>
      <c r="X90" s="1" t="n">
        <f aca="false">IF(W90="",0,SUMIFS($I$7:$I$256,$D$7:$D$256,W90,$H$7:$H$256,"NTIME"))</f>
        <v>0</v>
      </c>
      <c r="Y90" s="1" t="n">
        <f aca="false">IF(W90="",0,SUMIFS($I$7:$I$256,$D$7:$D$256,W90,$H$7:$H$256,"P6"))</f>
        <v>0</v>
      </c>
      <c r="Z90" s="1" t="n">
        <f aca="false">X90+Y90</f>
        <v>0</v>
      </c>
      <c r="AA90" s="1" t="n">
        <f aca="false">IF(Z90&gt;0,Z90+(201-84)/10^6,0)</f>
        <v>0</v>
      </c>
      <c r="AB90" s="1"/>
      <c r="AC90" s="1"/>
      <c r="AD90" s="1"/>
      <c r="AE90" s="1"/>
      <c r="AF90" s="1"/>
      <c r="AG90" s="1"/>
      <c r="AH90" s="1"/>
    </row>
    <row r="91" customFormat="false" ht="15" hidden="false" customHeight="false" outlineLevel="0" collapsed="false">
      <c r="A91" s="1"/>
      <c r="B91" s="10"/>
      <c r="C91" s="31" t="str">
        <f aca="false">IF(B91="","",TEXT(B91,"ddd"))</f>
        <v/>
      </c>
      <c r="D91" s="11"/>
      <c r="E91" s="8" t="str">
        <f aca="false">IF(D91="","",IFERROR(INDEX(ProjNumbers,MATCH(D91,ProjNames,0)),""))</f>
        <v/>
      </c>
      <c r="F91" s="8" t="str">
        <f aca="false">IF(D91="","",IFERROR(INDEX(ProjCodes,MATCH(D91,ProjNames,0)),""))</f>
        <v/>
      </c>
      <c r="G91" s="32"/>
      <c r="H91" s="11"/>
      <c r="I91" s="33"/>
      <c r="J91" s="8" t="str">
        <f aca="false">IF(COUNTA(B91,D91,G91,H91,I91)=0,"",IF(B91="","Enter date",IF(OR(B91&lt;$AC$2,B91&gt;$AC$3),"Date not in March",IF(D91="","Pick project",IF(ISNA(MATCH(D91,ProjNames,0)),"Project not in list",IF(G91="","Add task description",IF(H91="","Pick NTIME or P6",IF(N(I91)&lt;=0,"Enter hours",IF(AND(AllowOT&lt;&gt;"Yes",SUMIF($B$7:$B$256,B91,$I$7:$I$256)&gt;INDEX($O$58:$O$88,DAY(B91))),"Day over "&amp;INDEX($O$58:$O$88,DAY(B91))&amp;" h","✓")))))))))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tr">
        <f aca="false">IF(Projects!B89="","",Projects!B89)</f>
        <v/>
      </c>
      <c r="X91" s="1" t="n">
        <f aca="false">IF(W91="",0,SUMIFS($I$7:$I$256,$D$7:$D$256,W91,$H$7:$H$256,"NTIME"))</f>
        <v>0</v>
      </c>
      <c r="Y91" s="1" t="n">
        <f aca="false">IF(W91="",0,SUMIFS($I$7:$I$256,$D$7:$D$256,W91,$H$7:$H$256,"P6"))</f>
        <v>0</v>
      </c>
      <c r="Z91" s="1" t="n">
        <f aca="false">X91+Y91</f>
        <v>0</v>
      </c>
      <c r="AA91" s="1" t="n">
        <f aca="false">IF(Z91&gt;0,Z91+(201-85)/10^6,0)</f>
        <v>0</v>
      </c>
      <c r="AB91" s="1"/>
      <c r="AC91" s="1"/>
      <c r="AD91" s="1"/>
      <c r="AE91" s="1"/>
      <c r="AF91" s="1"/>
      <c r="AG91" s="1"/>
      <c r="AH91" s="1"/>
    </row>
    <row r="92" customFormat="false" ht="15" hidden="false" customHeight="false" outlineLevel="0" collapsed="false">
      <c r="A92" s="1"/>
      <c r="B92" s="10"/>
      <c r="C92" s="31" t="str">
        <f aca="false">IF(B92="","",TEXT(B92,"ddd"))</f>
        <v/>
      </c>
      <c r="D92" s="11"/>
      <c r="E92" s="8" t="str">
        <f aca="false">IF(D92="","",IFERROR(INDEX(ProjNumbers,MATCH(D92,ProjNames,0)),""))</f>
        <v/>
      </c>
      <c r="F92" s="8" t="str">
        <f aca="false">IF(D92="","",IFERROR(INDEX(ProjCodes,MATCH(D92,ProjNames,0)),""))</f>
        <v/>
      </c>
      <c r="G92" s="32"/>
      <c r="H92" s="11"/>
      <c r="I92" s="33"/>
      <c r="J92" s="8" t="str">
        <f aca="false">IF(COUNTA(B92,D92,G92,H92,I92)=0,"",IF(B92="","Enter date",IF(OR(B92&lt;$AC$2,B92&gt;$AC$3),"Date not in March",IF(D92="","Pick project",IF(ISNA(MATCH(D92,ProjNames,0)),"Project not in list",IF(G92="","Add task description",IF(H92="","Pick NTIME or P6",IF(N(I92)&lt;=0,"Enter hours",IF(AND(AllowOT&lt;&gt;"Yes",SUMIF($B$7:$B$256,B92,$I$7:$I$256)&gt;INDEX($O$58:$O$88,DAY(B92))),"Day over "&amp;INDEX($O$58:$O$88,DAY(B92))&amp;" h","✓")))))))))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tr">
        <f aca="false">IF(Projects!B90="","",Projects!B90)</f>
        <v/>
      </c>
      <c r="X92" s="1" t="n">
        <f aca="false">IF(W92="",0,SUMIFS($I$7:$I$256,$D$7:$D$256,W92,$H$7:$H$256,"NTIME"))</f>
        <v>0</v>
      </c>
      <c r="Y92" s="1" t="n">
        <f aca="false">IF(W92="",0,SUMIFS($I$7:$I$256,$D$7:$D$256,W92,$H$7:$H$256,"P6"))</f>
        <v>0</v>
      </c>
      <c r="Z92" s="1" t="n">
        <f aca="false">X92+Y92</f>
        <v>0</v>
      </c>
      <c r="AA92" s="1" t="n">
        <f aca="false">IF(Z92&gt;0,Z92+(201-86)/10^6,0)</f>
        <v>0</v>
      </c>
      <c r="AB92" s="1"/>
      <c r="AC92" s="1"/>
      <c r="AD92" s="1"/>
      <c r="AE92" s="1"/>
      <c r="AF92" s="1"/>
      <c r="AG92" s="1"/>
      <c r="AH92" s="1"/>
    </row>
    <row r="93" customFormat="false" ht="15" hidden="false" customHeight="false" outlineLevel="0" collapsed="false">
      <c r="A93" s="1"/>
      <c r="B93" s="10"/>
      <c r="C93" s="31" t="str">
        <f aca="false">IF(B93="","",TEXT(B93,"ddd"))</f>
        <v/>
      </c>
      <c r="D93" s="11"/>
      <c r="E93" s="8" t="str">
        <f aca="false">IF(D93="","",IFERROR(INDEX(ProjNumbers,MATCH(D93,ProjNames,0)),""))</f>
        <v/>
      </c>
      <c r="F93" s="8" t="str">
        <f aca="false">IF(D93="","",IFERROR(INDEX(ProjCodes,MATCH(D93,ProjNames,0)),""))</f>
        <v/>
      </c>
      <c r="G93" s="32"/>
      <c r="H93" s="11"/>
      <c r="I93" s="33"/>
      <c r="J93" s="8" t="str">
        <f aca="false">IF(COUNTA(B93,D93,G93,H93,I93)=0,"",IF(B93="","Enter date",IF(OR(B93&lt;$AC$2,B93&gt;$AC$3),"Date not in March",IF(D93="","Pick project",IF(ISNA(MATCH(D93,ProjNames,0)),"Project not in list",IF(G93="","Add task description",IF(H93="","Pick NTIME or P6",IF(N(I93)&lt;=0,"Enter hours",IF(AND(AllowOT&lt;&gt;"Yes",SUMIF($B$7:$B$256,B93,$I$7:$I$256)&gt;INDEX($O$58:$O$88,DAY(B93))),"Day over "&amp;INDEX($O$58:$O$88,DAY(B93))&amp;" h","✓")))))))))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tr">
        <f aca="false">IF(Projects!B91="","",Projects!B91)</f>
        <v/>
      </c>
      <c r="X93" s="1" t="n">
        <f aca="false">IF(W93="",0,SUMIFS($I$7:$I$256,$D$7:$D$256,W93,$H$7:$H$256,"NTIME"))</f>
        <v>0</v>
      </c>
      <c r="Y93" s="1" t="n">
        <f aca="false">IF(W93="",0,SUMIFS($I$7:$I$256,$D$7:$D$256,W93,$H$7:$H$256,"P6"))</f>
        <v>0</v>
      </c>
      <c r="Z93" s="1" t="n">
        <f aca="false">X93+Y93</f>
        <v>0</v>
      </c>
      <c r="AA93" s="1" t="n">
        <f aca="false">IF(Z93&gt;0,Z93+(201-87)/10^6,0)</f>
        <v>0</v>
      </c>
      <c r="AB93" s="1"/>
      <c r="AC93" s="1"/>
      <c r="AD93" s="1"/>
      <c r="AE93" s="1"/>
      <c r="AF93" s="1"/>
      <c r="AG93" s="1"/>
      <c r="AH93" s="1"/>
    </row>
    <row r="94" customFormat="false" ht="15" hidden="false" customHeight="false" outlineLevel="0" collapsed="false">
      <c r="A94" s="1"/>
      <c r="B94" s="10"/>
      <c r="C94" s="31" t="str">
        <f aca="false">IF(B94="","",TEXT(B94,"ddd"))</f>
        <v/>
      </c>
      <c r="D94" s="11"/>
      <c r="E94" s="8" t="str">
        <f aca="false">IF(D94="","",IFERROR(INDEX(ProjNumbers,MATCH(D94,ProjNames,0)),""))</f>
        <v/>
      </c>
      <c r="F94" s="8" t="str">
        <f aca="false">IF(D94="","",IFERROR(INDEX(ProjCodes,MATCH(D94,ProjNames,0)),""))</f>
        <v/>
      </c>
      <c r="G94" s="32"/>
      <c r="H94" s="11"/>
      <c r="I94" s="33"/>
      <c r="J94" s="8" t="str">
        <f aca="false">IF(COUNTA(B94,D94,G94,H94,I94)=0,"",IF(B94="","Enter date",IF(OR(B94&lt;$AC$2,B94&gt;$AC$3),"Date not in March",IF(D94="","Pick project",IF(ISNA(MATCH(D94,ProjNames,0)),"Project not in list",IF(G94="","Add task description",IF(H94="","Pick NTIME or P6",IF(N(I94)&lt;=0,"Enter hours",IF(AND(AllowOT&lt;&gt;"Yes",SUMIF($B$7:$B$256,B94,$I$7:$I$256)&gt;INDEX($O$58:$O$88,DAY(B94))),"Day over "&amp;INDEX($O$58:$O$88,DAY(B94))&amp;" h","✓")))))))))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tr">
        <f aca="false">IF(Projects!B92="","",Projects!B92)</f>
        <v/>
      </c>
      <c r="X94" s="1" t="n">
        <f aca="false">IF(W94="",0,SUMIFS($I$7:$I$256,$D$7:$D$256,W94,$H$7:$H$256,"NTIME"))</f>
        <v>0</v>
      </c>
      <c r="Y94" s="1" t="n">
        <f aca="false">IF(W94="",0,SUMIFS($I$7:$I$256,$D$7:$D$256,W94,$H$7:$H$256,"P6"))</f>
        <v>0</v>
      </c>
      <c r="Z94" s="1" t="n">
        <f aca="false">X94+Y94</f>
        <v>0</v>
      </c>
      <c r="AA94" s="1" t="n">
        <f aca="false">IF(Z94&gt;0,Z94+(201-88)/10^6,0)</f>
        <v>0</v>
      </c>
      <c r="AB94" s="1"/>
      <c r="AC94" s="1"/>
      <c r="AD94" s="1"/>
      <c r="AE94" s="1"/>
      <c r="AF94" s="1"/>
      <c r="AG94" s="1"/>
      <c r="AH94" s="1"/>
    </row>
    <row r="95" customFormat="false" ht="15" hidden="false" customHeight="false" outlineLevel="0" collapsed="false">
      <c r="A95" s="1"/>
      <c r="B95" s="10"/>
      <c r="C95" s="31" t="str">
        <f aca="false">IF(B95="","",TEXT(B95,"ddd"))</f>
        <v/>
      </c>
      <c r="D95" s="11"/>
      <c r="E95" s="8" t="str">
        <f aca="false">IF(D95="","",IFERROR(INDEX(ProjNumbers,MATCH(D95,ProjNames,0)),""))</f>
        <v/>
      </c>
      <c r="F95" s="8" t="str">
        <f aca="false">IF(D95="","",IFERROR(INDEX(ProjCodes,MATCH(D95,ProjNames,0)),""))</f>
        <v/>
      </c>
      <c r="G95" s="32"/>
      <c r="H95" s="11"/>
      <c r="I95" s="33"/>
      <c r="J95" s="8" t="str">
        <f aca="false">IF(COUNTA(B95,D95,G95,H95,I95)=0,"",IF(B95="","Enter date",IF(OR(B95&lt;$AC$2,B95&gt;$AC$3),"Date not in March",IF(D95="","Pick project",IF(ISNA(MATCH(D95,ProjNames,0)),"Project not in list",IF(G95="","Add task description",IF(H95="","Pick NTIME or P6",IF(N(I95)&lt;=0,"Enter hours",IF(AND(AllowOT&lt;&gt;"Yes",SUMIF($B$7:$B$256,B95,$I$7:$I$256)&gt;INDEX($O$58:$O$88,DAY(B95))),"Day over "&amp;INDEX($O$58:$O$88,DAY(B95))&amp;" h","✓")))))))))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tr">
        <f aca="false">IF(Projects!B93="","",Projects!B93)</f>
        <v/>
      </c>
      <c r="X95" s="1" t="n">
        <f aca="false">IF(W95="",0,SUMIFS($I$7:$I$256,$D$7:$D$256,W95,$H$7:$H$256,"NTIME"))</f>
        <v>0</v>
      </c>
      <c r="Y95" s="1" t="n">
        <f aca="false">IF(W95="",0,SUMIFS($I$7:$I$256,$D$7:$D$256,W95,$H$7:$H$256,"P6"))</f>
        <v>0</v>
      </c>
      <c r="Z95" s="1" t="n">
        <f aca="false">X95+Y95</f>
        <v>0</v>
      </c>
      <c r="AA95" s="1" t="n">
        <f aca="false">IF(Z95&gt;0,Z95+(201-89)/10^6,0)</f>
        <v>0</v>
      </c>
      <c r="AB95" s="1"/>
      <c r="AC95" s="1"/>
      <c r="AD95" s="1"/>
      <c r="AE95" s="1"/>
      <c r="AF95" s="1"/>
      <c r="AG95" s="1"/>
      <c r="AH95" s="1"/>
    </row>
    <row r="96" customFormat="false" ht="15" hidden="false" customHeight="false" outlineLevel="0" collapsed="false">
      <c r="A96" s="1"/>
      <c r="B96" s="10"/>
      <c r="C96" s="31" t="str">
        <f aca="false">IF(B96="","",TEXT(B96,"ddd"))</f>
        <v/>
      </c>
      <c r="D96" s="11"/>
      <c r="E96" s="8" t="str">
        <f aca="false">IF(D96="","",IFERROR(INDEX(ProjNumbers,MATCH(D96,ProjNames,0)),""))</f>
        <v/>
      </c>
      <c r="F96" s="8" t="str">
        <f aca="false">IF(D96="","",IFERROR(INDEX(ProjCodes,MATCH(D96,ProjNames,0)),""))</f>
        <v/>
      </c>
      <c r="G96" s="32"/>
      <c r="H96" s="11"/>
      <c r="I96" s="33"/>
      <c r="J96" s="8" t="str">
        <f aca="false">IF(COUNTA(B96,D96,G96,H96,I96)=0,"",IF(B96="","Enter date",IF(OR(B96&lt;$AC$2,B96&gt;$AC$3),"Date not in March",IF(D96="","Pick project",IF(ISNA(MATCH(D96,ProjNames,0)),"Project not in list",IF(G96="","Add task description",IF(H96="","Pick NTIME or P6",IF(N(I96)&lt;=0,"Enter hours",IF(AND(AllowOT&lt;&gt;"Yes",SUMIF($B$7:$B$256,B96,$I$7:$I$256)&gt;INDEX($O$58:$O$88,DAY(B96))),"Day over "&amp;INDEX($O$58:$O$88,DAY(B96))&amp;" h","✓")))))))))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tr">
        <f aca="false">IF(Projects!B94="","",Projects!B94)</f>
        <v/>
      </c>
      <c r="X96" s="1" t="n">
        <f aca="false">IF(W96="",0,SUMIFS($I$7:$I$256,$D$7:$D$256,W96,$H$7:$H$256,"NTIME"))</f>
        <v>0</v>
      </c>
      <c r="Y96" s="1" t="n">
        <f aca="false">IF(W96="",0,SUMIFS($I$7:$I$256,$D$7:$D$256,W96,$H$7:$H$256,"P6"))</f>
        <v>0</v>
      </c>
      <c r="Z96" s="1" t="n">
        <f aca="false">X96+Y96</f>
        <v>0</v>
      </c>
      <c r="AA96" s="1" t="n">
        <f aca="false">IF(Z96&gt;0,Z96+(201-90)/10^6,0)</f>
        <v>0</v>
      </c>
      <c r="AB96" s="1"/>
      <c r="AC96" s="1"/>
      <c r="AD96" s="1"/>
      <c r="AE96" s="1"/>
      <c r="AF96" s="1"/>
      <c r="AG96" s="1"/>
      <c r="AH96" s="1"/>
    </row>
    <row r="97" customFormat="false" ht="15" hidden="false" customHeight="false" outlineLevel="0" collapsed="false">
      <c r="A97" s="1"/>
      <c r="B97" s="10"/>
      <c r="C97" s="31" t="str">
        <f aca="false">IF(B97="","",TEXT(B97,"ddd"))</f>
        <v/>
      </c>
      <c r="D97" s="11"/>
      <c r="E97" s="8" t="str">
        <f aca="false">IF(D97="","",IFERROR(INDEX(ProjNumbers,MATCH(D97,ProjNames,0)),""))</f>
        <v/>
      </c>
      <c r="F97" s="8" t="str">
        <f aca="false">IF(D97="","",IFERROR(INDEX(ProjCodes,MATCH(D97,ProjNames,0)),""))</f>
        <v/>
      </c>
      <c r="G97" s="32"/>
      <c r="H97" s="11"/>
      <c r="I97" s="33"/>
      <c r="J97" s="8" t="str">
        <f aca="false">IF(COUNTA(B97,D97,G97,H97,I97)=0,"",IF(B97="","Enter date",IF(OR(B97&lt;$AC$2,B97&gt;$AC$3),"Date not in March",IF(D97="","Pick project",IF(ISNA(MATCH(D97,ProjNames,0)),"Project not in list",IF(G97="","Add task description",IF(H97="","Pick NTIME or P6",IF(N(I97)&lt;=0,"Enter hours",IF(AND(AllowOT&lt;&gt;"Yes",SUMIF($B$7:$B$256,B97,$I$7:$I$256)&gt;INDEX($O$58:$O$88,DAY(B97))),"Day over "&amp;INDEX($O$58:$O$88,DAY(B97))&amp;" h","✓")))))))))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tr">
        <f aca="false">IF(Projects!B95="","",Projects!B95)</f>
        <v/>
      </c>
      <c r="X97" s="1" t="n">
        <f aca="false">IF(W97="",0,SUMIFS($I$7:$I$256,$D$7:$D$256,W97,$H$7:$H$256,"NTIME"))</f>
        <v>0</v>
      </c>
      <c r="Y97" s="1" t="n">
        <f aca="false">IF(W97="",0,SUMIFS($I$7:$I$256,$D$7:$D$256,W97,$H$7:$H$256,"P6"))</f>
        <v>0</v>
      </c>
      <c r="Z97" s="1" t="n">
        <f aca="false">X97+Y97</f>
        <v>0</v>
      </c>
      <c r="AA97" s="1" t="n">
        <f aca="false">IF(Z97&gt;0,Z97+(201-91)/10^6,0)</f>
        <v>0</v>
      </c>
      <c r="AB97" s="1"/>
      <c r="AC97" s="1"/>
      <c r="AD97" s="1"/>
      <c r="AE97" s="1"/>
      <c r="AF97" s="1"/>
      <c r="AG97" s="1"/>
      <c r="AH97" s="1"/>
    </row>
    <row r="98" customFormat="false" ht="15" hidden="false" customHeight="false" outlineLevel="0" collapsed="false">
      <c r="A98" s="1"/>
      <c r="B98" s="10"/>
      <c r="C98" s="31" t="str">
        <f aca="false">IF(B98="","",TEXT(B98,"ddd"))</f>
        <v/>
      </c>
      <c r="D98" s="11"/>
      <c r="E98" s="8" t="str">
        <f aca="false">IF(D98="","",IFERROR(INDEX(ProjNumbers,MATCH(D98,ProjNames,0)),""))</f>
        <v/>
      </c>
      <c r="F98" s="8" t="str">
        <f aca="false">IF(D98="","",IFERROR(INDEX(ProjCodes,MATCH(D98,ProjNames,0)),""))</f>
        <v/>
      </c>
      <c r="G98" s="32"/>
      <c r="H98" s="11"/>
      <c r="I98" s="33"/>
      <c r="J98" s="8" t="str">
        <f aca="false">IF(COUNTA(B98,D98,G98,H98,I98)=0,"",IF(B98="","Enter date",IF(OR(B98&lt;$AC$2,B98&gt;$AC$3),"Date not in March",IF(D98="","Pick project",IF(ISNA(MATCH(D98,ProjNames,0)),"Project not in list",IF(G98="","Add task description",IF(H98="","Pick NTIME or P6",IF(N(I98)&lt;=0,"Enter hours",IF(AND(AllowOT&lt;&gt;"Yes",SUMIF($B$7:$B$256,B98,$I$7:$I$256)&gt;INDEX($O$58:$O$88,DAY(B98))),"Day over "&amp;INDEX($O$58:$O$88,DAY(B98))&amp;" h","✓")))))))))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tr">
        <f aca="false">IF(Projects!B96="","",Projects!B96)</f>
        <v/>
      </c>
      <c r="X98" s="1" t="n">
        <f aca="false">IF(W98="",0,SUMIFS($I$7:$I$256,$D$7:$D$256,W98,$H$7:$H$256,"NTIME"))</f>
        <v>0</v>
      </c>
      <c r="Y98" s="1" t="n">
        <f aca="false">IF(W98="",0,SUMIFS($I$7:$I$256,$D$7:$D$256,W98,$H$7:$H$256,"P6"))</f>
        <v>0</v>
      </c>
      <c r="Z98" s="1" t="n">
        <f aca="false">X98+Y98</f>
        <v>0</v>
      </c>
      <c r="AA98" s="1" t="n">
        <f aca="false">IF(Z98&gt;0,Z98+(201-92)/10^6,0)</f>
        <v>0</v>
      </c>
      <c r="AB98" s="1"/>
      <c r="AC98" s="1"/>
      <c r="AD98" s="1"/>
      <c r="AE98" s="1"/>
      <c r="AF98" s="1"/>
      <c r="AG98" s="1"/>
      <c r="AH98" s="1"/>
    </row>
    <row r="99" customFormat="false" ht="15" hidden="false" customHeight="false" outlineLevel="0" collapsed="false">
      <c r="A99" s="1"/>
      <c r="B99" s="10"/>
      <c r="C99" s="31" t="str">
        <f aca="false">IF(B99="","",TEXT(B99,"ddd"))</f>
        <v/>
      </c>
      <c r="D99" s="11"/>
      <c r="E99" s="8" t="str">
        <f aca="false">IF(D99="","",IFERROR(INDEX(ProjNumbers,MATCH(D99,ProjNames,0)),""))</f>
        <v/>
      </c>
      <c r="F99" s="8" t="str">
        <f aca="false">IF(D99="","",IFERROR(INDEX(ProjCodes,MATCH(D99,ProjNames,0)),""))</f>
        <v/>
      </c>
      <c r="G99" s="32"/>
      <c r="H99" s="11"/>
      <c r="I99" s="33"/>
      <c r="J99" s="8" t="str">
        <f aca="false">IF(COUNTA(B99,D99,G99,H99,I99)=0,"",IF(B99="","Enter date",IF(OR(B99&lt;$AC$2,B99&gt;$AC$3),"Date not in March",IF(D99="","Pick project",IF(ISNA(MATCH(D99,ProjNames,0)),"Project not in list",IF(G99="","Add task description",IF(H99="","Pick NTIME or P6",IF(N(I99)&lt;=0,"Enter hours",IF(AND(AllowOT&lt;&gt;"Yes",SUMIF($B$7:$B$256,B99,$I$7:$I$256)&gt;INDEX($O$58:$O$88,DAY(B99))),"Day over "&amp;INDEX($O$58:$O$88,DAY(B99))&amp;" h","✓")))))))))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tr">
        <f aca="false">IF(Projects!B97="","",Projects!B97)</f>
        <v/>
      </c>
      <c r="X99" s="1" t="n">
        <f aca="false">IF(W99="",0,SUMIFS($I$7:$I$256,$D$7:$D$256,W99,$H$7:$H$256,"NTIME"))</f>
        <v>0</v>
      </c>
      <c r="Y99" s="1" t="n">
        <f aca="false">IF(W99="",0,SUMIFS($I$7:$I$256,$D$7:$D$256,W99,$H$7:$H$256,"P6"))</f>
        <v>0</v>
      </c>
      <c r="Z99" s="1" t="n">
        <f aca="false">X99+Y99</f>
        <v>0</v>
      </c>
      <c r="AA99" s="1" t="n">
        <f aca="false">IF(Z99&gt;0,Z99+(201-93)/10^6,0)</f>
        <v>0</v>
      </c>
      <c r="AB99" s="1"/>
      <c r="AC99" s="1"/>
      <c r="AD99" s="1"/>
      <c r="AE99" s="1"/>
      <c r="AF99" s="1"/>
      <c r="AG99" s="1"/>
      <c r="AH99" s="1"/>
    </row>
    <row r="100" customFormat="false" ht="15" hidden="false" customHeight="false" outlineLevel="0" collapsed="false">
      <c r="A100" s="1"/>
      <c r="B100" s="10"/>
      <c r="C100" s="31" t="str">
        <f aca="false">IF(B100="","",TEXT(B100,"ddd"))</f>
        <v/>
      </c>
      <c r="D100" s="11"/>
      <c r="E100" s="8" t="str">
        <f aca="false">IF(D100="","",IFERROR(INDEX(ProjNumbers,MATCH(D100,ProjNames,0)),""))</f>
        <v/>
      </c>
      <c r="F100" s="8" t="str">
        <f aca="false">IF(D100="","",IFERROR(INDEX(ProjCodes,MATCH(D100,ProjNames,0)),""))</f>
        <v/>
      </c>
      <c r="G100" s="32"/>
      <c r="H100" s="11"/>
      <c r="I100" s="33"/>
      <c r="J100" s="8" t="str">
        <f aca="false">IF(COUNTA(B100,D100,G100,H100,I100)=0,"",IF(B100="","Enter date",IF(OR(B100&lt;$AC$2,B100&gt;$AC$3),"Date not in March",IF(D100="","Pick project",IF(ISNA(MATCH(D100,ProjNames,0)),"Project not in list",IF(G100="","Add task description",IF(H100="","Pick NTIME or P6",IF(N(I100)&lt;=0,"Enter hours",IF(AND(AllowOT&lt;&gt;"Yes",SUMIF($B$7:$B$256,B100,$I$7:$I$256)&gt;INDEX($O$58:$O$88,DAY(B100))),"Day over "&amp;INDEX($O$58:$O$88,DAY(B100))&amp;" h","✓")))))))))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tr">
        <f aca="false">IF(Projects!B98="","",Projects!B98)</f>
        <v/>
      </c>
      <c r="X100" s="1" t="n">
        <f aca="false">IF(W100="",0,SUMIFS($I$7:$I$256,$D$7:$D$256,W100,$H$7:$H$256,"NTIME"))</f>
        <v>0</v>
      </c>
      <c r="Y100" s="1" t="n">
        <f aca="false">IF(W100="",0,SUMIFS($I$7:$I$256,$D$7:$D$256,W100,$H$7:$H$256,"P6"))</f>
        <v>0</v>
      </c>
      <c r="Z100" s="1" t="n">
        <f aca="false">X100+Y100</f>
        <v>0</v>
      </c>
      <c r="AA100" s="1" t="n">
        <f aca="false">IF(Z100&gt;0,Z100+(201-94)/10^6,0)</f>
        <v>0</v>
      </c>
      <c r="AB100" s="1"/>
      <c r="AC100" s="1"/>
      <c r="AD100" s="1"/>
      <c r="AE100" s="1"/>
      <c r="AF100" s="1"/>
      <c r="AG100" s="1"/>
      <c r="AH100" s="1"/>
    </row>
    <row r="101" customFormat="false" ht="15" hidden="false" customHeight="false" outlineLevel="0" collapsed="false">
      <c r="A101" s="1"/>
      <c r="B101" s="10"/>
      <c r="C101" s="31" t="str">
        <f aca="false">IF(B101="","",TEXT(B101,"ddd"))</f>
        <v/>
      </c>
      <c r="D101" s="11"/>
      <c r="E101" s="8" t="str">
        <f aca="false">IF(D101="","",IFERROR(INDEX(ProjNumbers,MATCH(D101,ProjNames,0)),""))</f>
        <v/>
      </c>
      <c r="F101" s="8" t="str">
        <f aca="false">IF(D101="","",IFERROR(INDEX(ProjCodes,MATCH(D101,ProjNames,0)),""))</f>
        <v/>
      </c>
      <c r="G101" s="32"/>
      <c r="H101" s="11"/>
      <c r="I101" s="33"/>
      <c r="J101" s="8" t="str">
        <f aca="false">IF(COUNTA(B101,D101,G101,H101,I101)=0,"",IF(B101="","Enter date",IF(OR(B101&lt;$AC$2,B101&gt;$AC$3),"Date not in March",IF(D101="","Pick project",IF(ISNA(MATCH(D101,ProjNames,0)),"Project not in list",IF(G101="","Add task description",IF(H101="","Pick NTIME or P6",IF(N(I101)&lt;=0,"Enter hours",IF(AND(AllowOT&lt;&gt;"Yes",SUMIF($B$7:$B$256,B101,$I$7:$I$256)&gt;INDEX($O$58:$O$88,DAY(B101))),"Day over "&amp;INDEX($O$58:$O$88,DAY(B101))&amp;" h","✓")))))))))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aca="false">IF(Projects!B99="","",Projects!B99)</f>
        <v/>
      </c>
      <c r="X101" s="1" t="n">
        <f aca="false">IF(W101="",0,SUMIFS($I$7:$I$256,$D$7:$D$256,W101,$H$7:$H$256,"NTIME"))</f>
        <v>0</v>
      </c>
      <c r="Y101" s="1" t="n">
        <f aca="false">IF(W101="",0,SUMIFS($I$7:$I$256,$D$7:$D$256,W101,$H$7:$H$256,"P6"))</f>
        <v>0</v>
      </c>
      <c r="Z101" s="1" t="n">
        <f aca="false">X101+Y101</f>
        <v>0</v>
      </c>
      <c r="AA101" s="1" t="n">
        <f aca="false">IF(Z101&gt;0,Z101+(201-95)/10^6,0)</f>
        <v>0</v>
      </c>
      <c r="AB101" s="1"/>
      <c r="AC101" s="1"/>
      <c r="AD101" s="1"/>
      <c r="AE101" s="1"/>
      <c r="AF101" s="1"/>
      <c r="AG101" s="1"/>
      <c r="AH101" s="1"/>
    </row>
    <row r="102" customFormat="false" ht="15" hidden="false" customHeight="false" outlineLevel="0" collapsed="false">
      <c r="A102" s="1"/>
      <c r="B102" s="10"/>
      <c r="C102" s="31" t="str">
        <f aca="false">IF(B102="","",TEXT(B102,"ddd"))</f>
        <v/>
      </c>
      <c r="D102" s="11"/>
      <c r="E102" s="8" t="str">
        <f aca="false">IF(D102="","",IFERROR(INDEX(ProjNumbers,MATCH(D102,ProjNames,0)),""))</f>
        <v/>
      </c>
      <c r="F102" s="8" t="str">
        <f aca="false">IF(D102="","",IFERROR(INDEX(ProjCodes,MATCH(D102,ProjNames,0)),""))</f>
        <v/>
      </c>
      <c r="G102" s="32"/>
      <c r="H102" s="11"/>
      <c r="I102" s="33"/>
      <c r="J102" s="8" t="str">
        <f aca="false">IF(COUNTA(B102,D102,G102,H102,I102)=0,"",IF(B102="","Enter date",IF(OR(B102&lt;$AC$2,B102&gt;$AC$3),"Date not in March",IF(D102="","Pick project",IF(ISNA(MATCH(D102,ProjNames,0)),"Project not in list",IF(G102="","Add task description",IF(H102="","Pick NTIME or P6",IF(N(I102)&lt;=0,"Enter hours",IF(AND(AllowOT&lt;&gt;"Yes",SUMIF($B$7:$B$256,B102,$I$7:$I$256)&gt;INDEX($O$58:$O$88,DAY(B102))),"Day over "&amp;INDEX($O$58:$O$88,DAY(B102))&amp;" h","✓")))))))))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tr">
        <f aca="false">IF(Projects!B100="","",Projects!B100)</f>
        <v/>
      </c>
      <c r="X102" s="1" t="n">
        <f aca="false">IF(W102="",0,SUMIFS($I$7:$I$256,$D$7:$D$256,W102,$H$7:$H$256,"NTIME"))</f>
        <v>0</v>
      </c>
      <c r="Y102" s="1" t="n">
        <f aca="false">IF(W102="",0,SUMIFS($I$7:$I$256,$D$7:$D$256,W102,$H$7:$H$256,"P6"))</f>
        <v>0</v>
      </c>
      <c r="Z102" s="1" t="n">
        <f aca="false">X102+Y102</f>
        <v>0</v>
      </c>
      <c r="AA102" s="1" t="n">
        <f aca="false">IF(Z102&gt;0,Z102+(201-96)/10^6,0)</f>
        <v>0</v>
      </c>
      <c r="AB102" s="1"/>
      <c r="AC102" s="1"/>
      <c r="AD102" s="1"/>
      <c r="AE102" s="1"/>
      <c r="AF102" s="1"/>
      <c r="AG102" s="1"/>
      <c r="AH102" s="1"/>
    </row>
    <row r="103" customFormat="false" ht="15" hidden="false" customHeight="false" outlineLevel="0" collapsed="false">
      <c r="A103" s="1"/>
      <c r="B103" s="10"/>
      <c r="C103" s="31" t="str">
        <f aca="false">IF(B103="","",TEXT(B103,"ddd"))</f>
        <v/>
      </c>
      <c r="D103" s="11"/>
      <c r="E103" s="8" t="str">
        <f aca="false">IF(D103="","",IFERROR(INDEX(ProjNumbers,MATCH(D103,ProjNames,0)),""))</f>
        <v/>
      </c>
      <c r="F103" s="8" t="str">
        <f aca="false">IF(D103="","",IFERROR(INDEX(ProjCodes,MATCH(D103,ProjNames,0)),""))</f>
        <v/>
      </c>
      <c r="G103" s="32"/>
      <c r="H103" s="11"/>
      <c r="I103" s="33"/>
      <c r="J103" s="8" t="str">
        <f aca="false">IF(COUNTA(B103,D103,G103,H103,I103)=0,"",IF(B103="","Enter date",IF(OR(B103&lt;$AC$2,B103&gt;$AC$3),"Date not in March",IF(D103="","Pick project",IF(ISNA(MATCH(D103,ProjNames,0)),"Project not in list",IF(G103="","Add task description",IF(H103="","Pick NTIME or P6",IF(N(I103)&lt;=0,"Enter hours",IF(AND(AllowOT&lt;&gt;"Yes",SUMIF($B$7:$B$256,B103,$I$7:$I$256)&gt;INDEX($O$58:$O$88,DAY(B103))),"Day over "&amp;INDEX($O$58:$O$88,DAY(B103))&amp;" h","✓")))))))))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tr">
        <f aca="false">IF(Projects!B101="","",Projects!B101)</f>
        <v/>
      </c>
      <c r="X103" s="1" t="n">
        <f aca="false">IF(W103="",0,SUMIFS($I$7:$I$256,$D$7:$D$256,W103,$H$7:$H$256,"NTIME"))</f>
        <v>0</v>
      </c>
      <c r="Y103" s="1" t="n">
        <f aca="false">IF(W103="",0,SUMIFS($I$7:$I$256,$D$7:$D$256,W103,$H$7:$H$256,"P6"))</f>
        <v>0</v>
      </c>
      <c r="Z103" s="1" t="n">
        <f aca="false">X103+Y103</f>
        <v>0</v>
      </c>
      <c r="AA103" s="1" t="n">
        <f aca="false">IF(Z103&gt;0,Z103+(201-97)/10^6,0)</f>
        <v>0</v>
      </c>
      <c r="AB103" s="1"/>
      <c r="AC103" s="1"/>
      <c r="AD103" s="1"/>
      <c r="AE103" s="1"/>
      <c r="AF103" s="1"/>
      <c r="AG103" s="1"/>
      <c r="AH103" s="1"/>
    </row>
    <row r="104" customFormat="false" ht="15" hidden="false" customHeight="false" outlineLevel="0" collapsed="false">
      <c r="A104" s="1"/>
      <c r="B104" s="10"/>
      <c r="C104" s="31" t="str">
        <f aca="false">IF(B104="","",TEXT(B104,"ddd"))</f>
        <v/>
      </c>
      <c r="D104" s="11"/>
      <c r="E104" s="8" t="str">
        <f aca="false">IF(D104="","",IFERROR(INDEX(ProjNumbers,MATCH(D104,ProjNames,0)),""))</f>
        <v/>
      </c>
      <c r="F104" s="8" t="str">
        <f aca="false">IF(D104="","",IFERROR(INDEX(ProjCodes,MATCH(D104,ProjNames,0)),""))</f>
        <v/>
      </c>
      <c r="G104" s="32"/>
      <c r="H104" s="11"/>
      <c r="I104" s="33"/>
      <c r="J104" s="8" t="str">
        <f aca="false">IF(COUNTA(B104,D104,G104,H104,I104)=0,"",IF(B104="","Enter date",IF(OR(B104&lt;$AC$2,B104&gt;$AC$3),"Date not in March",IF(D104="","Pick project",IF(ISNA(MATCH(D104,ProjNames,0)),"Project not in list",IF(G104="","Add task description",IF(H104="","Pick NTIME or P6",IF(N(I104)&lt;=0,"Enter hours",IF(AND(AllowOT&lt;&gt;"Yes",SUMIF($B$7:$B$256,B104,$I$7:$I$256)&gt;INDEX($O$58:$O$88,DAY(B104))),"Day over "&amp;INDEX($O$58:$O$88,DAY(B104))&amp;" h","✓")))))))))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tr">
        <f aca="false">IF(Projects!B102="","",Projects!B102)</f>
        <v/>
      </c>
      <c r="X104" s="1" t="n">
        <f aca="false">IF(W104="",0,SUMIFS($I$7:$I$256,$D$7:$D$256,W104,$H$7:$H$256,"NTIME"))</f>
        <v>0</v>
      </c>
      <c r="Y104" s="1" t="n">
        <f aca="false">IF(W104="",0,SUMIFS($I$7:$I$256,$D$7:$D$256,W104,$H$7:$H$256,"P6"))</f>
        <v>0</v>
      </c>
      <c r="Z104" s="1" t="n">
        <f aca="false">X104+Y104</f>
        <v>0</v>
      </c>
      <c r="AA104" s="1" t="n">
        <f aca="false">IF(Z104&gt;0,Z104+(201-98)/10^6,0)</f>
        <v>0</v>
      </c>
      <c r="AB104" s="1"/>
      <c r="AC104" s="1"/>
      <c r="AD104" s="1"/>
      <c r="AE104" s="1"/>
      <c r="AF104" s="1"/>
      <c r="AG104" s="1"/>
      <c r="AH104" s="1"/>
    </row>
    <row r="105" customFormat="false" ht="15" hidden="false" customHeight="false" outlineLevel="0" collapsed="false">
      <c r="A105" s="1"/>
      <c r="B105" s="10"/>
      <c r="C105" s="31" t="str">
        <f aca="false">IF(B105="","",TEXT(B105,"ddd"))</f>
        <v/>
      </c>
      <c r="D105" s="11"/>
      <c r="E105" s="8" t="str">
        <f aca="false">IF(D105="","",IFERROR(INDEX(ProjNumbers,MATCH(D105,ProjNames,0)),""))</f>
        <v/>
      </c>
      <c r="F105" s="8" t="str">
        <f aca="false">IF(D105="","",IFERROR(INDEX(ProjCodes,MATCH(D105,ProjNames,0)),""))</f>
        <v/>
      </c>
      <c r="G105" s="32"/>
      <c r="H105" s="11"/>
      <c r="I105" s="33"/>
      <c r="J105" s="8" t="str">
        <f aca="false">IF(COUNTA(B105,D105,G105,H105,I105)=0,"",IF(B105="","Enter date",IF(OR(B105&lt;$AC$2,B105&gt;$AC$3),"Date not in March",IF(D105="","Pick project",IF(ISNA(MATCH(D105,ProjNames,0)),"Project not in list",IF(G105="","Add task description",IF(H105="","Pick NTIME or P6",IF(N(I105)&lt;=0,"Enter hours",IF(AND(AllowOT&lt;&gt;"Yes",SUMIF($B$7:$B$256,B105,$I$7:$I$256)&gt;INDEX($O$58:$O$88,DAY(B105))),"Day over "&amp;INDEX($O$58:$O$88,DAY(B105))&amp;" h","✓")))))))))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tr">
        <f aca="false">IF(Projects!B103="","",Projects!B103)</f>
        <v/>
      </c>
      <c r="X105" s="1" t="n">
        <f aca="false">IF(W105="",0,SUMIFS($I$7:$I$256,$D$7:$D$256,W105,$H$7:$H$256,"NTIME"))</f>
        <v>0</v>
      </c>
      <c r="Y105" s="1" t="n">
        <f aca="false">IF(W105="",0,SUMIFS($I$7:$I$256,$D$7:$D$256,W105,$H$7:$H$256,"P6"))</f>
        <v>0</v>
      </c>
      <c r="Z105" s="1" t="n">
        <f aca="false">X105+Y105</f>
        <v>0</v>
      </c>
      <c r="AA105" s="1" t="n">
        <f aca="false">IF(Z105&gt;0,Z105+(201-99)/10^6,0)</f>
        <v>0</v>
      </c>
      <c r="AB105" s="1"/>
      <c r="AC105" s="1"/>
      <c r="AD105" s="1"/>
      <c r="AE105" s="1"/>
      <c r="AF105" s="1"/>
      <c r="AG105" s="1"/>
      <c r="AH105" s="1"/>
    </row>
    <row r="106" customFormat="false" ht="15" hidden="false" customHeight="false" outlineLevel="0" collapsed="false">
      <c r="A106" s="1"/>
      <c r="B106" s="10"/>
      <c r="C106" s="31" t="str">
        <f aca="false">IF(B106="","",TEXT(B106,"ddd"))</f>
        <v/>
      </c>
      <c r="D106" s="11"/>
      <c r="E106" s="8" t="str">
        <f aca="false">IF(D106="","",IFERROR(INDEX(ProjNumbers,MATCH(D106,ProjNames,0)),""))</f>
        <v/>
      </c>
      <c r="F106" s="8" t="str">
        <f aca="false">IF(D106="","",IFERROR(INDEX(ProjCodes,MATCH(D106,ProjNames,0)),""))</f>
        <v/>
      </c>
      <c r="G106" s="32"/>
      <c r="H106" s="11"/>
      <c r="I106" s="33"/>
      <c r="J106" s="8" t="str">
        <f aca="false">IF(COUNTA(B106,D106,G106,H106,I106)=0,"",IF(B106="","Enter date",IF(OR(B106&lt;$AC$2,B106&gt;$AC$3),"Date not in March",IF(D106="","Pick project",IF(ISNA(MATCH(D106,ProjNames,0)),"Project not in list",IF(G106="","Add task description",IF(H106="","Pick NTIME or P6",IF(N(I106)&lt;=0,"Enter hours",IF(AND(AllowOT&lt;&gt;"Yes",SUMIF($B$7:$B$256,B106,$I$7:$I$256)&gt;INDEX($O$58:$O$88,DAY(B106))),"Day over "&amp;INDEX($O$58:$O$88,DAY(B106))&amp;" h","✓")))))))))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tr">
        <f aca="false">IF(Projects!B104="","",Projects!B104)</f>
        <v/>
      </c>
      <c r="X106" s="1" t="n">
        <f aca="false">IF(W106="",0,SUMIFS($I$7:$I$256,$D$7:$D$256,W106,$H$7:$H$256,"NTIME"))</f>
        <v>0</v>
      </c>
      <c r="Y106" s="1" t="n">
        <f aca="false">IF(W106="",0,SUMIFS($I$7:$I$256,$D$7:$D$256,W106,$H$7:$H$256,"P6"))</f>
        <v>0</v>
      </c>
      <c r="Z106" s="1" t="n">
        <f aca="false">X106+Y106</f>
        <v>0</v>
      </c>
      <c r="AA106" s="1" t="n">
        <f aca="false">IF(Z106&gt;0,Z106+(201-100)/10^6,0)</f>
        <v>0</v>
      </c>
      <c r="AB106" s="1"/>
      <c r="AC106" s="1"/>
      <c r="AD106" s="1"/>
      <c r="AE106" s="1"/>
      <c r="AF106" s="1"/>
      <c r="AG106" s="1"/>
      <c r="AH106" s="1"/>
    </row>
    <row r="107" customFormat="false" ht="15" hidden="false" customHeight="false" outlineLevel="0" collapsed="false">
      <c r="A107" s="1"/>
      <c r="B107" s="10"/>
      <c r="C107" s="31" t="str">
        <f aca="false">IF(B107="","",TEXT(B107,"ddd"))</f>
        <v/>
      </c>
      <c r="D107" s="11"/>
      <c r="E107" s="8" t="str">
        <f aca="false">IF(D107="","",IFERROR(INDEX(ProjNumbers,MATCH(D107,ProjNames,0)),""))</f>
        <v/>
      </c>
      <c r="F107" s="8" t="str">
        <f aca="false">IF(D107="","",IFERROR(INDEX(ProjCodes,MATCH(D107,ProjNames,0)),""))</f>
        <v/>
      </c>
      <c r="G107" s="32"/>
      <c r="H107" s="11"/>
      <c r="I107" s="33"/>
      <c r="J107" s="8" t="str">
        <f aca="false">IF(COUNTA(B107,D107,G107,H107,I107)=0,"",IF(B107="","Enter date",IF(OR(B107&lt;$AC$2,B107&gt;$AC$3),"Date not in March",IF(D107="","Pick project",IF(ISNA(MATCH(D107,ProjNames,0)),"Project not in list",IF(G107="","Add task description",IF(H107="","Pick NTIME or P6",IF(N(I107)&lt;=0,"Enter hours",IF(AND(AllowOT&lt;&gt;"Yes",SUMIF($B$7:$B$256,B107,$I$7:$I$256)&gt;INDEX($O$58:$O$88,DAY(B107))),"Day over "&amp;INDEX($O$58:$O$88,DAY(B107))&amp;" h","✓")))))))))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tr">
        <f aca="false">IF(Projects!B105="","",Projects!B105)</f>
        <v/>
      </c>
      <c r="X107" s="1" t="n">
        <f aca="false">IF(W107="",0,SUMIFS($I$7:$I$256,$D$7:$D$256,W107,$H$7:$H$256,"NTIME"))</f>
        <v>0</v>
      </c>
      <c r="Y107" s="1" t="n">
        <f aca="false">IF(W107="",0,SUMIFS($I$7:$I$256,$D$7:$D$256,W107,$H$7:$H$256,"P6"))</f>
        <v>0</v>
      </c>
      <c r="Z107" s="1" t="n">
        <f aca="false">X107+Y107</f>
        <v>0</v>
      </c>
      <c r="AA107" s="1" t="n">
        <f aca="false">IF(Z107&gt;0,Z107+(201-101)/10^6,0)</f>
        <v>0</v>
      </c>
      <c r="AB107" s="1"/>
      <c r="AC107" s="1"/>
      <c r="AD107" s="1"/>
      <c r="AE107" s="1"/>
      <c r="AF107" s="1"/>
      <c r="AG107" s="1"/>
      <c r="AH107" s="1"/>
    </row>
    <row r="108" customFormat="false" ht="15" hidden="false" customHeight="false" outlineLevel="0" collapsed="false">
      <c r="A108" s="1"/>
      <c r="B108" s="10"/>
      <c r="C108" s="31" t="str">
        <f aca="false">IF(B108="","",TEXT(B108,"ddd"))</f>
        <v/>
      </c>
      <c r="D108" s="11"/>
      <c r="E108" s="8" t="str">
        <f aca="false">IF(D108="","",IFERROR(INDEX(ProjNumbers,MATCH(D108,ProjNames,0)),""))</f>
        <v/>
      </c>
      <c r="F108" s="8" t="str">
        <f aca="false">IF(D108="","",IFERROR(INDEX(ProjCodes,MATCH(D108,ProjNames,0)),""))</f>
        <v/>
      </c>
      <c r="G108" s="32"/>
      <c r="H108" s="11"/>
      <c r="I108" s="33"/>
      <c r="J108" s="8" t="str">
        <f aca="false">IF(COUNTA(B108,D108,G108,H108,I108)=0,"",IF(B108="","Enter date",IF(OR(B108&lt;$AC$2,B108&gt;$AC$3),"Date not in March",IF(D108="","Pick project",IF(ISNA(MATCH(D108,ProjNames,0)),"Project not in list",IF(G108="","Add task description",IF(H108="","Pick NTIME or P6",IF(N(I108)&lt;=0,"Enter hours",IF(AND(AllowOT&lt;&gt;"Yes",SUMIF($B$7:$B$256,B108,$I$7:$I$256)&gt;INDEX($O$58:$O$88,DAY(B108))),"Day over "&amp;INDEX($O$58:$O$88,DAY(B108))&amp;" h","✓")))))))))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aca="false">IF(Projects!B106="","",Projects!B106)</f>
        <v/>
      </c>
      <c r="X108" s="1" t="n">
        <f aca="false">IF(W108="",0,SUMIFS($I$7:$I$256,$D$7:$D$256,W108,$H$7:$H$256,"NTIME"))</f>
        <v>0</v>
      </c>
      <c r="Y108" s="1" t="n">
        <f aca="false">IF(W108="",0,SUMIFS($I$7:$I$256,$D$7:$D$256,W108,$H$7:$H$256,"P6"))</f>
        <v>0</v>
      </c>
      <c r="Z108" s="1" t="n">
        <f aca="false">X108+Y108</f>
        <v>0</v>
      </c>
      <c r="AA108" s="1" t="n">
        <f aca="false">IF(Z108&gt;0,Z108+(201-102)/10^6,0)</f>
        <v>0</v>
      </c>
      <c r="AB108" s="1"/>
      <c r="AC108" s="1"/>
      <c r="AD108" s="1"/>
      <c r="AE108" s="1"/>
      <c r="AF108" s="1"/>
      <c r="AG108" s="1"/>
      <c r="AH108" s="1"/>
    </row>
    <row r="109" customFormat="false" ht="15" hidden="false" customHeight="false" outlineLevel="0" collapsed="false">
      <c r="A109" s="1"/>
      <c r="B109" s="10"/>
      <c r="C109" s="31" t="str">
        <f aca="false">IF(B109="","",TEXT(B109,"ddd"))</f>
        <v/>
      </c>
      <c r="D109" s="11"/>
      <c r="E109" s="8" t="str">
        <f aca="false">IF(D109="","",IFERROR(INDEX(ProjNumbers,MATCH(D109,ProjNames,0)),""))</f>
        <v/>
      </c>
      <c r="F109" s="8" t="str">
        <f aca="false">IF(D109="","",IFERROR(INDEX(ProjCodes,MATCH(D109,ProjNames,0)),""))</f>
        <v/>
      </c>
      <c r="G109" s="32"/>
      <c r="H109" s="11"/>
      <c r="I109" s="33"/>
      <c r="J109" s="8" t="str">
        <f aca="false">IF(COUNTA(B109,D109,G109,H109,I109)=0,"",IF(B109="","Enter date",IF(OR(B109&lt;$AC$2,B109&gt;$AC$3),"Date not in March",IF(D109="","Pick project",IF(ISNA(MATCH(D109,ProjNames,0)),"Project not in list",IF(G109="","Add task description",IF(H109="","Pick NTIME or P6",IF(N(I109)&lt;=0,"Enter hours",IF(AND(AllowOT&lt;&gt;"Yes",SUMIF($B$7:$B$256,B109,$I$7:$I$256)&gt;INDEX($O$58:$O$88,DAY(B109))),"Day over "&amp;INDEX($O$58:$O$88,DAY(B109))&amp;" h","✓")))))))))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tr">
        <f aca="false">IF(Projects!B107="","",Projects!B107)</f>
        <v/>
      </c>
      <c r="X109" s="1" t="n">
        <f aca="false">IF(W109="",0,SUMIFS($I$7:$I$256,$D$7:$D$256,W109,$H$7:$H$256,"NTIME"))</f>
        <v>0</v>
      </c>
      <c r="Y109" s="1" t="n">
        <f aca="false">IF(W109="",0,SUMIFS($I$7:$I$256,$D$7:$D$256,W109,$H$7:$H$256,"P6"))</f>
        <v>0</v>
      </c>
      <c r="Z109" s="1" t="n">
        <f aca="false">X109+Y109</f>
        <v>0</v>
      </c>
      <c r="AA109" s="1" t="n">
        <f aca="false">IF(Z109&gt;0,Z109+(201-103)/10^6,0)</f>
        <v>0</v>
      </c>
      <c r="AB109" s="1"/>
      <c r="AC109" s="1"/>
      <c r="AD109" s="1"/>
      <c r="AE109" s="1"/>
      <c r="AF109" s="1"/>
      <c r="AG109" s="1"/>
      <c r="AH109" s="1"/>
    </row>
    <row r="110" customFormat="false" ht="15" hidden="false" customHeight="false" outlineLevel="0" collapsed="false">
      <c r="A110" s="1"/>
      <c r="B110" s="10"/>
      <c r="C110" s="31" t="str">
        <f aca="false">IF(B110="","",TEXT(B110,"ddd"))</f>
        <v/>
      </c>
      <c r="D110" s="11"/>
      <c r="E110" s="8" t="str">
        <f aca="false">IF(D110="","",IFERROR(INDEX(ProjNumbers,MATCH(D110,ProjNames,0)),""))</f>
        <v/>
      </c>
      <c r="F110" s="8" t="str">
        <f aca="false">IF(D110="","",IFERROR(INDEX(ProjCodes,MATCH(D110,ProjNames,0)),""))</f>
        <v/>
      </c>
      <c r="G110" s="32"/>
      <c r="H110" s="11"/>
      <c r="I110" s="33"/>
      <c r="J110" s="8" t="str">
        <f aca="false">IF(COUNTA(B110,D110,G110,H110,I110)=0,"",IF(B110="","Enter date",IF(OR(B110&lt;$AC$2,B110&gt;$AC$3),"Date not in March",IF(D110="","Pick project",IF(ISNA(MATCH(D110,ProjNames,0)),"Project not in list",IF(G110="","Add task description",IF(H110="","Pick NTIME or P6",IF(N(I110)&lt;=0,"Enter hours",IF(AND(AllowOT&lt;&gt;"Yes",SUMIF($B$7:$B$256,B110,$I$7:$I$256)&gt;INDEX($O$58:$O$88,DAY(B110))),"Day over "&amp;INDEX($O$58:$O$88,DAY(B110))&amp;" h","✓")))))))))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tr">
        <f aca="false">IF(Projects!B108="","",Projects!B108)</f>
        <v/>
      </c>
      <c r="X110" s="1" t="n">
        <f aca="false">IF(W110="",0,SUMIFS($I$7:$I$256,$D$7:$D$256,W110,$H$7:$H$256,"NTIME"))</f>
        <v>0</v>
      </c>
      <c r="Y110" s="1" t="n">
        <f aca="false">IF(W110="",0,SUMIFS($I$7:$I$256,$D$7:$D$256,W110,$H$7:$H$256,"P6"))</f>
        <v>0</v>
      </c>
      <c r="Z110" s="1" t="n">
        <f aca="false">X110+Y110</f>
        <v>0</v>
      </c>
      <c r="AA110" s="1" t="n">
        <f aca="false">IF(Z110&gt;0,Z110+(201-104)/10^6,0)</f>
        <v>0</v>
      </c>
      <c r="AB110" s="1"/>
      <c r="AC110" s="1"/>
      <c r="AD110" s="1"/>
      <c r="AE110" s="1"/>
      <c r="AF110" s="1"/>
      <c r="AG110" s="1"/>
      <c r="AH110" s="1"/>
    </row>
    <row r="111" customFormat="false" ht="15" hidden="false" customHeight="false" outlineLevel="0" collapsed="false">
      <c r="A111" s="1"/>
      <c r="B111" s="10"/>
      <c r="C111" s="31" t="str">
        <f aca="false">IF(B111="","",TEXT(B111,"ddd"))</f>
        <v/>
      </c>
      <c r="D111" s="11"/>
      <c r="E111" s="8" t="str">
        <f aca="false">IF(D111="","",IFERROR(INDEX(ProjNumbers,MATCH(D111,ProjNames,0)),""))</f>
        <v/>
      </c>
      <c r="F111" s="8" t="str">
        <f aca="false">IF(D111="","",IFERROR(INDEX(ProjCodes,MATCH(D111,ProjNames,0)),""))</f>
        <v/>
      </c>
      <c r="G111" s="32"/>
      <c r="H111" s="11"/>
      <c r="I111" s="33"/>
      <c r="J111" s="8" t="str">
        <f aca="false">IF(COUNTA(B111,D111,G111,H111,I111)=0,"",IF(B111="","Enter date",IF(OR(B111&lt;$AC$2,B111&gt;$AC$3),"Date not in March",IF(D111="","Pick project",IF(ISNA(MATCH(D111,ProjNames,0)),"Project not in list",IF(G111="","Add task description",IF(H111="","Pick NTIME or P6",IF(N(I111)&lt;=0,"Enter hours",IF(AND(AllowOT&lt;&gt;"Yes",SUMIF($B$7:$B$256,B111,$I$7:$I$256)&gt;INDEX($O$58:$O$88,DAY(B111))),"Day over "&amp;INDEX($O$58:$O$88,DAY(B111))&amp;" h","✓")))))))))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tr">
        <f aca="false">IF(Projects!B109="","",Projects!B109)</f>
        <v/>
      </c>
      <c r="X111" s="1" t="n">
        <f aca="false">IF(W111="",0,SUMIFS($I$7:$I$256,$D$7:$D$256,W111,$H$7:$H$256,"NTIME"))</f>
        <v>0</v>
      </c>
      <c r="Y111" s="1" t="n">
        <f aca="false">IF(W111="",0,SUMIFS($I$7:$I$256,$D$7:$D$256,W111,$H$7:$H$256,"P6"))</f>
        <v>0</v>
      </c>
      <c r="Z111" s="1" t="n">
        <f aca="false">X111+Y111</f>
        <v>0</v>
      </c>
      <c r="AA111" s="1" t="n">
        <f aca="false">IF(Z111&gt;0,Z111+(201-105)/10^6,0)</f>
        <v>0</v>
      </c>
      <c r="AB111" s="1"/>
      <c r="AC111" s="1"/>
      <c r="AD111" s="1"/>
      <c r="AE111" s="1"/>
      <c r="AF111" s="1"/>
      <c r="AG111" s="1"/>
      <c r="AH111" s="1"/>
    </row>
    <row r="112" customFormat="false" ht="15" hidden="false" customHeight="false" outlineLevel="0" collapsed="false">
      <c r="A112" s="1"/>
      <c r="B112" s="10"/>
      <c r="C112" s="31" t="str">
        <f aca="false">IF(B112="","",TEXT(B112,"ddd"))</f>
        <v/>
      </c>
      <c r="D112" s="11"/>
      <c r="E112" s="8" t="str">
        <f aca="false">IF(D112="","",IFERROR(INDEX(ProjNumbers,MATCH(D112,ProjNames,0)),""))</f>
        <v/>
      </c>
      <c r="F112" s="8" t="str">
        <f aca="false">IF(D112="","",IFERROR(INDEX(ProjCodes,MATCH(D112,ProjNames,0)),""))</f>
        <v/>
      </c>
      <c r="G112" s="32"/>
      <c r="H112" s="11"/>
      <c r="I112" s="33"/>
      <c r="J112" s="8" t="str">
        <f aca="false">IF(COUNTA(B112,D112,G112,H112,I112)=0,"",IF(B112="","Enter date",IF(OR(B112&lt;$AC$2,B112&gt;$AC$3),"Date not in March",IF(D112="","Pick project",IF(ISNA(MATCH(D112,ProjNames,0)),"Project not in list",IF(G112="","Add task description",IF(H112="","Pick NTIME or P6",IF(N(I112)&lt;=0,"Enter hours",IF(AND(AllowOT&lt;&gt;"Yes",SUMIF($B$7:$B$256,B112,$I$7:$I$256)&gt;INDEX($O$58:$O$88,DAY(B112))),"Day over "&amp;INDEX($O$58:$O$88,DAY(B112))&amp;" h","✓")))))))))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tr">
        <f aca="false">IF(Projects!B110="","",Projects!B110)</f>
        <v/>
      </c>
      <c r="X112" s="1" t="n">
        <f aca="false">IF(W112="",0,SUMIFS($I$7:$I$256,$D$7:$D$256,W112,$H$7:$H$256,"NTIME"))</f>
        <v>0</v>
      </c>
      <c r="Y112" s="1" t="n">
        <f aca="false">IF(W112="",0,SUMIFS($I$7:$I$256,$D$7:$D$256,W112,$H$7:$H$256,"P6"))</f>
        <v>0</v>
      </c>
      <c r="Z112" s="1" t="n">
        <f aca="false">X112+Y112</f>
        <v>0</v>
      </c>
      <c r="AA112" s="1" t="n">
        <f aca="false">IF(Z112&gt;0,Z112+(201-106)/10^6,0)</f>
        <v>0</v>
      </c>
      <c r="AB112" s="1"/>
      <c r="AC112" s="1"/>
      <c r="AD112" s="1"/>
      <c r="AE112" s="1"/>
      <c r="AF112" s="1"/>
      <c r="AG112" s="1"/>
      <c r="AH112" s="1"/>
    </row>
    <row r="113" customFormat="false" ht="15" hidden="false" customHeight="false" outlineLevel="0" collapsed="false">
      <c r="A113" s="1"/>
      <c r="B113" s="10"/>
      <c r="C113" s="31" t="str">
        <f aca="false">IF(B113="","",TEXT(B113,"ddd"))</f>
        <v/>
      </c>
      <c r="D113" s="11"/>
      <c r="E113" s="8" t="str">
        <f aca="false">IF(D113="","",IFERROR(INDEX(ProjNumbers,MATCH(D113,ProjNames,0)),""))</f>
        <v/>
      </c>
      <c r="F113" s="8" t="str">
        <f aca="false">IF(D113="","",IFERROR(INDEX(ProjCodes,MATCH(D113,ProjNames,0)),""))</f>
        <v/>
      </c>
      <c r="G113" s="32"/>
      <c r="H113" s="11"/>
      <c r="I113" s="33"/>
      <c r="J113" s="8" t="str">
        <f aca="false">IF(COUNTA(B113,D113,G113,H113,I113)=0,"",IF(B113="","Enter date",IF(OR(B113&lt;$AC$2,B113&gt;$AC$3),"Date not in March",IF(D113="","Pick project",IF(ISNA(MATCH(D113,ProjNames,0)),"Project not in list",IF(G113="","Add task description",IF(H113="","Pick NTIME or P6",IF(N(I113)&lt;=0,"Enter hours",IF(AND(AllowOT&lt;&gt;"Yes",SUMIF($B$7:$B$256,B113,$I$7:$I$256)&gt;INDEX($O$58:$O$88,DAY(B113))),"Day over "&amp;INDEX($O$58:$O$88,DAY(B113))&amp;" h","✓")))))))))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tr">
        <f aca="false">IF(Projects!B111="","",Projects!B111)</f>
        <v/>
      </c>
      <c r="X113" s="1" t="n">
        <f aca="false">IF(W113="",0,SUMIFS($I$7:$I$256,$D$7:$D$256,W113,$H$7:$H$256,"NTIME"))</f>
        <v>0</v>
      </c>
      <c r="Y113" s="1" t="n">
        <f aca="false">IF(W113="",0,SUMIFS($I$7:$I$256,$D$7:$D$256,W113,$H$7:$H$256,"P6"))</f>
        <v>0</v>
      </c>
      <c r="Z113" s="1" t="n">
        <f aca="false">X113+Y113</f>
        <v>0</v>
      </c>
      <c r="AA113" s="1" t="n">
        <f aca="false">IF(Z113&gt;0,Z113+(201-107)/10^6,0)</f>
        <v>0</v>
      </c>
      <c r="AB113" s="1"/>
      <c r="AC113" s="1"/>
      <c r="AD113" s="1"/>
      <c r="AE113" s="1"/>
      <c r="AF113" s="1"/>
      <c r="AG113" s="1"/>
      <c r="AH113" s="1"/>
    </row>
    <row r="114" customFormat="false" ht="15" hidden="false" customHeight="false" outlineLevel="0" collapsed="false">
      <c r="A114" s="1"/>
      <c r="B114" s="10"/>
      <c r="C114" s="31" t="str">
        <f aca="false">IF(B114="","",TEXT(B114,"ddd"))</f>
        <v/>
      </c>
      <c r="D114" s="11"/>
      <c r="E114" s="8" t="str">
        <f aca="false">IF(D114="","",IFERROR(INDEX(ProjNumbers,MATCH(D114,ProjNames,0)),""))</f>
        <v/>
      </c>
      <c r="F114" s="8" t="str">
        <f aca="false">IF(D114="","",IFERROR(INDEX(ProjCodes,MATCH(D114,ProjNames,0)),""))</f>
        <v/>
      </c>
      <c r="G114" s="32"/>
      <c r="H114" s="11"/>
      <c r="I114" s="33"/>
      <c r="J114" s="8" t="str">
        <f aca="false">IF(COUNTA(B114,D114,G114,H114,I114)=0,"",IF(B114="","Enter date",IF(OR(B114&lt;$AC$2,B114&gt;$AC$3),"Date not in March",IF(D114="","Pick project",IF(ISNA(MATCH(D114,ProjNames,0)),"Project not in list",IF(G114="","Add task description",IF(H114="","Pick NTIME or P6",IF(N(I114)&lt;=0,"Enter hours",IF(AND(AllowOT&lt;&gt;"Yes",SUMIF($B$7:$B$256,B114,$I$7:$I$256)&gt;INDEX($O$58:$O$88,DAY(B114))),"Day over "&amp;INDEX($O$58:$O$88,DAY(B114))&amp;" h","✓")))))))))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tr">
        <f aca="false">IF(Projects!B112="","",Projects!B112)</f>
        <v/>
      </c>
      <c r="X114" s="1" t="n">
        <f aca="false">IF(W114="",0,SUMIFS($I$7:$I$256,$D$7:$D$256,W114,$H$7:$H$256,"NTIME"))</f>
        <v>0</v>
      </c>
      <c r="Y114" s="1" t="n">
        <f aca="false">IF(W114="",0,SUMIFS($I$7:$I$256,$D$7:$D$256,W114,$H$7:$H$256,"P6"))</f>
        <v>0</v>
      </c>
      <c r="Z114" s="1" t="n">
        <f aca="false">X114+Y114</f>
        <v>0</v>
      </c>
      <c r="AA114" s="1" t="n">
        <f aca="false">IF(Z114&gt;0,Z114+(201-108)/10^6,0)</f>
        <v>0</v>
      </c>
      <c r="AB114" s="1"/>
      <c r="AC114" s="1"/>
      <c r="AD114" s="1"/>
      <c r="AE114" s="1"/>
      <c r="AF114" s="1"/>
      <c r="AG114" s="1"/>
      <c r="AH114" s="1"/>
    </row>
    <row r="115" customFormat="false" ht="15" hidden="false" customHeight="false" outlineLevel="0" collapsed="false">
      <c r="A115" s="1"/>
      <c r="B115" s="10"/>
      <c r="C115" s="31" t="str">
        <f aca="false">IF(B115="","",TEXT(B115,"ddd"))</f>
        <v/>
      </c>
      <c r="D115" s="11"/>
      <c r="E115" s="8" t="str">
        <f aca="false">IF(D115="","",IFERROR(INDEX(ProjNumbers,MATCH(D115,ProjNames,0)),""))</f>
        <v/>
      </c>
      <c r="F115" s="8" t="str">
        <f aca="false">IF(D115="","",IFERROR(INDEX(ProjCodes,MATCH(D115,ProjNames,0)),""))</f>
        <v/>
      </c>
      <c r="G115" s="32"/>
      <c r="H115" s="11"/>
      <c r="I115" s="33"/>
      <c r="J115" s="8" t="str">
        <f aca="false">IF(COUNTA(B115,D115,G115,H115,I115)=0,"",IF(B115="","Enter date",IF(OR(B115&lt;$AC$2,B115&gt;$AC$3),"Date not in March",IF(D115="","Pick project",IF(ISNA(MATCH(D115,ProjNames,0)),"Project not in list",IF(G115="","Add task description",IF(H115="","Pick NTIME or P6",IF(N(I115)&lt;=0,"Enter hours",IF(AND(AllowOT&lt;&gt;"Yes",SUMIF($B$7:$B$256,B115,$I$7:$I$256)&gt;INDEX($O$58:$O$88,DAY(B115))),"Day over "&amp;INDEX($O$58:$O$88,DAY(B115))&amp;" h","✓")))))))))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tr">
        <f aca="false">IF(Projects!B113="","",Projects!B113)</f>
        <v/>
      </c>
      <c r="X115" s="1" t="n">
        <f aca="false">IF(W115="",0,SUMIFS($I$7:$I$256,$D$7:$D$256,W115,$H$7:$H$256,"NTIME"))</f>
        <v>0</v>
      </c>
      <c r="Y115" s="1" t="n">
        <f aca="false">IF(W115="",0,SUMIFS($I$7:$I$256,$D$7:$D$256,W115,$H$7:$H$256,"P6"))</f>
        <v>0</v>
      </c>
      <c r="Z115" s="1" t="n">
        <f aca="false">X115+Y115</f>
        <v>0</v>
      </c>
      <c r="AA115" s="1" t="n">
        <f aca="false">IF(Z115&gt;0,Z115+(201-109)/10^6,0)</f>
        <v>0</v>
      </c>
      <c r="AB115" s="1"/>
      <c r="AC115" s="1"/>
      <c r="AD115" s="1"/>
      <c r="AE115" s="1"/>
      <c r="AF115" s="1"/>
      <c r="AG115" s="1"/>
      <c r="AH115" s="1"/>
    </row>
    <row r="116" customFormat="false" ht="15" hidden="false" customHeight="false" outlineLevel="0" collapsed="false">
      <c r="A116" s="1"/>
      <c r="B116" s="10"/>
      <c r="C116" s="31" t="str">
        <f aca="false">IF(B116="","",TEXT(B116,"ddd"))</f>
        <v/>
      </c>
      <c r="D116" s="11"/>
      <c r="E116" s="8" t="str">
        <f aca="false">IF(D116="","",IFERROR(INDEX(ProjNumbers,MATCH(D116,ProjNames,0)),""))</f>
        <v/>
      </c>
      <c r="F116" s="8" t="str">
        <f aca="false">IF(D116="","",IFERROR(INDEX(ProjCodes,MATCH(D116,ProjNames,0)),""))</f>
        <v/>
      </c>
      <c r="G116" s="32"/>
      <c r="H116" s="11"/>
      <c r="I116" s="33"/>
      <c r="J116" s="8" t="str">
        <f aca="false">IF(COUNTA(B116,D116,G116,H116,I116)=0,"",IF(B116="","Enter date",IF(OR(B116&lt;$AC$2,B116&gt;$AC$3),"Date not in March",IF(D116="","Pick project",IF(ISNA(MATCH(D116,ProjNames,0)),"Project not in list",IF(G116="","Add task description",IF(H116="","Pick NTIME or P6",IF(N(I116)&lt;=0,"Enter hours",IF(AND(AllowOT&lt;&gt;"Yes",SUMIF($B$7:$B$256,B116,$I$7:$I$256)&gt;INDEX($O$58:$O$88,DAY(B116))),"Day over "&amp;INDEX($O$58:$O$88,DAY(B116))&amp;" h","✓")))))))))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tr">
        <f aca="false">IF(Projects!B114="","",Projects!B114)</f>
        <v/>
      </c>
      <c r="X116" s="1" t="n">
        <f aca="false">IF(W116="",0,SUMIFS($I$7:$I$256,$D$7:$D$256,W116,$H$7:$H$256,"NTIME"))</f>
        <v>0</v>
      </c>
      <c r="Y116" s="1" t="n">
        <f aca="false">IF(W116="",0,SUMIFS($I$7:$I$256,$D$7:$D$256,W116,$H$7:$H$256,"P6"))</f>
        <v>0</v>
      </c>
      <c r="Z116" s="1" t="n">
        <f aca="false">X116+Y116</f>
        <v>0</v>
      </c>
      <c r="AA116" s="1" t="n">
        <f aca="false">IF(Z116&gt;0,Z116+(201-110)/10^6,0)</f>
        <v>0</v>
      </c>
      <c r="AB116" s="1"/>
      <c r="AC116" s="1"/>
      <c r="AD116" s="1"/>
      <c r="AE116" s="1"/>
      <c r="AF116" s="1"/>
      <c r="AG116" s="1"/>
      <c r="AH116" s="1"/>
    </row>
    <row r="117" customFormat="false" ht="15" hidden="false" customHeight="false" outlineLevel="0" collapsed="false">
      <c r="A117" s="1"/>
      <c r="B117" s="10"/>
      <c r="C117" s="31" t="str">
        <f aca="false">IF(B117="","",TEXT(B117,"ddd"))</f>
        <v/>
      </c>
      <c r="D117" s="11"/>
      <c r="E117" s="8" t="str">
        <f aca="false">IF(D117="","",IFERROR(INDEX(ProjNumbers,MATCH(D117,ProjNames,0)),""))</f>
        <v/>
      </c>
      <c r="F117" s="8" t="str">
        <f aca="false">IF(D117="","",IFERROR(INDEX(ProjCodes,MATCH(D117,ProjNames,0)),""))</f>
        <v/>
      </c>
      <c r="G117" s="32"/>
      <c r="H117" s="11"/>
      <c r="I117" s="33"/>
      <c r="J117" s="8" t="str">
        <f aca="false">IF(COUNTA(B117,D117,G117,H117,I117)=0,"",IF(B117="","Enter date",IF(OR(B117&lt;$AC$2,B117&gt;$AC$3),"Date not in March",IF(D117="","Pick project",IF(ISNA(MATCH(D117,ProjNames,0)),"Project not in list",IF(G117="","Add task description",IF(H117="","Pick NTIME or P6",IF(N(I117)&lt;=0,"Enter hours",IF(AND(AllowOT&lt;&gt;"Yes",SUMIF($B$7:$B$256,B117,$I$7:$I$256)&gt;INDEX($O$58:$O$88,DAY(B117))),"Day over "&amp;INDEX($O$58:$O$88,DAY(B117))&amp;" h","✓")))))))))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tr">
        <f aca="false">IF(Projects!B115="","",Projects!B115)</f>
        <v/>
      </c>
      <c r="X117" s="1" t="n">
        <f aca="false">IF(W117="",0,SUMIFS($I$7:$I$256,$D$7:$D$256,W117,$H$7:$H$256,"NTIME"))</f>
        <v>0</v>
      </c>
      <c r="Y117" s="1" t="n">
        <f aca="false">IF(W117="",0,SUMIFS($I$7:$I$256,$D$7:$D$256,W117,$H$7:$H$256,"P6"))</f>
        <v>0</v>
      </c>
      <c r="Z117" s="1" t="n">
        <f aca="false">X117+Y117</f>
        <v>0</v>
      </c>
      <c r="AA117" s="1" t="n">
        <f aca="false">IF(Z117&gt;0,Z117+(201-111)/10^6,0)</f>
        <v>0</v>
      </c>
      <c r="AB117" s="1"/>
      <c r="AC117" s="1"/>
      <c r="AD117" s="1"/>
      <c r="AE117" s="1"/>
      <c r="AF117" s="1"/>
      <c r="AG117" s="1"/>
      <c r="AH117" s="1"/>
    </row>
    <row r="118" customFormat="false" ht="15" hidden="false" customHeight="false" outlineLevel="0" collapsed="false">
      <c r="A118" s="1"/>
      <c r="B118" s="10"/>
      <c r="C118" s="31" t="str">
        <f aca="false">IF(B118="","",TEXT(B118,"ddd"))</f>
        <v/>
      </c>
      <c r="D118" s="11"/>
      <c r="E118" s="8" t="str">
        <f aca="false">IF(D118="","",IFERROR(INDEX(ProjNumbers,MATCH(D118,ProjNames,0)),""))</f>
        <v/>
      </c>
      <c r="F118" s="8" t="str">
        <f aca="false">IF(D118="","",IFERROR(INDEX(ProjCodes,MATCH(D118,ProjNames,0)),""))</f>
        <v/>
      </c>
      <c r="G118" s="32"/>
      <c r="H118" s="11"/>
      <c r="I118" s="33"/>
      <c r="J118" s="8" t="str">
        <f aca="false">IF(COUNTA(B118,D118,G118,H118,I118)=0,"",IF(B118="","Enter date",IF(OR(B118&lt;$AC$2,B118&gt;$AC$3),"Date not in March",IF(D118="","Pick project",IF(ISNA(MATCH(D118,ProjNames,0)),"Project not in list",IF(G118="","Add task description",IF(H118="","Pick NTIME or P6",IF(N(I118)&lt;=0,"Enter hours",IF(AND(AllowOT&lt;&gt;"Yes",SUMIF($B$7:$B$256,B118,$I$7:$I$256)&gt;INDEX($O$58:$O$88,DAY(B118))),"Day over "&amp;INDEX($O$58:$O$88,DAY(B118))&amp;" h","✓")))))))))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tr">
        <f aca="false">IF(Projects!B116="","",Projects!B116)</f>
        <v/>
      </c>
      <c r="X118" s="1" t="n">
        <f aca="false">IF(W118="",0,SUMIFS($I$7:$I$256,$D$7:$D$256,W118,$H$7:$H$256,"NTIME"))</f>
        <v>0</v>
      </c>
      <c r="Y118" s="1" t="n">
        <f aca="false">IF(W118="",0,SUMIFS($I$7:$I$256,$D$7:$D$256,W118,$H$7:$H$256,"P6"))</f>
        <v>0</v>
      </c>
      <c r="Z118" s="1" t="n">
        <f aca="false">X118+Y118</f>
        <v>0</v>
      </c>
      <c r="AA118" s="1" t="n">
        <f aca="false">IF(Z118&gt;0,Z118+(201-112)/10^6,0)</f>
        <v>0</v>
      </c>
      <c r="AB118" s="1"/>
      <c r="AC118" s="1"/>
      <c r="AD118" s="1"/>
      <c r="AE118" s="1"/>
      <c r="AF118" s="1"/>
      <c r="AG118" s="1"/>
      <c r="AH118" s="1"/>
    </row>
    <row r="119" customFormat="false" ht="15" hidden="false" customHeight="false" outlineLevel="0" collapsed="false">
      <c r="A119" s="1"/>
      <c r="B119" s="10"/>
      <c r="C119" s="31" t="str">
        <f aca="false">IF(B119="","",TEXT(B119,"ddd"))</f>
        <v/>
      </c>
      <c r="D119" s="11"/>
      <c r="E119" s="8" t="str">
        <f aca="false">IF(D119="","",IFERROR(INDEX(ProjNumbers,MATCH(D119,ProjNames,0)),""))</f>
        <v/>
      </c>
      <c r="F119" s="8" t="str">
        <f aca="false">IF(D119="","",IFERROR(INDEX(ProjCodes,MATCH(D119,ProjNames,0)),""))</f>
        <v/>
      </c>
      <c r="G119" s="32"/>
      <c r="H119" s="11"/>
      <c r="I119" s="33"/>
      <c r="J119" s="8" t="str">
        <f aca="false">IF(COUNTA(B119,D119,G119,H119,I119)=0,"",IF(B119="","Enter date",IF(OR(B119&lt;$AC$2,B119&gt;$AC$3),"Date not in March",IF(D119="","Pick project",IF(ISNA(MATCH(D119,ProjNames,0)),"Project not in list",IF(G119="","Add task description",IF(H119="","Pick NTIME or P6",IF(N(I119)&lt;=0,"Enter hours",IF(AND(AllowOT&lt;&gt;"Yes",SUMIF($B$7:$B$256,B119,$I$7:$I$256)&gt;INDEX($O$58:$O$88,DAY(B119))),"Day over "&amp;INDEX($O$58:$O$88,DAY(B119))&amp;" h","✓")))))))))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 aca="false">IF(Projects!B117="","",Projects!B117)</f>
        <v/>
      </c>
      <c r="X119" s="1" t="n">
        <f aca="false">IF(W119="",0,SUMIFS($I$7:$I$256,$D$7:$D$256,W119,$H$7:$H$256,"NTIME"))</f>
        <v>0</v>
      </c>
      <c r="Y119" s="1" t="n">
        <f aca="false">IF(W119="",0,SUMIFS($I$7:$I$256,$D$7:$D$256,W119,$H$7:$H$256,"P6"))</f>
        <v>0</v>
      </c>
      <c r="Z119" s="1" t="n">
        <f aca="false">X119+Y119</f>
        <v>0</v>
      </c>
      <c r="AA119" s="1" t="n">
        <f aca="false">IF(Z119&gt;0,Z119+(201-113)/10^6,0)</f>
        <v>0</v>
      </c>
      <c r="AB119" s="1"/>
      <c r="AC119" s="1"/>
      <c r="AD119" s="1"/>
      <c r="AE119" s="1"/>
      <c r="AF119" s="1"/>
      <c r="AG119" s="1"/>
      <c r="AH119" s="1"/>
    </row>
    <row r="120" customFormat="false" ht="15" hidden="false" customHeight="false" outlineLevel="0" collapsed="false">
      <c r="A120" s="1"/>
      <c r="B120" s="10"/>
      <c r="C120" s="31" t="str">
        <f aca="false">IF(B120="","",TEXT(B120,"ddd"))</f>
        <v/>
      </c>
      <c r="D120" s="11"/>
      <c r="E120" s="8" t="str">
        <f aca="false">IF(D120="","",IFERROR(INDEX(ProjNumbers,MATCH(D120,ProjNames,0)),""))</f>
        <v/>
      </c>
      <c r="F120" s="8" t="str">
        <f aca="false">IF(D120="","",IFERROR(INDEX(ProjCodes,MATCH(D120,ProjNames,0)),""))</f>
        <v/>
      </c>
      <c r="G120" s="32"/>
      <c r="H120" s="11"/>
      <c r="I120" s="33"/>
      <c r="J120" s="8" t="str">
        <f aca="false">IF(COUNTA(B120,D120,G120,H120,I120)=0,"",IF(B120="","Enter date",IF(OR(B120&lt;$AC$2,B120&gt;$AC$3),"Date not in March",IF(D120="","Pick project",IF(ISNA(MATCH(D120,ProjNames,0)),"Project not in list",IF(G120="","Add task description",IF(H120="","Pick NTIME or P6",IF(N(I120)&lt;=0,"Enter hours",IF(AND(AllowOT&lt;&gt;"Yes",SUMIF($B$7:$B$256,B120,$I$7:$I$256)&gt;INDEX($O$58:$O$88,DAY(B120))),"Day over "&amp;INDEX($O$58:$O$88,DAY(B120))&amp;" h","✓")))))))))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tr">
        <f aca="false">IF(Projects!B118="","",Projects!B118)</f>
        <v/>
      </c>
      <c r="X120" s="1" t="n">
        <f aca="false">IF(W120="",0,SUMIFS($I$7:$I$256,$D$7:$D$256,W120,$H$7:$H$256,"NTIME"))</f>
        <v>0</v>
      </c>
      <c r="Y120" s="1" t="n">
        <f aca="false">IF(W120="",0,SUMIFS($I$7:$I$256,$D$7:$D$256,W120,$H$7:$H$256,"P6"))</f>
        <v>0</v>
      </c>
      <c r="Z120" s="1" t="n">
        <f aca="false">X120+Y120</f>
        <v>0</v>
      </c>
      <c r="AA120" s="1" t="n">
        <f aca="false">IF(Z120&gt;0,Z120+(201-114)/10^6,0)</f>
        <v>0</v>
      </c>
      <c r="AB120" s="1"/>
      <c r="AC120" s="1"/>
      <c r="AD120" s="1"/>
      <c r="AE120" s="1"/>
      <c r="AF120" s="1"/>
      <c r="AG120" s="1"/>
      <c r="AH120" s="1"/>
    </row>
    <row r="121" customFormat="false" ht="15" hidden="false" customHeight="false" outlineLevel="0" collapsed="false">
      <c r="A121" s="1"/>
      <c r="B121" s="10"/>
      <c r="C121" s="31" t="str">
        <f aca="false">IF(B121="","",TEXT(B121,"ddd"))</f>
        <v/>
      </c>
      <c r="D121" s="11"/>
      <c r="E121" s="8" t="str">
        <f aca="false">IF(D121="","",IFERROR(INDEX(ProjNumbers,MATCH(D121,ProjNames,0)),""))</f>
        <v/>
      </c>
      <c r="F121" s="8" t="str">
        <f aca="false">IF(D121="","",IFERROR(INDEX(ProjCodes,MATCH(D121,ProjNames,0)),""))</f>
        <v/>
      </c>
      <c r="G121" s="32"/>
      <c r="H121" s="11"/>
      <c r="I121" s="33"/>
      <c r="J121" s="8" t="str">
        <f aca="false">IF(COUNTA(B121,D121,G121,H121,I121)=0,"",IF(B121="","Enter date",IF(OR(B121&lt;$AC$2,B121&gt;$AC$3),"Date not in March",IF(D121="","Pick project",IF(ISNA(MATCH(D121,ProjNames,0)),"Project not in list",IF(G121="","Add task description",IF(H121="","Pick NTIME or P6",IF(N(I121)&lt;=0,"Enter hours",IF(AND(AllowOT&lt;&gt;"Yes",SUMIF($B$7:$B$256,B121,$I$7:$I$256)&gt;INDEX($O$58:$O$88,DAY(B121))),"Day over "&amp;INDEX($O$58:$O$88,DAY(B121))&amp;" h","✓")))))))))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tr">
        <f aca="false">IF(Projects!B119="","",Projects!B119)</f>
        <v/>
      </c>
      <c r="X121" s="1" t="n">
        <f aca="false">IF(W121="",0,SUMIFS($I$7:$I$256,$D$7:$D$256,W121,$H$7:$H$256,"NTIME"))</f>
        <v>0</v>
      </c>
      <c r="Y121" s="1" t="n">
        <f aca="false">IF(W121="",0,SUMIFS($I$7:$I$256,$D$7:$D$256,W121,$H$7:$H$256,"P6"))</f>
        <v>0</v>
      </c>
      <c r="Z121" s="1" t="n">
        <f aca="false">X121+Y121</f>
        <v>0</v>
      </c>
      <c r="AA121" s="1" t="n">
        <f aca="false">IF(Z121&gt;0,Z121+(201-115)/10^6,0)</f>
        <v>0</v>
      </c>
      <c r="AB121" s="1"/>
      <c r="AC121" s="1"/>
      <c r="AD121" s="1"/>
      <c r="AE121" s="1"/>
      <c r="AF121" s="1"/>
      <c r="AG121" s="1"/>
      <c r="AH121" s="1"/>
    </row>
    <row r="122" customFormat="false" ht="15" hidden="false" customHeight="false" outlineLevel="0" collapsed="false">
      <c r="A122" s="1"/>
      <c r="B122" s="10"/>
      <c r="C122" s="31" t="str">
        <f aca="false">IF(B122="","",TEXT(B122,"ddd"))</f>
        <v/>
      </c>
      <c r="D122" s="11"/>
      <c r="E122" s="8" t="str">
        <f aca="false">IF(D122="","",IFERROR(INDEX(ProjNumbers,MATCH(D122,ProjNames,0)),""))</f>
        <v/>
      </c>
      <c r="F122" s="8" t="str">
        <f aca="false">IF(D122="","",IFERROR(INDEX(ProjCodes,MATCH(D122,ProjNames,0)),""))</f>
        <v/>
      </c>
      <c r="G122" s="32"/>
      <c r="H122" s="11"/>
      <c r="I122" s="33"/>
      <c r="J122" s="8" t="str">
        <f aca="false">IF(COUNTA(B122,D122,G122,H122,I122)=0,"",IF(B122="","Enter date",IF(OR(B122&lt;$AC$2,B122&gt;$AC$3),"Date not in March",IF(D122="","Pick project",IF(ISNA(MATCH(D122,ProjNames,0)),"Project not in list",IF(G122="","Add task description",IF(H122="","Pick NTIME or P6",IF(N(I122)&lt;=0,"Enter hours",IF(AND(AllowOT&lt;&gt;"Yes",SUMIF($B$7:$B$256,B122,$I$7:$I$256)&gt;INDEX($O$58:$O$88,DAY(B122))),"Day over "&amp;INDEX($O$58:$O$88,DAY(B122))&amp;" h","✓")))))))))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tr">
        <f aca="false">IF(Projects!B120="","",Projects!B120)</f>
        <v/>
      </c>
      <c r="X122" s="1" t="n">
        <f aca="false">IF(W122="",0,SUMIFS($I$7:$I$256,$D$7:$D$256,W122,$H$7:$H$256,"NTIME"))</f>
        <v>0</v>
      </c>
      <c r="Y122" s="1" t="n">
        <f aca="false">IF(W122="",0,SUMIFS($I$7:$I$256,$D$7:$D$256,W122,$H$7:$H$256,"P6"))</f>
        <v>0</v>
      </c>
      <c r="Z122" s="1" t="n">
        <f aca="false">X122+Y122</f>
        <v>0</v>
      </c>
      <c r="AA122" s="1" t="n">
        <f aca="false">IF(Z122&gt;0,Z122+(201-116)/10^6,0)</f>
        <v>0</v>
      </c>
      <c r="AB122" s="1"/>
      <c r="AC122" s="1"/>
      <c r="AD122" s="1"/>
      <c r="AE122" s="1"/>
      <c r="AF122" s="1"/>
      <c r="AG122" s="1"/>
      <c r="AH122" s="1"/>
    </row>
    <row r="123" customFormat="false" ht="15" hidden="false" customHeight="false" outlineLevel="0" collapsed="false">
      <c r="A123" s="1"/>
      <c r="B123" s="10"/>
      <c r="C123" s="31" t="str">
        <f aca="false">IF(B123="","",TEXT(B123,"ddd"))</f>
        <v/>
      </c>
      <c r="D123" s="11"/>
      <c r="E123" s="8" t="str">
        <f aca="false">IF(D123="","",IFERROR(INDEX(ProjNumbers,MATCH(D123,ProjNames,0)),""))</f>
        <v/>
      </c>
      <c r="F123" s="8" t="str">
        <f aca="false">IF(D123="","",IFERROR(INDEX(ProjCodes,MATCH(D123,ProjNames,0)),""))</f>
        <v/>
      </c>
      <c r="G123" s="32"/>
      <c r="H123" s="11"/>
      <c r="I123" s="33"/>
      <c r="J123" s="8" t="str">
        <f aca="false">IF(COUNTA(B123,D123,G123,H123,I123)=0,"",IF(B123="","Enter date",IF(OR(B123&lt;$AC$2,B123&gt;$AC$3),"Date not in March",IF(D123="","Pick project",IF(ISNA(MATCH(D123,ProjNames,0)),"Project not in list",IF(G123="","Add task description",IF(H123="","Pick NTIME or P6",IF(N(I123)&lt;=0,"Enter hours",IF(AND(AllowOT&lt;&gt;"Yes",SUMIF($B$7:$B$256,B123,$I$7:$I$256)&gt;INDEX($O$58:$O$88,DAY(B123))),"Day over "&amp;INDEX($O$58:$O$88,DAY(B123))&amp;" h","✓")))))))))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tr">
        <f aca="false">IF(Projects!B121="","",Projects!B121)</f>
        <v/>
      </c>
      <c r="X123" s="1" t="n">
        <f aca="false">IF(W123="",0,SUMIFS($I$7:$I$256,$D$7:$D$256,W123,$H$7:$H$256,"NTIME"))</f>
        <v>0</v>
      </c>
      <c r="Y123" s="1" t="n">
        <f aca="false">IF(W123="",0,SUMIFS($I$7:$I$256,$D$7:$D$256,W123,$H$7:$H$256,"P6"))</f>
        <v>0</v>
      </c>
      <c r="Z123" s="1" t="n">
        <f aca="false">X123+Y123</f>
        <v>0</v>
      </c>
      <c r="AA123" s="1" t="n">
        <f aca="false">IF(Z123&gt;0,Z123+(201-117)/10^6,0)</f>
        <v>0</v>
      </c>
      <c r="AB123" s="1"/>
      <c r="AC123" s="1"/>
      <c r="AD123" s="1"/>
      <c r="AE123" s="1"/>
      <c r="AF123" s="1"/>
      <c r="AG123" s="1"/>
      <c r="AH123" s="1"/>
    </row>
    <row r="124" customFormat="false" ht="15" hidden="false" customHeight="false" outlineLevel="0" collapsed="false">
      <c r="A124" s="1"/>
      <c r="B124" s="10"/>
      <c r="C124" s="31" t="str">
        <f aca="false">IF(B124="","",TEXT(B124,"ddd"))</f>
        <v/>
      </c>
      <c r="D124" s="11"/>
      <c r="E124" s="8" t="str">
        <f aca="false">IF(D124="","",IFERROR(INDEX(ProjNumbers,MATCH(D124,ProjNames,0)),""))</f>
        <v/>
      </c>
      <c r="F124" s="8" t="str">
        <f aca="false">IF(D124="","",IFERROR(INDEX(ProjCodes,MATCH(D124,ProjNames,0)),""))</f>
        <v/>
      </c>
      <c r="G124" s="32"/>
      <c r="H124" s="11"/>
      <c r="I124" s="33"/>
      <c r="J124" s="8" t="str">
        <f aca="false">IF(COUNTA(B124,D124,G124,H124,I124)=0,"",IF(B124="","Enter date",IF(OR(B124&lt;$AC$2,B124&gt;$AC$3),"Date not in March",IF(D124="","Pick project",IF(ISNA(MATCH(D124,ProjNames,0)),"Project not in list",IF(G124="","Add task description",IF(H124="","Pick NTIME or P6",IF(N(I124)&lt;=0,"Enter hours",IF(AND(AllowOT&lt;&gt;"Yes",SUMIF($B$7:$B$256,B124,$I$7:$I$256)&gt;INDEX($O$58:$O$88,DAY(B124))),"Day over "&amp;INDEX($O$58:$O$88,DAY(B124))&amp;" h","✓")))))))))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tr">
        <f aca="false">IF(Projects!B122="","",Projects!B122)</f>
        <v/>
      </c>
      <c r="X124" s="1" t="n">
        <f aca="false">IF(W124="",0,SUMIFS($I$7:$I$256,$D$7:$D$256,W124,$H$7:$H$256,"NTIME"))</f>
        <v>0</v>
      </c>
      <c r="Y124" s="1" t="n">
        <f aca="false">IF(W124="",0,SUMIFS($I$7:$I$256,$D$7:$D$256,W124,$H$7:$H$256,"P6"))</f>
        <v>0</v>
      </c>
      <c r="Z124" s="1" t="n">
        <f aca="false">X124+Y124</f>
        <v>0</v>
      </c>
      <c r="AA124" s="1" t="n">
        <f aca="false">IF(Z124&gt;0,Z124+(201-118)/10^6,0)</f>
        <v>0</v>
      </c>
      <c r="AB124" s="1"/>
      <c r="AC124" s="1"/>
      <c r="AD124" s="1"/>
      <c r="AE124" s="1"/>
      <c r="AF124" s="1"/>
      <c r="AG124" s="1"/>
      <c r="AH124" s="1"/>
    </row>
    <row r="125" customFormat="false" ht="15" hidden="false" customHeight="false" outlineLevel="0" collapsed="false">
      <c r="A125" s="1"/>
      <c r="B125" s="10"/>
      <c r="C125" s="31" t="str">
        <f aca="false">IF(B125="","",TEXT(B125,"ddd"))</f>
        <v/>
      </c>
      <c r="D125" s="11"/>
      <c r="E125" s="8" t="str">
        <f aca="false">IF(D125="","",IFERROR(INDEX(ProjNumbers,MATCH(D125,ProjNames,0)),""))</f>
        <v/>
      </c>
      <c r="F125" s="8" t="str">
        <f aca="false">IF(D125="","",IFERROR(INDEX(ProjCodes,MATCH(D125,ProjNames,0)),""))</f>
        <v/>
      </c>
      <c r="G125" s="32"/>
      <c r="H125" s="11"/>
      <c r="I125" s="33"/>
      <c r="J125" s="8" t="str">
        <f aca="false">IF(COUNTA(B125,D125,G125,H125,I125)=0,"",IF(B125="","Enter date",IF(OR(B125&lt;$AC$2,B125&gt;$AC$3),"Date not in March",IF(D125="","Pick project",IF(ISNA(MATCH(D125,ProjNames,0)),"Project not in list",IF(G125="","Add task description",IF(H125="","Pick NTIME or P6",IF(N(I125)&lt;=0,"Enter hours",IF(AND(AllowOT&lt;&gt;"Yes",SUMIF($B$7:$B$256,B125,$I$7:$I$256)&gt;INDEX($O$58:$O$88,DAY(B125))),"Day over "&amp;INDEX($O$58:$O$88,DAY(B125))&amp;" h","✓")))))))))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tr">
        <f aca="false">IF(Projects!B123="","",Projects!B123)</f>
        <v/>
      </c>
      <c r="X125" s="1" t="n">
        <f aca="false">IF(W125="",0,SUMIFS($I$7:$I$256,$D$7:$D$256,W125,$H$7:$H$256,"NTIME"))</f>
        <v>0</v>
      </c>
      <c r="Y125" s="1" t="n">
        <f aca="false">IF(W125="",0,SUMIFS($I$7:$I$256,$D$7:$D$256,W125,$H$7:$H$256,"P6"))</f>
        <v>0</v>
      </c>
      <c r="Z125" s="1" t="n">
        <f aca="false">X125+Y125</f>
        <v>0</v>
      </c>
      <c r="AA125" s="1" t="n">
        <f aca="false">IF(Z125&gt;0,Z125+(201-119)/10^6,0)</f>
        <v>0</v>
      </c>
      <c r="AB125" s="1"/>
      <c r="AC125" s="1"/>
      <c r="AD125" s="1"/>
      <c r="AE125" s="1"/>
      <c r="AF125" s="1"/>
      <c r="AG125" s="1"/>
      <c r="AH125" s="1"/>
    </row>
    <row r="126" customFormat="false" ht="15" hidden="false" customHeight="false" outlineLevel="0" collapsed="false">
      <c r="A126" s="1"/>
      <c r="B126" s="10"/>
      <c r="C126" s="31" t="str">
        <f aca="false">IF(B126="","",TEXT(B126,"ddd"))</f>
        <v/>
      </c>
      <c r="D126" s="11"/>
      <c r="E126" s="8" t="str">
        <f aca="false">IF(D126="","",IFERROR(INDEX(ProjNumbers,MATCH(D126,ProjNames,0)),""))</f>
        <v/>
      </c>
      <c r="F126" s="8" t="str">
        <f aca="false">IF(D126="","",IFERROR(INDEX(ProjCodes,MATCH(D126,ProjNames,0)),""))</f>
        <v/>
      </c>
      <c r="G126" s="32"/>
      <c r="H126" s="11"/>
      <c r="I126" s="33"/>
      <c r="J126" s="8" t="str">
        <f aca="false">IF(COUNTA(B126,D126,G126,H126,I126)=0,"",IF(B126="","Enter date",IF(OR(B126&lt;$AC$2,B126&gt;$AC$3),"Date not in March",IF(D126="","Pick project",IF(ISNA(MATCH(D126,ProjNames,0)),"Project not in list",IF(G126="","Add task description",IF(H126="","Pick NTIME or P6",IF(N(I126)&lt;=0,"Enter hours",IF(AND(AllowOT&lt;&gt;"Yes",SUMIF($B$7:$B$256,B126,$I$7:$I$256)&gt;INDEX($O$58:$O$88,DAY(B126))),"Day over "&amp;INDEX($O$58:$O$88,DAY(B126))&amp;" h","✓")))))))))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tr">
        <f aca="false">IF(Projects!B124="","",Projects!B124)</f>
        <v/>
      </c>
      <c r="X126" s="1" t="n">
        <f aca="false">IF(W126="",0,SUMIFS($I$7:$I$256,$D$7:$D$256,W126,$H$7:$H$256,"NTIME"))</f>
        <v>0</v>
      </c>
      <c r="Y126" s="1" t="n">
        <f aca="false">IF(W126="",0,SUMIFS($I$7:$I$256,$D$7:$D$256,W126,$H$7:$H$256,"P6"))</f>
        <v>0</v>
      </c>
      <c r="Z126" s="1" t="n">
        <f aca="false">X126+Y126</f>
        <v>0</v>
      </c>
      <c r="AA126" s="1" t="n">
        <f aca="false">IF(Z126&gt;0,Z126+(201-120)/10^6,0)</f>
        <v>0</v>
      </c>
      <c r="AB126" s="1"/>
      <c r="AC126" s="1"/>
      <c r="AD126" s="1"/>
      <c r="AE126" s="1"/>
      <c r="AF126" s="1"/>
      <c r="AG126" s="1"/>
      <c r="AH126" s="1"/>
    </row>
    <row r="127" customFormat="false" ht="15" hidden="false" customHeight="false" outlineLevel="0" collapsed="false">
      <c r="A127" s="1"/>
      <c r="B127" s="10"/>
      <c r="C127" s="31" t="str">
        <f aca="false">IF(B127="","",TEXT(B127,"ddd"))</f>
        <v/>
      </c>
      <c r="D127" s="11"/>
      <c r="E127" s="8" t="str">
        <f aca="false">IF(D127="","",IFERROR(INDEX(ProjNumbers,MATCH(D127,ProjNames,0)),""))</f>
        <v/>
      </c>
      <c r="F127" s="8" t="str">
        <f aca="false">IF(D127="","",IFERROR(INDEX(ProjCodes,MATCH(D127,ProjNames,0)),""))</f>
        <v/>
      </c>
      <c r="G127" s="32"/>
      <c r="H127" s="11"/>
      <c r="I127" s="33"/>
      <c r="J127" s="8" t="str">
        <f aca="false">IF(COUNTA(B127,D127,G127,H127,I127)=0,"",IF(B127="","Enter date",IF(OR(B127&lt;$AC$2,B127&gt;$AC$3),"Date not in March",IF(D127="","Pick project",IF(ISNA(MATCH(D127,ProjNames,0)),"Project not in list",IF(G127="","Add task description",IF(H127="","Pick NTIME or P6",IF(N(I127)&lt;=0,"Enter hours",IF(AND(AllowOT&lt;&gt;"Yes",SUMIF($B$7:$B$256,B127,$I$7:$I$256)&gt;INDEX($O$58:$O$88,DAY(B127))),"Day over "&amp;INDEX($O$58:$O$88,DAY(B127))&amp;" h","✓")))))))))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tr">
        <f aca="false">IF(Projects!B125="","",Projects!B125)</f>
        <v/>
      </c>
      <c r="X127" s="1" t="n">
        <f aca="false">IF(W127="",0,SUMIFS($I$7:$I$256,$D$7:$D$256,W127,$H$7:$H$256,"NTIME"))</f>
        <v>0</v>
      </c>
      <c r="Y127" s="1" t="n">
        <f aca="false">IF(W127="",0,SUMIFS($I$7:$I$256,$D$7:$D$256,W127,$H$7:$H$256,"P6"))</f>
        <v>0</v>
      </c>
      <c r="Z127" s="1" t="n">
        <f aca="false">X127+Y127</f>
        <v>0</v>
      </c>
      <c r="AA127" s="1" t="n">
        <f aca="false">IF(Z127&gt;0,Z127+(201-121)/10^6,0)</f>
        <v>0</v>
      </c>
      <c r="AB127" s="1"/>
      <c r="AC127" s="1"/>
      <c r="AD127" s="1"/>
      <c r="AE127" s="1"/>
      <c r="AF127" s="1"/>
      <c r="AG127" s="1"/>
      <c r="AH127" s="1"/>
    </row>
    <row r="128" customFormat="false" ht="15" hidden="false" customHeight="false" outlineLevel="0" collapsed="false">
      <c r="A128" s="1"/>
      <c r="B128" s="10"/>
      <c r="C128" s="31" t="str">
        <f aca="false">IF(B128="","",TEXT(B128,"ddd"))</f>
        <v/>
      </c>
      <c r="D128" s="11"/>
      <c r="E128" s="8" t="str">
        <f aca="false">IF(D128="","",IFERROR(INDEX(ProjNumbers,MATCH(D128,ProjNames,0)),""))</f>
        <v/>
      </c>
      <c r="F128" s="8" t="str">
        <f aca="false">IF(D128="","",IFERROR(INDEX(ProjCodes,MATCH(D128,ProjNames,0)),""))</f>
        <v/>
      </c>
      <c r="G128" s="32"/>
      <c r="H128" s="11"/>
      <c r="I128" s="33"/>
      <c r="J128" s="8" t="str">
        <f aca="false">IF(COUNTA(B128,D128,G128,H128,I128)=0,"",IF(B128="","Enter date",IF(OR(B128&lt;$AC$2,B128&gt;$AC$3),"Date not in March",IF(D128="","Pick project",IF(ISNA(MATCH(D128,ProjNames,0)),"Project not in list",IF(G128="","Add task description",IF(H128="","Pick NTIME or P6",IF(N(I128)&lt;=0,"Enter hours",IF(AND(AllowOT&lt;&gt;"Yes",SUMIF($B$7:$B$256,B128,$I$7:$I$256)&gt;INDEX($O$58:$O$88,DAY(B128))),"Day over "&amp;INDEX($O$58:$O$88,DAY(B128))&amp;" h","✓")))))))))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tr">
        <f aca="false">IF(Projects!B126="","",Projects!B126)</f>
        <v/>
      </c>
      <c r="X128" s="1" t="n">
        <f aca="false">IF(W128="",0,SUMIFS($I$7:$I$256,$D$7:$D$256,W128,$H$7:$H$256,"NTIME"))</f>
        <v>0</v>
      </c>
      <c r="Y128" s="1" t="n">
        <f aca="false">IF(W128="",0,SUMIFS($I$7:$I$256,$D$7:$D$256,W128,$H$7:$H$256,"P6"))</f>
        <v>0</v>
      </c>
      <c r="Z128" s="1" t="n">
        <f aca="false">X128+Y128</f>
        <v>0</v>
      </c>
      <c r="AA128" s="1" t="n">
        <f aca="false">IF(Z128&gt;0,Z128+(201-122)/10^6,0)</f>
        <v>0</v>
      </c>
      <c r="AB128" s="1"/>
      <c r="AC128" s="1"/>
      <c r="AD128" s="1"/>
      <c r="AE128" s="1"/>
      <c r="AF128" s="1"/>
      <c r="AG128" s="1"/>
      <c r="AH128" s="1"/>
    </row>
    <row r="129" customFormat="false" ht="15" hidden="false" customHeight="false" outlineLevel="0" collapsed="false">
      <c r="A129" s="1"/>
      <c r="B129" s="10"/>
      <c r="C129" s="31" t="str">
        <f aca="false">IF(B129="","",TEXT(B129,"ddd"))</f>
        <v/>
      </c>
      <c r="D129" s="11"/>
      <c r="E129" s="8" t="str">
        <f aca="false">IF(D129="","",IFERROR(INDEX(ProjNumbers,MATCH(D129,ProjNames,0)),""))</f>
        <v/>
      </c>
      <c r="F129" s="8" t="str">
        <f aca="false">IF(D129="","",IFERROR(INDEX(ProjCodes,MATCH(D129,ProjNames,0)),""))</f>
        <v/>
      </c>
      <c r="G129" s="32"/>
      <c r="H129" s="11"/>
      <c r="I129" s="33"/>
      <c r="J129" s="8" t="str">
        <f aca="false">IF(COUNTA(B129,D129,G129,H129,I129)=0,"",IF(B129="","Enter date",IF(OR(B129&lt;$AC$2,B129&gt;$AC$3),"Date not in March",IF(D129="","Pick project",IF(ISNA(MATCH(D129,ProjNames,0)),"Project not in list",IF(G129="","Add task description",IF(H129="","Pick NTIME or P6",IF(N(I129)&lt;=0,"Enter hours",IF(AND(AllowOT&lt;&gt;"Yes",SUMIF($B$7:$B$256,B129,$I$7:$I$256)&gt;INDEX($O$58:$O$88,DAY(B129))),"Day over "&amp;INDEX($O$58:$O$88,DAY(B129))&amp;" h","✓")))))))))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tr">
        <f aca="false">IF(Projects!B127="","",Projects!B127)</f>
        <v/>
      </c>
      <c r="X129" s="1" t="n">
        <f aca="false">IF(W129="",0,SUMIFS($I$7:$I$256,$D$7:$D$256,W129,$H$7:$H$256,"NTIME"))</f>
        <v>0</v>
      </c>
      <c r="Y129" s="1" t="n">
        <f aca="false">IF(W129="",0,SUMIFS($I$7:$I$256,$D$7:$D$256,W129,$H$7:$H$256,"P6"))</f>
        <v>0</v>
      </c>
      <c r="Z129" s="1" t="n">
        <f aca="false">X129+Y129</f>
        <v>0</v>
      </c>
      <c r="AA129" s="1" t="n">
        <f aca="false">IF(Z129&gt;0,Z129+(201-123)/10^6,0)</f>
        <v>0</v>
      </c>
      <c r="AB129" s="1"/>
      <c r="AC129" s="1"/>
      <c r="AD129" s="1"/>
      <c r="AE129" s="1"/>
      <c r="AF129" s="1"/>
      <c r="AG129" s="1"/>
      <c r="AH129" s="1"/>
    </row>
    <row r="130" customFormat="false" ht="15" hidden="false" customHeight="false" outlineLevel="0" collapsed="false">
      <c r="A130" s="1"/>
      <c r="B130" s="10"/>
      <c r="C130" s="31" t="str">
        <f aca="false">IF(B130="","",TEXT(B130,"ddd"))</f>
        <v/>
      </c>
      <c r="D130" s="11"/>
      <c r="E130" s="8" t="str">
        <f aca="false">IF(D130="","",IFERROR(INDEX(ProjNumbers,MATCH(D130,ProjNames,0)),""))</f>
        <v/>
      </c>
      <c r="F130" s="8" t="str">
        <f aca="false">IF(D130="","",IFERROR(INDEX(ProjCodes,MATCH(D130,ProjNames,0)),""))</f>
        <v/>
      </c>
      <c r="G130" s="32"/>
      <c r="H130" s="11"/>
      <c r="I130" s="33"/>
      <c r="J130" s="8" t="str">
        <f aca="false">IF(COUNTA(B130,D130,G130,H130,I130)=0,"",IF(B130="","Enter date",IF(OR(B130&lt;$AC$2,B130&gt;$AC$3),"Date not in March",IF(D130="","Pick project",IF(ISNA(MATCH(D130,ProjNames,0)),"Project not in list",IF(G130="","Add task description",IF(H130="","Pick NTIME or P6",IF(N(I130)&lt;=0,"Enter hours",IF(AND(AllowOT&lt;&gt;"Yes",SUMIF($B$7:$B$256,B130,$I$7:$I$256)&gt;INDEX($O$58:$O$88,DAY(B130))),"Day over "&amp;INDEX($O$58:$O$88,DAY(B130))&amp;" h","✓")))))))))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tr">
        <f aca="false">IF(Projects!B128="","",Projects!B128)</f>
        <v/>
      </c>
      <c r="X130" s="1" t="n">
        <f aca="false">IF(W130="",0,SUMIFS($I$7:$I$256,$D$7:$D$256,W130,$H$7:$H$256,"NTIME"))</f>
        <v>0</v>
      </c>
      <c r="Y130" s="1" t="n">
        <f aca="false">IF(W130="",0,SUMIFS($I$7:$I$256,$D$7:$D$256,W130,$H$7:$H$256,"P6"))</f>
        <v>0</v>
      </c>
      <c r="Z130" s="1" t="n">
        <f aca="false">X130+Y130</f>
        <v>0</v>
      </c>
      <c r="AA130" s="1" t="n">
        <f aca="false">IF(Z130&gt;0,Z130+(201-124)/10^6,0)</f>
        <v>0</v>
      </c>
      <c r="AB130" s="1"/>
      <c r="AC130" s="1"/>
      <c r="AD130" s="1"/>
      <c r="AE130" s="1"/>
      <c r="AF130" s="1"/>
      <c r="AG130" s="1"/>
      <c r="AH130" s="1"/>
    </row>
    <row r="131" customFormat="false" ht="15" hidden="false" customHeight="false" outlineLevel="0" collapsed="false">
      <c r="A131" s="1"/>
      <c r="B131" s="10"/>
      <c r="C131" s="31" t="str">
        <f aca="false">IF(B131="","",TEXT(B131,"ddd"))</f>
        <v/>
      </c>
      <c r="D131" s="11"/>
      <c r="E131" s="8" t="str">
        <f aca="false">IF(D131="","",IFERROR(INDEX(ProjNumbers,MATCH(D131,ProjNames,0)),""))</f>
        <v/>
      </c>
      <c r="F131" s="8" t="str">
        <f aca="false">IF(D131="","",IFERROR(INDEX(ProjCodes,MATCH(D131,ProjNames,0)),""))</f>
        <v/>
      </c>
      <c r="G131" s="32"/>
      <c r="H131" s="11"/>
      <c r="I131" s="33"/>
      <c r="J131" s="8" t="str">
        <f aca="false">IF(COUNTA(B131,D131,G131,H131,I131)=0,"",IF(B131="","Enter date",IF(OR(B131&lt;$AC$2,B131&gt;$AC$3),"Date not in March",IF(D131="","Pick project",IF(ISNA(MATCH(D131,ProjNames,0)),"Project not in list",IF(G131="","Add task description",IF(H131="","Pick NTIME or P6",IF(N(I131)&lt;=0,"Enter hours",IF(AND(AllowOT&lt;&gt;"Yes",SUMIF($B$7:$B$256,B131,$I$7:$I$256)&gt;INDEX($O$58:$O$88,DAY(B131))),"Day over "&amp;INDEX($O$58:$O$88,DAY(B131))&amp;" h","✓")))))))))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tr">
        <f aca="false">IF(Projects!B129="","",Projects!B129)</f>
        <v/>
      </c>
      <c r="X131" s="1" t="n">
        <f aca="false">IF(W131="",0,SUMIFS($I$7:$I$256,$D$7:$D$256,W131,$H$7:$H$256,"NTIME"))</f>
        <v>0</v>
      </c>
      <c r="Y131" s="1" t="n">
        <f aca="false">IF(W131="",0,SUMIFS($I$7:$I$256,$D$7:$D$256,W131,$H$7:$H$256,"P6"))</f>
        <v>0</v>
      </c>
      <c r="Z131" s="1" t="n">
        <f aca="false">X131+Y131</f>
        <v>0</v>
      </c>
      <c r="AA131" s="1" t="n">
        <f aca="false">IF(Z131&gt;0,Z131+(201-125)/10^6,0)</f>
        <v>0</v>
      </c>
      <c r="AB131" s="1"/>
      <c r="AC131" s="1"/>
      <c r="AD131" s="1"/>
      <c r="AE131" s="1"/>
      <c r="AF131" s="1"/>
      <c r="AG131" s="1"/>
      <c r="AH131" s="1"/>
    </row>
    <row r="132" customFormat="false" ht="15" hidden="false" customHeight="false" outlineLevel="0" collapsed="false">
      <c r="A132" s="1"/>
      <c r="B132" s="10"/>
      <c r="C132" s="31" t="str">
        <f aca="false">IF(B132="","",TEXT(B132,"ddd"))</f>
        <v/>
      </c>
      <c r="D132" s="11"/>
      <c r="E132" s="8" t="str">
        <f aca="false">IF(D132="","",IFERROR(INDEX(ProjNumbers,MATCH(D132,ProjNames,0)),""))</f>
        <v/>
      </c>
      <c r="F132" s="8" t="str">
        <f aca="false">IF(D132="","",IFERROR(INDEX(ProjCodes,MATCH(D132,ProjNames,0)),""))</f>
        <v/>
      </c>
      <c r="G132" s="32"/>
      <c r="H132" s="11"/>
      <c r="I132" s="33"/>
      <c r="J132" s="8" t="str">
        <f aca="false">IF(COUNTA(B132,D132,G132,H132,I132)=0,"",IF(B132="","Enter date",IF(OR(B132&lt;$AC$2,B132&gt;$AC$3),"Date not in March",IF(D132="","Pick project",IF(ISNA(MATCH(D132,ProjNames,0)),"Project not in list",IF(G132="","Add task description",IF(H132="","Pick NTIME or P6",IF(N(I132)&lt;=0,"Enter hours",IF(AND(AllowOT&lt;&gt;"Yes",SUMIF($B$7:$B$256,B132,$I$7:$I$256)&gt;INDEX($O$58:$O$88,DAY(B132))),"Day over "&amp;INDEX($O$58:$O$88,DAY(B132))&amp;" h","✓")))))))))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tr">
        <f aca="false">IF(Projects!B130="","",Projects!B130)</f>
        <v/>
      </c>
      <c r="X132" s="1" t="n">
        <f aca="false">IF(W132="",0,SUMIFS($I$7:$I$256,$D$7:$D$256,W132,$H$7:$H$256,"NTIME"))</f>
        <v>0</v>
      </c>
      <c r="Y132" s="1" t="n">
        <f aca="false">IF(W132="",0,SUMIFS($I$7:$I$256,$D$7:$D$256,W132,$H$7:$H$256,"P6"))</f>
        <v>0</v>
      </c>
      <c r="Z132" s="1" t="n">
        <f aca="false">X132+Y132</f>
        <v>0</v>
      </c>
      <c r="AA132" s="1" t="n">
        <f aca="false">IF(Z132&gt;0,Z132+(201-126)/10^6,0)</f>
        <v>0</v>
      </c>
      <c r="AB132" s="1"/>
      <c r="AC132" s="1"/>
      <c r="AD132" s="1"/>
      <c r="AE132" s="1"/>
      <c r="AF132" s="1"/>
      <c r="AG132" s="1"/>
      <c r="AH132" s="1"/>
    </row>
    <row r="133" customFormat="false" ht="15" hidden="false" customHeight="false" outlineLevel="0" collapsed="false">
      <c r="A133" s="1"/>
      <c r="B133" s="10"/>
      <c r="C133" s="31" t="str">
        <f aca="false">IF(B133="","",TEXT(B133,"ddd"))</f>
        <v/>
      </c>
      <c r="D133" s="11"/>
      <c r="E133" s="8" t="str">
        <f aca="false">IF(D133="","",IFERROR(INDEX(ProjNumbers,MATCH(D133,ProjNames,0)),""))</f>
        <v/>
      </c>
      <c r="F133" s="8" t="str">
        <f aca="false">IF(D133="","",IFERROR(INDEX(ProjCodes,MATCH(D133,ProjNames,0)),""))</f>
        <v/>
      </c>
      <c r="G133" s="32"/>
      <c r="H133" s="11"/>
      <c r="I133" s="33"/>
      <c r="J133" s="8" t="str">
        <f aca="false">IF(COUNTA(B133,D133,G133,H133,I133)=0,"",IF(B133="","Enter date",IF(OR(B133&lt;$AC$2,B133&gt;$AC$3),"Date not in March",IF(D133="","Pick project",IF(ISNA(MATCH(D133,ProjNames,0)),"Project not in list",IF(G133="","Add task description",IF(H133="","Pick NTIME or P6",IF(N(I133)&lt;=0,"Enter hours",IF(AND(AllowOT&lt;&gt;"Yes",SUMIF($B$7:$B$256,B133,$I$7:$I$256)&gt;INDEX($O$58:$O$88,DAY(B133))),"Day over "&amp;INDEX($O$58:$O$88,DAY(B133))&amp;" h","✓")))))))))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tr">
        <f aca="false">IF(Projects!B131="","",Projects!B131)</f>
        <v/>
      </c>
      <c r="X133" s="1" t="n">
        <f aca="false">IF(W133="",0,SUMIFS($I$7:$I$256,$D$7:$D$256,W133,$H$7:$H$256,"NTIME"))</f>
        <v>0</v>
      </c>
      <c r="Y133" s="1" t="n">
        <f aca="false">IF(W133="",0,SUMIFS($I$7:$I$256,$D$7:$D$256,W133,$H$7:$H$256,"P6"))</f>
        <v>0</v>
      </c>
      <c r="Z133" s="1" t="n">
        <f aca="false">X133+Y133</f>
        <v>0</v>
      </c>
      <c r="AA133" s="1" t="n">
        <f aca="false">IF(Z133&gt;0,Z133+(201-127)/10^6,0)</f>
        <v>0</v>
      </c>
      <c r="AB133" s="1"/>
      <c r="AC133" s="1"/>
      <c r="AD133" s="1"/>
      <c r="AE133" s="1"/>
      <c r="AF133" s="1"/>
      <c r="AG133" s="1"/>
      <c r="AH133" s="1"/>
    </row>
    <row r="134" customFormat="false" ht="15" hidden="false" customHeight="false" outlineLevel="0" collapsed="false">
      <c r="A134" s="1"/>
      <c r="B134" s="10"/>
      <c r="C134" s="31" t="str">
        <f aca="false">IF(B134="","",TEXT(B134,"ddd"))</f>
        <v/>
      </c>
      <c r="D134" s="11"/>
      <c r="E134" s="8" t="str">
        <f aca="false">IF(D134="","",IFERROR(INDEX(ProjNumbers,MATCH(D134,ProjNames,0)),""))</f>
        <v/>
      </c>
      <c r="F134" s="8" t="str">
        <f aca="false">IF(D134="","",IFERROR(INDEX(ProjCodes,MATCH(D134,ProjNames,0)),""))</f>
        <v/>
      </c>
      <c r="G134" s="32"/>
      <c r="H134" s="11"/>
      <c r="I134" s="33"/>
      <c r="J134" s="8" t="str">
        <f aca="false">IF(COUNTA(B134,D134,G134,H134,I134)=0,"",IF(B134="","Enter date",IF(OR(B134&lt;$AC$2,B134&gt;$AC$3),"Date not in March",IF(D134="","Pick project",IF(ISNA(MATCH(D134,ProjNames,0)),"Project not in list",IF(G134="","Add task description",IF(H134="","Pick NTIME or P6",IF(N(I134)&lt;=0,"Enter hours",IF(AND(AllowOT&lt;&gt;"Yes",SUMIF($B$7:$B$256,B134,$I$7:$I$256)&gt;INDEX($O$58:$O$88,DAY(B134))),"Day over "&amp;INDEX($O$58:$O$88,DAY(B134))&amp;" h","✓")))))))))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tr">
        <f aca="false">IF(Projects!B132="","",Projects!B132)</f>
        <v/>
      </c>
      <c r="X134" s="1" t="n">
        <f aca="false">IF(W134="",0,SUMIFS($I$7:$I$256,$D$7:$D$256,W134,$H$7:$H$256,"NTIME"))</f>
        <v>0</v>
      </c>
      <c r="Y134" s="1" t="n">
        <f aca="false">IF(W134="",0,SUMIFS($I$7:$I$256,$D$7:$D$256,W134,$H$7:$H$256,"P6"))</f>
        <v>0</v>
      </c>
      <c r="Z134" s="1" t="n">
        <f aca="false">X134+Y134</f>
        <v>0</v>
      </c>
      <c r="AA134" s="1" t="n">
        <f aca="false">IF(Z134&gt;0,Z134+(201-128)/10^6,0)</f>
        <v>0</v>
      </c>
      <c r="AB134" s="1"/>
      <c r="AC134" s="1"/>
      <c r="AD134" s="1"/>
      <c r="AE134" s="1"/>
      <c r="AF134" s="1"/>
      <c r="AG134" s="1"/>
      <c r="AH134" s="1"/>
    </row>
    <row r="135" customFormat="false" ht="15" hidden="false" customHeight="false" outlineLevel="0" collapsed="false">
      <c r="A135" s="1"/>
      <c r="B135" s="10"/>
      <c r="C135" s="31" t="str">
        <f aca="false">IF(B135="","",TEXT(B135,"ddd"))</f>
        <v/>
      </c>
      <c r="D135" s="11"/>
      <c r="E135" s="8" t="str">
        <f aca="false">IF(D135="","",IFERROR(INDEX(ProjNumbers,MATCH(D135,ProjNames,0)),""))</f>
        <v/>
      </c>
      <c r="F135" s="8" t="str">
        <f aca="false">IF(D135="","",IFERROR(INDEX(ProjCodes,MATCH(D135,ProjNames,0)),""))</f>
        <v/>
      </c>
      <c r="G135" s="32"/>
      <c r="H135" s="11"/>
      <c r="I135" s="33"/>
      <c r="J135" s="8" t="str">
        <f aca="false">IF(COUNTA(B135,D135,G135,H135,I135)=0,"",IF(B135="","Enter date",IF(OR(B135&lt;$AC$2,B135&gt;$AC$3),"Date not in March",IF(D135="","Pick project",IF(ISNA(MATCH(D135,ProjNames,0)),"Project not in list",IF(G135="","Add task description",IF(H135="","Pick NTIME or P6",IF(N(I135)&lt;=0,"Enter hours",IF(AND(AllowOT&lt;&gt;"Yes",SUMIF($B$7:$B$256,B135,$I$7:$I$256)&gt;INDEX($O$58:$O$88,DAY(B135))),"Day over "&amp;INDEX($O$58:$O$88,DAY(B135))&amp;" h","✓")))))))))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tr">
        <f aca="false">IF(Projects!B133="","",Projects!B133)</f>
        <v/>
      </c>
      <c r="X135" s="1" t="n">
        <f aca="false">IF(W135="",0,SUMIFS($I$7:$I$256,$D$7:$D$256,W135,$H$7:$H$256,"NTIME"))</f>
        <v>0</v>
      </c>
      <c r="Y135" s="1" t="n">
        <f aca="false">IF(W135="",0,SUMIFS($I$7:$I$256,$D$7:$D$256,W135,$H$7:$H$256,"P6"))</f>
        <v>0</v>
      </c>
      <c r="Z135" s="1" t="n">
        <f aca="false">X135+Y135</f>
        <v>0</v>
      </c>
      <c r="AA135" s="1" t="n">
        <f aca="false">IF(Z135&gt;0,Z135+(201-129)/10^6,0)</f>
        <v>0</v>
      </c>
      <c r="AB135" s="1"/>
      <c r="AC135" s="1"/>
      <c r="AD135" s="1"/>
      <c r="AE135" s="1"/>
      <c r="AF135" s="1"/>
      <c r="AG135" s="1"/>
      <c r="AH135" s="1"/>
    </row>
    <row r="136" customFormat="false" ht="15" hidden="false" customHeight="false" outlineLevel="0" collapsed="false">
      <c r="A136" s="1"/>
      <c r="B136" s="10"/>
      <c r="C136" s="31" t="str">
        <f aca="false">IF(B136="","",TEXT(B136,"ddd"))</f>
        <v/>
      </c>
      <c r="D136" s="11"/>
      <c r="E136" s="8" t="str">
        <f aca="false">IF(D136="","",IFERROR(INDEX(ProjNumbers,MATCH(D136,ProjNames,0)),""))</f>
        <v/>
      </c>
      <c r="F136" s="8" t="str">
        <f aca="false">IF(D136="","",IFERROR(INDEX(ProjCodes,MATCH(D136,ProjNames,0)),""))</f>
        <v/>
      </c>
      <c r="G136" s="32"/>
      <c r="H136" s="11"/>
      <c r="I136" s="33"/>
      <c r="J136" s="8" t="str">
        <f aca="false">IF(COUNTA(B136,D136,G136,H136,I136)=0,"",IF(B136="","Enter date",IF(OR(B136&lt;$AC$2,B136&gt;$AC$3),"Date not in March",IF(D136="","Pick project",IF(ISNA(MATCH(D136,ProjNames,0)),"Project not in list",IF(G136="","Add task description",IF(H136="","Pick NTIME or P6",IF(N(I136)&lt;=0,"Enter hours",IF(AND(AllowOT&lt;&gt;"Yes",SUMIF($B$7:$B$256,B136,$I$7:$I$256)&gt;INDEX($O$58:$O$88,DAY(B136))),"Day over "&amp;INDEX($O$58:$O$88,DAY(B136))&amp;" h","✓")))))))))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tr">
        <f aca="false">IF(Projects!B134="","",Projects!B134)</f>
        <v/>
      </c>
      <c r="X136" s="1" t="n">
        <f aca="false">IF(W136="",0,SUMIFS($I$7:$I$256,$D$7:$D$256,W136,$H$7:$H$256,"NTIME"))</f>
        <v>0</v>
      </c>
      <c r="Y136" s="1" t="n">
        <f aca="false">IF(W136="",0,SUMIFS($I$7:$I$256,$D$7:$D$256,W136,$H$7:$H$256,"P6"))</f>
        <v>0</v>
      </c>
      <c r="Z136" s="1" t="n">
        <f aca="false">X136+Y136</f>
        <v>0</v>
      </c>
      <c r="AA136" s="1" t="n">
        <f aca="false">IF(Z136&gt;0,Z136+(201-130)/10^6,0)</f>
        <v>0</v>
      </c>
      <c r="AB136" s="1"/>
      <c r="AC136" s="1"/>
      <c r="AD136" s="1"/>
      <c r="AE136" s="1"/>
      <c r="AF136" s="1"/>
      <c r="AG136" s="1"/>
      <c r="AH136" s="1"/>
    </row>
    <row r="137" customFormat="false" ht="15" hidden="false" customHeight="false" outlineLevel="0" collapsed="false">
      <c r="A137" s="1"/>
      <c r="B137" s="10"/>
      <c r="C137" s="31" t="str">
        <f aca="false">IF(B137="","",TEXT(B137,"ddd"))</f>
        <v/>
      </c>
      <c r="D137" s="11"/>
      <c r="E137" s="8" t="str">
        <f aca="false">IF(D137="","",IFERROR(INDEX(ProjNumbers,MATCH(D137,ProjNames,0)),""))</f>
        <v/>
      </c>
      <c r="F137" s="8" t="str">
        <f aca="false">IF(D137="","",IFERROR(INDEX(ProjCodes,MATCH(D137,ProjNames,0)),""))</f>
        <v/>
      </c>
      <c r="G137" s="32"/>
      <c r="H137" s="11"/>
      <c r="I137" s="33"/>
      <c r="J137" s="8" t="str">
        <f aca="false">IF(COUNTA(B137,D137,G137,H137,I137)=0,"",IF(B137="","Enter date",IF(OR(B137&lt;$AC$2,B137&gt;$AC$3),"Date not in March",IF(D137="","Pick project",IF(ISNA(MATCH(D137,ProjNames,0)),"Project not in list",IF(G137="","Add task description",IF(H137="","Pick NTIME or P6",IF(N(I137)&lt;=0,"Enter hours",IF(AND(AllowOT&lt;&gt;"Yes",SUMIF($B$7:$B$256,B137,$I$7:$I$256)&gt;INDEX($O$58:$O$88,DAY(B137))),"Day over "&amp;INDEX($O$58:$O$88,DAY(B137))&amp;" h","✓")))))))))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tr">
        <f aca="false">IF(Projects!B135="","",Projects!B135)</f>
        <v/>
      </c>
      <c r="X137" s="1" t="n">
        <f aca="false">IF(W137="",0,SUMIFS($I$7:$I$256,$D$7:$D$256,W137,$H$7:$H$256,"NTIME"))</f>
        <v>0</v>
      </c>
      <c r="Y137" s="1" t="n">
        <f aca="false">IF(W137="",0,SUMIFS($I$7:$I$256,$D$7:$D$256,W137,$H$7:$H$256,"P6"))</f>
        <v>0</v>
      </c>
      <c r="Z137" s="1" t="n">
        <f aca="false">X137+Y137</f>
        <v>0</v>
      </c>
      <c r="AA137" s="1" t="n">
        <f aca="false">IF(Z137&gt;0,Z137+(201-131)/10^6,0)</f>
        <v>0</v>
      </c>
      <c r="AB137" s="1"/>
      <c r="AC137" s="1"/>
      <c r="AD137" s="1"/>
      <c r="AE137" s="1"/>
      <c r="AF137" s="1"/>
      <c r="AG137" s="1"/>
      <c r="AH137" s="1"/>
    </row>
    <row r="138" customFormat="false" ht="15" hidden="false" customHeight="false" outlineLevel="0" collapsed="false">
      <c r="A138" s="1"/>
      <c r="B138" s="10"/>
      <c r="C138" s="31" t="str">
        <f aca="false">IF(B138="","",TEXT(B138,"ddd"))</f>
        <v/>
      </c>
      <c r="D138" s="11"/>
      <c r="E138" s="8" t="str">
        <f aca="false">IF(D138="","",IFERROR(INDEX(ProjNumbers,MATCH(D138,ProjNames,0)),""))</f>
        <v/>
      </c>
      <c r="F138" s="8" t="str">
        <f aca="false">IF(D138="","",IFERROR(INDEX(ProjCodes,MATCH(D138,ProjNames,0)),""))</f>
        <v/>
      </c>
      <c r="G138" s="32"/>
      <c r="H138" s="11"/>
      <c r="I138" s="33"/>
      <c r="J138" s="8" t="str">
        <f aca="false">IF(COUNTA(B138,D138,G138,H138,I138)=0,"",IF(B138="","Enter date",IF(OR(B138&lt;$AC$2,B138&gt;$AC$3),"Date not in March",IF(D138="","Pick project",IF(ISNA(MATCH(D138,ProjNames,0)),"Project not in list",IF(G138="","Add task description",IF(H138="","Pick NTIME or P6",IF(N(I138)&lt;=0,"Enter hours",IF(AND(AllowOT&lt;&gt;"Yes",SUMIF($B$7:$B$256,B138,$I$7:$I$256)&gt;INDEX($O$58:$O$88,DAY(B138))),"Day over "&amp;INDEX($O$58:$O$88,DAY(B138))&amp;" h","✓")))))))))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tr">
        <f aca="false">IF(Projects!B136="","",Projects!B136)</f>
        <v/>
      </c>
      <c r="X138" s="1" t="n">
        <f aca="false">IF(W138="",0,SUMIFS($I$7:$I$256,$D$7:$D$256,W138,$H$7:$H$256,"NTIME"))</f>
        <v>0</v>
      </c>
      <c r="Y138" s="1" t="n">
        <f aca="false">IF(W138="",0,SUMIFS($I$7:$I$256,$D$7:$D$256,W138,$H$7:$H$256,"P6"))</f>
        <v>0</v>
      </c>
      <c r="Z138" s="1" t="n">
        <f aca="false">X138+Y138</f>
        <v>0</v>
      </c>
      <c r="AA138" s="1" t="n">
        <f aca="false">IF(Z138&gt;0,Z138+(201-132)/10^6,0)</f>
        <v>0</v>
      </c>
      <c r="AB138" s="1"/>
      <c r="AC138" s="1"/>
      <c r="AD138" s="1"/>
      <c r="AE138" s="1"/>
      <c r="AF138" s="1"/>
      <c r="AG138" s="1"/>
      <c r="AH138" s="1"/>
    </row>
    <row r="139" customFormat="false" ht="15" hidden="false" customHeight="false" outlineLevel="0" collapsed="false">
      <c r="A139" s="1"/>
      <c r="B139" s="10"/>
      <c r="C139" s="31" t="str">
        <f aca="false">IF(B139="","",TEXT(B139,"ddd"))</f>
        <v/>
      </c>
      <c r="D139" s="11"/>
      <c r="E139" s="8" t="str">
        <f aca="false">IF(D139="","",IFERROR(INDEX(ProjNumbers,MATCH(D139,ProjNames,0)),""))</f>
        <v/>
      </c>
      <c r="F139" s="8" t="str">
        <f aca="false">IF(D139="","",IFERROR(INDEX(ProjCodes,MATCH(D139,ProjNames,0)),""))</f>
        <v/>
      </c>
      <c r="G139" s="32"/>
      <c r="H139" s="11"/>
      <c r="I139" s="33"/>
      <c r="J139" s="8" t="str">
        <f aca="false">IF(COUNTA(B139,D139,G139,H139,I139)=0,"",IF(B139="","Enter date",IF(OR(B139&lt;$AC$2,B139&gt;$AC$3),"Date not in March",IF(D139="","Pick project",IF(ISNA(MATCH(D139,ProjNames,0)),"Project not in list",IF(G139="","Add task description",IF(H139="","Pick NTIME or P6",IF(N(I139)&lt;=0,"Enter hours",IF(AND(AllowOT&lt;&gt;"Yes",SUMIF($B$7:$B$256,B139,$I$7:$I$256)&gt;INDEX($O$58:$O$88,DAY(B139))),"Day over "&amp;INDEX($O$58:$O$88,DAY(B139))&amp;" h","✓")))))))))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tr">
        <f aca="false">IF(Projects!B137="","",Projects!B137)</f>
        <v/>
      </c>
      <c r="X139" s="1" t="n">
        <f aca="false">IF(W139="",0,SUMIFS($I$7:$I$256,$D$7:$D$256,W139,$H$7:$H$256,"NTIME"))</f>
        <v>0</v>
      </c>
      <c r="Y139" s="1" t="n">
        <f aca="false">IF(W139="",0,SUMIFS($I$7:$I$256,$D$7:$D$256,W139,$H$7:$H$256,"P6"))</f>
        <v>0</v>
      </c>
      <c r="Z139" s="1" t="n">
        <f aca="false">X139+Y139</f>
        <v>0</v>
      </c>
      <c r="AA139" s="1" t="n">
        <f aca="false">IF(Z139&gt;0,Z139+(201-133)/10^6,0)</f>
        <v>0</v>
      </c>
      <c r="AB139" s="1"/>
      <c r="AC139" s="1"/>
      <c r="AD139" s="1"/>
      <c r="AE139" s="1"/>
      <c r="AF139" s="1"/>
      <c r="AG139" s="1"/>
      <c r="AH139" s="1"/>
    </row>
    <row r="140" customFormat="false" ht="15" hidden="false" customHeight="false" outlineLevel="0" collapsed="false">
      <c r="A140" s="1"/>
      <c r="B140" s="10"/>
      <c r="C140" s="31" t="str">
        <f aca="false">IF(B140="","",TEXT(B140,"ddd"))</f>
        <v/>
      </c>
      <c r="D140" s="11"/>
      <c r="E140" s="8" t="str">
        <f aca="false">IF(D140="","",IFERROR(INDEX(ProjNumbers,MATCH(D140,ProjNames,0)),""))</f>
        <v/>
      </c>
      <c r="F140" s="8" t="str">
        <f aca="false">IF(D140="","",IFERROR(INDEX(ProjCodes,MATCH(D140,ProjNames,0)),""))</f>
        <v/>
      </c>
      <c r="G140" s="32"/>
      <c r="H140" s="11"/>
      <c r="I140" s="33"/>
      <c r="J140" s="8" t="str">
        <f aca="false">IF(COUNTA(B140,D140,G140,H140,I140)=0,"",IF(B140="","Enter date",IF(OR(B140&lt;$AC$2,B140&gt;$AC$3),"Date not in March",IF(D140="","Pick project",IF(ISNA(MATCH(D140,ProjNames,0)),"Project not in list",IF(G140="","Add task description",IF(H140="","Pick NTIME or P6",IF(N(I140)&lt;=0,"Enter hours",IF(AND(AllowOT&lt;&gt;"Yes",SUMIF($B$7:$B$256,B140,$I$7:$I$256)&gt;INDEX($O$58:$O$88,DAY(B140))),"Day over "&amp;INDEX($O$58:$O$88,DAY(B140))&amp;" h","✓")))))))))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tr">
        <f aca="false">IF(Projects!B138="","",Projects!B138)</f>
        <v/>
      </c>
      <c r="X140" s="1" t="n">
        <f aca="false">IF(W140="",0,SUMIFS($I$7:$I$256,$D$7:$D$256,W140,$H$7:$H$256,"NTIME"))</f>
        <v>0</v>
      </c>
      <c r="Y140" s="1" t="n">
        <f aca="false">IF(W140="",0,SUMIFS($I$7:$I$256,$D$7:$D$256,W140,$H$7:$H$256,"P6"))</f>
        <v>0</v>
      </c>
      <c r="Z140" s="1" t="n">
        <f aca="false">X140+Y140</f>
        <v>0</v>
      </c>
      <c r="AA140" s="1" t="n">
        <f aca="false">IF(Z140&gt;0,Z140+(201-134)/10^6,0)</f>
        <v>0</v>
      </c>
      <c r="AB140" s="1"/>
      <c r="AC140" s="1"/>
      <c r="AD140" s="1"/>
      <c r="AE140" s="1"/>
      <c r="AF140" s="1"/>
      <c r="AG140" s="1"/>
      <c r="AH140" s="1"/>
    </row>
    <row r="141" customFormat="false" ht="15" hidden="false" customHeight="false" outlineLevel="0" collapsed="false">
      <c r="A141" s="1"/>
      <c r="B141" s="10"/>
      <c r="C141" s="31" t="str">
        <f aca="false">IF(B141="","",TEXT(B141,"ddd"))</f>
        <v/>
      </c>
      <c r="D141" s="11"/>
      <c r="E141" s="8" t="str">
        <f aca="false">IF(D141="","",IFERROR(INDEX(ProjNumbers,MATCH(D141,ProjNames,0)),""))</f>
        <v/>
      </c>
      <c r="F141" s="8" t="str">
        <f aca="false">IF(D141="","",IFERROR(INDEX(ProjCodes,MATCH(D141,ProjNames,0)),""))</f>
        <v/>
      </c>
      <c r="G141" s="32"/>
      <c r="H141" s="11"/>
      <c r="I141" s="33"/>
      <c r="J141" s="8" t="str">
        <f aca="false">IF(COUNTA(B141,D141,G141,H141,I141)=0,"",IF(B141="","Enter date",IF(OR(B141&lt;$AC$2,B141&gt;$AC$3),"Date not in March",IF(D141="","Pick project",IF(ISNA(MATCH(D141,ProjNames,0)),"Project not in list",IF(G141="","Add task description",IF(H141="","Pick NTIME or P6",IF(N(I141)&lt;=0,"Enter hours",IF(AND(AllowOT&lt;&gt;"Yes",SUMIF($B$7:$B$256,B141,$I$7:$I$256)&gt;INDEX($O$58:$O$88,DAY(B141))),"Day over "&amp;INDEX($O$58:$O$88,DAY(B141))&amp;" h","✓")))))))))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tr">
        <f aca="false">IF(Projects!B139="","",Projects!B139)</f>
        <v/>
      </c>
      <c r="X141" s="1" t="n">
        <f aca="false">IF(W141="",0,SUMIFS($I$7:$I$256,$D$7:$D$256,W141,$H$7:$H$256,"NTIME"))</f>
        <v>0</v>
      </c>
      <c r="Y141" s="1" t="n">
        <f aca="false">IF(W141="",0,SUMIFS($I$7:$I$256,$D$7:$D$256,W141,$H$7:$H$256,"P6"))</f>
        <v>0</v>
      </c>
      <c r="Z141" s="1" t="n">
        <f aca="false">X141+Y141</f>
        <v>0</v>
      </c>
      <c r="AA141" s="1" t="n">
        <f aca="false">IF(Z141&gt;0,Z141+(201-135)/10^6,0)</f>
        <v>0</v>
      </c>
      <c r="AB141" s="1"/>
      <c r="AC141" s="1"/>
      <c r="AD141" s="1"/>
      <c r="AE141" s="1"/>
      <c r="AF141" s="1"/>
      <c r="AG141" s="1"/>
      <c r="AH141" s="1"/>
    </row>
    <row r="142" customFormat="false" ht="15" hidden="false" customHeight="false" outlineLevel="0" collapsed="false">
      <c r="A142" s="1"/>
      <c r="B142" s="10"/>
      <c r="C142" s="31" t="str">
        <f aca="false">IF(B142="","",TEXT(B142,"ddd"))</f>
        <v/>
      </c>
      <c r="D142" s="11"/>
      <c r="E142" s="8" t="str">
        <f aca="false">IF(D142="","",IFERROR(INDEX(ProjNumbers,MATCH(D142,ProjNames,0)),""))</f>
        <v/>
      </c>
      <c r="F142" s="8" t="str">
        <f aca="false">IF(D142="","",IFERROR(INDEX(ProjCodes,MATCH(D142,ProjNames,0)),""))</f>
        <v/>
      </c>
      <c r="G142" s="32"/>
      <c r="H142" s="11"/>
      <c r="I142" s="33"/>
      <c r="J142" s="8" t="str">
        <f aca="false">IF(COUNTA(B142,D142,G142,H142,I142)=0,"",IF(B142="","Enter date",IF(OR(B142&lt;$AC$2,B142&gt;$AC$3),"Date not in March",IF(D142="","Pick project",IF(ISNA(MATCH(D142,ProjNames,0)),"Project not in list",IF(G142="","Add task description",IF(H142="","Pick NTIME or P6",IF(N(I142)&lt;=0,"Enter hours",IF(AND(AllowOT&lt;&gt;"Yes",SUMIF($B$7:$B$256,B142,$I$7:$I$256)&gt;INDEX($O$58:$O$88,DAY(B142))),"Day over "&amp;INDEX($O$58:$O$88,DAY(B142))&amp;" h","✓")))))))))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tr">
        <f aca="false">IF(Projects!B140="","",Projects!B140)</f>
        <v/>
      </c>
      <c r="X142" s="1" t="n">
        <f aca="false">IF(W142="",0,SUMIFS($I$7:$I$256,$D$7:$D$256,W142,$H$7:$H$256,"NTIME"))</f>
        <v>0</v>
      </c>
      <c r="Y142" s="1" t="n">
        <f aca="false">IF(W142="",0,SUMIFS($I$7:$I$256,$D$7:$D$256,W142,$H$7:$H$256,"P6"))</f>
        <v>0</v>
      </c>
      <c r="Z142" s="1" t="n">
        <f aca="false">X142+Y142</f>
        <v>0</v>
      </c>
      <c r="AA142" s="1" t="n">
        <f aca="false">IF(Z142&gt;0,Z142+(201-136)/10^6,0)</f>
        <v>0</v>
      </c>
      <c r="AB142" s="1"/>
      <c r="AC142" s="1"/>
      <c r="AD142" s="1"/>
      <c r="AE142" s="1"/>
      <c r="AF142" s="1"/>
      <c r="AG142" s="1"/>
      <c r="AH142" s="1"/>
    </row>
    <row r="143" customFormat="false" ht="15" hidden="false" customHeight="false" outlineLevel="0" collapsed="false">
      <c r="A143" s="1"/>
      <c r="B143" s="10"/>
      <c r="C143" s="31" t="str">
        <f aca="false">IF(B143="","",TEXT(B143,"ddd"))</f>
        <v/>
      </c>
      <c r="D143" s="11"/>
      <c r="E143" s="8" t="str">
        <f aca="false">IF(D143="","",IFERROR(INDEX(ProjNumbers,MATCH(D143,ProjNames,0)),""))</f>
        <v/>
      </c>
      <c r="F143" s="8" t="str">
        <f aca="false">IF(D143="","",IFERROR(INDEX(ProjCodes,MATCH(D143,ProjNames,0)),""))</f>
        <v/>
      </c>
      <c r="G143" s="32"/>
      <c r="H143" s="11"/>
      <c r="I143" s="33"/>
      <c r="J143" s="8" t="str">
        <f aca="false">IF(COUNTA(B143,D143,G143,H143,I143)=0,"",IF(B143="","Enter date",IF(OR(B143&lt;$AC$2,B143&gt;$AC$3),"Date not in March",IF(D143="","Pick project",IF(ISNA(MATCH(D143,ProjNames,0)),"Project not in list",IF(G143="","Add task description",IF(H143="","Pick NTIME or P6",IF(N(I143)&lt;=0,"Enter hours",IF(AND(AllowOT&lt;&gt;"Yes",SUMIF($B$7:$B$256,B143,$I$7:$I$256)&gt;INDEX($O$58:$O$88,DAY(B143))),"Day over "&amp;INDEX($O$58:$O$88,DAY(B143))&amp;" h","✓")))))))))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tr">
        <f aca="false">IF(Projects!B141="","",Projects!B141)</f>
        <v/>
      </c>
      <c r="X143" s="1" t="n">
        <f aca="false">IF(W143="",0,SUMIFS($I$7:$I$256,$D$7:$D$256,W143,$H$7:$H$256,"NTIME"))</f>
        <v>0</v>
      </c>
      <c r="Y143" s="1" t="n">
        <f aca="false">IF(W143="",0,SUMIFS($I$7:$I$256,$D$7:$D$256,W143,$H$7:$H$256,"P6"))</f>
        <v>0</v>
      </c>
      <c r="Z143" s="1" t="n">
        <f aca="false">X143+Y143</f>
        <v>0</v>
      </c>
      <c r="AA143" s="1" t="n">
        <f aca="false">IF(Z143&gt;0,Z143+(201-137)/10^6,0)</f>
        <v>0</v>
      </c>
      <c r="AB143" s="1"/>
      <c r="AC143" s="1"/>
      <c r="AD143" s="1"/>
      <c r="AE143" s="1"/>
      <c r="AF143" s="1"/>
      <c r="AG143" s="1"/>
      <c r="AH143" s="1"/>
    </row>
    <row r="144" customFormat="false" ht="15" hidden="false" customHeight="false" outlineLevel="0" collapsed="false">
      <c r="A144" s="1"/>
      <c r="B144" s="10"/>
      <c r="C144" s="31" t="str">
        <f aca="false">IF(B144="","",TEXT(B144,"ddd"))</f>
        <v/>
      </c>
      <c r="D144" s="11"/>
      <c r="E144" s="8" t="str">
        <f aca="false">IF(D144="","",IFERROR(INDEX(ProjNumbers,MATCH(D144,ProjNames,0)),""))</f>
        <v/>
      </c>
      <c r="F144" s="8" t="str">
        <f aca="false">IF(D144="","",IFERROR(INDEX(ProjCodes,MATCH(D144,ProjNames,0)),""))</f>
        <v/>
      </c>
      <c r="G144" s="32"/>
      <c r="H144" s="11"/>
      <c r="I144" s="33"/>
      <c r="J144" s="8" t="str">
        <f aca="false">IF(COUNTA(B144,D144,G144,H144,I144)=0,"",IF(B144="","Enter date",IF(OR(B144&lt;$AC$2,B144&gt;$AC$3),"Date not in March",IF(D144="","Pick project",IF(ISNA(MATCH(D144,ProjNames,0)),"Project not in list",IF(G144="","Add task description",IF(H144="","Pick NTIME or P6",IF(N(I144)&lt;=0,"Enter hours",IF(AND(AllowOT&lt;&gt;"Yes",SUMIF($B$7:$B$256,B144,$I$7:$I$256)&gt;INDEX($O$58:$O$88,DAY(B144))),"Day over "&amp;INDEX($O$58:$O$88,DAY(B144))&amp;" h","✓")))))))))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tr">
        <f aca="false">IF(Projects!B142="","",Projects!B142)</f>
        <v/>
      </c>
      <c r="X144" s="1" t="n">
        <f aca="false">IF(W144="",0,SUMIFS($I$7:$I$256,$D$7:$D$256,W144,$H$7:$H$256,"NTIME"))</f>
        <v>0</v>
      </c>
      <c r="Y144" s="1" t="n">
        <f aca="false">IF(W144="",0,SUMIFS($I$7:$I$256,$D$7:$D$256,W144,$H$7:$H$256,"P6"))</f>
        <v>0</v>
      </c>
      <c r="Z144" s="1" t="n">
        <f aca="false">X144+Y144</f>
        <v>0</v>
      </c>
      <c r="AA144" s="1" t="n">
        <f aca="false">IF(Z144&gt;0,Z144+(201-138)/10^6,0)</f>
        <v>0</v>
      </c>
      <c r="AB144" s="1"/>
      <c r="AC144" s="1"/>
      <c r="AD144" s="1"/>
      <c r="AE144" s="1"/>
      <c r="AF144" s="1"/>
      <c r="AG144" s="1"/>
      <c r="AH144" s="1"/>
    </row>
    <row r="145" customFormat="false" ht="15" hidden="false" customHeight="false" outlineLevel="0" collapsed="false">
      <c r="A145" s="1"/>
      <c r="B145" s="10"/>
      <c r="C145" s="31" t="str">
        <f aca="false">IF(B145="","",TEXT(B145,"ddd"))</f>
        <v/>
      </c>
      <c r="D145" s="11"/>
      <c r="E145" s="8" t="str">
        <f aca="false">IF(D145="","",IFERROR(INDEX(ProjNumbers,MATCH(D145,ProjNames,0)),""))</f>
        <v/>
      </c>
      <c r="F145" s="8" t="str">
        <f aca="false">IF(D145="","",IFERROR(INDEX(ProjCodes,MATCH(D145,ProjNames,0)),""))</f>
        <v/>
      </c>
      <c r="G145" s="32"/>
      <c r="H145" s="11"/>
      <c r="I145" s="33"/>
      <c r="J145" s="8" t="str">
        <f aca="false">IF(COUNTA(B145,D145,G145,H145,I145)=0,"",IF(B145="","Enter date",IF(OR(B145&lt;$AC$2,B145&gt;$AC$3),"Date not in March",IF(D145="","Pick project",IF(ISNA(MATCH(D145,ProjNames,0)),"Project not in list",IF(G145="","Add task description",IF(H145="","Pick NTIME or P6",IF(N(I145)&lt;=0,"Enter hours",IF(AND(AllowOT&lt;&gt;"Yes",SUMIF($B$7:$B$256,B145,$I$7:$I$256)&gt;INDEX($O$58:$O$88,DAY(B145))),"Day over "&amp;INDEX($O$58:$O$88,DAY(B145))&amp;" h","✓")))))))))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tr">
        <f aca="false">IF(Projects!B143="","",Projects!B143)</f>
        <v/>
      </c>
      <c r="X145" s="1" t="n">
        <f aca="false">IF(W145="",0,SUMIFS($I$7:$I$256,$D$7:$D$256,W145,$H$7:$H$256,"NTIME"))</f>
        <v>0</v>
      </c>
      <c r="Y145" s="1" t="n">
        <f aca="false">IF(W145="",0,SUMIFS($I$7:$I$256,$D$7:$D$256,W145,$H$7:$H$256,"P6"))</f>
        <v>0</v>
      </c>
      <c r="Z145" s="1" t="n">
        <f aca="false">X145+Y145</f>
        <v>0</v>
      </c>
      <c r="AA145" s="1" t="n">
        <f aca="false">IF(Z145&gt;0,Z145+(201-139)/10^6,0)</f>
        <v>0</v>
      </c>
      <c r="AB145" s="1"/>
      <c r="AC145" s="1"/>
      <c r="AD145" s="1"/>
      <c r="AE145" s="1"/>
      <c r="AF145" s="1"/>
      <c r="AG145" s="1"/>
      <c r="AH145" s="1"/>
    </row>
    <row r="146" customFormat="false" ht="15" hidden="false" customHeight="false" outlineLevel="0" collapsed="false">
      <c r="A146" s="1"/>
      <c r="B146" s="10"/>
      <c r="C146" s="31" t="str">
        <f aca="false">IF(B146="","",TEXT(B146,"ddd"))</f>
        <v/>
      </c>
      <c r="D146" s="11"/>
      <c r="E146" s="8" t="str">
        <f aca="false">IF(D146="","",IFERROR(INDEX(ProjNumbers,MATCH(D146,ProjNames,0)),""))</f>
        <v/>
      </c>
      <c r="F146" s="8" t="str">
        <f aca="false">IF(D146="","",IFERROR(INDEX(ProjCodes,MATCH(D146,ProjNames,0)),""))</f>
        <v/>
      </c>
      <c r="G146" s="32"/>
      <c r="H146" s="11"/>
      <c r="I146" s="33"/>
      <c r="J146" s="8" t="str">
        <f aca="false">IF(COUNTA(B146,D146,G146,H146,I146)=0,"",IF(B146="","Enter date",IF(OR(B146&lt;$AC$2,B146&gt;$AC$3),"Date not in March",IF(D146="","Pick project",IF(ISNA(MATCH(D146,ProjNames,0)),"Project not in list",IF(G146="","Add task description",IF(H146="","Pick NTIME or P6",IF(N(I146)&lt;=0,"Enter hours",IF(AND(AllowOT&lt;&gt;"Yes",SUMIF($B$7:$B$256,B146,$I$7:$I$256)&gt;INDEX($O$58:$O$88,DAY(B146))),"Day over "&amp;INDEX($O$58:$O$88,DAY(B146))&amp;" h","✓")))))))))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tr">
        <f aca="false">IF(Projects!B144="","",Projects!B144)</f>
        <v/>
      </c>
      <c r="X146" s="1" t="n">
        <f aca="false">IF(W146="",0,SUMIFS($I$7:$I$256,$D$7:$D$256,W146,$H$7:$H$256,"NTIME"))</f>
        <v>0</v>
      </c>
      <c r="Y146" s="1" t="n">
        <f aca="false">IF(W146="",0,SUMIFS($I$7:$I$256,$D$7:$D$256,W146,$H$7:$H$256,"P6"))</f>
        <v>0</v>
      </c>
      <c r="Z146" s="1" t="n">
        <f aca="false">X146+Y146</f>
        <v>0</v>
      </c>
      <c r="AA146" s="1" t="n">
        <f aca="false">IF(Z146&gt;0,Z146+(201-140)/10^6,0)</f>
        <v>0</v>
      </c>
      <c r="AB146" s="1"/>
      <c r="AC146" s="1"/>
      <c r="AD146" s="1"/>
      <c r="AE146" s="1"/>
      <c r="AF146" s="1"/>
      <c r="AG146" s="1"/>
      <c r="AH146" s="1"/>
    </row>
    <row r="147" customFormat="false" ht="15" hidden="false" customHeight="false" outlineLevel="0" collapsed="false">
      <c r="A147" s="1"/>
      <c r="B147" s="10"/>
      <c r="C147" s="31" t="str">
        <f aca="false">IF(B147="","",TEXT(B147,"ddd"))</f>
        <v/>
      </c>
      <c r="D147" s="11"/>
      <c r="E147" s="8" t="str">
        <f aca="false">IF(D147="","",IFERROR(INDEX(ProjNumbers,MATCH(D147,ProjNames,0)),""))</f>
        <v/>
      </c>
      <c r="F147" s="8" t="str">
        <f aca="false">IF(D147="","",IFERROR(INDEX(ProjCodes,MATCH(D147,ProjNames,0)),""))</f>
        <v/>
      </c>
      <c r="G147" s="32"/>
      <c r="H147" s="11"/>
      <c r="I147" s="33"/>
      <c r="J147" s="8" t="str">
        <f aca="false">IF(COUNTA(B147,D147,G147,H147,I147)=0,"",IF(B147="","Enter date",IF(OR(B147&lt;$AC$2,B147&gt;$AC$3),"Date not in March",IF(D147="","Pick project",IF(ISNA(MATCH(D147,ProjNames,0)),"Project not in list",IF(G147="","Add task description",IF(H147="","Pick NTIME or P6",IF(N(I147)&lt;=0,"Enter hours",IF(AND(AllowOT&lt;&gt;"Yes",SUMIF($B$7:$B$256,B147,$I$7:$I$256)&gt;INDEX($O$58:$O$88,DAY(B147))),"Day over "&amp;INDEX($O$58:$O$88,DAY(B147))&amp;" h","✓")))))))))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tr">
        <f aca="false">IF(Projects!B145="","",Projects!B145)</f>
        <v/>
      </c>
      <c r="X147" s="1" t="n">
        <f aca="false">IF(W147="",0,SUMIFS($I$7:$I$256,$D$7:$D$256,W147,$H$7:$H$256,"NTIME"))</f>
        <v>0</v>
      </c>
      <c r="Y147" s="1" t="n">
        <f aca="false">IF(W147="",0,SUMIFS($I$7:$I$256,$D$7:$D$256,W147,$H$7:$H$256,"P6"))</f>
        <v>0</v>
      </c>
      <c r="Z147" s="1" t="n">
        <f aca="false">X147+Y147</f>
        <v>0</v>
      </c>
      <c r="AA147" s="1" t="n">
        <f aca="false">IF(Z147&gt;0,Z147+(201-141)/10^6,0)</f>
        <v>0</v>
      </c>
      <c r="AB147" s="1"/>
      <c r="AC147" s="1"/>
      <c r="AD147" s="1"/>
      <c r="AE147" s="1"/>
      <c r="AF147" s="1"/>
      <c r="AG147" s="1"/>
      <c r="AH147" s="1"/>
    </row>
    <row r="148" customFormat="false" ht="15" hidden="false" customHeight="false" outlineLevel="0" collapsed="false">
      <c r="A148" s="1"/>
      <c r="B148" s="10"/>
      <c r="C148" s="31" t="str">
        <f aca="false">IF(B148="","",TEXT(B148,"ddd"))</f>
        <v/>
      </c>
      <c r="D148" s="11"/>
      <c r="E148" s="8" t="str">
        <f aca="false">IF(D148="","",IFERROR(INDEX(ProjNumbers,MATCH(D148,ProjNames,0)),""))</f>
        <v/>
      </c>
      <c r="F148" s="8" t="str">
        <f aca="false">IF(D148="","",IFERROR(INDEX(ProjCodes,MATCH(D148,ProjNames,0)),""))</f>
        <v/>
      </c>
      <c r="G148" s="32"/>
      <c r="H148" s="11"/>
      <c r="I148" s="33"/>
      <c r="J148" s="8" t="str">
        <f aca="false">IF(COUNTA(B148,D148,G148,H148,I148)=0,"",IF(B148="","Enter date",IF(OR(B148&lt;$AC$2,B148&gt;$AC$3),"Date not in March",IF(D148="","Pick project",IF(ISNA(MATCH(D148,ProjNames,0)),"Project not in list",IF(G148="","Add task description",IF(H148="","Pick NTIME or P6",IF(N(I148)&lt;=0,"Enter hours",IF(AND(AllowOT&lt;&gt;"Yes",SUMIF($B$7:$B$256,B148,$I$7:$I$256)&gt;INDEX($O$58:$O$88,DAY(B148))),"Day over "&amp;INDEX($O$58:$O$88,DAY(B148))&amp;" h","✓")))))))))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tr">
        <f aca="false">IF(Projects!B146="","",Projects!B146)</f>
        <v/>
      </c>
      <c r="X148" s="1" t="n">
        <f aca="false">IF(W148="",0,SUMIFS($I$7:$I$256,$D$7:$D$256,W148,$H$7:$H$256,"NTIME"))</f>
        <v>0</v>
      </c>
      <c r="Y148" s="1" t="n">
        <f aca="false">IF(W148="",0,SUMIFS($I$7:$I$256,$D$7:$D$256,W148,$H$7:$H$256,"P6"))</f>
        <v>0</v>
      </c>
      <c r="Z148" s="1" t="n">
        <f aca="false">X148+Y148</f>
        <v>0</v>
      </c>
      <c r="AA148" s="1" t="n">
        <f aca="false">IF(Z148&gt;0,Z148+(201-142)/10^6,0)</f>
        <v>0</v>
      </c>
      <c r="AB148" s="1"/>
      <c r="AC148" s="1"/>
      <c r="AD148" s="1"/>
      <c r="AE148" s="1"/>
      <c r="AF148" s="1"/>
      <c r="AG148" s="1"/>
      <c r="AH148" s="1"/>
    </row>
    <row r="149" customFormat="false" ht="15" hidden="false" customHeight="false" outlineLevel="0" collapsed="false">
      <c r="A149" s="1"/>
      <c r="B149" s="10"/>
      <c r="C149" s="31" t="str">
        <f aca="false">IF(B149="","",TEXT(B149,"ddd"))</f>
        <v/>
      </c>
      <c r="D149" s="11"/>
      <c r="E149" s="8" t="str">
        <f aca="false">IF(D149="","",IFERROR(INDEX(ProjNumbers,MATCH(D149,ProjNames,0)),""))</f>
        <v/>
      </c>
      <c r="F149" s="8" t="str">
        <f aca="false">IF(D149="","",IFERROR(INDEX(ProjCodes,MATCH(D149,ProjNames,0)),""))</f>
        <v/>
      </c>
      <c r="G149" s="32"/>
      <c r="H149" s="11"/>
      <c r="I149" s="33"/>
      <c r="J149" s="8" t="str">
        <f aca="false">IF(COUNTA(B149,D149,G149,H149,I149)=0,"",IF(B149="","Enter date",IF(OR(B149&lt;$AC$2,B149&gt;$AC$3),"Date not in March",IF(D149="","Pick project",IF(ISNA(MATCH(D149,ProjNames,0)),"Project not in list",IF(G149="","Add task description",IF(H149="","Pick NTIME or P6",IF(N(I149)&lt;=0,"Enter hours",IF(AND(AllowOT&lt;&gt;"Yes",SUMIF($B$7:$B$256,B149,$I$7:$I$256)&gt;INDEX($O$58:$O$88,DAY(B149))),"Day over "&amp;INDEX($O$58:$O$88,DAY(B149))&amp;" h","✓")))))))))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tr">
        <f aca="false">IF(Projects!B147="","",Projects!B147)</f>
        <v/>
      </c>
      <c r="X149" s="1" t="n">
        <f aca="false">IF(W149="",0,SUMIFS($I$7:$I$256,$D$7:$D$256,W149,$H$7:$H$256,"NTIME"))</f>
        <v>0</v>
      </c>
      <c r="Y149" s="1" t="n">
        <f aca="false">IF(W149="",0,SUMIFS($I$7:$I$256,$D$7:$D$256,W149,$H$7:$H$256,"P6"))</f>
        <v>0</v>
      </c>
      <c r="Z149" s="1" t="n">
        <f aca="false">X149+Y149</f>
        <v>0</v>
      </c>
      <c r="AA149" s="1" t="n">
        <f aca="false">IF(Z149&gt;0,Z149+(201-143)/10^6,0)</f>
        <v>0</v>
      </c>
      <c r="AB149" s="1"/>
      <c r="AC149" s="1"/>
      <c r="AD149" s="1"/>
      <c r="AE149" s="1"/>
      <c r="AF149" s="1"/>
      <c r="AG149" s="1"/>
      <c r="AH149" s="1"/>
    </row>
    <row r="150" customFormat="false" ht="15" hidden="false" customHeight="false" outlineLevel="0" collapsed="false">
      <c r="A150" s="1"/>
      <c r="B150" s="10"/>
      <c r="C150" s="31" t="str">
        <f aca="false">IF(B150="","",TEXT(B150,"ddd"))</f>
        <v/>
      </c>
      <c r="D150" s="11"/>
      <c r="E150" s="8" t="str">
        <f aca="false">IF(D150="","",IFERROR(INDEX(ProjNumbers,MATCH(D150,ProjNames,0)),""))</f>
        <v/>
      </c>
      <c r="F150" s="8" t="str">
        <f aca="false">IF(D150="","",IFERROR(INDEX(ProjCodes,MATCH(D150,ProjNames,0)),""))</f>
        <v/>
      </c>
      <c r="G150" s="32"/>
      <c r="H150" s="11"/>
      <c r="I150" s="33"/>
      <c r="J150" s="8" t="str">
        <f aca="false">IF(COUNTA(B150,D150,G150,H150,I150)=0,"",IF(B150="","Enter date",IF(OR(B150&lt;$AC$2,B150&gt;$AC$3),"Date not in March",IF(D150="","Pick project",IF(ISNA(MATCH(D150,ProjNames,0)),"Project not in list",IF(G150="","Add task description",IF(H150="","Pick NTIME or P6",IF(N(I150)&lt;=0,"Enter hours",IF(AND(AllowOT&lt;&gt;"Yes",SUMIF($B$7:$B$256,B150,$I$7:$I$256)&gt;INDEX($O$58:$O$88,DAY(B150))),"Day over "&amp;INDEX($O$58:$O$88,DAY(B150))&amp;" h","✓")))))))))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tr">
        <f aca="false">IF(Projects!B148="","",Projects!B148)</f>
        <v/>
      </c>
      <c r="X150" s="1" t="n">
        <f aca="false">IF(W150="",0,SUMIFS($I$7:$I$256,$D$7:$D$256,W150,$H$7:$H$256,"NTIME"))</f>
        <v>0</v>
      </c>
      <c r="Y150" s="1" t="n">
        <f aca="false">IF(W150="",0,SUMIFS($I$7:$I$256,$D$7:$D$256,W150,$H$7:$H$256,"P6"))</f>
        <v>0</v>
      </c>
      <c r="Z150" s="1" t="n">
        <f aca="false">X150+Y150</f>
        <v>0</v>
      </c>
      <c r="AA150" s="1" t="n">
        <f aca="false">IF(Z150&gt;0,Z150+(201-144)/10^6,0)</f>
        <v>0</v>
      </c>
      <c r="AB150" s="1"/>
      <c r="AC150" s="1"/>
      <c r="AD150" s="1"/>
      <c r="AE150" s="1"/>
      <c r="AF150" s="1"/>
      <c r="AG150" s="1"/>
      <c r="AH150" s="1"/>
    </row>
    <row r="151" customFormat="false" ht="15" hidden="false" customHeight="false" outlineLevel="0" collapsed="false">
      <c r="A151" s="1"/>
      <c r="B151" s="10"/>
      <c r="C151" s="31" t="str">
        <f aca="false">IF(B151="","",TEXT(B151,"ddd"))</f>
        <v/>
      </c>
      <c r="D151" s="11"/>
      <c r="E151" s="8" t="str">
        <f aca="false">IF(D151="","",IFERROR(INDEX(ProjNumbers,MATCH(D151,ProjNames,0)),""))</f>
        <v/>
      </c>
      <c r="F151" s="8" t="str">
        <f aca="false">IF(D151="","",IFERROR(INDEX(ProjCodes,MATCH(D151,ProjNames,0)),""))</f>
        <v/>
      </c>
      <c r="G151" s="32"/>
      <c r="H151" s="11"/>
      <c r="I151" s="33"/>
      <c r="J151" s="8" t="str">
        <f aca="false">IF(COUNTA(B151,D151,G151,H151,I151)=0,"",IF(B151="","Enter date",IF(OR(B151&lt;$AC$2,B151&gt;$AC$3),"Date not in March",IF(D151="","Pick project",IF(ISNA(MATCH(D151,ProjNames,0)),"Project not in list",IF(G151="","Add task description",IF(H151="","Pick NTIME or P6",IF(N(I151)&lt;=0,"Enter hours",IF(AND(AllowOT&lt;&gt;"Yes",SUMIF($B$7:$B$256,B151,$I$7:$I$256)&gt;INDEX($O$58:$O$88,DAY(B151))),"Day over "&amp;INDEX($O$58:$O$88,DAY(B151))&amp;" h","✓")))))))))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tr">
        <f aca="false">IF(Projects!B149="","",Projects!B149)</f>
        <v/>
      </c>
      <c r="X151" s="1" t="n">
        <f aca="false">IF(W151="",0,SUMIFS($I$7:$I$256,$D$7:$D$256,W151,$H$7:$H$256,"NTIME"))</f>
        <v>0</v>
      </c>
      <c r="Y151" s="1" t="n">
        <f aca="false">IF(W151="",0,SUMIFS($I$7:$I$256,$D$7:$D$256,W151,$H$7:$H$256,"P6"))</f>
        <v>0</v>
      </c>
      <c r="Z151" s="1" t="n">
        <f aca="false">X151+Y151</f>
        <v>0</v>
      </c>
      <c r="AA151" s="1" t="n">
        <f aca="false">IF(Z151&gt;0,Z151+(201-145)/10^6,0)</f>
        <v>0</v>
      </c>
      <c r="AB151" s="1"/>
      <c r="AC151" s="1"/>
      <c r="AD151" s="1"/>
      <c r="AE151" s="1"/>
      <c r="AF151" s="1"/>
      <c r="AG151" s="1"/>
      <c r="AH151" s="1"/>
    </row>
    <row r="152" customFormat="false" ht="15" hidden="false" customHeight="false" outlineLevel="0" collapsed="false">
      <c r="A152" s="1"/>
      <c r="B152" s="10"/>
      <c r="C152" s="31" t="str">
        <f aca="false">IF(B152="","",TEXT(B152,"ddd"))</f>
        <v/>
      </c>
      <c r="D152" s="11"/>
      <c r="E152" s="8" t="str">
        <f aca="false">IF(D152="","",IFERROR(INDEX(ProjNumbers,MATCH(D152,ProjNames,0)),""))</f>
        <v/>
      </c>
      <c r="F152" s="8" t="str">
        <f aca="false">IF(D152="","",IFERROR(INDEX(ProjCodes,MATCH(D152,ProjNames,0)),""))</f>
        <v/>
      </c>
      <c r="G152" s="32"/>
      <c r="H152" s="11"/>
      <c r="I152" s="33"/>
      <c r="J152" s="8" t="str">
        <f aca="false">IF(COUNTA(B152,D152,G152,H152,I152)=0,"",IF(B152="","Enter date",IF(OR(B152&lt;$AC$2,B152&gt;$AC$3),"Date not in March",IF(D152="","Pick project",IF(ISNA(MATCH(D152,ProjNames,0)),"Project not in list",IF(G152="","Add task description",IF(H152="","Pick NTIME or P6",IF(N(I152)&lt;=0,"Enter hours",IF(AND(AllowOT&lt;&gt;"Yes",SUMIF($B$7:$B$256,B152,$I$7:$I$256)&gt;INDEX($O$58:$O$88,DAY(B152))),"Day over "&amp;INDEX($O$58:$O$88,DAY(B152))&amp;" h","✓")))))))))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tr">
        <f aca="false">IF(Projects!B150="","",Projects!B150)</f>
        <v/>
      </c>
      <c r="X152" s="1" t="n">
        <f aca="false">IF(W152="",0,SUMIFS($I$7:$I$256,$D$7:$D$256,W152,$H$7:$H$256,"NTIME"))</f>
        <v>0</v>
      </c>
      <c r="Y152" s="1" t="n">
        <f aca="false">IF(W152="",0,SUMIFS($I$7:$I$256,$D$7:$D$256,W152,$H$7:$H$256,"P6"))</f>
        <v>0</v>
      </c>
      <c r="Z152" s="1" t="n">
        <f aca="false">X152+Y152</f>
        <v>0</v>
      </c>
      <c r="AA152" s="1" t="n">
        <f aca="false">IF(Z152&gt;0,Z152+(201-146)/10^6,0)</f>
        <v>0</v>
      </c>
      <c r="AB152" s="1"/>
      <c r="AC152" s="1"/>
      <c r="AD152" s="1"/>
      <c r="AE152" s="1"/>
      <c r="AF152" s="1"/>
      <c r="AG152" s="1"/>
      <c r="AH152" s="1"/>
    </row>
    <row r="153" customFormat="false" ht="15" hidden="false" customHeight="false" outlineLevel="0" collapsed="false">
      <c r="A153" s="1"/>
      <c r="B153" s="10"/>
      <c r="C153" s="31" t="str">
        <f aca="false">IF(B153="","",TEXT(B153,"ddd"))</f>
        <v/>
      </c>
      <c r="D153" s="11"/>
      <c r="E153" s="8" t="str">
        <f aca="false">IF(D153="","",IFERROR(INDEX(ProjNumbers,MATCH(D153,ProjNames,0)),""))</f>
        <v/>
      </c>
      <c r="F153" s="8" t="str">
        <f aca="false">IF(D153="","",IFERROR(INDEX(ProjCodes,MATCH(D153,ProjNames,0)),""))</f>
        <v/>
      </c>
      <c r="G153" s="32"/>
      <c r="H153" s="11"/>
      <c r="I153" s="33"/>
      <c r="J153" s="8" t="str">
        <f aca="false">IF(COUNTA(B153,D153,G153,H153,I153)=0,"",IF(B153="","Enter date",IF(OR(B153&lt;$AC$2,B153&gt;$AC$3),"Date not in March",IF(D153="","Pick project",IF(ISNA(MATCH(D153,ProjNames,0)),"Project not in list",IF(G153="","Add task description",IF(H153="","Pick NTIME or P6",IF(N(I153)&lt;=0,"Enter hours",IF(AND(AllowOT&lt;&gt;"Yes",SUMIF($B$7:$B$256,B153,$I$7:$I$256)&gt;INDEX($O$58:$O$88,DAY(B153))),"Day over "&amp;INDEX($O$58:$O$88,DAY(B153))&amp;" h","✓")))))))))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tr">
        <f aca="false">IF(Projects!B151="","",Projects!B151)</f>
        <v/>
      </c>
      <c r="X153" s="1" t="n">
        <f aca="false">IF(W153="",0,SUMIFS($I$7:$I$256,$D$7:$D$256,W153,$H$7:$H$256,"NTIME"))</f>
        <v>0</v>
      </c>
      <c r="Y153" s="1" t="n">
        <f aca="false">IF(W153="",0,SUMIFS($I$7:$I$256,$D$7:$D$256,W153,$H$7:$H$256,"P6"))</f>
        <v>0</v>
      </c>
      <c r="Z153" s="1" t="n">
        <f aca="false">X153+Y153</f>
        <v>0</v>
      </c>
      <c r="AA153" s="1" t="n">
        <f aca="false">IF(Z153&gt;0,Z153+(201-147)/10^6,0)</f>
        <v>0</v>
      </c>
      <c r="AB153" s="1"/>
      <c r="AC153" s="1"/>
      <c r="AD153" s="1"/>
      <c r="AE153" s="1"/>
      <c r="AF153" s="1"/>
      <c r="AG153" s="1"/>
      <c r="AH153" s="1"/>
    </row>
    <row r="154" customFormat="false" ht="15" hidden="false" customHeight="false" outlineLevel="0" collapsed="false">
      <c r="A154" s="1"/>
      <c r="B154" s="10"/>
      <c r="C154" s="31" t="str">
        <f aca="false">IF(B154="","",TEXT(B154,"ddd"))</f>
        <v/>
      </c>
      <c r="D154" s="11"/>
      <c r="E154" s="8" t="str">
        <f aca="false">IF(D154="","",IFERROR(INDEX(ProjNumbers,MATCH(D154,ProjNames,0)),""))</f>
        <v/>
      </c>
      <c r="F154" s="8" t="str">
        <f aca="false">IF(D154="","",IFERROR(INDEX(ProjCodes,MATCH(D154,ProjNames,0)),""))</f>
        <v/>
      </c>
      <c r="G154" s="32"/>
      <c r="H154" s="11"/>
      <c r="I154" s="33"/>
      <c r="J154" s="8" t="str">
        <f aca="false">IF(COUNTA(B154,D154,G154,H154,I154)=0,"",IF(B154="","Enter date",IF(OR(B154&lt;$AC$2,B154&gt;$AC$3),"Date not in March",IF(D154="","Pick project",IF(ISNA(MATCH(D154,ProjNames,0)),"Project not in list",IF(G154="","Add task description",IF(H154="","Pick NTIME or P6",IF(N(I154)&lt;=0,"Enter hours",IF(AND(AllowOT&lt;&gt;"Yes",SUMIF($B$7:$B$256,B154,$I$7:$I$256)&gt;INDEX($O$58:$O$88,DAY(B154))),"Day over "&amp;INDEX($O$58:$O$88,DAY(B154))&amp;" h","✓")))))))))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tr">
        <f aca="false">IF(Projects!B152="","",Projects!B152)</f>
        <v/>
      </c>
      <c r="X154" s="1" t="n">
        <f aca="false">IF(W154="",0,SUMIFS($I$7:$I$256,$D$7:$D$256,W154,$H$7:$H$256,"NTIME"))</f>
        <v>0</v>
      </c>
      <c r="Y154" s="1" t="n">
        <f aca="false">IF(W154="",0,SUMIFS($I$7:$I$256,$D$7:$D$256,W154,$H$7:$H$256,"P6"))</f>
        <v>0</v>
      </c>
      <c r="Z154" s="1" t="n">
        <f aca="false">X154+Y154</f>
        <v>0</v>
      </c>
      <c r="AA154" s="1" t="n">
        <f aca="false">IF(Z154&gt;0,Z154+(201-148)/10^6,0)</f>
        <v>0</v>
      </c>
      <c r="AB154" s="1"/>
      <c r="AC154" s="1"/>
      <c r="AD154" s="1"/>
      <c r="AE154" s="1"/>
      <c r="AF154" s="1"/>
      <c r="AG154" s="1"/>
      <c r="AH154" s="1"/>
    </row>
    <row r="155" customFormat="false" ht="15" hidden="false" customHeight="false" outlineLevel="0" collapsed="false">
      <c r="A155" s="1"/>
      <c r="B155" s="10"/>
      <c r="C155" s="31" t="str">
        <f aca="false">IF(B155="","",TEXT(B155,"ddd"))</f>
        <v/>
      </c>
      <c r="D155" s="11"/>
      <c r="E155" s="8" t="str">
        <f aca="false">IF(D155="","",IFERROR(INDEX(ProjNumbers,MATCH(D155,ProjNames,0)),""))</f>
        <v/>
      </c>
      <c r="F155" s="8" t="str">
        <f aca="false">IF(D155="","",IFERROR(INDEX(ProjCodes,MATCH(D155,ProjNames,0)),""))</f>
        <v/>
      </c>
      <c r="G155" s="32"/>
      <c r="H155" s="11"/>
      <c r="I155" s="33"/>
      <c r="J155" s="8" t="str">
        <f aca="false">IF(COUNTA(B155,D155,G155,H155,I155)=0,"",IF(B155="","Enter date",IF(OR(B155&lt;$AC$2,B155&gt;$AC$3),"Date not in March",IF(D155="","Pick project",IF(ISNA(MATCH(D155,ProjNames,0)),"Project not in list",IF(G155="","Add task description",IF(H155="","Pick NTIME or P6",IF(N(I155)&lt;=0,"Enter hours",IF(AND(AllowOT&lt;&gt;"Yes",SUMIF($B$7:$B$256,B155,$I$7:$I$256)&gt;INDEX($O$58:$O$88,DAY(B155))),"Day over "&amp;INDEX($O$58:$O$88,DAY(B155))&amp;" h","✓")))))))))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tr">
        <f aca="false">IF(Projects!B153="","",Projects!B153)</f>
        <v/>
      </c>
      <c r="X155" s="1" t="n">
        <f aca="false">IF(W155="",0,SUMIFS($I$7:$I$256,$D$7:$D$256,W155,$H$7:$H$256,"NTIME"))</f>
        <v>0</v>
      </c>
      <c r="Y155" s="1" t="n">
        <f aca="false">IF(W155="",0,SUMIFS($I$7:$I$256,$D$7:$D$256,W155,$H$7:$H$256,"P6"))</f>
        <v>0</v>
      </c>
      <c r="Z155" s="1" t="n">
        <f aca="false">X155+Y155</f>
        <v>0</v>
      </c>
      <c r="AA155" s="1" t="n">
        <f aca="false">IF(Z155&gt;0,Z155+(201-149)/10^6,0)</f>
        <v>0</v>
      </c>
      <c r="AB155" s="1"/>
      <c r="AC155" s="1"/>
      <c r="AD155" s="1"/>
      <c r="AE155" s="1"/>
      <c r="AF155" s="1"/>
      <c r="AG155" s="1"/>
      <c r="AH155" s="1"/>
    </row>
    <row r="156" customFormat="false" ht="15" hidden="false" customHeight="false" outlineLevel="0" collapsed="false">
      <c r="A156" s="1"/>
      <c r="B156" s="10"/>
      <c r="C156" s="31" t="str">
        <f aca="false">IF(B156="","",TEXT(B156,"ddd"))</f>
        <v/>
      </c>
      <c r="D156" s="11"/>
      <c r="E156" s="8" t="str">
        <f aca="false">IF(D156="","",IFERROR(INDEX(ProjNumbers,MATCH(D156,ProjNames,0)),""))</f>
        <v/>
      </c>
      <c r="F156" s="8" t="str">
        <f aca="false">IF(D156="","",IFERROR(INDEX(ProjCodes,MATCH(D156,ProjNames,0)),""))</f>
        <v/>
      </c>
      <c r="G156" s="32"/>
      <c r="H156" s="11"/>
      <c r="I156" s="33"/>
      <c r="J156" s="8" t="str">
        <f aca="false">IF(COUNTA(B156,D156,G156,H156,I156)=0,"",IF(B156="","Enter date",IF(OR(B156&lt;$AC$2,B156&gt;$AC$3),"Date not in March",IF(D156="","Pick project",IF(ISNA(MATCH(D156,ProjNames,0)),"Project not in list",IF(G156="","Add task description",IF(H156="","Pick NTIME or P6",IF(N(I156)&lt;=0,"Enter hours",IF(AND(AllowOT&lt;&gt;"Yes",SUMIF($B$7:$B$256,B156,$I$7:$I$256)&gt;INDEX($O$58:$O$88,DAY(B156))),"Day over "&amp;INDEX($O$58:$O$88,DAY(B156))&amp;" h","✓")))))))))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tr">
        <f aca="false">IF(Projects!B154="","",Projects!B154)</f>
        <v/>
      </c>
      <c r="X156" s="1" t="n">
        <f aca="false">IF(W156="",0,SUMIFS($I$7:$I$256,$D$7:$D$256,W156,$H$7:$H$256,"NTIME"))</f>
        <v>0</v>
      </c>
      <c r="Y156" s="1" t="n">
        <f aca="false">IF(W156="",0,SUMIFS($I$7:$I$256,$D$7:$D$256,W156,$H$7:$H$256,"P6"))</f>
        <v>0</v>
      </c>
      <c r="Z156" s="1" t="n">
        <f aca="false">X156+Y156</f>
        <v>0</v>
      </c>
      <c r="AA156" s="1" t="n">
        <f aca="false">IF(Z156&gt;0,Z156+(201-150)/10^6,0)</f>
        <v>0</v>
      </c>
      <c r="AB156" s="1"/>
      <c r="AC156" s="1"/>
      <c r="AD156" s="1"/>
      <c r="AE156" s="1"/>
      <c r="AF156" s="1"/>
      <c r="AG156" s="1"/>
      <c r="AH156" s="1"/>
    </row>
    <row r="157" customFormat="false" ht="15" hidden="false" customHeight="false" outlineLevel="0" collapsed="false">
      <c r="A157" s="1"/>
      <c r="B157" s="10"/>
      <c r="C157" s="31" t="str">
        <f aca="false">IF(B157="","",TEXT(B157,"ddd"))</f>
        <v/>
      </c>
      <c r="D157" s="11"/>
      <c r="E157" s="8" t="str">
        <f aca="false">IF(D157="","",IFERROR(INDEX(ProjNumbers,MATCH(D157,ProjNames,0)),""))</f>
        <v/>
      </c>
      <c r="F157" s="8" t="str">
        <f aca="false">IF(D157="","",IFERROR(INDEX(ProjCodes,MATCH(D157,ProjNames,0)),""))</f>
        <v/>
      </c>
      <c r="G157" s="32"/>
      <c r="H157" s="11"/>
      <c r="I157" s="33"/>
      <c r="J157" s="8" t="str">
        <f aca="false">IF(COUNTA(B157,D157,G157,H157,I157)=0,"",IF(B157="","Enter date",IF(OR(B157&lt;$AC$2,B157&gt;$AC$3),"Date not in March",IF(D157="","Pick project",IF(ISNA(MATCH(D157,ProjNames,0)),"Project not in list",IF(G157="","Add task description",IF(H157="","Pick NTIME or P6",IF(N(I157)&lt;=0,"Enter hours",IF(AND(AllowOT&lt;&gt;"Yes",SUMIF($B$7:$B$256,B157,$I$7:$I$256)&gt;INDEX($O$58:$O$88,DAY(B157))),"Day over "&amp;INDEX($O$58:$O$88,DAY(B157))&amp;" h","✓")))))))))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tr">
        <f aca="false">IF(Projects!B155="","",Projects!B155)</f>
        <v/>
      </c>
      <c r="X157" s="1" t="n">
        <f aca="false">IF(W157="",0,SUMIFS($I$7:$I$256,$D$7:$D$256,W157,$H$7:$H$256,"NTIME"))</f>
        <v>0</v>
      </c>
      <c r="Y157" s="1" t="n">
        <f aca="false">IF(W157="",0,SUMIFS($I$7:$I$256,$D$7:$D$256,W157,$H$7:$H$256,"P6"))</f>
        <v>0</v>
      </c>
      <c r="Z157" s="1" t="n">
        <f aca="false">X157+Y157</f>
        <v>0</v>
      </c>
      <c r="AA157" s="1" t="n">
        <f aca="false">IF(Z157&gt;0,Z157+(201-151)/10^6,0)</f>
        <v>0</v>
      </c>
      <c r="AB157" s="1"/>
      <c r="AC157" s="1"/>
      <c r="AD157" s="1"/>
      <c r="AE157" s="1"/>
      <c r="AF157" s="1"/>
      <c r="AG157" s="1"/>
      <c r="AH157" s="1"/>
    </row>
    <row r="158" customFormat="false" ht="15" hidden="false" customHeight="false" outlineLevel="0" collapsed="false">
      <c r="A158" s="1"/>
      <c r="B158" s="10"/>
      <c r="C158" s="31" t="str">
        <f aca="false">IF(B158="","",TEXT(B158,"ddd"))</f>
        <v/>
      </c>
      <c r="D158" s="11"/>
      <c r="E158" s="8" t="str">
        <f aca="false">IF(D158="","",IFERROR(INDEX(ProjNumbers,MATCH(D158,ProjNames,0)),""))</f>
        <v/>
      </c>
      <c r="F158" s="8" t="str">
        <f aca="false">IF(D158="","",IFERROR(INDEX(ProjCodes,MATCH(D158,ProjNames,0)),""))</f>
        <v/>
      </c>
      <c r="G158" s="32"/>
      <c r="H158" s="11"/>
      <c r="I158" s="33"/>
      <c r="J158" s="8" t="str">
        <f aca="false">IF(COUNTA(B158,D158,G158,H158,I158)=0,"",IF(B158="","Enter date",IF(OR(B158&lt;$AC$2,B158&gt;$AC$3),"Date not in March",IF(D158="","Pick project",IF(ISNA(MATCH(D158,ProjNames,0)),"Project not in list",IF(G158="","Add task description",IF(H158="","Pick NTIME or P6",IF(N(I158)&lt;=0,"Enter hours",IF(AND(AllowOT&lt;&gt;"Yes",SUMIF($B$7:$B$256,B158,$I$7:$I$256)&gt;INDEX($O$58:$O$88,DAY(B158))),"Day over "&amp;INDEX($O$58:$O$88,DAY(B158))&amp;" h","✓")))))))))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tr">
        <f aca="false">IF(Projects!B156="","",Projects!B156)</f>
        <v/>
      </c>
      <c r="X158" s="1" t="n">
        <f aca="false">IF(W158="",0,SUMIFS($I$7:$I$256,$D$7:$D$256,W158,$H$7:$H$256,"NTIME"))</f>
        <v>0</v>
      </c>
      <c r="Y158" s="1" t="n">
        <f aca="false">IF(W158="",0,SUMIFS($I$7:$I$256,$D$7:$D$256,W158,$H$7:$H$256,"P6"))</f>
        <v>0</v>
      </c>
      <c r="Z158" s="1" t="n">
        <f aca="false">X158+Y158</f>
        <v>0</v>
      </c>
      <c r="AA158" s="1" t="n">
        <f aca="false">IF(Z158&gt;0,Z158+(201-152)/10^6,0)</f>
        <v>0</v>
      </c>
      <c r="AB158" s="1"/>
      <c r="AC158" s="1"/>
      <c r="AD158" s="1"/>
      <c r="AE158" s="1"/>
      <c r="AF158" s="1"/>
      <c r="AG158" s="1"/>
      <c r="AH158" s="1"/>
    </row>
    <row r="159" customFormat="false" ht="15" hidden="false" customHeight="false" outlineLevel="0" collapsed="false">
      <c r="A159" s="1"/>
      <c r="B159" s="10"/>
      <c r="C159" s="31" t="str">
        <f aca="false">IF(B159="","",TEXT(B159,"ddd"))</f>
        <v/>
      </c>
      <c r="D159" s="11"/>
      <c r="E159" s="8" t="str">
        <f aca="false">IF(D159="","",IFERROR(INDEX(ProjNumbers,MATCH(D159,ProjNames,0)),""))</f>
        <v/>
      </c>
      <c r="F159" s="8" t="str">
        <f aca="false">IF(D159="","",IFERROR(INDEX(ProjCodes,MATCH(D159,ProjNames,0)),""))</f>
        <v/>
      </c>
      <c r="G159" s="32"/>
      <c r="H159" s="11"/>
      <c r="I159" s="33"/>
      <c r="J159" s="8" t="str">
        <f aca="false">IF(COUNTA(B159,D159,G159,H159,I159)=0,"",IF(B159="","Enter date",IF(OR(B159&lt;$AC$2,B159&gt;$AC$3),"Date not in March",IF(D159="","Pick project",IF(ISNA(MATCH(D159,ProjNames,0)),"Project not in list",IF(G159="","Add task description",IF(H159="","Pick NTIME or P6",IF(N(I159)&lt;=0,"Enter hours",IF(AND(AllowOT&lt;&gt;"Yes",SUMIF($B$7:$B$256,B159,$I$7:$I$256)&gt;INDEX($O$58:$O$88,DAY(B159))),"Day over "&amp;INDEX($O$58:$O$88,DAY(B159))&amp;" h","✓")))))))))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tr">
        <f aca="false">IF(Projects!B157="","",Projects!B157)</f>
        <v/>
      </c>
      <c r="X159" s="1" t="n">
        <f aca="false">IF(W159="",0,SUMIFS($I$7:$I$256,$D$7:$D$256,W159,$H$7:$H$256,"NTIME"))</f>
        <v>0</v>
      </c>
      <c r="Y159" s="1" t="n">
        <f aca="false">IF(W159="",0,SUMIFS($I$7:$I$256,$D$7:$D$256,W159,$H$7:$H$256,"P6"))</f>
        <v>0</v>
      </c>
      <c r="Z159" s="1" t="n">
        <f aca="false">X159+Y159</f>
        <v>0</v>
      </c>
      <c r="AA159" s="1" t="n">
        <f aca="false">IF(Z159&gt;0,Z159+(201-153)/10^6,0)</f>
        <v>0</v>
      </c>
      <c r="AB159" s="1"/>
      <c r="AC159" s="1"/>
      <c r="AD159" s="1"/>
      <c r="AE159" s="1"/>
      <c r="AF159" s="1"/>
      <c r="AG159" s="1"/>
      <c r="AH159" s="1"/>
    </row>
    <row r="160" customFormat="false" ht="15" hidden="false" customHeight="false" outlineLevel="0" collapsed="false">
      <c r="A160" s="1"/>
      <c r="B160" s="10"/>
      <c r="C160" s="31" t="str">
        <f aca="false">IF(B160="","",TEXT(B160,"ddd"))</f>
        <v/>
      </c>
      <c r="D160" s="11"/>
      <c r="E160" s="8" t="str">
        <f aca="false">IF(D160="","",IFERROR(INDEX(ProjNumbers,MATCH(D160,ProjNames,0)),""))</f>
        <v/>
      </c>
      <c r="F160" s="8" t="str">
        <f aca="false">IF(D160="","",IFERROR(INDEX(ProjCodes,MATCH(D160,ProjNames,0)),""))</f>
        <v/>
      </c>
      <c r="G160" s="32"/>
      <c r="H160" s="11"/>
      <c r="I160" s="33"/>
      <c r="J160" s="8" t="str">
        <f aca="false">IF(COUNTA(B160,D160,G160,H160,I160)=0,"",IF(B160="","Enter date",IF(OR(B160&lt;$AC$2,B160&gt;$AC$3),"Date not in March",IF(D160="","Pick project",IF(ISNA(MATCH(D160,ProjNames,0)),"Project not in list",IF(G160="","Add task description",IF(H160="","Pick NTIME or P6",IF(N(I160)&lt;=0,"Enter hours",IF(AND(AllowOT&lt;&gt;"Yes",SUMIF($B$7:$B$256,B160,$I$7:$I$256)&gt;INDEX($O$58:$O$88,DAY(B160))),"Day over "&amp;INDEX($O$58:$O$88,DAY(B160))&amp;" h","✓")))))))))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tr">
        <f aca="false">IF(Projects!B158="","",Projects!B158)</f>
        <v/>
      </c>
      <c r="X160" s="1" t="n">
        <f aca="false">IF(W160="",0,SUMIFS($I$7:$I$256,$D$7:$D$256,W160,$H$7:$H$256,"NTIME"))</f>
        <v>0</v>
      </c>
      <c r="Y160" s="1" t="n">
        <f aca="false">IF(W160="",0,SUMIFS($I$7:$I$256,$D$7:$D$256,W160,$H$7:$H$256,"P6"))</f>
        <v>0</v>
      </c>
      <c r="Z160" s="1" t="n">
        <f aca="false">X160+Y160</f>
        <v>0</v>
      </c>
      <c r="AA160" s="1" t="n">
        <f aca="false">IF(Z160&gt;0,Z160+(201-154)/10^6,0)</f>
        <v>0</v>
      </c>
      <c r="AB160" s="1"/>
      <c r="AC160" s="1"/>
      <c r="AD160" s="1"/>
      <c r="AE160" s="1"/>
      <c r="AF160" s="1"/>
      <c r="AG160" s="1"/>
      <c r="AH160" s="1"/>
    </row>
    <row r="161" customFormat="false" ht="15" hidden="false" customHeight="false" outlineLevel="0" collapsed="false">
      <c r="A161" s="1"/>
      <c r="B161" s="10"/>
      <c r="C161" s="31" t="str">
        <f aca="false">IF(B161="","",TEXT(B161,"ddd"))</f>
        <v/>
      </c>
      <c r="D161" s="11"/>
      <c r="E161" s="8" t="str">
        <f aca="false">IF(D161="","",IFERROR(INDEX(ProjNumbers,MATCH(D161,ProjNames,0)),""))</f>
        <v/>
      </c>
      <c r="F161" s="8" t="str">
        <f aca="false">IF(D161="","",IFERROR(INDEX(ProjCodes,MATCH(D161,ProjNames,0)),""))</f>
        <v/>
      </c>
      <c r="G161" s="32"/>
      <c r="H161" s="11"/>
      <c r="I161" s="33"/>
      <c r="J161" s="8" t="str">
        <f aca="false">IF(COUNTA(B161,D161,G161,H161,I161)=0,"",IF(B161="","Enter date",IF(OR(B161&lt;$AC$2,B161&gt;$AC$3),"Date not in March",IF(D161="","Pick project",IF(ISNA(MATCH(D161,ProjNames,0)),"Project not in list",IF(G161="","Add task description",IF(H161="","Pick NTIME or P6",IF(N(I161)&lt;=0,"Enter hours",IF(AND(AllowOT&lt;&gt;"Yes",SUMIF($B$7:$B$256,B161,$I$7:$I$256)&gt;INDEX($O$58:$O$88,DAY(B161))),"Day over "&amp;INDEX($O$58:$O$88,DAY(B161))&amp;" h","✓")))))))))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tr">
        <f aca="false">IF(Projects!B159="","",Projects!B159)</f>
        <v/>
      </c>
      <c r="X161" s="1" t="n">
        <f aca="false">IF(W161="",0,SUMIFS($I$7:$I$256,$D$7:$D$256,W161,$H$7:$H$256,"NTIME"))</f>
        <v>0</v>
      </c>
      <c r="Y161" s="1" t="n">
        <f aca="false">IF(W161="",0,SUMIFS($I$7:$I$256,$D$7:$D$256,W161,$H$7:$H$256,"P6"))</f>
        <v>0</v>
      </c>
      <c r="Z161" s="1" t="n">
        <f aca="false">X161+Y161</f>
        <v>0</v>
      </c>
      <c r="AA161" s="1" t="n">
        <f aca="false">IF(Z161&gt;0,Z161+(201-155)/10^6,0)</f>
        <v>0</v>
      </c>
      <c r="AB161" s="1"/>
      <c r="AC161" s="1"/>
      <c r="AD161" s="1"/>
      <c r="AE161" s="1"/>
      <c r="AF161" s="1"/>
      <c r="AG161" s="1"/>
      <c r="AH161" s="1"/>
    </row>
    <row r="162" customFormat="false" ht="15" hidden="false" customHeight="false" outlineLevel="0" collapsed="false">
      <c r="A162" s="1"/>
      <c r="B162" s="10"/>
      <c r="C162" s="31" t="str">
        <f aca="false">IF(B162="","",TEXT(B162,"ddd"))</f>
        <v/>
      </c>
      <c r="D162" s="11"/>
      <c r="E162" s="8" t="str">
        <f aca="false">IF(D162="","",IFERROR(INDEX(ProjNumbers,MATCH(D162,ProjNames,0)),""))</f>
        <v/>
      </c>
      <c r="F162" s="8" t="str">
        <f aca="false">IF(D162="","",IFERROR(INDEX(ProjCodes,MATCH(D162,ProjNames,0)),""))</f>
        <v/>
      </c>
      <c r="G162" s="32"/>
      <c r="H162" s="11"/>
      <c r="I162" s="33"/>
      <c r="J162" s="8" t="str">
        <f aca="false">IF(COUNTA(B162,D162,G162,H162,I162)=0,"",IF(B162="","Enter date",IF(OR(B162&lt;$AC$2,B162&gt;$AC$3),"Date not in March",IF(D162="","Pick project",IF(ISNA(MATCH(D162,ProjNames,0)),"Project not in list",IF(G162="","Add task description",IF(H162="","Pick NTIME or P6",IF(N(I162)&lt;=0,"Enter hours",IF(AND(AllowOT&lt;&gt;"Yes",SUMIF($B$7:$B$256,B162,$I$7:$I$256)&gt;INDEX($O$58:$O$88,DAY(B162))),"Day over "&amp;INDEX($O$58:$O$88,DAY(B162))&amp;" h","✓")))))))))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tr">
        <f aca="false">IF(Projects!B160="","",Projects!B160)</f>
        <v/>
      </c>
      <c r="X162" s="1" t="n">
        <f aca="false">IF(W162="",0,SUMIFS($I$7:$I$256,$D$7:$D$256,W162,$H$7:$H$256,"NTIME"))</f>
        <v>0</v>
      </c>
      <c r="Y162" s="1" t="n">
        <f aca="false">IF(W162="",0,SUMIFS($I$7:$I$256,$D$7:$D$256,W162,$H$7:$H$256,"P6"))</f>
        <v>0</v>
      </c>
      <c r="Z162" s="1" t="n">
        <f aca="false">X162+Y162</f>
        <v>0</v>
      </c>
      <c r="AA162" s="1" t="n">
        <f aca="false">IF(Z162&gt;0,Z162+(201-156)/10^6,0)</f>
        <v>0</v>
      </c>
      <c r="AB162" s="1"/>
      <c r="AC162" s="1"/>
      <c r="AD162" s="1"/>
      <c r="AE162" s="1"/>
      <c r="AF162" s="1"/>
      <c r="AG162" s="1"/>
      <c r="AH162" s="1"/>
    </row>
    <row r="163" customFormat="false" ht="15" hidden="false" customHeight="false" outlineLevel="0" collapsed="false">
      <c r="A163" s="1"/>
      <c r="B163" s="10"/>
      <c r="C163" s="31" t="str">
        <f aca="false">IF(B163="","",TEXT(B163,"ddd"))</f>
        <v/>
      </c>
      <c r="D163" s="11"/>
      <c r="E163" s="8" t="str">
        <f aca="false">IF(D163="","",IFERROR(INDEX(ProjNumbers,MATCH(D163,ProjNames,0)),""))</f>
        <v/>
      </c>
      <c r="F163" s="8" t="str">
        <f aca="false">IF(D163="","",IFERROR(INDEX(ProjCodes,MATCH(D163,ProjNames,0)),""))</f>
        <v/>
      </c>
      <c r="G163" s="32"/>
      <c r="H163" s="11"/>
      <c r="I163" s="33"/>
      <c r="J163" s="8" t="str">
        <f aca="false">IF(COUNTA(B163,D163,G163,H163,I163)=0,"",IF(B163="","Enter date",IF(OR(B163&lt;$AC$2,B163&gt;$AC$3),"Date not in March",IF(D163="","Pick project",IF(ISNA(MATCH(D163,ProjNames,0)),"Project not in list",IF(G163="","Add task description",IF(H163="","Pick NTIME or P6",IF(N(I163)&lt;=0,"Enter hours",IF(AND(AllowOT&lt;&gt;"Yes",SUMIF($B$7:$B$256,B163,$I$7:$I$256)&gt;INDEX($O$58:$O$88,DAY(B163))),"Day over "&amp;INDEX($O$58:$O$88,DAY(B163))&amp;" h","✓")))))))))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tr">
        <f aca="false">IF(Projects!B161="","",Projects!B161)</f>
        <v/>
      </c>
      <c r="X163" s="1" t="n">
        <f aca="false">IF(W163="",0,SUMIFS($I$7:$I$256,$D$7:$D$256,W163,$H$7:$H$256,"NTIME"))</f>
        <v>0</v>
      </c>
      <c r="Y163" s="1" t="n">
        <f aca="false">IF(W163="",0,SUMIFS($I$7:$I$256,$D$7:$D$256,W163,$H$7:$H$256,"P6"))</f>
        <v>0</v>
      </c>
      <c r="Z163" s="1" t="n">
        <f aca="false">X163+Y163</f>
        <v>0</v>
      </c>
      <c r="AA163" s="1" t="n">
        <f aca="false">IF(Z163&gt;0,Z163+(201-157)/10^6,0)</f>
        <v>0</v>
      </c>
      <c r="AB163" s="1"/>
      <c r="AC163" s="1"/>
      <c r="AD163" s="1"/>
      <c r="AE163" s="1"/>
      <c r="AF163" s="1"/>
      <c r="AG163" s="1"/>
      <c r="AH163" s="1"/>
    </row>
    <row r="164" customFormat="false" ht="15" hidden="false" customHeight="false" outlineLevel="0" collapsed="false">
      <c r="A164" s="1"/>
      <c r="B164" s="10"/>
      <c r="C164" s="31" t="str">
        <f aca="false">IF(B164="","",TEXT(B164,"ddd"))</f>
        <v/>
      </c>
      <c r="D164" s="11"/>
      <c r="E164" s="8" t="str">
        <f aca="false">IF(D164="","",IFERROR(INDEX(ProjNumbers,MATCH(D164,ProjNames,0)),""))</f>
        <v/>
      </c>
      <c r="F164" s="8" t="str">
        <f aca="false">IF(D164="","",IFERROR(INDEX(ProjCodes,MATCH(D164,ProjNames,0)),""))</f>
        <v/>
      </c>
      <c r="G164" s="32"/>
      <c r="H164" s="11"/>
      <c r="I164" s="33"/>
      <c r="J164" s="8" t="str">
        <f aca="false">IF(COUNTA(B164,D164,G164,H164,I164)=0,"",IF(B164="","Enter date",IF(OR(B164&lt;$AC$2,B164&gt;$AC$3),"Date not in March",IF(D164="","Pick project",IF(ISNA(MATCH(D164,ProjNames,0)),"Project not in list",IF(G164="","Add task description",IF(H164="","Pick NTIME or P6",IF(N(I164)&lt;=0,"Enter hours",IF(AND(AllowOT&lt;&gt;"Yes",SUMIF($B$7:$B$256,B164,$I$7:$I$256)&gt;INDEX($O$58:$O$88,DAY(B164))),"Day over "&amp;INDEX($O$58:$O$88,DAY(B164))&amp;" h","✓")))))))))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tr">
        <f aca="false">IF(Projects!B162="","",Projects!B162)</f>
        <v/>
      </c>
      <c r="X164" s="1" t="n">
        <f aca="false">IF(W164="",0,SUMIFS($I$7:$I$256,$D$7:$D$256,W164,$H$7:$H$256,"NTIME"))</f>
        <v>0</v>
      </c>
      <c r="Y164" s="1" t="n">
        <f aca="false">IF(W164="",0,SUMIFS($I$7:$I$256,$D$7:$D$256,W164,$H$7:$H$256,"P6"))</f>
        <v>0</v>
      </c>
      <c r="Z164" s="1" t="n">
        <f aca="false">X164+Y164</f>
        <v>0</v>
      </c>
      <c r="AA164" s="1" t="n">
        <f aca="false">IF(Z164&gt;0,Z164+(201-158)/10^6,0)</f>
        <v>0</v>
      </c>
      <c r="AB164" s="1"/>
      <c r="AC164" s="1"/>
      <c r="AD164" s="1"/>
      <c r="AE164" s="1"/>
      <c r="AF164" s="1"/>
      <c r="AG164" s="1"/>
      <c r="AH164" s="1"/>
    </row>
    <row r="165" customFormat="false" ht="15" hidden="false" customHeight="false" outlineLevel="0" collapsed="false">
      <c r="A165" s="1"/>
      <c r="B165" s="10"/>
      <c r="C165" s="31" t="str">
        <f aca="false">IF(B165="","",TEXT(B165,"ddd"))</f>
        <v/>
      </c>
      <c r="D165" s="11"/>
      <c r="E165" s="8" t="str">
        <f aca="false">IF(D165="","",IFERROR(INDEX(ProjNumbers,MATCH(D165,ProjNames,0)),""))</f>
        <v/>
      </c>
      <c r="F165" s="8" t="str">
        <f aca="false">IF(D165="","",IFERROR(INDEX(ProjCodes,MATCH(D165,ProjNames,0)),""))</f>
        <v/>
      </c>
      <c r="G165" s="32"/>
      <c r="H165" s="11"/>
      <c r="I165" s="33"/>
      <c r="J165" s="8" t="str">
        <f aca="false">IF(COUNTA(B165,D165,G165,H165,I165)=0,"",IF(B165="","Enter date",IF(OR(B165&lt;$AC$2,B165&gt;$AC$3),"Date not in March",IF(D165="","Pick project",IF(ISNA(MATCH(D165,ProjNames,0)),"Project not in list",IF(G165="","Add task description",IF(H165="","Pick NTIME or P6",IF(N(I165)&lt;=0,"Enter hours",IF(AND(AllowOT&lt;&gt;"Yes",SUMIF($B$7:$B$256,B165,$I$7:$I$256)&gt;INDEX($O$58:$O$88,DAY(B165))),"Day over "&amp;INDEX($O$58:$O$88,DAY(B165))&amp;" h","✓")))))))))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tr">
        <f aca="false">IF(Projects!B163="","",Projects!B163)</f>
        <v/>
      </c>
      <c r="X165" s="1" t="n">
        <f aca="false">IF(W165="",0,SUMIFS($I$7:$I$256,$D$7:$D$256,W165,$H$7:$H$256,"NTIME"))</f>
        <v>0</v>
      </c>
      <c r="Y165" s="1" t="n">
        <f aca="false">IF(W165="",0,SUMIFS($I$7:$I$256,$D$7:$D$256,W165,$H$7:$H$256,"P6"))</f>
        <v>0</v>
      </c>
      <c r="Z165" s="1" t="n">
        <f aca="false">X165+Y165</f>
        <v>0</v>
      </c>
      <c r="AA165" s="1" t="n">
        <f aca="false">IF(Z165&gt;0,Z165+(201-159)/10^6,0)</f>
        <v>0</v>
      </c>
      <c r="AB165" s="1"/>
      <c r="AC165" s="1"/>
      <c r="AD165" s="1"/>
      <c r="AE165" s="1"/>
      <c r="AF165" s="1"/>
      <c r="AG165" s="1"/>
      <c r="AH165" s="1"/>
    </row>
    <row r="166" customFormat="false" ht="15" hidden="false" customHeight="false" outlineLevel="0" collapsed="false">
      <c r="A166" s="1"/>
      <c r="B166" s="10"/>
      <c r="C166" s="31" t="str">
        <f aca="false">IF(B166="","",TEXT(B166,"ddd"))</f>
        <v/>
      </c>
      <c r="D166" s="11"/>
      <c r="E166" s="8" t="str">
        <f aca="false">IF(D166="","",IFERROR(INDEX(ProjNumbers,MATCH(D166,ProjNames,0)),""))</f>
        <v/>
      </c>
      <c r="F166" s="8" t="str">
        <f aca="false">IF(D166="","",IFERROR(INDEX(ProjCodes,MATCH(D166,ProjNames,0)),""))</f>
        <v/>
      </c>
      <c r="G166" s="32"/>
      <c r="H166" s="11"/>
      <c r="I166" s="33"/>
      <c r="J166" s="8" t="str">
        <f aca="false">IF(COUNTA(B166,D166,G166,H166,I166)=0,"",IF(B166="","Enter date",IF(OR(B166&lt;$AC$2,B166&gt;$AC$3),"Date not in March",IF(D166="","Pick project",IF(ISNA(MATCH(D166,ProjNames,0)),"Project not in list",IF(G166="","Add task description",IF(H166="","Pick NTIME or P6",IF(N(I166)&lt;=0,"Enter hours",IF(AND(AllowOT&lt;&gt;"Yes",SUMIF($B$7:$B$256,B166,$I$7:$I$256)&gt;INDEX($O$58:$O$88,DAY(B166))),"Day over "&amp;INDEX($O$58:$O$88,DAY(B166))&amp;" h","✓")))))))))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tr">
        <f aca="false">IF(Projects!B164="","",Projects!B164)</f>
        <v/>
      </c>
      <c r="X166" s="1" t="n">
        <f aca="false">IF(W166="",0,SUMIFS($I$7:$I$256,$D$7:$D$256,W166,$H$7:$H$256,"NTIME"))</f>
        <v>0</v>
      </c>
      <c r="Y166" s="1" t="n">
        <f aca="false">IF(W166="",0,SUMIFS($I$7:$I$256,$D$7:$D$256,W166,$H$7:$H$256,"P6"))</f>
        <v>0</v>
      </c>
      <c r="Z166" s="1" t="n">
        <f aca="false">X166+Y166</f>
        <v>0</v>
      </c>
      <c r="AA166" s="1" t="n">
        <f aca="false">IF(Z166&gt;0,Z166+(201-160)/10^6,0)</f>
        <v>0</v>
      </c>
      <c r="AB166" s="1"/>
      <c r="AC166" s="1"/>
      <c r="AD166" s="1"/>
      <c r="AE166" s="1"/>
      <c r="AF166" s="1"/>
      <c r="AG166" s="1"/>
      <c r="AH166" s="1"/>
    </row>
    <row r="167" customFormat="false" ht="15" hidden="false" customHeight="false" outlineLevel="0" collapsed="false">
      <c r="A167" s="1"/>
      <c r="B167" s="10"/>
      <c r="C167" s="31" t="str">
        <f aca="false">IF(B167="","",TEXT(B167,"ddd"))</f>
        <v/>
      </c>
      <c r="D167" s="11"/>
      <c r="E167" s="8" t="str">
        <f aca="false">IF(D167="","",IFERROR(INDEX(ProjNumbers,MATCH(D167,ProjNames,0)),""))</f>
        <v/>
      </c>
      <c r="F167" s="8" t="str">
        <f aca="false">IF(D167="","",IFERROR(INDEX(ProjCodes,MATCH(D167,ProjNames,0)),""))</f>
        <v/>
      </c>
      <c r="G167" s="32"/>
      <c r="H167" s="11"/>
      <c r="I167" s="33"/>
      <c r="J167" s="8" t="str">
        <f aca="false">IF(COUNTA(B167,D167,G167,H167,I167)=0,"",IF(B167="","Enter date",IF(OR(B167&lt;$AC$2,B167&gt;$AC$3),"Date not in March",IF(D167="","Pick project",IF(ISNA(MATCH(D167,ProjNames,0)),"Project not in list",IF(G167="","Add task description",IF(H167="","Pick NTIME or P6",IF(N(I167)&lt;=0,"Enter hours",IF(AND(AllowOT&lt;&gt;"Yes",SUMIF($B$7:$B$256,B167,$I$7:$I$256)&gt;INDEX($O$58:$O$88,DAY(B167))),"Day over "&amp;INDEX($O$58:$O$88,DAY(B167))&amp;" h","✓")))))))))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 aca="false">IF(Projects!B165="","",Projects!B165)</f>
        <v/>
      </c>
      <c r="X167" s="1" t="n">
        <f aca="false">IF(W167="",0,SUMIFS($I$7:$I$256,$D$7:$D$256,W167,$H$7:$H$256,"NTIME"))</f>
        <v>0</v>
      </c>
      <c r="Y167" s="1" t="n">
        <f aca="false">IF(W167="",0,SUMIFS($I$7:$I$256,$D$7:$D$256,W167,$H$7:$H$256,"P6"))</f>
        <v>0</v>
      </c>
      <c r="Z167" s="1" t="n">
        <f aca="false">X167+Y167</f>
        <v>0</v>
      </c>
      <c r="AA167" s="1" t="n">
        <f aca="false">IF(Z167&gt;0,Z167+(201-161)/10^6,0)</f>
        <v>0</v>
      </c>
      <c r="AB167" s="1"/>
      <c r="AC167" s="1"/>
      <c r="AD167" s="1"/>
      <c r="AE167" s="1"/>
      <c r="AF167" s="1"/>
      <c r="AG167" s="1"/>
      <c r="AH167" s="1"/>
    </row>
    <row r="168" customFormat="false" ht="15" hidden="false" customHeight="false" outlineLevel="0" collapsed="false">
      <c r="A168" s="1"/>
      <c r="B168" s="10"/>
      <c r="C168" s="31" t="str">
        <f aca="false">IF(B168="","",TEXT(B168,"ddd"))</f>
        <v/>
      </c>
      <c r="D168" s="11"/>
      <c r="E168" s="8" t="str">
        <f aca="false">IF(D168="","",IFERROR(INDEX(ProjNumbers,MATCH(D168,ProjNames,0)),""))</f>
        <v/>
      </c>
      <c r="F168" s="8" t="str">
        <f aca="false">IF(D168="","",IFERROR(INDEX(ProjCodes,MATCH(D168,ProjNames,0)),""))</f>
        <v/>
      </c>
      <c r="G168" s="32"/>
      <c r="H168" s="11"/>
      <c r="I168" s="33"/>
      <c r="J168" s="8" t="str">
        <f aca="false">IF(COUNTA(B168,D168,G168,H168,I168)=0,"",IF(B168="","Enter date",IF(OR(B168&lt;$AC$2,B168&gt;$AC$3),"Date not in March",IF(D168="","Pick project",IF(ISNA(MATCH(D168,ProjNames,0)),"Project not in list",IF(G168="","Add task description",IF(H168="","Pick NTIME or P6",IF(N(I168)&lt;=0,"Enter hours",IF(AND(AllowOT&lt;&gt;"Yes",SUMIF($B$7:$B$256,B168,$I$7:$I$256)&gt;INDEX($O$58:$O$88,DAY(B168))),"Day over "&amp;INDEX($O$58:$O$88,DAY(B168))&amp;" h","✓")))))))))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tr">
        <f aca="false">IF(Projects!B166="","",Projects!B166)</f>
        <v/>
      </c>
      <c r="X168" s="1" t="n">
        <f aca="false">IF(W168="",0,SUMIFS($I$7:$I$256,$D$7:$D$256,W168,$H$7:$H$256,"NTIME"))</f>
        <v>0</v>
      </c>
      <c r="Y168" s="1" t="n">
        <f aca="false">IF(W168="",0,SUMIFS($I$7:$I$256,$D$7:$D$256,W168,$H$7:$H$256,"P6"))</f>
        <v>0</v>
      </c>
      <c r="Z168" s="1" t="n">
        <f aca="false">X168+Y168</f>
        <v>0</v>
      </c>
      <c r="AA168" s="1" t="n">
        <f aca="false">IF(Z168&gt;0,Z168+(201-162)/10^6,0)</f>
        <v>0</v>
      </c>
      <c r="AB168" s="1"/>
      <c r="AC168" s="1"/>
      <c r="AD168" s="1"/>
      <c r="AE168" s="1"/>
      <c r="AF168" s="1"/>
      <c r="AG168" s="1"/>
      <c r="AH168" s="1"/>
    </row>
    <row r="169" customFormat="false" ht="15" hidden="false" customHeight="false" outlineLevel="0" collapsed="false">
      <c r="A169" s="1"/>
      <c r="B169" s="10"/>
      <c r="C169" s="31" t="str">
        <f aca="false">IF(B169="","",TEXT(B169,"ddd"))</f>
        <v/>
      </c>
      <c r="D169" s="11"/>
      <c r="E169" s="8" t="str">
        <f aca="false">IF(D169="","",IFERROR(INDEX(ProjNumbers,MATCH(D169,ProjNames,0)),""))</f>
        <v/>
      </c>
      <c r="F169" s="8" t="str">
        <f aca="false">IF(D169="","",IFERROR(INDEX(ProjCodes,MATCH(D169,ProjNames,0)),""))</f>
        <v/>
      </c>
      <c r="G169" s="32"/>
      <c r="H169" s="11"/>
      <c r="I169" s="33"/>
      <c r="J169" s="8" t="str">
        <f aca="false">IF(COUNTA(B169,D169,G169,H169,I169)=0,"",IF(B169="","Enter date",IF(OR(B169&lt;$AC$2,B169&gt;$AC$3),"Date not in March",IF(D169="","Pick project",IF(ISNA(MATCH(D169,ProjNames,0)),"Project not in list",IF(G169="","Add task description",IF(H169="","Pick NTIME or P6",IF(N(I169)&lt;=0,"Enter hours",IF(AND(AllowOT&lt;&gt;"Yes",SUMIF($B$7:$B$256,B169,$I$7:$I$256)&gt;INDEX($O$58:$O$88,DAY(B169))),"Day over "&amp;INDEX($O$58:$O$88,DAY(B169))&amp;" h","✓")))))))))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tr">
        <f aca="false">IF(Projects!B167="","",Projects!B167)</f>
        <v/>
      </c>
      <c r="X169" s="1" t="n">
        <f aca="false">IF(W169="",0,SUMIFS($I$7:$I$256,$D$7:$D$256,W169,$H$7:$H$256,"NTIME"))</f>
        <v>0</v>
      </c>
      <c r="Y169" s="1" t="n">
        <f aca="false">IF(W169="",0,SUMIFS($I$7:$I$256,$D$7:$D$256,W169,$H$7:$H$256,"P6"))</f>
        <v>0</v>
      </c>
      <c r="Z169" s="1" t="n">
        <f aca="false">X169+Y169</f>
        <v>0</v>
      </c>
      <c r="AA169" s="1" t="n">
        <f aca="false">IF(Z169&gt;0,Z169+(201-163)/10^6,0)</f>
        <v>0</v>
      </c>
      <c r="AB169" s="1"/>
      <c r="AC169" s="1"/>
      <c r="AD169" s="1"/>
      <c r="AE169" s="1"/>
      <c r="AF169" s="1"/>
      <c r="AG169" s="1"/>
      <c r="AH169" s="1"/>
    </row>
    <row r="170" customFormat="false" ht="15" hidden="false" customHeight="false" outlineLevel="0" collapsed="false">
      <c r="A170" s="1"/>
      <c r="B170" s="10"/>
      <c r="C170" s="31" t="str">
        <f aca="false">IF(B170="","",TEXT(B170,"ddd"))</f>
        <v/>
      </c>
      <c r="D170" s="11"/>
      <c r="E170" s="8" t="str">
        <f aca="false">IF(D170="","",IFERROR(INDEX(ProjNumbers,MATCH(D170,ProjNames,0)),""))</f>
        <v/>
      </c>
      <c r="F170" s="8" t="str">
        <f aca="false">IF(D170="","",IFERROR(INDEX(ProjCodes,MATCH(D170,ProjNames,0)),""))</f>
        <v/>
      </c>
      <c r="G170" s="32"/>
      <c r="H170" s="11"/>
      <c r="I170" s="33"/>
      <c r="J170" s="8" t="str">
        <f aca="false">IF(COUNTA(B170,D170,G170,H170,I170)=0,"",IF(B170="","Enter date",IF(OR(B170&lt;$AC$2,B170&gt;$AC$3),"Date not in March",IF(D170="","Pick project",IF(ISNA(MATCH(D170,ProjNames,0)),"Project not in list",IF(G170="","Add task description",IF(H170="","Pick NTIME or P6",IF(N(I170)&lt;=0,"Enter hours",IF(AND(AllowOT&lt;&gt;"Yes",SUMIF($B$7:$B$256,B170,$I$7:$I$256)&gt;INDEX($O$58:$O$88,DAY(B170))),"Day over "&amp;INDEX($O$58:$O$88,DAY(B170))&amp;" h","✓")))))))))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tr">
        <f aca="false">IF(Projects!B168="","",Projects!B168)</f>
        <v/>
      </c>
      <c r="X170" s="1" t="n">
        <f aca="false">IF(W170="",0,SUMIFS($I$7:$I$256,$D$7:$D$256,W170,$H$7:$H$256,"NTIME"))</f>
        <v>0</v>
      </c>
      <c r="Y170" s="1" t="n">
        <f aca="false">IF(W170="",0,SUMIFS($I$7:$I$256,$D$7:$D$256,W170,$H$7:$H$256,"P6"))</f>
        <v>0</v>
      </c>
      <c r="Z170" s="1" t="n">
        <f aca="false">X170+Y170</f>
        <v>0</v>
      </c>
      <c r="AA170" s="1" t="n">
        <f aca="false">IF(Z170&gt;0,Z170+(201-164)/10^6,0)</f>
        <v>0</v>
      </c>
      <c r="AB170" s="1"/>
      <c r="AC170" s="1"/>
      <c r="AD170" s="1"/>
      <c r="AE170" s="1"/>
      <c r="AF170" s="1"/>
      <c r="AG170" s="1"/>
      <c r="AH170" s="1"/>
    </row>
    <row r="171" customFormat="false" ht="15" hidden="false" customHeight="false" outlineLevel="0" collapsed="false">
      <c r="A171" s="1"/>
      <c r="B171" s="10"/>
      <c r="C171" s="31" t="str">
        <f aca="false">IF(B171="","",TEXT(B171,"ddd"))</f>
        <v/>
      </c>
      <c r="D171" s="11"/>
      <c r="E171" s="8" t="str">
        <f aca="false">IF(D171="","",IFERROR(INDEX(ProjNumbers,MATCH(D171,ProjNames,0)),""))</f>
        <v/>
      </c>
      <c r="F171" s="8" t="str">
        <f aca="false">IF(D171="","",IFERROR(INDEX(ProjCodes,MATCH(D171,ProjNames,0)),""))</f>
        <v/>
      </c>
      <c r="G171" s="32"/>
      <c r="H171" s="11"/>
      <c r="I171" s="33"/>
      <c r="J171" s="8" t="str">
        <f aca="false">IF(COUNTA(B171,D171,G171,H171,I171)=0,"",IF(B171="","Enter date",IF(OR(B171&lt;$AC$2,B171&gt;$AC$3),"Date not in March",IF(D171="","Pick project",IF(ISNA(MATCH(D171,ProjNames,0)),"Project not in list",IF(G171="","Add task description",IF(H171="","Pick NTIME or P6",IF(N(I171)&lt;=0,"Enter hours",IF(AND(AllowOT&lt;&gt;"Yes",SUMIF($B$7:$B$256,B171,$I$7:$I$256)&gt;INDEX($O$58:$O$88,DAY(B171))),"Day over "&amp;INDEX($O$58:$O$88,DAY(B171))&amp;" h","✓")))))))))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tr">
        <f aca="false">IF(Projects!B169="","",Projects!B169)</f>
        <v/>
      </c>
      <c r="X171" s="1" t="n">
        <f aca="false">IF(W171="",0,SUMIFS($I$7:$I$256,$D$7:$D$256,W171,$H$7:$H$256,"NTIME"))</f>
        <v>0</v>
      </c>
      <c r="Y171" s="1" t="n">
        <f aca="false">IF(W171="",0,SUMIFS($I$7:$I$256,$D$7:$D$256,W171,$H$7:$H$256,"P6"))</f>
        <v>0</v>
      </c>
      <c r="Z171" s="1" t="n">
        <f aca="false">X171+Y171</f>
        <v>0</v>
      </c>
      <c r="AA171" s="1" t="n">
        <f aca="false">IF(Z171&gt;0,Z171+(201-165)/10^6,0)</f>
        <v>0</v>
      </c>
      <c r="AB171" s="1"/>
      <c r="AC171" s="1"/>
      <c r="AD171" s="1"/>
      <c r="AE171" s="1"/>
      <c r="AF171" s="1"/>
      <c r="AG171" s="1"/>
      <c r="AH171" s="1"/>
    </row>
    <row r="172" customFormat="false" ht="15" hidden="false" customHeight="false" outlineLevel="0" collapsed="false">
      <c r="A172" s="1"/>
      <c r="B172" s="10"/>
      <c r="C172" s="31" t="str">
        <f aca="false">IF(B172="","",TEXT(B172,"ddd"))</f>
        <v/>
      </c>
      <c r="D172" s="11"/>
      <c r="E172" s="8" t="str">
        <f aca="false">IF(D172="","",IFERROR(INDEX(ProjNumbers,MATCH(D172,ProjNames,0)),""))</f>
        <v/>
      </c>
      <c r="F172" s="8" t="str">
        <f aca="false">IF(D172="","",IFERROR(INDEX(ProjCodes,MATCH(D172,ProjNames,0)),""))</f>
        <v/>
      </c>
      <c r="G172" s="32"/>
      <c r="H172" s="11"/>
      <c r="I172" s="33"/>
      <c r="J172" s="8" t="str">
        <f aca="false">IF(COUNTA(B172,D172,G172,H172,I172)=0,"",IF(B172="","Enter date",IF(OR(B172&lt;$AC$2,B172&gt;$AC$3),"Date not in March",IF(D172="","Pick project",IF(ISNA(MATCH(D172,ProjNames,0)),"Project not in list",IF(G172="","Add task description",IF(H172="","Pick NTIME or P6",IF(N(I172)&lt;=0,"Enter hours",IF(AND(AllowOT&lt;&gt;"Yes",SUMIF($B$7:$B$256,B172,$I$7:$I$256)&gt;INDEX($O$58:$O$88,DAY(B172))),"Day over "&amp;INDEX($O$58:$O$88,DAY(B172))&amp;" h","✓")))))))))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tr">
        <f aca="false">IF(Projects!B170="","",Projects!B170)</f>
        <v/>
      </c>
      <c r="X172" s="1" t="n">
        <f aca="false">IF(W172="",0,SUMIFS($I$7:$I$256,$D$7:$D$256,W172,$H$7:$H$256,"NTIME"))</f>
        <v>0</v>
      </c>
      <c r="Y172" s="1" t="n">
        <f aca="false">IF(W172="",0,SUMIFS($I$7:$I$256,$D$7:$D$256,W172,$H$7:$H$256,"P6"))</f>
        <v>0</v>
      </c>
      <c r="Z172" s="1" t="n">
        <f aca="false">X172+Y172</f>
        <v>0</v>
      </c>
      <c r="AA172" s="1" t="n">
        <f aca="false">IF(Z172&gt;0,Z172+(201-166)/10^6,0)</f>
        <v>0</v>
      </c>
      <c r="AB172" s="1"/>
      <c r="AC172" s="1"/>
      <c r="AD172" s="1"/>
      <c r="AE172" s="1"/>
      <c r="AF172" s="1"/>
      <c r="AG172" s="1"/>
      <c r="AH172" s="1"/>
    </row>
    <row r="173" customFormat="false" ht="15" hidden="false" customHeight="false" outlineLevel="0" collapsed="false">
      <c r="A173" s="1"/>
      <c r="B173" s="10"/>
      <c r="C173" s="31" t="str">
        <f aca="false">IF(B173="","",TEXT(B173,"ddd"))</f>
        <v/>
      </c>
      <c r="D173" s="11"/>
      <c r="E173" s="8" t="str">
        <f aca="false">IF(D173="","",IFERROR(INDEX(ProjNumbers,MATCH(D173,ProjNames,0)),""))</f>
        <v/>
      </c>
      <c r="F173" s="8" t="str">
        <f aca="false">IF(D173="","",IFERROR(INDEX(ProjCodes,MATCH(D173,ProjNames,0)),""))</f>
        <v/>
      </c>
      <c r="G173" s="32"/>
      <c r="H173" s="11"/>
      <c r="I173" s="33"/>
      <c r="J173" s="8" t="str">
        <f aca="false">IF(COUNTA(B173,D173,G173,H173,I173)=0,"",IF(B173="","Enter date",IF(OR(B173&lt;$AC$2,B173&gt;$AC$3),"Date not in March",IF(D173="","Pick project",IF(ISNA(MATCH(D173,ProjNames,0)),"Project not in list",IF(G173="","Add task description",IF(H173="","Pick NTIME or P6",IF(N(I173)&lt;=0,"Enter hours",IF(AND(AllowOT&lt;&gt;"Yes",SUMIF($B$7:$B$256,B173,$I$7:$I$256)&gt;INDEX($O$58:$O$88,DAY(B173))),"Day over "&amp;INDEX($O$58:$O$88,DAY(B173))&amp;" h","✓")))))))))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tr">
        <f aca="false">IF(Projects!B171="","",Projects!B171)</f>
        <v/>
      </c>
      <c r="X173" s="1" t="n">
        <f aca="false">IF(W173="",0,SUMIFS($I$7:$I$256,$D$7:$D$256,W173,$H$7:$H$256,"NTIME"))</f>
        <v>0</v>
      </c>
      <c r="Y173" s="1" t="n">
        <f aca="false">IF(W173="",0,SUMIFS($I$7:$I$256,$D$7:$D$256,W173,$H$7:$H$256,"P6"))</f>
        <v>0</v>
      </c>
      <c r="Z173" s="1" t="n">
        <f aca="false">X173+Y173</f>
        <v>0</v>
      </c>
      <c r="AA173" s="1" t="n">
        <f aca="false">IF(Z173&gt;0,Z173+(201-167)/10^6,0)</f>
        <v>0</v>
      </c>
      <c r="AB173" s="1"/>
      <c r="AC173" s="1"/>
      <c r="AD173" s="1"/>
      <c r="AE173" s="1"/>
      <c r="AF173" s="1"/>
      <c r="AG173" s="1"/>
      <c r="AH173" s="1"/>
    </row>
    <row r="174" customFormat="false" ht="15" hidden="false" customHeight="false" outlineLevel="0" collapsed="false">
      <c r="A174" s="1"/>
      <c r="B174" s="10"/>
      <c r="C174" s="31" t="str">
        <f aca="false">IF(B174="","",TEXT(B174,"ddd"))</f>
        <v/>
      </c>
      <c r="D174" s="11"/>
      <c r="E174" s="8" t="str">
        <f aca="false">IF(D174="","",IFERROR(INDEX(ProjNumbers,MATCH(D174,ProjNames,0)),""))</f>
        <v/>
      </c>
      <c r="F174" s="8" t="str">
        <f aca="false">IF(D174="","",IFERROR(INDEX(ProjCodes,MATCH(D174,ProjNames,0)),""))</f>
        <v/>
      </c>
      <c r="G174" s="32"/>
      <c r="H174" s="11"/>
      <c r="I174" s="33"/>
      <c r="J174" s="8" t="str">
        <f aca="false">IF(COUNTA(B174,D174,G174,H174,I174)=0,"",IF(B174="","Enter date",IF(OR(B174&lt;$AC$2,B174&gt;$AC$3),"Date not in March",IF(D174="","Pick project",IF(ISNA(MATCH(D174,ProjNames,0)),"Project not in list",IF(G174="","Add task description",IF(H174="","Pick NTIME or P6",IF(N(I174)&lt;=0,"Enter hours",IF(AND(AllowOT&lt;&gt;"Yes",SUMIF($B$7:$B$256,B174,$I$7:$I$256)&gt;INDEX($O$58:$O$88,DAY(B174))),"Day over "&amp;INDEX($O$58:$O$88,DAY(B174))&amp;" h","✓")))))))))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tr">
        <f aca="false">IF(Projects!B172="","",Projects!B172)</f>
        <v/>
      </c>
      <c r="X174" s="1" t="n">
        <f aca="false">IF(W174="",0,SUMIFS($I$7:$I$256,$D$7:$D$256,W174,$H$7:$H$256,"NTIME"))</f>
        <v>0</v>
      </c>
      <c r="Y174" s="1" t="n">
        <f aca="false">IF(W174="",0,SUMIFS($I$7:$I$256,$D$7:$D$256,W174,$H$7:$H$256,"P6"))</f>
        <v>0</v>
      </c>
      <c r="Z174" s="1" t="n">
        <f aca="false">X174+Y174</f>
        <v>0</v>
      </c>
      <c r="AA174" s="1" t="n">
        <f aca="false">IF(Z174&gt;0,Z174+(201-168)/10^6,0)</f>
        <v>0</v>
      </c>
      <c r="AB174" s="1"/>
      <c r="AC174" s="1"/>
      <c r="AD174" s="1"/>
      <c r="AE174" s="1"/>
      <c r="AF174" s="1"/>
      <c r="AG174" s="1"/>
      <c r="AH174" s="1"/>
    </row>
    <row r="175" customFormat="false" ht="15" hidden="false" customHeight="false" outlineLevel="0" collapsed="false">
      <c r="A175" s="1"/>
      <c r="B175" s="10"/>
      <c r="C175" s="31" t="str">
        <f aca="false">IF(B175="","",TEXT(B175,"ddd"))</f>
        <v/>
      </c>
      <c r="D175" s="11"/>
      <c r="E175" s="8" t="str">
        <f aca="false">IF(D175="","",IFERROR(INDEX(ProjNumbers,MATCH(D175,ProjNames,0)),""))</f>
        <v/>
      </c>
      <c r="F175" s="8" t="str">
        <f aca="false">IF(D175="","",IFERROR(INDEX(ProjCodes,MATCH(D175,ProjNames,0)),""))</f>
        <v/>
      </c>
      <c r="G175" s="32"/>
      <c r="H175" s="11"/>
      <c r="I175" s="33"/>
      <c r="J175" s="8" t="str">
        <f aca="false">IF(COUNTA(B175,D175,G175,H175,I175)=0,"",IF(B175="","Enter date",IF(OR(B175&lt;$AC$2,B175&gt;$AC$3),"Date not in March",IF(D175="","Pick project",IF(ISNA(MATCH(D175,ProjNames,0)),"Project not in list",IF(G175="","Add task description",IF(H175="","Pick NTIME or P6",IF(N(I175)&lt;=0,"Enter hours",IF(AND(AllowOT&lt;&gt;"Yes",SUMIF($B$7:$B$256,B175,$I$7:$I$256)&gt;INDEX($O$58:$O$88,DAY(B175))),"Day over "&amp;INDEX($O$58:$O$88,DAY(B175))&amp;" h","✓")))))))))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tr">
        <f aca="false">IF(Projects!B173="","",Projects!B173)</f>
        <v/>
      </c>
      <c r="X175" s="1" t="n">
        <f aca="false">IF(W175="",0,SUMIFS($I$7:$I$256,$D$7:$D$256,W175,$H$7:$H$256,"NTIME"))</f>
        <v>0</v>
      </c>
      <c r="Y175" s="1" t="n">
        <f aca="false">IF(W175="",0,SUMIFS($I$7:$I$256,$D$7:$D$256,W175,$H$7:$H$256,"P6"))</f>
        <v>0</v>
      </c>
      <c r="Z175" s="1" t="n">
        <f aca="false">X175+Y175</f>
        <v>0</v>
      </c>
      <c r="AA175" s="1" t="n">
        <f aca="false">IF(Z175&gt;0,Z175+(201-169)/10^6,0)</f>
        <v>0</v>
      </c>
      <c r="AB175" s="1"/>
      <c r="AC175" s="1"/>
      <c r="AD175" s="1"/>
      <c r="AE175" s="1"/>
      <c r="AF175" s="1"/>
      <c r="AG175" s="1"/>
      <c r="AH175" s="1"/>
    </row>
    <row r="176" customFormat="false" ht="15" hidden="false" customHeight="false" outlineLevel="0" collapsed="false">
      <c r="A176" s="1"/>
      <c r="B176" s="10"/>
      <c r="C176" s="31" t="str">
        <f aca="false">IF(B176="","",TEXT(B176,"ddd"))</f>
        <v/>
      </c>
      <c r="D176" s="11"/>
      <c r="E176" s="8" t="str">
        <f aca="false">IF(D176="","",IFERROR(INDEX(ProjNumbers,MATCH(D176,ProjNames,0)),""))</f>
        <v/>
      </c>
      <c r="F176" s="8" t="str">
        <f aca="false">IF(D176="","",IFERROR(INDEX(ProjCodes,MATCH(D176,ProjNames,0)),""))</f>
        <v/>
      </c>
      <c r="G176" s="32"/>
      <c r="H176" s="11"/>
      <c r="I176" s="33"/>
      <c r="J176" s="8" t="str">
        <f aca="false">IF(COUNTA(B176,D176,G176,H176,I176)=0,"",IF(B176="","Enter date",IF(OR(B176&lt;$AC$2,B176&gt;$AC$3),"Date not in March",IF(D176="","Pick project",IF(ISNA(MATCH(D176,ProjNames,0)),"Project not in list",IF(G176="","Add task description",IF(H176="","Pick NTIME or P6",IF(N(I176)&lt;=0,"Enter hours",IF(AND(AllowOT&lt;&gt;"Yes",SUMIF($B$7:$B$256,B176,$I$7:$I$256)&gt;INDEX($O$58:$O$88,DAY(B176))),"Day over "&amp;INDEX($O$58:$O$88,DAY(B176))&amp;" h","✓")))))))))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tr">
        <f aca="false">IF(Projects!B174="","",Projects!B174)</f>
        <v/>
      </c>
      <c r="X176" s="1" t="n">
        <f aca="false">IF(W176="",0,SUMIFS($I$7:$I$256,$D$7:$D$256,W176,$H$7:$H$256,"NTIME"))</f>
        <v>0</v>
      </c>
      <c r="Y176" s="1" t="n">
        <f aca="false">IF(W176="",0,SUMIFS($I$7:$I$256,$D$7:$D$256,W176,$H$7:$H$256,"P6"))</f>
        <v>0</v>
      </c>
      <c r="Z176" s="1" t="n">
        <f aca="false">X176+Y176</f>
        <v>0</v>
      </c>
      <c r="AA176" s="1" t="n">
        <f aca="false">IF(Z176&gt;0,Z176+(201-170)/10^6,0)</f>
        <v>0</v>
      </c>
      <c r="AB176" s="1"/>
      <c r="AC176" s="1"/>
      <c r="AD176" s="1"/>
      <c r="AE176" s="1"/>
      <c r="AF176" s="1"/>
      <c r="AG176" s="1"/>
      <c r="AH176" s="1"/>
    </row>
    <row r="177" customFormat="false" ht="15" hidden="false" customHeight="false" outlineLevel="0" collapsed="false">
      <c r="A177" s="1"/>
      <c r="B177" s="10"/>
      <c r="C177" s="31" t="str">
        <f aca="false">IF(B177="","",TEXT(B177,"ddd"))</f>
        <v/>
      </c>
      <c r="D177" s="11"/>
      <c r="E177" s="8" t="str">
        <f aca="false">IF(D177="","",IFERROR(INDEX(ProjNumbers,MATCH(D177,ProjNames,0)),""))</f>
        <v/>
      </c>
      <c r="F177" s="8" t="str">
        <f aca="false">IF(D177="","",IFERROR(INDEX(ProjCodes,MATCH(D177,ProjNames,0)),""))</f>
        <v/>
      </c>
      <c r="G177" s="32"/>
      <c r="H177" s="11"/>
      <c r="I177" s="33"/>
      <c r="J177" s="8" t="str">
        <f aca="false">IF(COUNTA(B177,D177,G177,H177,I177)=0,"",IF(B177="","Enter date",IF(OR(B177&lt;$AC$2,B177&gt;$AC$3),"Date not in March",IF(D177="","Pick project",IF(ISNA(MATCH(D177,ProjNames,0)),"Project not in list",IF(G177="","Add task description",IF(H177="","Pick NTIME or P6",IF(N(I177)&lt;=0,"Enter hours",IF(AND(AllowOT&lt;&gt;"Yes",SUMIF($B$7:$B$256,B177,$I$7:$I$256)&gt;INDEX($O$58:$O$88,DAY(B177))),"Day over "&amp;INDEX($O$58:$O$88,DAY(B177))&amp;" h","✓")))))))))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tr">
        <f aca="false">IF(Projects!B175="","",Projects!B175)</f>
        <v/>
      </c>
      <c r="X177" s="1" t="n">
        <f aca="false">IF(W177="",0,SUMIFS($I$7:$I$256,$D$7:$D$256,W177,$H$7:$H$256,"NTIME"))</f>
        <v>0</v>
      </c>
      <c r="Y177" s="1" t="n">
        <f aca="false">IF(W177="",0,SUMIFS($I$7:$I$256,$D$7:$D$256,W177,$H$7:$H$256,"P6"))</f>
        <v>0</v>
      </c>
      <c r="Z177" s="1" t="n">
        <f aca="false">X177+Y177</f>
        <v>0</v>
      </c>
      <c r="AA177" s="1" t="n">
        <f aca="false">IF(Z177&gt;0,Z177+(201-171)/10^6,0)</f>
        <v>0</v>
      </c>
      <c r="AB177" s="1"/>
      <c r="AC177" s="1"/>
      <c r="AD177" s="1"/>
      <c r="AE177" s="1"/>
      <c r="AF177" s="1"/>
      <c r="AG177" s="1"/>
      <c r="AH177" s="1"/>
    </row>
    <row r="178" customFormat="false" ht="15" hidden="false" customHeight="false" outlineLevel="0" collapsed="false">
      <c r="A178" s="1"/>
      <c r="B178" s="10"/>
      <c r="C178" s="31" t="str">
        <f aca="false">IF(B178="","",TEXT(B178,"ddd"))</f>
        <v/>
      </c>
      <c r="D178" s="11"/>
      <c r="E178" s="8" t="str">
        <f aca="false">IF(D178="","",IFERROR(INDEX(ProjNumbers,MATCH(D178,ProjNames,0)),""))</f>
        <v/>
      </c>
      <c r="F178" s="8" t="str">
        <f aca="false">IF(D178="","",IFERROR(INDEX(ProjCodes,MATCH(D178,ProjNames,0)),""))</f>
        <v/>
      </c>
      <c r="G178" s="32"/>
      <c r="H178" s="11"/>
      <c r="I178" s="33"/>
      <c r="J178" s="8" t="str">
        <f aca="false">IF(COUNTA(B178,D178,G178,H178,I178)=0,"",IF(B178="","Enter date",IF(OR(B178&lt;$AC$2,B178&gt;$AC$3),"Date not in March",IF(D178="","Pick project",IF(ISNA(MATCH(D178,ProjNames,0)),"Project not in list",IF(G178="","Add task description",IF(H178="","Pick NTIME or P6",IF(N(I178)&lt;=0,"Enter hours",IF(AND(AllowOT&lt;&gt;"Yes",SUMIF($B$7:$B$256,B178,$I$7:$I$256)&gt;INDEX($O$58:$O$88,DAY(B178))),"Day over "&amp;INDEX($O$58:$O$88,DAY(B178))&amp;" h","✓")))))))))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tr">
        <f aca="false">IF(Projects!B176="","",Projects!B176)</f>
        <v/>
      </c>
      <c r="X178" s="1" t="n">
        <f aca="false">IF(W178="",0,SUMIFS($I$7:$I$256,$D$7:$D$256,W178,$H$7:$H$256,"NTIME"))</f>
        <v>0</v>
      </c>
      <c r="Y178" s="1" t="n">
        <f aca="false">IF(W178="",0,SUMIFS($I$7:$I$256,$D$7:$D$256,W178,$H$7:$H$256,"P6"))</f>
        <v>0</v>
      </c>
      <c r="Z178" s="1" t="n">
        <f aca="false">X178+Y178</f>
        <v>0</v>
      </c>
      <c r="AA178" s="1" t="n">
        <f aca="false">IF(Z178&gt;0,Z178+(201-172)/10^6,0)</f>
        <v>0</v>
      </c>
      <c r="AB178" s="1"/>
      <c r="AC178" s="1"/>
      <c r="AD178" s="1"/>
      <c r="AE178" s="1"/>
      <c r="AF178" s="1"/>
      <c r="AG178" s="1"/>
      <c r="AH178" s="1"/>
    </row>
    <row r="179" customFormat="false" ht="15" hidden="false" customHeight="false" outlineLevel="0" collapsed="false">
      <c r="A179" s="1"/>
      <c r="B179" s="10"/>
      <c r="C179" s="31" t="str">
        <f aca="false">IF(B179="","",TEXT(B179,"ddd"))</f>
        <v/>
      </c>
      <c r="D179" s="11"/>
      <c r="E179" s="8" t="str">
        <f aca="false">IF(D179="","",IFERROR(INDEX(ProjNumbers,MATCH(D179,ProjNames,0)),""))</f>
        <v/>
      </c>
      <c r="F179" s="8" t="str">
        <f aca="false">IF(D179="","",IFERROR(INDEX(ProjCodes,MATCH(D179,ProjNames,0)),""))</f>
        <v/>
      </c>
      <c r="G179" s="32"/>
      <c r="H179" s="11"/>
      <c r="I179" s="33"/>
      <c r="J179" s="8" t="str">
        <f aca="false">IF(COUNTA(B179,D179,G179,H179,I179)=0,"",IF(B179="","Enter date",IF(OR(B179&lt;$AC$2,B179&gt;$AC$3),"Date not in March",IF(D179="","Pick project",IF(ISNA(MATCH(D179,ProjNames,0)),"Project not in list",IF(G179="","Add task description",IF(H179="","Pick NTIME or P6",IF(N(I179)&lt;=0,"Enter hours",IF(AND(AllowOT&lt;&gt;"Yes",SUMIF($B$7:$B$256,B179,$I$7:$I$256)&gt;INDEX($O$58:$O$88,DAY(B179))),"Day over "&amp;INDEX($O$58:$O$88,DAY(B179))&amp;" h","✓")))))))))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tr">
        <f aca="false">IF(Projects!B177="","",Projects!B177)</f>
        <v/>
      </c>
      <c r="X179" s="1" t="n">
        <f aca="false">IF(W179="",0,SUMIFS($I$7:$I$256,$D$7:$D$256,W179,$H$7:$H$256,"NTIME"))</f>
        <v>0</v>
      </c>
      <c r="Y179" s="1" t="n">
        <f aca="false">IF(W179="",0,SUMIFS($I$7:$I$256,$D$7:$D$256,W179,$H$7:$H$256,"P6"))</f>
        <v>0</v>
      </c>
      <c r="Z179" s="1" t="n">
        <f aca="false">X179+Y179</f>
        <v>0</v>
      </c>
      <c r="AA179" s="1" t="n">
        <f aca="false">IF(Z179&gt;0,Z179+(201-173)/10^6,0)</f>
        <v>0</v>
      </c>
      <c r="AB179" s="1"/>
      <c r="AC179" s="1"/>
      <c r="AD179" s="1"/>
      <c r="AE179" s="1"/>
      <c r="AF179" s="1"/>
      <c r="AG179" s="1"/>
      <c r="AH179" s="1"/>
    </row>
    <row r="180" customFormat="false" ht="15" hidden="false" customHeight="false" outlineLevel="0" collapsed="false">
      <c r="A180" s="1"/>
      <c r="B180" s="10"/>
      <c r="C180" s="31" t="str">
        <f aca="false">IF(B180="","",TEXT(B180,"ddd"))</f>
        <v/>
      </c>
      <c r="D180" s="11"/>
      <c r="E180" s="8" t="str">
        <f aca="false">IF(D180="","",IFERROR(INDEX(ProjNumbers,MATCH(D180,ProjNames,0)),""))</f>
        <v/>
      </c>
      <c r="F180" s="8" t="str">
        <f aca="false">IF(D180="","",IFERROR(INDEX(ProjCodes,MATCH(D180,ProjNames,0)),""))</f>
        <v/>
      </c>
      <c r="G180" s="32"/>
      <c r="H180" s="11"/>
      <c r="I180" s="33"/>
      <c r="J180" s="8" t="str">
        <f aca="false">IF(COUNTA(B180,D180,G180,H180,I180)=0,"",IF(B180="","Enter date",IF(OR(B180&lt;$AC$2,B180&gt;$AC$3),"Date not in March",IF(D180="","Pick project",IF(ISNA(MATCH(D180,ProjNames,0)),"Project not in list",IF(G180="","Add task description",IF(H180="","Pick NTIME or P6",IF(N(I180)&lt;=0,"Enter hours",IF(AND(AllowOT&lt;&gt;"Yes",SUMIF($B$7:$B$256,B180,$I$7:$I$256)&gt;INDEX($O$58:$O$88,DAY(B180))),"Day over "&amp;INDEX($O$58:$O$88,DAY(B180))&amp;" h","✓")))))))))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tr">
        <f aca="false">IF(Projects!B178="","",Projects!B178)</f>
        <v/>
      </c>
      <c r="X180" s="1" t="n">
        <f aca="false">IF(W180="",0,SUMIFS($I$7:$I$256,$D$7:$D$256,W180,$H$7:$H$256,"NTIME"))</f>
        <v>0</v>
      </c>
      <c r="Y180" s="1" t="n">
        <f aca="false">IF(W180="",0,SUMIFS($I$7:$I$256,$D$7:$D$256,W180,$H$7:$H$256,"P6"))</f>
        <v>0</v>
      </c>
      <c r="Z180" s="1" t="n">
        <f aca="false">X180+Y180</f>
        <v>0</v>
      </c>
      <c r="AA180" s="1" t="n">
        <f aca="false">IF(Z180&gt;0,Z180+(201-174)/10^6,0)</f>
        <v>0</v>
      </c>
      <c r="AB180" s="1"/>
      <c r="AC180" s="1"/>
      <c r="AD180" s="1"/>
      <c r="AE180" s="1"/>
      <c r="AF180" s="1"/>
      <c r="AG180" s="1"/>
      <c r="AH180" s="1"/>
    </row>
    <row r="181" customFormat="false" ht="15" hidden="false" customHeight="false" outlineLevel="0" collapsed="false">
      <c r="A181" s="1"/>
      <c r="B181" s="10"/>
      <c r="C181" s="31" t="str">
        <f aca="false">IF(B181="","",TEXT(B181,"ddd"))</f>
        <v/>
      </c>
      <c r="D181" s="11"/>
      <c r="E181" s="8" t="str">
        <f aca="false">IF(D181="","",IFERROR(INDEX(ProjNumbers,MATCH(D181,ProjNames,0)),""))</f>
        <v/>
      </c>
      <c r="F181" s="8" t="str">
        <f aca="false">IF(D181="","",IFERROR(INDEX(ProjCodes,MATCH(D181,ProjNames,0)),""))</f>
        <v/>
      </c>
      <c r="G181" s="32"/>
      <c r="H181" s="11"/>
      <c r="I181" s="33"/>
      <c r="J181" s="8" t="str">
        <f aca="false">IF(COUNTA(B181,D181,G181,H181,I181)=0,"",IF(B181="","Enter date",IF(OR(B181&lt;$AC$2,B181&gt;$AC$3),"Date not in March",IF(D181="","Pick project",IF(ISNA(MATCH(D181,ProjNames,0)),"Project not in list",IF(G181="","Add task description",IF(H181="","Pick NTIME or P6",IF(N(I181)&lt;=0,"Enter hours",IF(AND(AllowOT&lt;&gt;"Yes",SUMIF($B$7:$B$256,B181,$I$7:$I$256)&gt;INDEX($O$58:$O$88,DAY(B181))),"Day over "&amp;INDEX($O$58:$O$88,DAY(B181))&amp;" h","✓")))))))))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tr">
        <f aca="false">IF(Projects!B179="","",Projects!B179)</f>
        <v/>
      </c>
      <c r="X181" s="1" t="n">
        <f aca="false">IF(W181="",0,SUMIFS($I$7:$I$256,$D$7:$D$256,W181,$H$7:$H$256,"NTIME"))</f>
        <v>0</v>
      </c>
      <c r="Y181" s="1" t="n">
        <f aca="false">IF(W181="",0,SUMIFS($I$7:$I$256,$D$7:$D$256,W181,$H$7:$H$256,"P6"))</f>
        <v>0</v>
      </c>
      <c r="Z181" s="1" t="n">
        <f aca="false">X181+Y181</f>
        <v>0</v>
      </c>
      <c r="AA181" s="1" t="n">
        <f aca="false">IF(Z181&gt;0,Z181+(201-175)/10^6,0)</f>
        <v>0</v>
      </c>
      <c r="AB181" s="1"/>
      <c r="AC181" s="1"/>
      <c r="AD181" s="1"/>
      <c r="AE181" s="1"/>
      <c r="AF181" s="1"/>
      <c r="AG181" s="1"/>
      <c r="AH181" s="1"/>
    </row>
    <row r="182" customFormat="false" ht="15" hidden="false" customHeight="false" outlineLevel="0" collapsed="false">
      <c r="A182" s="1"/>
      <c r="B182" s="10"/>
      <c r="C182" s="31" t="str">
        <f aca="false">IF(B182="","",TEXT(B182,"ddd"))</f>
        <v/>
      </c>
      <c r="D182" s="11"/>
      <c r="E182" s="8" t="str">
        <f aca="false">IF(D182="","",IFERROR(INDEX(ProjNumbers,MATCH(D182,ProjNames,0)),""))</f>
        <v/>
      </c>
      <c r="F182" s="8" t="str">
        <f aca="false">IF(D182="","",IFERROR(INDEX(ProjCodes,MATCH(D182,ProjNames,0)),""))</f>
        <v/>
      </c>
      <c r="G182" s="32"/>
      <c r="H182" s="11"/>
      <c r="I182" s="33"/>
      <c r="J182" s="8" t="str">
        <f aca="false">IF(COUNTA(B182,D182,G182,H182,I182)=0,"",IF(B182="","Enter date",IF(OR(B182&lt;$AC$2,B182&gt;$AC$3),"Date not in March",IF(D182="","Pick project",IF(ISNA(MATCH(D182,ProjNames,0)),"Project not in list",IF(G182="","Add task description",IF(H182="","Pick NTIME or P6",IF(N(I182)&lt;=0,"Enter hours",IF(AND(AllowOT&lt;&gt;"Yes",SUMIF($B$7:$B$256,B182,$I$7:$I$256)&gt;INDEX($O$58:$O$88,DAY(B182))),"Day over "&amp;INDEX($O$58:$O$88,DAY(B182))&amp;" h","✓")))))))))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tr">
        <f aca="false">IF(Projects!B180="","",Projects!B180)</f>
        <v/>
      </c>
      <c r="X182" s="1" t="n">
        <f aca="false">IF(W182="",0,SUMIFS($I$7:$I$256,$D$7:$D$256,W182,$H$7:$H$256,"NTIME"))</f>
        <v>0</v>
      </c>
      <c r="Y182" s="1" t="n">
        <f aca="false">IF(W182="",0,SUMIFS($I$7:$I$256,$D$7:$D$256,W182,$H$7:$H$256,"P6"))</f>
        <v>0</v>
      </c>
      <c r="Z182" s="1" t="n">
        <f aca="false">X182+Y182</f>
        <v>0</v>
      </c>
      <c r="AA182" s="1" t="n">
        <f aca="false">IF(Z182&gt;0,Z182+(201-176)/10^6,0)</f>
        <v>0</v>
      </c>
      <c r="AB182" s="1"/>
      <c r="AC182" s="1"/>
      <c r="AD182" s="1"/>
      <c r="AE182" s="1"/>
      <c r="AF182" s="1"/>
      <c r="AG182" s="1"/>
      <c r="AH182" s="1"/>
    </row>
    <row r="183" customFormat="false" ht="15" hidden="false" customHeight="false" outlineLevel="0" collapsed="false">
      <c r="A183" s="1"/>
      <c r="B183" s="10"/>
      <c r="C183" s="31" t="str">
        <f aca="false">IF(B183="","",TEXT(B183,"ddd"))</f>
        <v/>
      </c>
      <c r="D183" s="11"/>
      <c r="E183" s="8" t="str">
        <f aca="false">IF(D183="","",IFERROR(INDEX(ProjNumbers,MATCH(D183,ProjNames,0)),""))</f>
        <v/>
      </c>
      <c r="F183" s="8" t="str">
        <f aca="false">IF(D183="","",IFERROR(INDEX(ProjCodes,MATCH(D183,ProjNames,0)),""))</f>
        <v/>
      </c>
      <c r="G183" s="32"/>
      <c r="H183" s="11"/>
      <c r="I183" s="33"/>
      <c r="J183" s="8" t="str">
        <f aca="false">IF(COUNTA(B183,D183,G183,H183,I183)=0,"",IF(B183="","Enter date",IF(OR(B183&lt;$AC$2,B183&gt;$AC$3),"Date not in March",IF(D183="","Pick project",IF(ISNA(MATCH(D183,ProjNames,0)),"Project not in list",IF(G183="","Add task description",IF(H183="","Pick NTIME or P6",IF(N(I183)&lt;=0,"Enter hours",IF(AND(AllowOT&lt;&gt;"Yes",SUMIF($B$7:$B$256,B183,$I$7:$I$256)&gt;INDEX($O$58:$O$88,DAY(B183))),"Day over "&amp;INDEX($O$58:$O$88,DAY(B183))&amp;" h","✓")))))))))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tr">
        <f aca="false">IF(Projects!B181="","",Projects!B181)</f>
        <v/>
      </c>
      <c r="X183" s="1" t="n">
        <f aca="false">IF(W183="",0,SUMIFS($I$7:$I$256,$D$7:$D$256,W183,$H$7:$H$256,"NTIME"))</f>
        <v>0</v>
      </c>
      <c r="Y183" s="1" t="n">
        <f aca="false">IF(W183="",0,SUMIFS($I$7:$I$256,$D$7:$D$256,W183,$H$7:$H$256,"P6"))</f>
        <v>0</v>
      </c>
      <c r="Z183" s="1" t="n">
        <f aca="false">X183+Y183</f>
        <v>0</v>
      </c>
      <c r="AA183" s="1" t="n">
        <f aca="false">IF(Z183&gt;0,Z183+(201-177)/10^6,0)</f>
        <v>0</v>
      </c>
      <c r="AB183" s="1"/>
      <c r="AC183" s="1"/>
      <c r="AD183" s="1"/>
      <c r="AE183" s="1"/>
      <c r="AF183" s="1"/>
      <c r="AG183" s="1"/>
      <c r="AH183" s="1"/>
    </row>
    <row r="184" customFormat="false" ht="15" hidden="false" customHeight="false" outlineLevel="0" collapsed="false">
      <c r="A184" s="1"/>
      <c r="B184" s="10"/>
      <c r="C184" s="31" t="str">
        <f aca="false">IF(B184="","",TEXT(B184,"ddd"))</f>
        <v/>
      </c>
      <c r="D184" s="11"/>
      <c r="E184" s="8" t="str">
        <f aca="false">IF(D184="","",IFERROR(INDEX(ProjNumbers,MATCH(D184,ProjNames,0)),""))</f>
        <v/>
      </c>
      <c r="F184" s="8" t="str">
        <f aca="false">IF(D184="","",IFERROR(INDEX(ProjCodes,MATCH(D184,ProjNames,0)),""))</f>
        <v/>
      </c>
      <c r="G184" s="32"/>
      <c r="H184" s="11"/>
      <c r="I184" s="33"/>
      <c r="J184" s="8" t="str">
        <f aca="false">IF(COUNTA(B184,D184,G184,H184,I184)=0,"",IF(B184="","Enter date",IF(OR(B184&lt;$AC$2,B184&gt;$AC$3),"Date not in March",IF(D184="","Pick project",IF(ISNA(MATCH(D184,ProjNames,0)),"Project not in list",IF(G184="","Add task description",IF(H184="","Pick NTIME or P6",IF(N(I184)&lt;=0,"Enter hours",IF(AND(AllowOT&lt;&gt;"Yes",SUMIF($B$7:$B$256,B184,$I$7:$I$256)&gt;INDEX($O$58:$O$88,DAY(B184))),"Day over "&amp;INDEX($O$58:$O$88,DAY(B184))&amp;" h","✓")))))))))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tr">
        <f aca="false">IF(Projects!B182="","",Projects!B182)</f>
        <v/>
      </c>
      <c r="X184" s="1" t="n">
        <f aca="false">IF(W184="",0,SUMIFS($I$7:$I$256,$D$7:$D$256,W184,$H$7:$H$256,"NTIME"))</f>
        <v>0</v>
      </c>
      <c r="Y184" s="1" t="n">
        <f aca="false">IF(W184="",0,SUMIFS($I$7:$I$256,$D$7:$D$256,W184,$H$7:$H$256,"P6"))</f>
        <v>0</v>
      </c>
      <c r="Z184" s="1" t="n">
        <f aca="false">X184+Y184</f>
        <v>0</v>
      </c>
      <c r="AA184" s="1" t="n">
        <f aca="false">IF(Z184&gt;0,Z184+(201-178)/10^6,0)</f>
        <v>0</v>
      </c>
      <c r="AB184" s="1"/>
      <c r="AC184" s="1"/>
      <c r="AD184" s="1"/>
      <c r="AE184" s="1"/>
      <c r="AF184" s="1"/>
      <c r="AG184" s="1"/>
      <c r="AH184" s="1"/>
    </row>
    <row r="185" customFormat="false" ht="15" hidden="false" customHeight="false" outlineLevel="0" collapsed="false">
      <c r="A185" s="1"/>
      <c r="B185" s="10"/>
      <c r="C185" s="31" t="str">
        <f aca="false">IF(B185="","",TEXT(B185,"ddd"))</f>
        <v/>
      </c>
      <c r="D185" s="11"/>
      <c r="E185" s="8" t="str">
        <f aca="false">IF(D185="","",IFERROR(INDEX(ProjNumbers,MATCH(D185,ProjNames,0)),""))</f>
        <v/>
      </c>
      <c r="F185" s="8" t="str">
        <f aca="false">IF(D185="","",IFERROR(INDEX(ProjCodes,MATCH(D185,ProjNames,0)),""))</f>
        <v/>
      </c>
      <c r="G185" s="32"/>
      <c r="H185" s="11"/>
      <c r="I185" s="33"/>
      <c r="J185" s="8" t="str">
        <f aca="false">IF(COUNTA(B185,D185,G185,H185,I185)=0,"",IF(B185="","Enter date",IF(OR(B185&lt;$AC$2,B185&gt;$AC$3),"Date not in March",IF(D185="","Pick project",IF(ISNA(MATCH(D185,ProjNames,0)),"Project not in list",IF(G185="","Add task description",IF(H185="","Pick NTIME or P6",IF(N(I185)&lt;=0,"Enter hours",IF(AND(AllowOT&lt;&gt;"Yes",SUMIF($B$7:$B$256,B185,$I$7:$I$256)&gt;INDEX($O$58:$O$88,DAY(B185))),"Day over "&amp;INDEX($O$58:$O$88,DAY(B185))&amp;" h","✓")))))))))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tr">
        <f aca="false">IF(Projects!B183="","",Projects!B183)</f>
        <v/>
      </c>
      <c r="X185" s="1" t="n">
        <f aca="false">IF(W185="",0,SUMIFS($I$7:$I$256,$D$7:$D$256,W185,$H$7:$H$256,"NTIME"))</f>
        <v>0</v>
      </c>
      <c r="Y185" s="1" t="n">
        <f aca="false">IF(W185="",0,SUMIFS($I$7:$I$256,$D$7:$D$256,W185,$H$7:$H$256,"P6"))</f>
        <v>0</v>
      </c>
      <c r="Z185" s="1" t="n">
        <f aca="false">X185+Y185</f>
        <v>0</v>
      </c>
      <c r="AA185" s="1" t="n">
        <f aca="false">IF(Z185&gt;0,Z185+(201-179)/10^6,0)</f>
        <v>0</v>
      </c>
      <c r="AB185" s="1"/>
      <c r="AC185" s="1"/>
      <c r="AD185" s="1"/>
      <c r="AE185" s="1"/>
      <c r="AF185" s="1"/>
      <c r="AG185" s="1"/>
      <c r="AH185" s="1"/>
    </row>
    <row r="186" customFormat="false" ht="15" hidden="false" customHeight="false" outlineLevel="0" collapsed="false">
      <c r="A186" s="1"/>
      <c r="B186" s="10"/>
      <c r="C186" s="31" t="str">
        <f aca="false">IF(B186="","",TEXT(B186,"ddd"))</f>
        <v/>
      </c>
      <c r="D186" s="11"/>
      <c r="E186" s="8" t="str">
        <f aca="false">IF(D186="","",IFERROR(INDEX(ProjNumbers,MATCH(D186,ProjNames,0)),""))</f>
        <v/>
      </c>
      <c r="F186" s="8" t="str">
        <f aca="false">IF(D186="","",IFERROR(INDEX(ProjCodes,MATCH(D186,ProjNames,0)),""))</f>
        <v/>
      </c>
      <c r="G186" s="32"/>
      <c r="H186" s="11"/>
      <c r="I186" s="33"/>
      <c r="J186" s="8" t="str">
        <f aca="false">IF(COUNTA(B186,D186,G186,H186,I186)=0,"",IF(B186="","Enter date",IF(OR(B186&lt;$AC$2,B186&gt;$AC$3),"Date not in March",IF(D186="","Pick project",IF(ISNA(MATCH(D186,ProjNames,0)),"Project not in list",IF(G186="","Add task description",IF(H186="","Pick NTIME or P6",IF(N(I186)&lt;=0,"Enter hours",IF(AND(AllowOT&lt;&gt;"Yes",SUMIF($B$7:$B$256,B186,$I$7:$I$256)&gt;INDEX($O$58:$O$88,DAY(B186))),"Day over "&amp;INDEX($O$58:$O$88,DAY(B186))&amp;" h","✓")))))))))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tr">
        <f aca="false">IF(Projects!B184="","",Projects!B184)</f>
        <v/>
      </c>
      <c r="X186" s="1" t="n">
        <f aca="false">IF(W186="",0,SUMIFS($I$7:$I$256,$D$7:$D$256,W186,$H$7:$H$256,"NTIME"))</f>
        <v>0</v>
      </c>
      <c r="Y186" s="1" t="n">
        <f aca="false">IF(W186="",0,SUMIFS($I$7:$I$256,$D$7:$D$256,W186,$H$7:$H$256,"P6"))</f>
        <v>0</v>
      </c>
      <c r="Z186" s="1" t="n">
        <f aca="false">X186+Y186</f>
        <v>0</v>
      </c>
      <c r="AA186" s="1" t="n">
        <f aca="false">IF(Z186&gt;0,Z186+(201-180)/10^6,0)</f>
        <v>0</v>
      </c>
      <c r="AB186" s="1"/>
      <c r="AC186" s="1"/>
      <c r="AD186" s="1"/>
      <c r="AE186" s="1"/>
      <c r="AF186" s="1"/>
      <c r="AG186" s="1"/>
      <c r="AH186" s="1"/>
    </row>
    <row r="187" customFormat="false" ht="15" hidden="false" customHeight="false" outlineLevel="0" collapsed="false">
      <c r="A187" s="1"/>
      <c r="B187" s="10"/>
      <c r="C187" s="31" t="str">
        <f aca="false">IF(B187="","",TEXT(B187,"ddd"))</f>
        <v/>
      </c>
      <c r="D187" s="11"/>
      <c r="E187" s="8" t="str">
        <f aca="false">IF(D187="","",IFERROR(INDEX(ProjNumbers,MATCH(D187,ProjNames,0)),""))</f>
        <v/>
      </c>
      <c r="F187" s="8" t="str">
        <f aca="false">IF(D187="","",IFERROR(INDEX(ProjCodes,MATCH(D187,ProjNames,0)),""))</f>
        <v/>
      </c>
      <c r="G187" s="32"/>
      <c r="H187" s="11"/>
      <c r="I187" s="33"/>
      <c r="J187" s="8" t="str">
        <f aca="false">IF(COUNTA(B187,D187,G187,H187,I187)=0,"",IF(B187="","Enter date",IF(OR(B187&lt;$AC$2,B187&gt;$AC$3),"Date not in March",IF(D187="","Pick project",IF(ISNA(MATCH(D187,ProjNames,0)),"Project not in list",IF(G187="","Add task description",IF(H187="","Pick NTIME or P6",IF(N(I187)&lt;=0,"Enter hours",IF(AND(AllowOT&lt;&gt;"Yes",SUMIF($B$7:$B$256,B187,$I$7:$I$256)&gt;INDEX($O$58:$O$88,DAY(B187))),"Day over "&amp;INDEX($O$58:$O$88,DAY(B187))&amp;" h","✓")))))))))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tr">
        <f aca="false">IF(Projects!B185="","",Projects!B185)</f>
        <v/>
      </c>
      <c r="X187" s="1" t="n">
        <f aca="false">IF(W187="",0,SUMIFS($I$7:$I$256,$D$7:$D$256,W187,$H$7:$H$256,"NTIME"))</f>
        <v>0</v>
      </c>
      <c r="Y187" s="1" t="n">
        <f aca="false">IF(W187="",0,SUMIFS($I$7:$I$256,$D$7:$D$256,W187,$H$7:$H$256,"P6"))</f>
        <v>0</v>
      </c>
      <c r="Z187" s="1" t="n">
        <f aca="false">X187+Y187</f>
        <v>0</v>
      </c>
      <c r="AA187" s="1" t="n">
        <f aca="false">IF(Z187&gt;0,Z187+(201-181)/10^6,0)</f>
        <v>0</v>
      </c>
      <c r="AB187" s="1"/>
      <c r="AC187" s="1"/>
      <c r="AD187" s="1"/>
      <c r="AE187" s="1"/>
      <c r="AF187" s="1"/>
      <c r="AG187" s="1"/>
      <c r="AH187" s="1"/>
    </row>
    <row r="188" customFormat="false" ht="15" hidden="false" customHeight="false" outlineLevel="0" collapsed="false">
      <c r="A188" s="1"/>
      <c r="B188" s="10"/>
      <c r="C188" s="31" t="str">
        <f aca="false">IF(B188="","",TEXT(B188,"ddd"))</f>
        <v/>
      </c>
      <c r="D188" s="11"/>
      <c r="E188" s="8" t="str">
        <f aca="false">IF(D188="","",IFERROR(INDEX(ProjNumbers,MATCH(D188,ProjNames,0)),""))</f>
        <v/>
      </c>
      <c r="F188" s="8" t="str">
        <f aca="false">IF(D188="","",IFERROR(INDEX(ProjCodes,MATCH(D188,ProjNames,0)),""))</f>
        <v/>
      </c>
      <c r="G188" s="32"/>
      <c r="H188" s="11"/>
      <c r="I188" s="33"/>
      <c r="J188" s="8" t="str">
        <f aca="false">IF(COUNTA(B188,D188,G188,H188,I188)=0,"",IF(B188="","Enter date",IF(OR(B188&lt;$AC$2,B188&gt;$AC$3),"Date not in March",IF(D188="","Pick project",IF(ISNA(MATCH(D188,ProjNames,0)),"Project not in list",IF(G188="","Add task description",IF(H188="","Pick NTIME or P6",IF(N(I188)&lt;=0,"Enter hours",IF(AND(AllowOT&lt;&gt;"Yes",SUMIF($B$7:$B$256,B188,$I$7:$I$256)&gt;INDEX($O$58:$O$88,DAY(B188))),"Day over "&amp;INDEX($O$58:$O$88,DAY(B188))&amp;" h","✓")))))))))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tr">
        <f aca="false">IF(Projects!B186="","",Projects!B186)</f>
        <v/>
      </c>
      <c r="X188" s="1" t="n">
        <f aca="false">IF(W188="",0,SUMIFS($I$7:$I$256,$D$7:$D$256,W188,$H$7:$H$256,"NTIME"))</f>
        <v>0</v>
      </c>
      <c r="Y188" s="1" t="n">
        <f aca="false">IF(W188="",0,SUMIFS($I$7:$I$256,$D$7:$D$256,W188,$H$7:$H$256,"P6"))</f>
        <v>0</v>
      </c>
      <c r="Z188" s="1" t="n">
        <f aca="false">X188+Y188</f>
        <v>0</v>
      </c>
      <c r="AA188" s="1" t="n">
        <f aca="false">IF(Z188&gt;0,Z188+(201-182)/10^6,0)</f>
        <v>0</v>
      </c>
      <c r="AB188" s="1"/>
      <c r="AC188" s="1"/>
      <c r="AD188" s="1"/>
      <c r="AE188" s="1"/>
      <c r="AF188" s="1"/>
      <c r="AG188" s="1"/>
      <c r="AH188" s="1"/>
    </row>
    <row r="189" customFormat="false" ht="15" hidden="false" customHeight="false" outlineLevel="0" collapsed="false">
      <c r="A189" s="1"/>
      <c r="B189" s="10"/>
      <c r="C189" s="31" t="str">
        <f aca="false">IF(B189="","",TEXT(B189,"ddd"))</f>
        <v/>
      </c>
      <c r="D189" s="11"/>
      <c r="E189" s="8" t="str">
        <f aca="false">IF(D189="","",IFERROR(INDEX(ProjNumbers,MATCH(D189,ProjNames,0)),""))</f>
        <v/>
      </c>
      <c r="F189" s="8" t="str">
        <f aca="false">IF(D189="","",IFERROR(INDEX(ProjCodes,MATCH(D189,ProjNames,0)),""))</f>
        <v/>
      </c>
      <c r="G189" s="32"/>
      <c r="H189" s="11"/>
      <c r="I189" s="33"/>
      <c r="J189" s="8" t="str">
        <f aca="false">IF(COUNTA(B189,D189,G189,H189,I189)=0,"",IF(B189="","Enter date",IF(OR(B189&lt;$AC$2,B189&gt;$AC$3),"Date not in March",IF(D189="","Pick project",IF(ISNA(MATCH(D189,ProjNames,0)),"Project not in list",IF(G189="","Add task description",IF(H189="","Pick NTIME or P6",IF(N(I189)&lt;=0,"Enter hours",IF(AND(AllowOT&lt;&gt;"Yes",SUMIF($B$7:$B$256,B189,$I$7:$I$256)&gt;INDEX($O$58:$O$88,DAY(B189))),"Day over "&amp;INDEX($O$58:$O$88,DAY(B189))&amp;" h","✓")))))))))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tr">
        <f aca="false">IF(Projects!B187="","",Projects!B187)</f>
        <v/>
      </c>
      <c r="X189" s="1" t="n">
        <f aca="false">IF(W189="",0,SUMIFS($I$7:$I$256,$D$7:$D$256,W189,$H$7:$H$256,"NTIME"))</f>
        <v>0</v>
      </c>
      <c r="Y189" s="1" t="n">
        <f aca="false">IF(W189="",0,SUMIFS($I$7:$I$256,$D$7:$D$256,W189,$H$7:$H$256,"P6"))</f>
        <v>0</v>
      </c>
      <c r="Z189" s="1" t="n">
        <f aca="false">X189+Y189</f>
        <v>0</v>
      </c>
      <c r="AA189" s="1" t="n">
        <f aca="false">IF(Z189&gt;0,Z189+(201-183)/10^6,0)</f>
        <v>0</v>
      </c>
      <c r="AB189" s="1"/>
      <c r="AC189" s="1"/>
      <c r="AD189" s="1"/>
      <c r="AE189" s="1"/>
      <c r="AF189" s="1"/>
      <c r="AG189" s="1"/>
      <c r="AH189" s="1"/>
    </row>
    <row r="190" customFormat="false" ht="15" hidden="false" customHeight="false" outlineLevel="0" collapsed="false">
      <c r="A190" s="1"/>
      <c r="B190" s="10"/>
      <c r="C190" s="31" t="str">
        <f aca="false">IF(B190="","",TEXT(B190,"ddd"))</f>
        <v/>
      </c>
      <c r="D190" s="11"/>
      <c r="E190" s="8" t="str">
        <f aca="false">IF(D190="","",IFERROR(INDEX(ProjNumbers,MATCH(D190,ProjNames,0)),""))</f>
        <v/>
      </c>
      <c r="F190" s="8" t="str">
        <f aca="false">IF(D190="","",IFERROR(INDEX(ProjCodes,MATCH(D190,ProjNames,0)),""))</f>
        <v/>
      </c>
      <c r="G190" s="32"/>
      <c r="H190" s="11"/>
      <c r="I190" s="33"/>
      <c r="J190" s="8" t="str">
        <f aca="false">IF(COUNTA(B190,D190,G190,H190,I190)=0,"",IF(B190="","Enter date",IF(OR(B190&lt;$AC$2,B190&gt;$AC$3),"Date not in March",IF(D190="","Pick project",IF(ISNA(MATCH(D190,ProjNames,0)),"Project not in list",IF(G190="","Add task description",IF(H190="","Pick NTIME or P6",IF(N(I190)&lt;=0,"Enter hours",IF(AND(AllowOT&lt;&gt;"Yes",SUMIF($B$7:$B$256,B190,$I$7:$I$256)&gt;INDEX($O$58:$O$88,DAY(B190))),"Day over "&amp;INDEX($O$58:$O$88,DAY(B190))&amp;" h","✓")))))))))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tr">
        <f aca="false">IF(Projects!B188="","",Projects!B188)</f>
        <v/>
      </c>
      <c r="X190" s="1" t="n">
        <f aca="false">IF(W190="",0,SUMIFS($I$7:$I$256,$D$7:$D$256,W190,$H$7:$H$256,"NTIME"))</f>
        <v>0</v>
      </c>
      <c r="Y190" s="1" t="n">
        <f aca="false">IF(W190="",0,SUMIFS($I$7:$I$256,$D$7:$D$256,W190,$H$7:$H$256,"P6"))</f>
        <v>0</v>
      </c>
      <c r="Z190" s="1" t="n">
        <f aca="false">X190+Y190</f>
        <v>0</v>
      </c>
      <c r="AA190" s="1" t="n">
        <f aca="false">IF(Z190&gt;0,Z190+(201-184)/10^6,0)</f>
        <v>0</v>
      </c>
      <c r="AB190" s="1"/>
      <c r="AC190" s="1"/>
      <c r="AD190" s="1"/>
      <c r="AE190" s="1"/>
      <c r="AF190" s="1"/>
      <c r="AG190" s="1"/>
      <c r="AH190" s="1"/>
    </row>
    <row r="191" customFormat="false" ht="15" hidden="false" customHeight="false" outlineLevel="0" collapsed="false">
      <c r="A191" s="1"/>
      <c r="B191" s="10"/>
      <c r="C191" s="31" t="str">
        <f aca="false">IF(B191="","",TEXT(B191,"ddd"))</f>
        <v/>
      </c>
      <c r="D191" s="11"/>
      <c r="E191" s="8" t="str">
        <f aca="false">IF(D191="","",IFERROR(INDEX(ProjNumbers,MATCH(D191,ProjNames,0)),""))</f>
        <v/>
      </c>
      <c r="F191" s="8" t="str">
        <f aca="false">IF(D191="","",IFERROR(INDEX(ProjCodes,MATCH(D191,ProjNames,0)),""))</f>
        <v/>
      </c>
      <c r="G191" s="32"/>
      <c r="H191" s="11"/>
      <c r="I191" s="33"/>
      <c r="J191" s="8" t="str">
        <f aca="false">IF(COUNTA(B191,D191,G191,H191,I191)=0,"",IF(B191="","Enter date",IF(OR(B191&lt;$AC$2,B191&gt;$AC$3),"Date not in March",IF(D191="","Pick project",IF(ISNA(MATCH(D191,ProjNames,0)),"Project not in list",IF(G191="","Add task description",IF(H191="","Pick NTIME or P6",IF(N(I191)&lt;=0,"Enter hours",IF(AND(AllowOT&lt;&gt;"Yes",SUMIF($B$7:$B$256,B191,$I$7:$I$256)&gt;INDEX($O$58:$O$88,DAY(B191))),"Day over "&amp;INDEX($O$58:$O$88,DAY(B191))&amp;" h","✓")))))))))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tr">
        <f aca="false">IF(Projects!B189="","",Projects!B189)</f>
        <v/>
      </c>
      <c r="X191" s="1" t="n">
        <f aca="false">IF(W191="",0,SUMIFS($I$7:$I$256,$D$7:$D$256,W191,$H$7:$H$256,"NTIME"))</f>
        <v>0</v>
      </c>
      <c r="Y191" s="1" t="n">
        <f aca="false">IF(W191="",0,SUMIFS($I$7:$I$256,$D$7:$D$256,W191,$H$7:$H$256,"P6"))</f>
        <v>0</v>
      </c>
      <c r="Z191" s="1" t="n">
        <f aca="false">X191+Y191</f>
        <v>0</v>
      </c>
      <c r="AA191" s="1" t="n">
        <f aca="false">IF(Z191&gt;0,Z191+(201-185)/10^6,0)</f>
        <v>0</v>
      </c>
      <c r="AB191" s="1"/>
      <c r="AC191" s="1"/>
      <c r="AD191" s="1"/>
      <c r="AE191" s="1"/>
      <c r="AF191" s="1"/>
      <c r="AG191" s="1"/>
      <c r="AH191" s="1"/>
    </row>
    <row r="192" customFormat="false" ht="15" hidden="false" customHeight="false" outlineLevel="0" collapsed="false">
      <c r="A192" s="1"/>
      <c r="B192" s="10"/>
      <c r="C192" s="31" t="str">
        <f aca="false">IF(B192="","",TEXT(B192,"ddd"))</f>
        <v/>
      </c>
      <c r="D192" s="11"/>
      <c r="E192" s="8" t="str">
        <f aca="false">IF(D192="","",IFERROR(INDEX(ProjNumbers,MATCH(D192,ProjNames,0)),""))</f>
        <v/>
      </c>
      <c r="F192" s="8" t="str">
        <f aca="false">IF(D192="","",IFERROR(INDEX(ProjCodes,MATCH(D192,ProjNames,0)),""))</f>
        <v/>
      </c>
      <c r="G192" s="32"/>
      <c r="H192" s="11"/>
      <c r="I192" s="33"/>
      <c r="J192" s="8" t="str">
        <f aca="false">IF(COUNTA(B192,D192,G192,H192,I192)=0,"",IF(B192="","Enter date",IF(OR(B192&lt;$AC$2,B192&gt;$AC$3),"Date not in March",IF(D192="","Pick project",IF(ISNA(MATCH(D192,ProjNames,0)),"Project not in list",IF(G192="","Add task description",IF(H192="","Pick NTIME or P6",IF(N(I192)&lt;=0,"Enter hours",IF(AND(AllowOT&lt;&gt;"Yes",SUMIF($B$7:$B$256,B192,$I$7:$I$256)&gt;INDEX($O$58:$O$88,DAY(B192))),"Day over "&amp;INDEX($O$58:$O$88,DAY(B192))&amp;" h","✓")))))))))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tr">
        <f aca="false">IF(Projects!B190="","",Projects!B190)</f>
        <v/>
      </c>
      <c r="X192" s="1" t="n">
        <f aca="false">IF(W192="",0,SUMIFS($I$7:$I$256,$D$7:$D$256,W192,$H$7:$H$256,"NTIME"))</f>
        <v>0</v>
      </c>
      <c r="Y192" s="1" t="n">
        <f aca="false">IF(W192="",0,SUMIFS($I$7:$I$256,$D$7:$D$256,W192,$H$7:$H$256,"P6"))</f>
        <v>0</v>
      </c>
      <c r="Z192" s="1" t="n">
        <f aca="false">X192+Y192</f>
        <v>0</v>
      </c>
      <c r="AA192" s="1" t="n">
        <f aca="false">IF(Z192&gt;0,Z192+(201-186)/10^6,0)</f>
        <v>0</v>
      </c>
      <c r="AB192" s="1"/>
      <c r="AC192" s="1"/>
      <c r="AD192" s="1"/>
      <c r="AE192" s="1"/>
      <c r="AF192" s="1"/>
      <c r="AG192" s="1"/>
      <c r="AH192" s="1"/>
    </row>
    <row r="193" customFormat="false" ht="15" hidden="false" customHeight="false" outlineLevel="0" collapsed="false">
      <c r="A193" s="1"/>
      <c r="B193" s="10"/>
      <c r="C193" s="31" t="str">
        <f aca="false">IF(B193="","",TEXT(B193,"ddd"))</f>
        <v/>
      </c>
      <c r="D193" s="11"/>
      <c r="E193" s="8" t="str">
        <f aca="false">IF(D193="","",IFERROR(INDEX(ProjNumbers,MATCH(D193,ProjNames,0)),""))</f>
        <v/>
      </c>
      <c r="F193" s="8" t="str">
        <f aca="false">IF(D193="","",IFERROR(INDEX(ProjCodes,MATCH(D193,ProjNames,0)),""))</f>
        <v/>
      </c>
      <c r="G193" s="32"/>
      <c r="H193" s="11"/>
      <c r="I193" s="33"/>
      <c r="J193" s="8" t="str">
        <f aca="false">IF(COUNTA(B193,D193,G193,H193,I193)=0,"",IF(B193="","Enter date",IF(OR(B193&lt;$AC$2,B193&gt;$AC$3),"Date not in March",IF(D193="","Pick project",IF(ISNA(MATCH(D193,ProjNames,0)),"Project not in list",IF(G193="","Add task description",IF(H193="","Pick NTIME or P6",IF(N(I193)&lt;=0,"Enter hours",IF(AND(AllowOT&lt;&gt;"Yes",SUMIF($B$7:$B$256,B193,$I$7:$I$256)&gt;INDEX($O$58:$O$88,DAY(B193))),"Day over "&amp;INDEX($O$58:$O$88,DAY(B193))&amp;" h","✓")))))))))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tr">
        <f aca="false">IF(Projects!B191="","",Projects!B191)</f>
        <v/>
      </c>
      <c r="X193" s="1" t="n">
        <f aca="false">IF(W193="",0,SUMIFS($I$7:$I$256,$D$7:$D$256,W193,$H$7:$H$256,"NTIME"))</f>
        <v>0</v>
      </c>
      <c r="Y193" s="1" t="n">
        <f aca="false">IF(W193="",0,SUMIFS($I$7:$I$256,$D$7:$D$256,W193,$H$7:$H$256,"P6"))</f>
        <v>0</v>
      </c>
      <c r="Z193" s="1" t="n">
        <f aca="false">X193+Y193</f>
        <v>0</v>
      </c>
      <c r="AA193" s="1" t="n">
        <f aca="false">IF(Z193&gt;0,Z193+(201-187)/10^6,0)</f>
        <v>0</v>
      </c>
      <c r="AB193" s="1"/>
      <c r="AC193" s="1"/>
      <c r="AD193" s="1"/>
      <c r="AE193" s="1"/>
      <c r="AF193" s="1"/>
      <c r="AG193" s="1"/>
      <c r="AH193" s="1"/>
    </row>
    <row r="194" customFormat="false" ht="15" hidden="false" customHeight="false" outlineLevel="0" collapsed="false">
      <c r="A194" s="1"/>
      <c r="B194" s="10"/>
      <c r="C194" s="31" t="str">
        <f aca="false">IF(B194="","",TEXT(B194,"ddd"))</f>
        <v/>
      </c>
      <c r="D194" s="11"/>
      <c r="E194" s="8" t="str">
        <f aca="false">IF(D194="","",IFERROR(INDEX(ProjNumbers,MATCH(D194,ProjNames,0)),""))</f>
        <v/>
      </c>
      <c r="F194" s="8" t="str">
        <f aca="false">IF(D194="","",IFERROR(INDEX(ProjCodes,MATCH(D194,ProjNames,0)),""))</f>
        <v/>
      </c>
      <c r="G194" s="32"/>
      <c r="H194" s="11"/>
      <c r="I194" s="33"/>
      <c r="J194" s="8" t="str">
        <f aca="false">IF(COUNTA(B194,D194,G194,H194,I194)=0,"",IF(B194="","Enter date",IF(OR(B194&lt;$AC$2,B194&gt;$AC$3),"Date not in March",IF(D194="","Pick project",IF(ISNA(MATCH(D194,ProjNames,0)),"Project not in list",IF(G194="","Add task description",IF(H194="","Pick NTIME or P6",IF(N(I194)&lt;=0,"Enter hours",IF(AND(AllowOT&lt;&gt;"Yes",SUMIF($B$7:$B$256,B194,$I$7:$I$256)&gt;INDEX($O$58:$O$88,DAY(B194))),"Day over "&amp;INDEX($O$58:$O$88,DAY(B194))&amp;" h","✓")))))))))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tr">
        <f aca="false">IF(Projects!B192="","",Projects!B192)</f>
        <v/>
      </c>
      <c r="X194" s="1" t="n">
        <f aca="false">IF(W194="",0,SUMIFS($I$7:$I$256,$D$7:$D$256,W194,$H$7:$H$256,"NTIME"))</f>
        <v>0</v>
      </c>
      <c r="Y194" s="1" t="n">
        <f aca="false">IF(W194="",0,SUMIFS($I$7:$I$256,$D$7:$D$256,W194,$H$7:$H$256,"P6"))</f>
        <v>0</v>
      </c>
      <c r="Z194" s="1" t="n">
        <f aca="false">X194+Y194</f>
        <v>0</v>
      </c>
      <c r="AA194" s="1" t="n">
        <f aca="false">IF(Z194&gt;0,Z194+(201-188)/10^6,0)</f>
        <v>0</v>
      </c>
      <c r="AB194" s="1"/>
      <c r="AC194" s="1"/>
      <c r="AD194" s="1"/>
      <c r="AE194" s="1"/>
      <c r="AF194" s="1"/>
      <c r="AG194" s="1"/>
      <c r="AH194" s="1"/>
    </row>
    <row r="195" customFormat="false" ht="15" hidden="false" customHeight="false" outlineLevel="0" collapsed="false">
      <c r="A195" s="1"/>
      <c r="B195" s="10"/>
      <c r="C195" s="31" t="str">
        <f aca="false">IF(B195="","",TEXT(B195,"ddd"))</f>
        <v/>
      </c>
      <c r="D195" s="11"/>
      <c r="E195" s="8" t="str">
        <f aca="false">IF(D195="","",IFERROR(INDEX(ProjNumbers,MATCH(D195,ProjNames,0)),""))</f>
        <v/>
      </c>
      <c r="F195" s="8" t="str">
        <f aca="false">IF(D195="","",IFERROR(INDEX(ProjCodes,MATCH(D195,ProjNames,0)),""))</f>
        <v/>
      </c>
      <c r="G195" s="32"/>
      <c r="H195" s="11"/>
      <c r="I195" s="33"/>
      <c r="J195" s="8" t="str">
        <f aca="false">IF(COUNTA(B195,D195,G195,H195,I195)=0,"",IF(B195="","Enter date",IF(OR(B195&lt;$AC$2,B195&gt;$AC$3),"Date not in March",IF(D195="","Pick project",IF(ISNA(MATCH(D195,ProjNames,0)),"Project not in list",IF(G195="","Add task description",IF(H195="","Pick NTIME or P6",IF(N(I195)&lt;=0,"Enter hours",IF(AND(AllowOT&lt;&gt;"Yes",SUMIF($B$7:$B$256,B195,$I$7:$I$256)&gt;INDEX($O$58:$O$88,DAY(B195))),"Day over "&amp;INDEX($O$58:$O$88,DAY(B195))&amp;" h","✓")))))))))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tr">
        <f aca="false">IF(Projects!B193="","",Projects!B193)</f>
        <v/>
      </c>
      <c r="X195" s="1" t="n">
        <f aca="false">IF(W195="",0,SUMIFS($I$7:$I$256,$D$7:$D$256,W195,$H$7:$H$256,"NTIME"))</f>
        <v>0</v>
      </c>
      <c r="Y195" s="1" t="n">
        <f aca="false">IF(W195="",0,SUMIFS($I$7:$I$256,$D$7:$D$256,W195,$H$7:$H$256,"P6"))</f>
        <v>0</v>
      </c>
      <c r="Z195" s="1" t="n">
        <f aca="false">X195+Y195</f>
        <v>0</v>
      </c>
      <c r="AA195" s="1" t="n">
        <f aca="false">IF(Z195&gt;0,Z195+(201-189)/10^6,0)</f>
        <v>0</v>
      </c>
      <c r="AB195" s="1"/>
      <c r="AC195" s="1"/>
      <c r="AD195" s="1"/>
      <c r="AE195" s="1"/>
      <c r="AF195" s="1"/>
      <c r="AG195" s="1"/>
      <c r="AH195" s="1"/>
    </row>
    <row r="196" customFormat="false" ht="15" hidden="false" customHeight="false" outlineLevel="0" collapsed="false">
      <c r="A196" s="1"/>
      <c r="B196" s="10"/>
      <c r="C196" s="31" t="str">
        <f aca="false">IF(B196="","",TEXT(B196,"ddd"))</f>
        <v/>
      </c>
      <c r="D196" s="11"/>
      <c r="E196" s="8" t="str">
        <f aca="false">IF(D196="","",IFERROR(INDEX(ProjNumbers,MATCH(D196,ProjNames,0)),""))</f>
        <v/>
      </c>
      <c r="F196" s="8" t="str">
        <f aca="false">IF(D196="","",IFERROR(INDEX(ProjCodes,MATCH(D196,ProjNames,0)),""))</f>
        <v/>
      </c>
      <c r="G196" s="32"/>
      <c r="H196" s="11"/>
      <c r="I196" s="33"/>
      <c r="J196" s="8" t="str">
        <f aca="false">IF(COUNTA(B196,D196,G196,H196,I196)=0,"",IF(B196="","Enter date",IF(OR(B196&lt;$AC$2,B196&gt;$AC$3),"Date not in March",IF(D196="","Pick project",IF(ISNA(MATCH(D196,ProjNames,0)),"Project not in list",IF(G196="","Add task description",IF(H196="","Pick NTIME or P6",IF(N(I196)&lt;=0,"Enter hours",IF(AND(AllowOT&lt;&gt;"Yes",SUMIF($B$7:$B$256,B196,$I$7:$I$256)&gt;INDEX($O$58:$O$88,DAY(B196))),"Day over "&amp;INDEX($O$58:$O$88,DAY(B196))&amp;" h","✓")))))))))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tr">
        <f aca="false">IF(Projects!B194="","",Projects!B194)</f>
        <v/>
      </c>
      <c r="X196" s="1" t="n">
        <f aca="false">IF(W196="",0,SUMIFS($I$7:$I$256,$D$7:$D$256,W196,$H$7:$H$256,"NTIME"))</f>
        <v>0</v>
      </c>
      <c r="Y196" s="1" t="n">
        <f aca="false">IF(W196="",0,SUMIFS($I$7:$I$256,$D$7:$D$256,W196,$H$7:$H$256,"P6"))</f>
        <v>0</v>
      </c>
      <c r="Z196" s="1" t="n">
        <f aca="false">X196+Y196</f>
        <v>0</v>
      </c>
      <c r="AA196" s="1" t="n">
        <f aca="false">IF(Z196&gt;0,Z196+(201-190)/10^6,0)</f>
        <v>0</v>
      </c>
      <c r="AB196" s="1"/>
      <c r="AC196" s="1"/>
      <c r="AD196" s="1"/>
      <c r="AE196" s="1"/>
      <c r="AF196" s="1"/>
      <c r="AG196" s="1"/>
      <c r="AH196" s="1"/>
    </row>
    <row r="197" customFormat="false" ht="15" hidden="false" customHeight="false" outlineLevel="0" collapsed="false">
      <c r="A197" s="1"/>
      <c r="B197" s="10"/>
      <c r="C197" s="31" t="str">
        <f aca="false">IF(B197="","",TEXT(B197,"ddd"))</f>
        <v/>
      </c>
      <c r="D197" s="11"/>
      <c r="E197" s="8" t="str">
        <f aca="false">IF(D197="","",IFERROR(INDEX(ProjNumbers,MATCH(D197,ProjNames,0)),""))</f>
        <v/>
      </c>
      <c r="F197" s="8" t="str">
        <f aca="false">IF(D197="","",IFERROR(INDEX(ProjCodes,MATCH(D197,ProjNames,0)),""))</f>
        <v/>
      </c>
      <c r="G197" s="32"/>
      <c r="H197" s="11"/>
      <c r="I197" s="33"/>
      <c r="J197" s="8" t="str">
        <f aca="false">IF(COUNTA(B197,D197,G197,H197,I197)=0,"",IF(B197="","Enter date",IF(OR(B197&lt;$AC$2,B197&gt;$AC$3),"Date not in March",IF(D197="","Pick project",IF(ISNA(MATCH(D197,ProjNames,0)),"Project not in list",IF(G197="","Add task description",IF(H197="","Pick NTIME or P6",IF(N(I197)&lt;=0,"Enter hours",IF(AND(AllowOT&lt;&gt;"Yes",SUMIF($B$7:$B$256,B197,$I$7:$I$256)&gt;INDEX($O$58:$O$88,DAY(B197))),"Day over "&amp;INDEX($O$58:$O$88,DAY(B197))&amp;" h","✓")))))))))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tr">
        <f aca="false">IF(Projects!B195="","",Projects!B195)</f>
        <v/>
      </c>
      <c r="X197" s="1" t="n">
        <f aca="false">IF(W197="",0,SUMIFS($I$7:$I$256,$D$7:$D$256,W197,$H$7:$H$256,"NTIME"))</f>
        <v>0</v>
      </c>
      <c r="Y197" s="1" t="n">
        <f aca="false">IF(W197="",0,SUMIFS($I$7:$I$256,$D$7:$D$256,W197,$H$7:$H$256,"P6"))</f>
        <v>0</v>
      </c>
      <c r="Z197" s="1" t="n">
        <f aca="false">X197+Y197</f>
        <v>0</v>
      </c>
      <c r="AA197" s="1" t="n">
        <f aca="false">IF(Z197&gt;0,Z197+(201-191)/10^6,0)</f>
        <v>0</v>
      </c>
      <c r="AB197" s="1"/>
      <c r="AC197" s="1"/>
      <c r="AD197" s="1"/>
      <c r="AE197" s="1"/>
      <c r="AF197" s="1"/>
      <c r="AG197" s="1"/>
      <c r="AH197" s="1"/>
    </row>
    <row r="198" customFormat="false" ht="15" hidden="false" customHeight="false" outlineLevel="0" collapsed="false">
      <c r="A198" s="1"/>
      <c r="B198" s="10"/>
      <c r="C198" s="31" t="str">
        <f aca="false">IF(B198="","",TEXT(B198,"ddd"))</f>
        <v/>
      </c>
      <c r="D198" s="11"/>
      <c r="E198" s="8" t="str">
        <f aca="false">IF(D198="","",IFERROR(INDEX(ProjNumbers,MATCH(D198,ProjNames,0)),""))</f>
        <v/>
      </c>
      <c r="F198" s="8" t="str">
        <f aca="false">IF(D198="","",IFERROR(INDEX(ProjCodes,MATCH(D198,ProjNames,0)),""))</f>
        <v/>
      </c>
      <c r="G198" s="32"/>
      <c r="H198" s="11"/>
      <c r="I198" s="33"/>
      <c r="J198" s="8" t="str">
        <f aca="false">IF(COUNTA(B198,D198,G198,H198,I198)=0,"",IF(B198="","Enter date",IF(OR(B198&lt;$AC$2,B198&gt;$AC$3),"Date not in March",IF(D198="","Pick project",IF(ISNA(MATCH(D198,ProjNames,0)),"Project not in list",IF(G198="","Add task description",IF(H198="","Pick NTIME or P6",IF(N(I198)&lt;=0,"Enter hours",IF(AND(AllowOT&lt;&gt;"Yes",SUMIF($B$7:$B$256,B198,$I$7:$I$256)&gt;INDEX($O$58:$O$88,DAY(B198))),"Day over "&amp;INDEX($O$58:$O$88,DAY(B198))&amp;" h","✓")))))))))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tr">
        <f aca="false">IF(Projects!B196="","",Projects!B196)</f>
        <v/>
      </c>
      <c r="X198" s="1" t="n">
        <f aca="false">IF(W198="",0,SUMIFS($I$7:$I$256,$D$7:$D$256,W198,$H$7:$H$256,"NTIME"))</f>
        <v>0</v>
      </c>
      <c r="Y198" s="1" t="n">
        <f aca="false">IF(W198="",0,SUMIFS($I$7:$I$256,$D$7:$D$256,W198,$H$7:$H$256,"P6"))</f>
        <v>0</v>
      </c>
      <c r="Z198" s="1" t="n">
        <f aca="false">X198+Y198</f>
        <v>0</v>
      </c>
      <c r="AA198" s="1" t="n">
        <f aca="false">IF(Z198&gt;0,Z198+(201-192)/10^6,0)</f>
        <v>0</v>
      </c>
      <c r="AB198" s="1"/>
      <c r="AC198" s="1"/>
      <c r="AD198" s="1"/>
      <c r="AE198" s="1"/>
      <c r="AF198" s="1"/>
      <c r="AG198" s="1"/>
      <c r="AH198" s="1"/>
    </row>
    <row r="199" customFormat="false" ht="15" hidden="false" customHeight="false" outlineLevel="0" collapsed="false">
      <c r="A199" s="1"/>
      <c r="B199" s="10"/>
      <c r="C199" s="31" t="str">
        <f aca="false">IF(B199="","",TEXT(B199,"ddd"))</f>
        <v/>
      </c>
      <c r="D199" s="11"/>
      <c r="E199" s="8" t="str">
        <f aca="false">IF(D199="","",IFERROR(INDEX(ProjNumbers,MATCH(D199,ProjNames,0)),""))</f>
        <v/>
      </c>
      <c r="F199" s="8" t="str">
        <f aca="false">IF(D199="","",IFERROR(INDEX(ProjCodes,MATCH(D199,ProjNames,0)),""))</f>
        <v/>
      </c>
      <c r="G199" s="32"/>
      <c r="H199" s="11"/>
      <c r="I199" s="33"/>
      <c r="J199" s="8" t="str">
        <f aca="false">IF(COUNTA(B199,D199,G199,H199,I199)=0,"",IF(B199="","Enter date",IF(OR(B199&lt;$AC$2,B199&gt;$AC$3),"Date not in March",IF(D199="","Pick project",IF(ISNA(MATCH(D199,ProjNames,0)),"Project not in list",IF(G199="","Add task description",IF(H199="","Pick NTIME or P6",IF(N(I199)&lt;=0,"Enter hours",IF(AND(AllowOT&lt;&gt;"Yes",SUMIF($B$7:$B$256,B199,$I$7:$I$256)&gt;INDEX($O$58:$O$88,DAY(B199))),"Day over "&amp;INDEX($O$58:$O$88,DAY(B199))&amp;" h","✓")))))))))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tr">
        <f aca="false">IF(Projects!B197="","",Projects!B197)</f>
        <v/>
      </c>
      <c r="X199" s="1" t="n">
        <f aca="false">IF(W199="",0,SUMIFS($I$7:$I$256,$D$7:$D$256,W199,$H$7:$H$256,"NTIME"))</f>
        <v>0</v>
      </c>
      <c r="Y199" s="1" t="n">
        <f aca="false">IF(W199="",0,SUMIFS($I$7:$I$256,$D$7:$D$256,W199,$H$7:$H$256,"P6"))</f>
        <v>0</v>
      </c>
      <c r="Z199" s="1" t="n">
        <f aca="false">X199+Y199</f>
        <v>0</v>
      </c>
      <c r="AA199" s="1" t="n">
        <f aca="false">IF(Z199&gt;0,Z199+(201-193)/10^6,0)</f>
        <v>0</v>
      </c>
      <c r="AB199" s="1"/>
      <c r="AC199" s="1"/>
      <c r="AD199" s="1"/>
      <c r="AE199" s="1"/>
      <c r="AF199" s="1"/>
      <c r="AG199" s="1"/>
      <c r="AH199" s="1"/>
    </row>
    <row r="200" customFormat="false" ht="15" hidden="false" customHeight="false" outlineLevel="0" collapsed="false">
      <c r="A200" s="1"/>
      <c r="B200" s="10"/>
      <c r="C200" s="31" t="str">
        <f aca="false">IF(B200="","",TEXT(B200,"ddd"))</f>
        <v/>
      </c>
      <c r="D200" s="11"/>
      <c r="E200" s="8" t="str">
        <f aca="false">IF(D200="","",IFERROR(INDEX(ProjNumbers,MATCH(D200,ProjNames,0)),""))</f>
        <v/>
      </c>
      <c r="F200" s="8" t="str">
        <f aca="false">IF(D200="","",IFERROR(INDEX(ProjCodes,MATCH(D200,ProjNames,0)),""))</f>
        <v/>
      </c>
      <c r="G200" s="32"/>
      <c r="H200" s="11"/>
      <c r="I200" s="33"/>
      <c r="J200" s="8" t="str">
        <f aca="false">IF(COUNTA(B200,D200,G200,H200,I200)=0,"",IF(B200="","Enter date",IF(OR(B200&lt;$AC$2,B200&gt;$AC$3),"Date not in March",IF(D200="","Pick project",IF(ISNA(MATCH(D200,ProjNames,0)),"Project not in list",IF(G200="","Add task description",IF(H200="","Pick NTIME or P6",IF(N(I200)&lt;=0,"Enter hours",IF(AND(AllowOT&lt;&gt;"Yes",SUMIF($B$7:$B$256,B200,$I$7:$I$256)&gt;INDEX($O$58:$O$88,DAY(B200))),"Day over "&amp;INDEX($O$58:$O$88,DAY(B200))&amp;" h","✓")))))))))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tr">
        <f aca="false">IF(Projects!B198="","",Projects!B198)</f>
        <v/>
      </c>
      <c r="X200" s="1" t="n">
        <f aca="false">IF(W200="",0,SUMIFS($I$7:$I$256,$D$7:$D$256,W200,$H$7:$H$256,"NTIME"))</f>
        <v>0</v>
      </c>
      <c r="Y200" s="1" t="n">
        <f aca="false">IF(W200="",0,SUMIFS($I$7:$I$256,$D$7:$D$256,W200,$H$7:$H$256,"P6"))</f>
        <v>0</v>
      </c>
      <c r="Z200" s="1" t="n">
        <f aca="false">X200+Y200</f>
        <v>0</v>
      </c>
      <c r="AA200" s="1" t="n">
        <f aca="false">IF(Z200&gt;0,Z200+(201-194)/10^6,0)</f>
        <v>0</v>
      </c>
      <c r="AB200" s="1"/>
      <c r="AC200" s="1"/>
      <c r="AD200" s="1"/>
      <c r="AE200" s="1"/>
      <c r="AF200" s="1"/>
      <c r="AG200" s="1"/>
      <c r="AH200" s="1"/>
    </row>
    <row r="201" customFormat="false" ht="15" hidden="false" customHeight="false" outlineLevel="0" collapsed="false">
      <c r="A201" s="1"/>
      <c r="B201" s="10"/>
      <c r="C201" s="31" t="str">
        <f aca="false">IF(B201="","",TEXT(B201,"ddd"))</f>
        <v/>
      </c>
      <c r="D201" s="11"/>
      <c r="E201" s="8" t="str">
        <f aca="false">IF(D201="","",IFERROR(INDEX(ProjNumbers,MATCH(D201,ProjNames,0)),""))</f>
        <v/>
      </c>
      <c r="F201" s="8" t="str">
        <f aca="false">IF(D201="","",IFERROR(INDEX(ProjCodes,MATCH(D201,ProjNames,0)),""))</f>
        <v/>
      </c>
      <c r="G201" s="32"/>
      <c r="H201" s="11"/>
      <c r="I201" s="33"/>
      <c r="J201" s="8" t="str">
        <f aca="false">IF(COUNTA(B201,D201,G201,H201,I201)=0,"",IF(B201="","Enter date",IF(OR(B201&lt;$AC$2,B201&gt;$AC$3),"Date not in March",IF(D201="","Pick project",IF(ISNA(MATCH(D201,ProjNames,0)),"Project not in list",IF(G201="","Add task description",IF(H201="","Pick NTIME or P6",IF(N(I201)&lt;=0,"Enter hours",IF(AND(AllowOT&lt;&gt;"Yes",SUMIF($B$7:$B$256,B201,$I$7:$I$256)&gt;INDEX($O$58:$O$88,DAY(B201))),"Day over "&amp;INDEX($O$58:$O$88,DAY(B201))&amp;" h","✓")))))))))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tr">
        <f aca="false">IF(Projects!B199="","",Projects!B199)</f>
        <v/>
      </c>
      <c r="X201" s="1" t="n">
        <f aca="false">IF(W201="",0,SUMIFS($I$7:$I$256,$D$7:$D$256,W201,$H$7:$H$256,"NTIME"))</f>
        <v>0</v>
      </c>
      <c r="Y201" s="1" t="n">
        <f aca="false">IF(W201="",0,SUMIFS($I$7:$I$256,$D$7:$D$256,W201,$H$7:$H$256,"P6"))</f>
        <v>0</v>
      </c>
      <c r="Z201" s="1" t="n">
        <f aca="false">X201+Y201</f>
        <v>0</v>
      </c>
      <c r="AA201" s="1" t="n">
        <f aca="false">IF(Z201&gt;0,Z201+(201-195)/10^6,0)</f>
        <v>0</v>
      </c>
      <c r="AB201" s="1"/>
      <c r="AC201" s="1"/>
      <c r="AD201" s="1"/>
      <c r="AE201" s="1"/>
      <c r="AF201" s="1"/>
      <c r="AG201" s="1"/>
      <c r="AH201" s="1"/>
    </row>
    <row r="202" customFormat="false" ht="15" hidden="false" customHeight="false" outlineLevel="0" collapsed="false">
      <c r="A202" s="1"/>
      <c r="B202" s="10"/>
      <c r="C202" s="31" t="str">
        <f aca="false">IF(B202="","",TEXT(B202,"ddd"))</f>
        <v/>
      </c>
      <c r="D202" s="11"/>
      <c r="E202" s="8" t="str">
        <f aca="false">IF(D202="","",IFERROR(INDEX(ProjNumbers,MATCH(D202,ProjNames,0)),""))</f>
        <v/>
      </c>
      <c r="F202" s="8" t="str">
        <f aca="false">IF(D202="","",IFERROR(INDEX(ProjCodes,MATCH(D202,ProjNames,0)),""))</f>
        <v/>
      </c>
      <c r="G202" s="32"/>
      <c r="H202" s="11"/>
      <c r="I202" s="33"/>
      <c r="J202" s="8" t="str">
        <f aca="false">IF(COUNTA(B202,D202,G202,H202,I202)=0,"",IF(B202="","Enter date",IF(OR(B202&lt;$AC$2,B202&gt;$AC$3),"Date not in March",IF(D202="","Pick project",IF(ISNA(MATCH(D202,ProjNames,0)),"Project not in list",IF(G202="","Add task description",IF(H202="","Pick NTIME or P6",IF(N(I202)&lt;=0,"Enter hours",IF(AND(AllowOT&lt;&gt;"Yes",SUMIF($B$7:$B$256,B202,$I$7:$I$256)&gt;INDEX($O$58:$O$88,DAY(B202))),"Day over "&amp;INDEX($O$58:$O$88,DAY(B202))&amp;" h","✓")))))))))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tr">
        <f aca="false">IF(Projects!B200="","",Projects!B200)</f>
        <v/>
      </c>
      <c r="X202" s="1" t="n">
        <f aca="false">IF(W202="",0,SUMIFS($I$7:$I$256,$D$7:$D$256,W202,$H$7:$H$256,"NTIME"))</f>
        <v>0</v>
      </c>
      <c r="Y202" s="1" t="n">
        <f aca="false">IF(W202="",0,SUMIFS($I$7:$I$256,$D$7:$D$256,W202,$H$7:$H$256,"P6"))</f>
        <v>0</v>
      </c>
      <c r="Z202" s="1" t="n">
        <f aca="false">X202+Y202</f>
        <v>0</v>
      </c>
      <c r="AA202" s="1" t="n">
        <f aca="false">IF(Z202&gt;0,Z202+(201-196)/10^6,0)</f>
        <v>0</v>
      </c>
      <c r="AB202" s="1"/>
      <c r="AC202" s="1"/>
      <c r="AD202" s="1"/>
      <c r="AE202" s="1"/>
      <c r="AF202" s="1"/>
      <c r="AG202" s="1"/>
      <c r="AH202" s="1"/>
    </row>
    <row r="203" customFormat="false" ht="15" hidden="false" customHeight="false" outlineLevel="0" collapsed="false">
      <c r="A203" s="1"/>
      <c r="B203" s="10"/>
      <c r="C203" s="31" t="str">
        <f aca="false">IF(B203="","",TEXT(B203,"ddd"))</f>
        <v/>
      </c>
      <c r="D203" s="11"/>
      <c r="E203" s="8" t="str">
        <f aca="false">IF(D203="","",IFERROR(INDEX(ProjNumbers,MATCH(D203,ProjNames,0)),""))</f>
        <v/>
      </c>
      <c r="F203" s="8" t="str">
        <f aca="false">IF(D203="","",IFERROR(INDEX(ProjCodes,MATCH(D203,ProjNames,0)),""))</f>
        <v/>
      </c>
      <c r="G203" s="32"/>
      <c r="H203" s="11"/>
      <c r="I203" s="33"/>
      <c r="J203" s="8" t="str">
        <f aca="false">IF(COUNTA(B203,D203,G203,H203,I203)=0,"",IF(B203="","Enter date",IF(OR(B203&lt;$AC$2,B203&gt;$AC$3),"Date not in March",IF(D203="","Pick project",IF(ISNA(MATCH(D203,ProjNames,0)),"Project not in list",IF(G203="","Add task description",IF(H203="","Pick NTIME or P6",IF(N(I203)&lt;=0,"Enter hours",IF(AND(AllowOT&lt;&gt;"Yes",SUMIF($B$7:$B$256,B203,$I$7:$I$256)&gt;INDEX($O$58:$O$88,DAY(B203))),"Day over "&amp;INDEX($O$58:$O$88,DAY(B203))&amp;" h","✓")))))))))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tr">
        <f aca="false">IF(Projects!B201="","",Projects!B201)</f>
        <v/>
      </c>
      <c r="X203" s="1" t="n">
        <f aca="false">IF(W203="",0,SUMIFS($I$7:$I$256,$D$7:$D$256,W203,$H$7:$H$256,"NTIME"))</f>
        <v>0</v>
      </c>
      <c r="Y203" s="1" t="n">
        <f aca="false">IF(W203="",0,SUMIFS($I$7:$I$256,$D$7:$D$256,W203,$H$7:$H$256,"P6"))</f>
        <v>0</v>
      </c>
      <c r="Z203" s="1" t="n">
        <f aca="false">X203+Y203</f>
        <v>0</v>
      </c>
      <c r="AA203" s="1" t="n">
        <f aca="false">IF(Z203&gt;0,Z203+(201-197)/10^6,0)</f>
        <v>0</v>
      </c>
      <c r="AB203" s="1"/>
      <c r="AC203" s="1"/>
      <c r="AD203" s="1"/>
      <c r="AE203" s="1"/>
      <c r="AF203" s="1"/>
      <c r="AG203" s="1"/>
      <c r="AH203" s="1"/>
    </row>
    <row r="204" customFormat="false" ht="15" hidden="false" customHeight="false" outlineLevel="0" collapsed="false">
      <c r="A204" s="1"/>
      <c r="B204" s="10"/>
      <c r="C204" s="31" t="str">
        <f aca="false">IF(B204="","",TEXT(B204,"ddd"))</f>
        <v/>
      </c>
      <c r="D204" s="11"/>
      <c r="E204" s="8" t="str">
        <f aca="false">IF(D204="","",IFERROR(INDEX(ProjNumbers,MATCH(D204,ProjNames,0)),""))</f>
        <v/>
      </c>
      <c r="F204" s="8" t="str">
        <f aca="false">IF(D204="","",IFERROR(INDEX(ProjCodes,MATCH(D204,ProjNames,0)),""))</f>
        <v/>
      </c>
      <c r="G204" s="32"/>
      <c r="H204" s="11"/>
      <c r="I204" s="33"/>
      <c r="J204" s="8" t="str">
        <f aca="false">IF(COUNTA(B204,D204,G204,H204,I204)=0,"",IF(B204="","Enter date",IF(OR(B204&lt;$AC$2,B204&gt;$AC$3),"Date not in March",IF(D204="","Pick project",IF(ISNA(MATCH(D204,ProjNames,0)),"Project not in list",IF(G204="","Add task description",IF(H204="","Pick NTIME or P6",IF(N(I204)&lt;=0,"Enter hours",IF(AND(AllowOT&lt;&gt;"Yes",SUMIF($B$7:$B$256,B204,$I$7:$I$256)&gt;INDEX($O$58:$O$88,DAY(B204))),"Day over "&amp;INDEX($O$58:$O$88,DAY(B204))&amp;" h","✓")))))))))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tr">
        <f aca="false">IF(Projects!B202="","",Projects!B202)</f>
        <v/>
      </c>
      <c r="X204" s="1" t="n">
        <f aca="false">IF(W204="",0,SUMIFS($I$7:$I$256,$D$7:$D$256,W204,$H$7:$H$256,"NTIME"))</f>
        <v>0</v>
      </c>
      <c r="Y204" s="1" t="n">
        <f aca="false">IF(W204="",0,SUMIFS($I$7:$I$256,$D$7:$D$256,W204,$H$7:$H$256,"P6"))</f>
        <v>0</v>
      </c>
      <c r="Z204" s="1" t="n">
        <f aca="false">X204+Y204</f>
        <v>0</v>
      </c>
      <c r="AA204" s="1" t="n">
        <f aca="false">IF(Z204&gt;0,Z204+(201-198)/10^6,0)</f>
        <v>0</v>
      </c>
      <c r="AB204" s="1"/>
      <c r="AC204" s="1"/>
      <c r="AD204" s="1"/>
      <c r="AE204" s="1"/>
      <c r="AF204" s="1"/>
      <c r="AG204" s="1"/>
      <c r="AH204" s="1"/>
    </row>
    <row r="205" customFormat="false" ht="15" hidden="false" customHeight="false" outlineLevel="0" collapsed="false">
      <c r="A205" s="1"/>
      <c r="B205" s="10"/>
      <c r="C205" s="31" t="str">
        <f aca="false">IF(B205="","",TEXT(B205,"ddd"))</f>
        <v/>
      </c>
      <c r="D205" s="11"/>
      <c r="E205" s="8" t="str">
        <f aca="false">IF(D205="","",IFERROR(INDEX(ProjNumbers,MATCH(D205,ProjNames,0)),""))</f>
        <v/>
      </c>
      <c r="F205" s="8" t="str">
        <f aca="false">IF(D205="","",IFERROR(INDEX(ProjCodes,MATCH(D205,ProjNames,0)),""))</f>
        <v/>
      </c>
      <c r="G205" s="32"/>
      <c r="H205" s="11"/>
      <c r="I205" s="33"/>
      <c r="J205" s="8" t="str">
        <f aca="false">IF(COUNTA(B205,D205,G205,H205,I205)=0,"",IF(B205="","Enter date",IF(OR(B205&lt;$AC$2,B205&gt;$AC$3),"Date not in March",IF(D205="","Pick project",IF(ISNA(MATCH(D205,ProjNames,0)),"Project not in list",IF(G205="","Add task description",IF(H205="","Pick NTIME or P6",IF(N(I205)&lt;=0,"Enter hours",IF(AND(AllowOT&lt;&gt;"Yes",SUMIF($B$7:$B$256,B205,$I$7:$I$256)&gt;INDEX($O$58:$O$88,DAY(B205))),"Day over "&amp;INDEX($O$58:$O$88,DAY(B205))&amp;" h","✓")))))))))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tr">
        <f aca="false">IF(Projects!B203="","",Projects!B203)</f>
        <v/>
      </c>
      <c r="X205" s="1" t="n">
        <f aca="false">IF(W205="",0,SUMIFS($I$7:$I$256,$D$7:$D$256,W205,$H$7:$H$256,"NTIME"))</f>
        <v>0</v>
      </c>
      <c r="Y205" s="1" t="n">
        <f aca="false">IF(W205="",0,SUMIFS($I$7:$I$256,$D$7:$D$256,W205,$H$7:$H$256,"P6"))</f>
        <v>0</v>
      </c>
      <c r="Z205" s="1" t="n">
        <f aca="false">X205+Y205</f>
        <v>0</v>
      </c>
      <c r="AA205" s="1" t="n">
        <f aca="false">IF(Z205&gt;0,Z205+(201-199)/10^6,0)</f>
        <v>0</v>
      </c>
      <c r="AB205" s="1"/>
      <c r="AC205" s="1"/>
      <c r="AD205" s="1"/>
      <c r="AE205" s="1"/>
      <c r="AF205" s="1"/>
      <c r="AG205" s="1"/>
      <c r="AH205" s="1"/>
    </row>
    <row r="206" customFormat="false" ht="15" hidden="false" customHeight="false" outlineLevel="0" collapsed="false">
      <c r="A206" s="1"/>
      <c r="B206" s="10"/>
      <c r="C206" s="31" t="str">
        <f aca="false">IF(B206="","",TEXT(B206,"ddd"))</f>
        <v/>
      </c>
      <c r="D206" s="11"/>
      <c r="E206" s="8" t="str">
        <f aca="false">IF(D206="","",IFERROR(INDEX(ProjNumbers,MATCH(D206,ProjNames,0)),""))</f>
        <v/>
      </c>
      <c r="F206" s="8" t="str">
        <f aca="false">IF(D206="","",IFERROR(INDEX(ProjCodes,MATCH(D206,ProjNames,0)),""))</f>
        <v/>
      </c>
      <c r="G206" s="32"/>
      <c r="H206" s="11"/>
      <c r="I206" s="33"/>
      <c r="J206" s="8" t="str">
        <f aca="false">IF(COUNTA(B206,D206,G206,H206,I206)=0,"",IF(B206="","Enter date",IF(OR(B206&lt;$AC$2,B206&gt;$AC$3),"Date not in March",IF(D206="","Pick project",IF(ISNA(MATCH(D206,ProjNames,0)),"Project not in list",IF(G206="","Add task description",IF(H206="","Pick NTIME or P6",IF(N(I206)&lt;=0,"Enter hours",IF(AND(AllowOT&lt;&gt;"Yes",SUMIF($B$7:$B$256,B206,$I$7:$I$256)&gt;INDEX($O$58:$O$88,DAY(B206))),"Day over "&amp;INDEX($O$58:$O$88,DAY(B206))&amp;" h","✓")))))))))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tr">
        <f aca="false">IF(Projects!B204="","",Projects!B204)</f>
        <v/>
      </c>
      <c r="X206" s="1" t="n">
        <f aca="false">IF(W206="",0,SUMIFS($I$7:$I$256,$D$7:$D$256,W206,$H$7:$H$256,"NTIME"))</f>
        <v>0</v>
      </c>
      <c r="Y206" s="1" t="n">
        <f aca="false">IF(W206="",0,SUMIFS($I$7:$I$256,$D$7:$D$256,W206,$H$7:$H$256,"P6"))</f>
        <v>0</v>
      </c>
      <c r="Z206" s="1" t="n">
        <f aca="false">X206+Y206</f>
        <v>0</v>
      </c>
      <c r="AA206" s="1" t="n">
        <f aca="false">IF(Z206&gt;0,Z206+(201-200)/10^6,0)</f>
        <v>0</v>
      </c>
      <c r="AB206" s="1"/>
      <c r="AC206" s="1"/>
      <c r="AD206" s="1"/>
      <c r="AE206" s="1"/>
      <c r="AF206" s="1"/>
      <c r="AG206" s="1"/>
      <c r="AH206" s="1"/>
    </row>
    <row r="207" customFormat="false" ht="15" hidden="false" customHeight="false" outlineLevel="0" collapsed="false">
      <c r="A207" s="1"/>
      <c r="B207" s="10"/>
      <c r="C207" s="31" t="str">
        <f aca="false">IF(B207="","",TEXT(B207,"ddd"))</f>
        <v/>
      </c>
      <c r="D207" s="11"/>
      <c r="E207" s="8" t="str">
        <f aca="false">IF(D207="","",IFERROR(INDEX(ProjNumbers,MATCH(D207,ProjNames,0)),""))</f>
        <v/>
      </c>
      <c r="F207" s="8" t="str">
        <f aca="false">IF(D207="","",IFERROR(INDEX(ProjCodes,MATCH(D207,ProjNames,0)),""))</f>
        <v/>
      </c>
      <c r="G207" s="32"/>
      <c r="H207" s="11"/>
      <c r="I207" s="33"/>
      <c r="J207" s="8" t="str">
        <f aca="false">IF(COUNTA(B207,D207,G207,H207,I207)=0,"",IF(B207="","Enter date",IF(OR(B207&lt;$AC$2,B207&gt;$AC$3),"Date not in March",IF(D207="","Pick project",IF(ISNA(MATCH(D207,ProjNames,0)),"Project not in list",IF(G207="","Add task description",IF(H207="","Pick NTIME or P6",IF(N(I207)&lt;=0,"Enter hours",IF(AND(AllowOT&lt;&gt;"Yes",SUMIF($B$7:$B$256,B207,$I$7:$I$256)&gt;INDEX($O$58:$O$88,DAY(B207))),"Day over "&amp;INDEX($O$58:$O$88,DAY(B207))&amp;" h","✓")))))))))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5" hidden="false" customHeight="false" outlineLevel="0" collapsed="false">
      <c r="A208" s="1"/>
      <c r="B208" s="10"/>
      <c r="C208" s="31" t="str">
        <f aca="false">IF(B208="","",TEXT(B208,"ddd"))</f>
        <v/>
      </c>
      <c r="D208" s="11"/>
      <c r="E208" s="8" t="str">
        <f aca="false">IF(D208="","",IFERROR(INDEX(ProjNumbers,MATCH(D208,ProjNames,0)),""))</f>
        <v/>
      </c>
      <c r="F208" s="8" t="str">
        <f aca="false">IF(D208="","",IFERROR(INDEX(ProjCodes,MATCH(D208,ProjNames,0)),""))</f>
        <v/>
      </c>
      <c r="G208" s="32"/>
      <c r="H208" s="11"/>
      <c r="I208" s="33"/>
      <c r="J208" s="8" t="str">
        <f aca="false">IF(COUNTA(B208,D208,G208,H208,I208)=0,"",IF(B208="","Enter date",IF(OR(B208&lt;$AC$2,B208&gt;$AC$3),"Date not in March",IF(D208="","Pick project",IF(ISNA(MATCH(D208,ProjNames,0)),"Project not in list",IF(G208="","Add task description",IF(H208="","Pick NTIME or P6",IF(N(I208)&lt;=0,"Enter hours",IF(AND(AllowOT&lt;&gt;"Yes",SUMIF($B$7:$B$256,B208,$I$7:$I$256)&gt;INDEX($O$58:$O$88,DAY(B208))),"Day over "&amp;INDEX($O$58:$O$88,DAY(B208))&amp;" h","✓")))))))))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5" hidden="false" customHeight="false" outlineLevel="0" collapsed="false">
      <c r="A209" s="1"/>
      <c r="B209" s="10"/>
      <c r="C209" s="31" t="str">
        <f aca="false">IF(B209="","",TEXT(B209,"ddd"))</f>
        <v/>
      </c>
      <c r="D209" s="11"/>
      <c r="E209" s="8" t="str">
        <f aca="false">IF(D209="","",IFERROR(INDEX(ProjNumbers,MATCH(D209,ProjNames,0)),""))</f>
        <v/>
      </c>
      <c r="F209" s="8" t="str">
        <f aca="false">IF(D209="","",IFERROR(INDEX(ProjCodes,MATCH(D209,ProjNames,0)),""))</f>
        <v/>
      </c>
      <c r="G209" s="32"/>
      <c r="H209" s="11"/>
      <c r="I209" s="33"/>
      <c r="J209" s="8" t="str">
        <f aca="false">IF(COUNTA(B209,D209,G209,H209,I209)=0,"",IF(B209="","Enter date",IF(OR(B209&lt;$AC$2,B209&gt;$AC$3),"Date not in March",IF(D209="","Pick project",IF(ISNA(MATCH(D209,ProjNames,0)),"Project not in list",IF(G209="","Add task description",IF(H209="","Pick NTIME or P6",IF(N(I209)&lt;=0,"Enter hours",IF(AND(AllowOT&lt;&gt;"Yes",SUMIF($B$7:$B$256,B209,$I$7:$I$256)&gt;INDEX($O$58:$O$88,DAY(B209))),"Day over "&amp;INDEX($O$58:$O$88,DAY(B209))&amp;" h","✓")))))))))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5" hidden="false" customHeight="false" outlineLevel="0" collapsed="false">
      <c r="A210" s="1"/>
      <c r="B210" s="10"/>
      <c r="C210" s="31" t="str">
        <f aca="false">IF(B210="","",TEXT(B210,"ddd"))</f>
        <v/>
      </c>
      <c r="D210" s="11"/>
      <c r="E210" s="8" t="str">
        <f aca="false">IF(D210="","",IFERROR(INDEX(ProjNumbers,MATCH(D210,ProjNames,0)),""))</f>
        <v/>
      </c>
      <c r="F210" s="8" t="str">
        <f aca="false">IF(D210="","",IFERROR(INDEX(ProjCodes,MATCH(D210,ProjNames,0)),""))</f>
        <v/>
      </c>
      <c r="G210" s="32"/>
      <c r="H210" s="11"/>
      <c r="I210" s="33"/>
      <c r="J210" s="8" t="str">
        <f aca="false">IF(COUNTA(B210,D210,G210,H210,I210)=0,"",IF(B210="","Enter date",IF(OR(B210&lt;$AC$2,B210&gt;$AC$3),"Date not in March",IF(D210="","Pick project",IF(ISNA(MATCH(D210,ProjNames,0)),"Project not in list",IF(G210="","Add task description",IF(H210="","Pick NTIME or P6",IF(N(I210)&lt;=0,"Enter hours",IF(AND(AllowOT&lt;&gt;"Yes",SUMIF($B$7:$B$256,B210,$I$7:$I$256)&gt;INDEX($O$58:$O$88,DAY(B210))),"Day over "&amp;INDEX($O$58:$O$88,DAY(B210))&amp;" h","✓")))))))))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5" hidden="false" customHeight="false" outlineLevel="0" collapsed="false">
      <c r="A211" s="1"/>
      <c r="B211" s="10"/>
      <c r="C211" s="31" t="str">
        <f aca="false">IF(B211="","",TEXT(B211,"ddd"))</f>
        <v/>
      </c>
      <c r="D211" s="11"/>
      <c r="E211" s="8" t="str">
        <f aca="false">IF(D211="","",IFERROR(INDEX(ProjNumbers,MATCH(D211,ProjNames,0)),""))</f>
        <v/>
      </c>
      <c r="F211" s="8" t="str">
        <f aca="false">IF(D211="","",IFERROR(INDEX(ProjCodes,MATCH(D211,ProjNames,0)),""))</f>
        <v/>
      </c>
      <c r="G211" s="32"/>
      <c r="H211" s="11"/>
      <c r="I211" s="33"/>
      <c r="J211" s="8" t="str">
        <f aca="false">IF(COUNTA(B211,D211,G211,H211,I211)=0,"",IF(B211="","Enter date",IF(OR(B211&lt;$AC$2,B211&gt;$AC$3),"Date not in March",IF(D211="","Pick project",IF(ISNA(MATCH(D211,ProjNames,0)),"Project not in list",IF(G211="","Add task description",IF(H211="","Pick NTIME or P6",IF(N(I211)&lt;=0,"Enter hours",IF(AND(AllowOT&lt;&gt;"Yes",SUMIF($B$7:$B$256,B211,$I$7:$I$256)&gt;INDEX($O$58:$O$88,DAY(B211))),"Day over "&amp;INDEX($O$58:$O$88,DAY(B211))&amp;" h","✓")))))))))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5" hidden="false" customHeight="false" outlineLevel="0" collapsed="false">
      <c r="A212" s="1"/>
      <c r="B212" s="10"/>
      <c r="C212" s="31" t="str">
        <f aca="false">IF(B212="","",TEXT(B212,"ddd"))</f>
        <v/>
      </c>
      <c r="D212" s="11"/>
      <c r="E212" s="8" t="str">
        <f aca="false">IF(D212="","",IFERROR(INDEX(ProjNumbers,MATCH(D212,ProjNames,0)),""))</f>
        <v/>
      </c>
      <c r="F212" s="8" t="str">
        <f aca="false">IF(D212="","",IFERROR(INDEX(ProjCodes,MATCH(D212,ProjNames,0)),""))</f>
        <v/>
      </c>
      <c r="G212" s="32"/>
      <c r="H212" s="11"/>
      <c r="I212" s="33"/>
      <c r="J212" s="8" t="str">
        <f aca="false">IF(COUNTA(B212,D212,G212,H212,I212)=0,"",IF(B212="","Enter date",IF(OR(B212&lt;$AC$2,B212&gt;$AC$3),"Date not in March",IF(D212="","Pick project",IF(ISNA(MATCH(D212,ProjNames,0)),"Project not in list",IF(G212="","Add task description",IF(H212="","Pick NTIME or P6",IF(N(I212)&lt;=0,"Enter hours",IF(AND(AllowOT&lt;&gt;"Yes",SUMIF($B$7:$B$256,B212,$I$7:$I$256)&gt;INDEX($O$58:$O$88,DAY(B212))),"Day over "&amp;INDEX($O$58:$O$88,DAY(B212))&amp;" h","✓")))))))))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5" hidden="false" customHeight="false" outlineLevel="0" collapsed="false">
      <c r="A213" s="1"/>
      <c r="B213" s="10"/>
      <c r="C213" s="31" t="str">
        <f aca="false">IF(B213="","",TEXT(B213,"ddd"))</f>
        <v/>
      </c>
      <c r="D213" s="11"/>
      <c r="E213" s="8" t="str">
        <f aca="false">IF(D213="","",IFERROR(INDEX(ProjNumbers,MATCH(D213,ProjNames,0)),""))</f>
        <v/>
      </c>
      <c r="F213" s="8" t="str">
        <f aca="false">IF(D213="","",IFERROR(INDEX(ProjCodes,MATCH(D213,ProjNames,0)),""))</f>
        <v/>
      </c>
      <c r="G213" s="32"/>
      <c r="H213" s="11"/>
      <c r="I213" s="33"/>
      <c r="J213" s="8" t="str">
        <f aca="false">IF(COUNTA(B213,D213,G213,H213,I213)=0,"",IF(B213="","Enter date",IF(OR(B213&lt;$AC$2,B213&gt;$AC$3),"Date not in March",IF(D213="","Pick project",IF(ISNA(MATCH(D213,ProjNames,0)),"Project not in list",IF(G213="","Add task description",IF(H213="","Pick NTIME or P6",IF(N(I213)&lt;=0,"Enter hours",IF(AND(AllowOT&lt;&gt;"Yes",SUMIF($B$7:$B$256,B213,$I$7:$I$256)&gt;INDEX($O$58:$O$88,DAY(B213))),"Day over "&amp;INDEX($O$58:$O$88,DAY(B213))&amp;" h","✓")))))))))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5" hidden="false" customHeight="false" outlineLevel="0" collapsed="false">
      <c r="A214" s="1"/>
      <c r="B214" s="10"/>
      <c r="C214" s="31" t="str">
        <f aca="false">IF(B214="","",TEXT(B214,"ddd"))</f>
        <v/>
      </c>
      <c r="D214" s="11"/>
      <c r="E214" s="8" t="str">
        <f aca="false">IF(D214="","",IFERROR(INDEX(ProjNumbers,MATCH(D214,ProjNames,0)),""))</f>
        <v/>
      </c>
      <c r="F214" s="8" t="str">
        <f aca="false">IF(D214="","",IFERROR(INDEX(ProjCodes,MATCH(D214,ProjNames,0)),""))</f>
        <v/>
      </c>
      <c r="G214" s="32"/>
      <c r="H214" s="11"/>
      <c r="I214" s="33"/>
      <c r="J214" s="8" t="str">
        <f aca="false">IF(COUNTA(B214,D214,G214,H214,I214)=0,"",IF(B214="","Enter date",IF(OR(B214&lt;$AC$2,B214&gt;$AC$3),"Date not in March",IF(D214="","Pick project",IF(ISNA(MATCH(D214,ProjNames,0)),"Project not in list",IF(G214="","Add task description",IF(H214="","Pick NTIME or P6",IF(N(I214)&lt;=0,"Enter hours",IF(AND(AllowOT&lt;&gt;"Yes",SUMIF($B$7:$B$256,B214,$I$7:$I$256)&gt;INDEX($O$58:$O$88,DAY(B214))),"Day over "&amp;INDEX($O$58:$O$88,DAY(B214))&amp;" h","✓")))))))))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5" hidden="false" customHeight="false" outlineLevel="0" collapsed="false">
      <c r="A215" s="1"/>
      <c r="B215" s="10"/>
      <c r="C215" s="31" t="str">
        <f aca="false">IF(B215="","",TEXT(B215,"ddd"))</f>
        <v/>
      </c>
      <c r="D215" s="11"/>
      <c r="E215" s="8" t="str">
        <f aca="false">IF(D215="","",IFERROR(INDEX(ProjNumbers,MATCH(D215,ProjNames,0)),""))</f>
        <v/>
      </c>
      <c r="F215" s="8" t="str">
        <f aca="false">IF(D215="","",IFERROR(INDEX(ProjCodes,MATCH(D215,ProjNames,0)),""))</f>
        <v/>
      </c>
      <c r="G215" s="32"/>
      <c r="H215" s="11"/>
      <c r="I215" s="33"/>
      <c r="J215" s="8" t="str">
        <f aca="false">IF(COUNTA(B215,D215,G215,H215,I215)=0,"",IF(B215="","Enter date",IF(OR(B215&lt;$AC$2,B215&gt;$AC$3),"Date not in March",IF(D215="","Pick project",IF(ISNA(MATCH(D215,ProjNames,0)),"Project not in list",IF(G215="","Add task description",IF(H215="","Pick NTIME or P6",IF(N(I215)&lt;=0,"Enter hours",IF(AND(AllowOT&lt;&gt;"Yes",SUMIF($B$7:$B$256,B215,$I$7:$I$256)&gt;INDEX($O$58:$O$88,DAY(B215))),"Day over "&amp;INDEX($O$58:$O$88,DAY(B215))&amp;" h","✓")))))))))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5" hidden="false" customHeight="false" outlineLevel="0" collapsed="false">
      <c r="A216" s="1"/>
      <c r="B216" s="10"/>
      <c r="C216" s="31" t="str">
        <f aca="false">IF(B216="","",TEXT(B216,"ddd"))</f>
        <v/>
      </c>
      <c r="D216" s="11"/>
      <c r="E216" s="8" t="str">
        <f aca="false">IF(D216="","",IFERROR(INDEX(ProjNumbers,MATCH(D216,ProjNames,0)),""))</f>
        <v/>
      </c>
      <c r="F216" s="8" t="str">
        <f aca="false">IF(D216="","",IFERROR(INDEX(ProjCodes,MATCH(D216,ProjNames,0)),""))</f>
        <v/>
      </c>
      <c r="G216" s="32"/>
      <c r="H216" s="11"/>
      <c r="I216" s="33"/>
      <c r="J216" s="8" t="str">
        <f aca="false">IF(COUNTA(B216,D216,G216,H216,I216)=0,"",IF(B216="","Enter date",IF(OR(B216&lt;$AC$2,B216&gt;$AC$3),"Date not in March",IF(D216="","Pick project",IF(ISNA(MATCH(D216,ProjNames,0)),"Project not in list",IF(G216="","Add task description",IF(H216="","Pick NTIME or P6",IF(N(I216)&lt;=0,"Enter hours",IF(AND(AllowOT&lt;&gt;"Yes",SUMIF($B$7:$B$256,B216,$I$7:$I$256)&gt;INDEX($O$58:$O$88,DAY(B216))),"Day over "&amp;INDEX($O$58:$O$88,DAY(B216))&amp;" h","✓")))))))))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5" hidden="false" customHeight="false" outlineLevel="0" collapsed="false">
      <c r="A217" s="1"/>
      <c r="B217" s="10"/>
      <c r="C217" s="31" t="str">
        <f aca="false">IF(B217="","",TEXT(B217,"ddd"))</f>
        <v/>
      </c>
      <c r="D217" s="11"/>
      <c r="E217" s="8" t="str">
        <f aca="false">IF(D217="","",IFERROR(INDEX(ProjNumbers,MATCH(D217,ProjNames,0)),""))</f>
        <v/>
      </c>
      <c r="F217" s="8" t="str">
        <f aca="false">IF(D217="","",IFERROR(INDEX(ProjCodes,MATCH(D217,ProjNames,0)),""))</f>
        <v/>
      </c>
      <c r="G217" s="32"/>
      <c r="H217" s="11"/>
      <c r="I217" s="33"/>
      <c r="J217" s="8" t="str">
        <f aca="false">IF(COUNTA(B217,D217,G217,H217,I217)=0,"",IF(B217="","Enter date",IF(OR(B217&lt;$AC$2,B217&gt;$AC$3),"Date not in March",IF(D217="","Pick project",IF(ISNA(MATCH(D217,ProjNames,0)),"Project not in list",IF(G217="","Add task description",IF(H217="","Pick NTIME or P6",IF(N(I217)&lt;=0,"Enter hours",IF(AND(AllowOT&lt;&gt;"Yes",SUMIF($B$7:$B$256,B217,$I$7:$I$256)&gt;INDEX($O$58:$O$88,DAY(B217))),"Day over "&amp;INDEX($O$58:$O$88,DAY(B217))&amp;" h","✓")))))))))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5" hidden="false" customHeight="false" outlineLevel="0" collapsed="false">
      <c r="A218" s="1"/>
      <c r="B218" s="10"/>
      <c r="C218" s="31" t="str">
        <f aca="false">IF(B218="","",TEXT(B218,"ddd"))</f>
        <v/>
      </c>
      <c r="D218" s="11"/>
      <c r="E218" s="8" t="str">
        <f aca="false">IF(D218="","",IFERROR(INDEX(ProjNumbers,MATCH(D218,ProjNames,0)),""))</f>
        <v/>
      </c>
      <c r="F218" s="8" t="str">
        <f aca="false">IF(D218="","",IFERROR(INDEX(ProjCodes,MATCH(D218,ProjNames,0)),""))</f>
        <v/>
      </c>
      <c r="G218" s="32"/>
      <c r="H218" s="11"/>
      <c r="I218" s="33"/>
      <c r="J218" s="8" t="str">
        <f aca="false">IF(COUNTA(B218,D218,G218,H218,I218)=0,"",IF(B218="","Enter date",IF(OR(B218&lt;$AC$2,B218&gt;$AC$3),"Date not in March",IF(D218="","Pick project",IF(ISNA(MATCH(D218,ProjNames,0)),"Project not in list",IF(G218="","Add task description",IF(H218="","Pick NTIME or P6",IF(N(I218)&lt;=0,"Enter hours",IF(AND(AllowOT&lt;&gt;"Yes",SUMIF($B$7:$B$256,B218,$I$7:$I$256)&gt;INDEX($O$58:$O$88,DAY(B218))),"Day over "&amp;INDEX($O$58:$O$88,DAY(B218))&amp;" h","✓")))))))))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5" hidden="false" customHeight="false" outlineLevel="0" collapsed="false">
      <c r="A219" s="1"/>
      <c r="B219" s="10"/>
      <c r="C219" s="31" t="str">
        <f aca="false">IF(B219="","",TEXT(B219,"ddd"))</f>
        <v/>
      </c>
      <c r="D219" s="11"/>
      <c r="E219" s="8" t="str">
        <f aca="false">IF(D219="","",IFERROR(INDEX(ProjNumbers,MATCH(D219,ProjNames,0)),""))</f>
        <v/>
      </c>
      <c r="F219" s="8" t="str">
        <f aca="false">IF(D219="","",IFERROR(INDEX(ProjCodes,MATCH(D219,ProjNames,0)),""))</f>
        <v/>
      </c>
      <c r="G219" s="32"/>
      <c r="H219" s="11"/>
      <c r="I219" s="33"/>
      <c r="J219" s="8" t="str">
        <f aca="false">IF(COUNTA(B219,D219,G219,H219,I219)=0,"",IF(B219="","Enter date",IF(OR(B219&lt;$AC$2,B219&gt;$AC$3),"Date not in March",IF(D219="","Pick project",IF(ISNA(MATCH(D219,ProjNames,0)),"Project not in list",IF(G219="","Add task description",IF(H219="","Pick NTIME or P6",IF(N(I219)&lt;=0,"Enter hours",IF(AND(AllowOT&lt;&gt;"Yes",SUMIF($B$7:$B$256,B219,$I$7:$I$256)&gt;INDEX($O$58:$O$88,DAY(B219))),"Day over "&amp;INDEX($O$58:$O$88,DAY(B219))&amp;" h","✓")))))))))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5" hidden="false" customHeight="false" outlineLevel="0" collapsed="false">
      <c r="A220" s="1"/>
      <c r="B220" s="10"/>
      <c r="C220" s="31" t="str">
        <f aca="false">IF(B220="","",TEXT(B220,"ddd"))</f>
        <v/>
      </c>
      <c r="D220" s="11"/>
      <c r="E220" s="8" t="str">
        <f aca="false">IF(D220="","",IFERROR(INDEX(ProjNumbers,MATCH(D220,ProjNames,0)),""))</f>
        <v/>
      </c>
      <c r="F220" s="8" t="str">
        <f aca="false">IF(D220="","",IFERROR(INDEX(ProjCodes,MATCH(D220,ProjNames,0)),""))</f>
        <v/>
      </c>
      <c r="G220" s="32"/>
      <c r="H220" s="11"/>
      <c r="I220" s="33"/>
      <c r="J220" s="8" t="str">
        <f aca="false">IF(COUNTA(B220,D220,G220,H220,I220)=0,"",IF(B220="","Enter date",IF(OR(B220&lt;$AC$2,B220&gt;$AC$3),"Date not in March",IF(D220="","Pick project",IF(ISNA(MATCH(D220,ProjNames,0)),"Project not in list",IF(G220="","Add task description",IF(H220="","Pick NTIME or P6",IF(N(I220)&lt;=0,"Enter hours",IF(AND(AllowOT&lt;&gt;"Yes",SUMIF($B$7:$B$256,B220,$I$7:$I$256)&gt;INDEX($O$58:$O$88,DAY(B220))),"Day over "&amp;INDEX($O$58:$O$88,DAY(B220))&amp;" h","✓")))))))))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5" hidden="false" customHeight="false" outlineLevel="0" collapsed="false">
      <c r="A221" s="1"/>
      <c r="B221" s="10"/>
      <c r="C221" s="31" t="str">
        <f aca="false">IF(B221="","",TEXT(B221,"ddd"))</f>
        <v/>
      </c>
      <c r="D221" s="11"/>
      <c r="E221" s="8" t="str">
        <f aca="false">IF(D221="","",IFERROR(INDEX(ProjNumbers,MATCH(D221,ProjNames,0)),""))</f>
        <v/>
      </c>
      <c r="F221" s="8" t="str">
        <f aca="false">IF(D221="","",IFERROR(INDEX(ProjCodes,MATCH(D221,ProjNames,0)),""))</f>
        <v/>
      </c>
      <c r="G221" s="32"/>
      <c r="H221" s="11"/>
      <c r="I221" s="33"/>
      <c r="J221" s="8" t="str">
        <f aca="false">IF(COUNTA(B221,D221,G221,H221,I221)=0,"",IF(B221="","Enter date",IF(OR(B221&lt;$AC$2,B221&gt;$AC$3),"Date not in March",IF(D221="","Pick project",IF(ISNA(MATCH(D221,ProjNames,0)),"Project not in list",IF(G221="","Add task description",IF(H221="","Pick NTIME or P6",IF(N(I221)&lt;=0,"Enter hours",IF(AND(AllowOT&lt;&gt;"Yes",SUMIF($B$7:$B$256,B221,$I$7:$I$256)&gt;INDEX($O$58:$O$88,DAY(B221))),"Day over "&amp;INDEX($O$58:$O$88,DAY(B221))&amp;" h","✓")))))))))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5" hidden="false" customHeight="false" outlineLevel="0" collapsed="false">
      <c r="A222" s="1"/>
      <c r="B222" s="10"/>
      <c r="C222" s="31" t="str">
        <f aca="false">IF(B222="","",TEXT(B222,"ddd"))</f>
        <v/>
      </c>
      <c r="D222" s="11"/>
      <c r="E222" s="8" t="str">
        <f aca="false">IF(D222="","",IFERROR(INDEX(ProjNumbers,MATCH(D222,ProjNames,0)),""))</f>
        <v/>
      </c>
      <c r="F222" s="8" t="str">
        <f aca="false">IF(D222="","",IFERROR(INDEX(ProjCodes,MATCH(D222,ProjNames,0)),""))</f>
        <v/>
      </c>
      <c r="G222" s="32"/>
      <c r="H222" s="11"/>
      <c r="I222" s="33"/>
      <c r="J222" s="8" t="str">
        <f aca="false">IF(COUNTA(B222,D222,G222,H222,I222)=0,"",IF(B222="","Enter date",IF(OR(B222&lt;$AC$2,B222&gt;$AC$3),"Date not in March",IF(D222="","Pick project",IF(ISNA(MATCH(D222,ProjNames,0)),"Project not in list",IF(G222="","Add task description",IF(H222="","Pick NTIME or P6",IF(N(I222)&lt;=0,"Enter hours",IF(AND(AllowOT&lt;&gt;"Yes",SUMIF($B$7:$B$256,B222,$I$7:$I$256)&gt;INDEX($O$58:$O$88,DAY(B222))),"Day over "&amp;INDEX($O$58:$O$88,DAY(B222))&amp;" h","✓")))))))))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5" hidden="false" customHeight="false" outlineLevel="0" collapsed="false">
      <c r="A223" s="1"/>
      <c r="B223" s="10"/>
      <c r="C223" s="31" t="str">
        <f aca="false">IF(B223="","",TEXT(B223,"ddd"))</f>
        <v/>
      </c>
      <c r="D223" s="11"/>
      <c r="E223" s="8" t="str">
        <f aca="false">IF(D223="","",IFERROR(INDEX(ProjNumbers,MATCH(D223,ProjNames,0)),""))</f>
        <v/>
      </c>
      <c r="F223" s="8" t="str">
        <f aca="false">IF(D223="","",IFERROR(INDEX(ProjCodes,MATCH(D223,ProjNames,0)),""))</f>
        <v/>
      </c>
      <c r="G223" s="32"/>
      <c r="H223" s="11"/>
      <c r="I223" s="33"/>
      <c r="J223" s="8" t="str">
        <f aca="false">IF(COUNTA(B223,D223,G223,H223,I223)=0,"",IF(B223="","Enter date",IF(OR(B223&lt;$AC$2,B223&gt;$AC$3),"Date not in March",IF(D223="","Pick project",IF(ISNA(MATCH(D223,ProjNames,0)),"Project not in list",IF(G223="","Add task description",IF(H223="","Pick NTIME or P6",IF(N(I223)&lt;=0,"Enter hours",IF(AND(AllowOT&lt;&gt;"Yes",SUMIF($B$7:$B$256,B223,$I$7:$I$256)&gt;INDEX($O$58:$O$88,DAY(B223))),"Day over "&amp;INDEX($O$58:$O$88,DAY(B223))&amp;" h","✓")))))))))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5" hidden="false" customHeight="false" outlineLevel="0" collapsed="false">
      <c r="A224" s="1"/>
      <c r="B224" s="10"/>
      <c r="C224" s="31" t="str">
        <f aca="false">IF(B224="","",TEXT(B224,"ddd"))</f>
        <v/>
      </c>
      <c r="D224" s="11"/>
      <c r="E224" s="8" t="str">
        <f aca="false">IF(D224="","",IFERROR(INDEX(ProjNumbers,MATCH(D224,ProjNames,0)),""))</f>
        <v/>
      </c>
      <c r="F224" s="8" t="str">
        <f aca="false">IF(D224="","",IFERROR(INDEX(ProjCodes,MATCH(D224,ProjNames,0)),""))</f>
        <v/>
      </c>
      <c r="G224" s="32"/>
      <c r="H224" s="11"/>
      <c r="I224" s="33"/>
      <c r="J224" s="8" t="str">
        <f aca="false">IF(COUNTA(B224,D224,G224,H224,I224)=0,"",IF(B224="","Enter date",IF(OR(B224&lt;$AC$2,B224&gt;$AC$3),"Date not in March",IF(D224="","Pick project",IF(ISNA(MATCH(D224,ProjNames,0)),"Project not in list",IF(G224="","Add task description",IF(H224="","Pick NTIME or P6",IF(N(I224)&lt;=0,"Enter hours",IF(AND(AllowOT&lt;&gt;"Yes",SUMIF($B$7:$B$256,B224,$I$7:$I$256)&gt;INDEX($O$58:$O$88,DAY(B224))),"Day over "&amp;INDEX($O$58:$O$88,DAY(B224))&amp;" h","✓")))))))))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5" hidden="false" customHeight="false" outlineLevel="0" collapsed="false">
      <c r="A225" s="1"/>
      <c r="B225" s="10"/>
      <c r="C225" s="31" t="str">
        <f aca="false">IF(B225="","",TEXT(B225,"ddd"))</f>
        <v/>
      </c>
      <c r="D225" s="11"/>
      <c r="E225" s="8" t="str">
        <f aca="false">IF(D225="","",IFERROR(INDEX(ProjNumbers,MATCH(D225,ProjNames,0)),""))</f>
        <v/>
      </c>
      <c r="F225" s="8" t="str">
        <f aca="false">IF(D225="","",IFERROR(INDEX(ProjCodes,MATCH(D225,ProjNames,0)),""))</f>
        <v/>
      </c>
      <c r="G225" s="32"/>
      <c r="H225" s="11"/>
      <c r="I225" s="33"/>
      <c r="J225" s="8" t="str">
        <f aca="false">IF(COUNTA(B225,D225,G225,H225,I225)=0,"",IF(B225="","Enter date",IF(OR(B225&lt;$AC$2,B225&gt;$AC$3),"Date not in March",IF(D225="","Pick project",IF(ISNA(MATCH(D225,ProjNames,0)),"Project not in list",IF(G225="","Add task description",IF(H225="","Pick NTIME or P6",IF(N(I225)&lt;=0,"Enter hours",IF(AND(AllowOT&lt;&gt;"Yes",SUMIF($B$7:$B$256,B225,$I$7:$I$256)&gt;INDEX($O$58:$O$88,DAY(B225))),"Day over "&amp;INDEX($O$58:$O$88,DAY(B225))&amp;" h","✓")))))))))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5" hidden="false" customHeight="false" outlineLevel="0" collapsed="false">
      <c r="A226" s="1"/>
      <c r="B226" s="10"/>
      <c r="C226" s="31" t="str">
        <f aca="false">IF(B226="","",TEXT(B226,"ddd"))</f>
        <v/>
      </c>
      <c r="D226" s="11"/>
      <c r="E226" s="8" t="str">
        <f aca="false">IF(D226="","",IFERROR(INDEX(ProjNumbers,MATCH(D226,ProjNames,0)),""))</f>
        <v/>
      </c>
      <c r="F226" s="8" t="str">
        <f aca="false">IF(D226="","",IFERROR(INDEX(ProjCodes,MATCH(D226,ProjNames,0)),""))</f>
        <v/>
      </c>
      <c r="G226" s="32"/>
      <c r="H226" s="11"/>
      <c r="I226" s="33"/>
      <c r="J226" s="8" t="str">
        <f aca="false">IF(COUNTA(B226,D226,G226,H226,I226)=0,"",IF(B226="","Enter date",IF(OR(B226&lt;$AC$2,B226&gt;$AC$3),"Date not in March",IF(D226="","Pick project",IF(ISNA(MATCH(D226,ProjNames,0)),"Project not in list",IF(G226="","Add task description",IF(H226="","Pick NTIME or P6",IF(N(I226)&lt;=0,"Enter hours",IF(AND(AllowOT&lt;&gt;"Yes",SUMIF($B$7:$B$256,B226,$I$7:$I$256)&gt;INDEX($O$58:$O$88,DAY(B226))),"Day over "&amp;INDEX($O$58:$O$88,DAY(B226))&amp;" h","✓")))))))))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5" hidden="false" customHeight="false" outlineLevel="0" collapsed="false">
      <c r="A227" s="1"/>
      <c r="B227" s="10"/>
      <c r="C227" s="31" t="str">
        <f aca="false">IF(B227="","",TEXT(B227,"ddd"))</f>
        <v/>
      </c>
      <c r="D227" s="11"/>
      <c r="E227" s="8" t="str">
        <f aca="false">IF(D227="","",IFERROR(INDEX(ProjNumbers,MATCH(D227,ProjNames,0)),""))</f>
        <v/>
      </c>
      <c r="F227" s="8" t="str">
        <f aca="false">IF(D227="","",IFERROR(INDEX(ProjCodes,MATCH(D227,ProjNames,0)),""))</f>
        <v/>
      </c>
      <c r="G227" s="32"/>
      <c r="H227" s="11"/>
      <c r="I227" s="33"/>
      <c r="J227" s="8" t="str">
        <f aca="false">IF(COUNTA(B227,D227,G227,H227,I227)=0,"",IF(B227="","Enter date",IF(OR(B227&lt;$AC$2,B227&gt;$AC$3),"Date not in March",IF(D227="","Pick project",IF(ISNA(MATCH(D227,ProjNames,0)),"Project not in list",IF(G227="","Add task description",IF(H227="","Pick NTIME or P6",IF(N(I227)&lt;=0,"Enter hours",IF(AND(AllowOT&lt;&gt;"Yes",SUMIF($B$7:$B$256,B227,$I$7:$I$256)&gt;INDEX($O$58:$O$88,DAY(B227))),"Day over "&amp;INDEX($O$58:$O$88,DAY(B227))&amp;" h","✓")))))))))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5" hidden="false" customHeight="false" outlineLevel="0" collapsed="false">
      <c r="A228" s="1"/>
      <c r="B228" s="10"/>
      <c r="C228" s="31" t="str">
        <f aca="false">IF(B228="","",TEXT(B228,"ddd"))</f>
        <v/>
      </c>
      <c r="D228" s="11"/>
      <c r="E228" s="8" t="str">
        <f aca="false">IF(D228="","",IFERROR(INDEX(ProjNumbers,MATCH(D228,ProjNames,0)),""))</f>
        <v/>
      </c>
      <c r="F228" s="8" t="str">
        <f aca="false">IF(D228="","",IFERROR(INDEX(ProjCodes,MATCH(D228,ProjNames,0)),""))</f>
        <v/>
      </c>
      <c r="G228" s="32"/>
      <c r="H228" s="11"/>
      <c r="I228" s="33"/>
      <c r="J228" s="8" t="str">
        <f aca="false">IF(COUNTA(B228,D228,G228,H228,I228)=0,"",IF(B228="","Enter date",IF(OR(B228&lt;$AC$2,B228&gt;$AC$3),"Date not in March",IF(D228="","Pick project",IF(ISNA(MATCH(D228,ProjNames,0)),"Project not in list",IF(G228="","Add task description",IF(H228="","Pick NTIME or P6",IF(N(I228)&lt;=0,"Enter hours",IF(AND(AllowOT&lt;&gt;"Yes",SUMIF($B$7:$B$256,B228,$I$7:$I$256)&gt;INDEX($O$58:$O$88,DAY(B228))),"Day over "&amp;INDEX($O$58:$O$88,DAY(B228))&amp;" h","✓")))))))))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5" hidden="false" customHeight="false" outlineLevel="0" collapsed="false">
      <c r="A229" s="1"/>
      <c r="B229" s="10"/>
      <c r="C229" s="31" t="str">
        <f aca="false">IF(B229="","",TEXT(B229,"ddd"))</f>
        <v/>
      </c>
      <c r="D229" s="11"/>
      <c r="E229" s="8" t="str">
        <f aca="false">IF(D229="","",IFERROR(INDEX(ProjNumbers,MATCH(D229,ProjNames,0)),""))</f>
        <v/>
      </c>
      <c r="F229" s="8" t="str">
        <f aca="false">IF(D229="","",IFERROR(INDEX(ProjCodes,MATCH(D229,ProjNames,0)),""))</f>
        <v/>
      </c>
      <c r="G229" s="32"/>
      <c r="H229" s="11"/>
      <c r="I229" s="33"/>
      <c r="J229" s="8" t="str">
        <f aca="false">IF(COUNTA(B229,D229,G229,H229,I229)=0,"",IF(B229="","Enter date",IF(OR(B229&lt;$AC$2,B229&gt;$AC$3),"Date not in March",IF(D229="","Pick project",IF(ISNA(MATCH(D229,ProjNames,0)),"Project not in list",IF(G229="","Add task description",IF(H229="","Pick NTIME or P6",IF(N(I229)&lt;=0,"Enter hours",IF(AND(AllowOT&lt;&gt;"Yes",SUMIF($B$7:$B$256,B229,$I$7:$I$256)&gt;INDEX($O$58:$O$88,DAY(B229))),"Day over "&amp;INDEX($O$58:$O$88,DAY(B229))&amp;" h","✓")))))))))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5" hidden="false" customHeight="false" outlineLevel="0" collapsed="false">
      <c r="A230" s="1"/>
      <c r="B230" s="10"/>
      <c r="C230" s="31" t="str">
        <f aca="false">IF(B230="","",TEXT(B230,"ddd"))</f>
        <v/>
      </c>
      <c r="D230" s="11"/>
      <c r="E230" s="8" t="str">
        <f aca="false">IF(D230="","",IFERROR(INDEX(ProjNumbers,MATCH(D230,ProjNames,0)),""))</f>
        <v/>
      </c>
      <c r="F230" s="8" t="str">
        <f aca="false">IF(D230="","",IFERROR(INDEX(ProjCodes,MATCH(D230,ProjNames,0)),""))</f>
        <v/>
      </c>
      <c r="G230" s="32"/>
      <c r="H230" s="11"/>
      <c r="I230" s="33"/>
      <c r="J230" s="8" t="str">
        <f aca="false">IF(COUNTA(B230,D230,G230,H230,I230)=0,"",IF(B230="","Enter date",IF(OR(B230&lt;$AC$2,B230&gt;$AC$3),"Date not in March",IF(D230="","Pick project",IF(ISNA(MATCH(D230,ProjNames,0)),"Project not in list",IF(G230="","Add task description",IF(H230="","Pick NTIME or P6",IF(N(I230)&lt;=0,"Enter hours",IF(AND(AllowOT&lt;&gt;"Yes",SUMIF($B$7:$B$256,B230,$I$7:$I$256)&gt;INDEX($O$58:$O$88,DAY(B230))),"Day over "&amp;INDEX($O$58:$O$88,DAY(B230))&amp;" h","✓")))))))))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5" hidden="false" customHeight="false" outlineLevel="0" collapsed="false">
      <c r="A231" s="1"/>
      <c r="B231" s="10"/>
      <c r="C231" s="31" t="str">
        <f aca="false">IF(B231="","",TEXT(B231,"ddd"))</f>
        <v/>
      </c>
      <c r="D231" s="11"/>
      <c r="E231" s="8" t="str">
        <f aca="false">IF(D231="","",IFERROR(INDEX(ProjNumbers,MATCH(D231,ProjNames,0)),""))</f>
        <v/>
      </c>
      <c r="F231" s="8" t="str">
        <f aca="false">IF(D231="","",IFERROR(INDEX(ProjCodes,MATCH(D231,ProjNames,0)),""))</f>
        <v/>
      </c>
      <c r="G231" s="32"/>
      <c r="H231" s="11"/>
      <c r="I231" s="33"/>
      <c r="J231" s="8" t="str">
        <f aca="false">IF(COUNTA(B231,D231,G231,H231,I231)=0,"",IF(B231="","Enter date",IF(OR(B231&lt;$AC$2,B231&gt;$AC$3),"Date not in March",IF(D231="","Pick project",IF(ISNA(MATCH(D231,ProjNames,0)),"Project not in list",IF(G231="","Add task description",IF(H231="","Pick NTIME or P6",IF(N(I231)&lt;=0,"Enter hours",IF(AND(AllowOT&lt;&gt;"Yes",SUMIF($B$7:$B$256,B231,$I$7:$I$256)&gt;INDEX($O$58:$O$88,DAY(B231))),"Day over "&amp;INDEX($O$58:$O$88,DAY(B231))&amp;" h","✓")))))))))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5" hidden="false" customHeight="false" outlineLevel="0" collapsed="false">
      <c r="A232" s="1"/>
      <c r="B232" s="10"/>
      <c r="C232" s="31" t="str">
        <f aca="false">IF(B232="","",TEXT(B232,"ddd"))</f>
        <v/>
      </c>
      <c r="D232" s="11"/>
      <c r="E232" s="8" t="str">
        <f aca="false">IF(D232="","",IFERROR(INDEX(ProjNumbers,MATCH(D232,ProjNames,0)),""))</f>
        <v/>
      </c>
      <c r="F232" s="8" t="str">
        <f aca="false">IF(D232="","",IFERROR(INDEX(ProjCodes,MATCH(D232,ProjNames,0)),""))</f>
        <v/>
      </c>
      <c r="G232" s="32"/>
      <c r="H232" s="11"/>
      <c r="I232" s="33"/>
      <c r="J232" s="8" t="str">
        <f aca="false">IF(COUNTA(B232,D232,G232,H232,I232)=0,"",IF(B232="","Enter date",IF(OR(B232&lt;$AC$2,B232&gt;$AC$3),"Date not in March",IF(D232="","Pick project",IF(ISNA(MATCH(D232,ProjNames,0)),"Project not in list",IF(G232="","Add task description",IF(H232="","Pick NTIME or P6",IF(N(I232)&lt;=0,"Enter hours",IF(AND(AllowOT&lt;&gt;"Yes",SUMIF($B$7:$B$256,B232,$I$7:$I$256)&gt;INDEX($O$58:$O$88,DAY(B232))),"Day over "&amp;INDEX($O$58:$O$88,DAY(B232))&amp;" h","✓")))))))))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5" hidden="false" customHeight="false" outlineLevel="0" collapsed="false">
      <c r="A233" s="1"/>
      <c r="B233" s="10"/>
      <c r="C233" s="31" t="str">
        <f aca="false">IF(B233="","",TEXT(B233,"ddd"))</f>
        <v/>
      </c>
      <c r="D233" s="11"/>
      <c r="E233" s="8" t="str">
        <f aca="false">IF(D233="","",IFERROR(INDEX(ProjNumbers,MATCH(D233,ProjNames,0)),""))</f>
        <v/>
      </c>
      <c r="F233" s="8" t="str">
        <f aca="false">IF(D233="","",IFERROR(INDEX(ProjCodes,MATCH(D233,ProjNames,0)),""))</f>
        <v/>
      </c>
      <c r="G233" s="32"/>
      <c r="H233" s="11"/>
      <c r="I233" s="33"/>
      <c r="J233" s="8" t="str">
        <f aca="false">IF(COUNTA(B233,D233,G233,H233,I233)=0,"",IF(B233="","Enter date",IF(OR(B233&lt;$AC$2,B233&gt;$AC$3),"Date not in March",IF(D233="","Pick project",IF(ISNA(MATCH(D233,ProjNames,0)),"Project not in list",IF(G233="","Add task description",IF(H233="","Pick NTIME or P6",IF(N(I233)&lt;=0,"Enter hours",IF(AND(AllowOT&lt;&gt;"Yes",SUMIF($B$7:$B$256,B233,$I$7:$I$256)&gt;INDEX($O$58:$O$88,DAY(B233))),"Day over "&amp;INDEX($O$58:$O$88,DAY(B233))&amp;" h","✓")))))))))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5" hidden="false" customHeight="false" outlineLevel="0" collapsed="false">
      <c r="A234" s="1"/>
      <c r="B234" s="10"/>
      <c r="C234" s="31" t="str">
        <f aca="false">IF(B234="","",TEXT(B234,"ddd"))</f>
        <v/>
      </c>
      <c r="D234" s="11"/>
      <c r="E234" s="8" t="str">
        <f aca="false">IF(D234="","",IFERROR(INDEX(ProjNumbers,MATCH(D234,ProjNames,0)),""))</f>
        <v/>
      </c>
      <c r="F234" s="8" t="str">
        <f aca="false">IF(D234="","",IFERROR(INDEX(ProjCodes,MATCH(D234,ProjNames,0)),""))</f>
        <v/>
      </c>
      <c r="G234" s="32"/>
      <c r="H234" s="11"/>
      <c r="I234" s="33"/>
      <c r="J234" s="8" t="str">
        <f aca="false">IF(COUNTA(B234,D234,G234,H234,I234)=0,"",IF(B234="","Enter date",IF(OR(B234&lt;$AC$2,B234&gt;$AC$3),"Date not in March",IF(D234="","Pick project",IF(ISNA(MATCH(D234,ProjNames,0)),"Project not in list",IF(G234="","Add task description",IF(H234="","Pick NTIME or P6",IF(N(I234)&lt;=0,"Enter hours",IF(AND(AllowOT&lt;&gt;"Yes",SUMIF($B$7:$B$256,B234,$I$7:$I$256)&gt;INDEX($O$58:$O$88,DAY(B234))),"Day over "&amp;INDEX($O$58:$O$88,DAY(B234))&amp;" h","✓")))))))))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5" hidden="false" customHeight="false" outlineLevel="0" collapsed="false">
      <c r="A235" s="1"/>
      <c r="B235" s="10"/>
      <c r="C235" s="31" t="str">
        <f aca="false">IF(B235="","",TEXT(B235,"ddd"))</f>
        <v/>
      </c>
      <c r="D235" s="11"/>
      <c r="E235" s="8" t="str">
        <f aca="false">IF(D235="","",IFERROR(INDEX(ProjNumbers,MATCH(D235,ProjNames,0)),""))</f>
        <v/>
      </c>
      <c r="F235" s="8" t="str">
        <f aca="false">IF(D235="","",IFERROR(INDEX(ProjCodes,MATCH(D235,ProjNames,0)),""))</f>
        <v/>
      </c>
      <c r="G235" s="32"/>
      <c r="H235" s="11"/>
      <c r="I235" s="33"/>
      <c r="J235" s="8" t="str">
        <f aca="false">IF(COUNTA(B235,D235,G235,H235,I235)=0,"",IF(B235="","Enter date",IF(OR(B235&lt;$AC$2,B235&gt;$AC$3),"Date not in March",IF(D235="","Pick project",IF(ISNA(MATCH(D235,ProjNames,0)),"Project not in list",IF(G235="","Add task description",IF(H235="","Pick NTIME or P6",IF(N(I235)&lt;=0,"Enter hours",IF(AND(AllowOT&lt;&gt;"Yes",SUMIF($B$7:$B$256,B235,$I$7:$I$256)&gt;INDEX($O$58:$O$88,DAY(B235))),"Day over "&amp;INDEX($O$58:$O$88,DAY(B235))&amp;" h","✓")))))))))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5" hidden="false" customHeight="false" outlineLevel="0" collapsed="false">
      <c r="A236" s="1"/>
      <c r="B236" s="10"/>
      <c r="C236" s="31" t="str">
        <f aca="false">IF(B236="","",TEXT(B236,"ddd"))</f>
        <v/>
      </c>
      <c r="D236" s="11"/>
      <c r="E236" s="8" t="str">
        <f aca="false">IF(D236="","",IFERROR(INDEX(ProjNumbers,MATCH(D236,ProjNames,0)),""))</f>
        <v/>
      </c>
      <c r="F236" s="8" t="str">
        <f aca="false">IF(D236="","",IFERROR(INDEX(ProjCodes,MATCH(D236,ProjNames,0)),""))</f>
        <v/>
      </c>
      <c r="G236" s="32"/>
      <c r="H236" s="11"/>
      <c r="I236" s="33"/>
      <c r="J236" s="8" t="str">
        <f aca="false">IF(COUNTA(B236,D236,G236,H236,I236)=0,"",IF(B236="","Enter date",IF(OR(B236&lt;$AC$2,B236&gt;$AC$3),"Date not in March",IF(D236="","Pick project",IF(ISNA(MATCH(D236,ProjNames,0)),"Project not in list",IF(G236="","Add task description",IF(H236="","Pick NTIME or P6",IF(N(I236)&lt;=0,"Enter hours",IF(AND(AllowOT&lt;&gt;"Yes",SUMIF($B$7:$B$256,B236,$I$7:$I$256)&gt;INDEX($O$58:$O$88,DAY(B236))),"Day over "&amp;INDEX($O$58:$O$88,DAY(B236))&amp;" h","✓")))))))))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5" hidden="false" customHeight="false" outlineLevel="0" collapsed="false">
      <c r="A237" s="1"/>
      <c r="B237" s="10"/>
      <c r="C237" s="31" t="str">
        <f aca="false">IF(B237="","",TEXT(B237,"ddd"))</f>
        <v/>
      </c>
      <c r="D237" s="11"/>
      <c r="E237" s="8" t="str">
        <f aca="false">IF(D237="","",IFERROR(INDEX(ProjNumbers,MATCH(D237,ProjNames,0)),""))</f>
        <v/>
      </c>
      <c r="F237" s="8" t="str">
        <f aca="false">IF(D237="","",IFERROR(INDEX(ProjCodes,MATCH(D237,ProjNames,0)),""))</f>
        <v/>
      </c>
      <c r="G237" s="32"/>
      <c r="H237" s="11"/>
      <c r="I237" s="33"/>
      <c r="J237" s="8" t="str">
        <f aca="false">IF(COUNTA(B237,D237,G237,H237,I237)=0,"",IF(B237="","Enter date",IF(OR(B237&lt;$AC$2,B237&gt;$AC$3),"Date not in March",IF(D237="","Pick project",IF(ISNA(MATCH(D237,ProjNames,0)),"Project not in list",IF(G237="","Add task description",IF(H237="","Pick NTIME or P6",IF(N(I237)&lt;=0,"Enter hours",IF(AND(AllowOT&lt;&gt;"Yes",SUMIF($B$7:$B$256,B237,$I$7:$I$256)&gt;INDEX($O$58:$O$88,DAY(B237))),"Day over "&amp;INDEX($O$58:$O$88,DAY(B237))&amp;" h","✓")))))))))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5" hidden="false" customHeight="false" outlineLevel="0" collapsed="false">
      <c r="A238" s="1"/>
      <c r="B238" s="10"/>
      <c r="C238" s="31" t="str">
        <f aca="false">IF(B238="","",TEXT(B238,"ddd"))</f>
        <v/>
      </c>
      <c r="D238" s="11"/>
      <c r="E238" s="8" t="str">
        <f aca="false">IF(D238="","",IFERROR(INDEX(ProjNumbers,MATCH(D238,ProjNames,0)),""))</f>
        <v/>
      </c>
      <c r="F238" s="8" t="str">
        <f aca="false">IF(D238="","",IFERROR(INDEX(ProjCodes,MATCH(D238,ProjNames,0)),""))</f>
        <v/>
      </c>
      <c r="G238" s="32"/>
      <c r="H238" s="11"/>
      <c r="I238" s="33"/>
      <c r="J238" s="8" t="str">
        <f aca="false">IF(COUNTA(B238,D238,G238,H238,I238)=0,"",IF(B238="","Enter date",IF(OR(B238&lt;$AC$2,B238&gt;$AC$3),"Date not in March",IF(D238="","Pick project",IF(ISNA(MATCH(D238,ProjNames,0)),"Project not in list",IF(G238="","Add task description",IF(H238="","Pick NTIME or P6",IF(N(I238)&lt;=0,"Enter hours",IF(AND(AllowOT&lt;&gt;"Yes",SUMIF($B$7:$B$256,B238,$I$7:$I$256)&gt;INDEX($O$58:$O$88,DAY(B238))),"Day over "&amp;INDEX($O$58:$O$88,DAY(B238))&amp;" h","✓")))))))))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5" hidden="false" customHeight="false" outlineLevel="0" collapsed="false">
      <c r="A239" s="1"/>
      <c r="B239" s="10"/>
      <c r="C239" s="31" t="str">
        <f aca="false">IF(B239="","",TEXT(B239,"ddd"))</f>
        <v/>
      </c>
      <c r="D239" s="11"/>
      <c r="E239" s="8" t="str">
        <f aca="false">IF(D239="","",IFERROR(INDEX(ProjNumbers,MATCH(D239,ProjNames,0)),""))</f>
        <v/>
      </c>
      <c r="F239" s="8" t="str">
        <f aca="false">IF(D239="","",IFERROR(INDEX(ProjCodes,MATCH(D239,ProjNames,0)),""))</f>
        <v/>
      </c>
      <c r="G239" s="32"/>
      <c r="H239" s="11"/>
      <c r="I239" s="33"/>
      <c r="J239" s="8" t="str">
        <f aca="false">IF(COUNTA(B239,D239,G239,H239,I239)=0,"",IF(B239="","Enter date",IF(OR(B239&lt;$AC$2,B239&gt;$AC$3),"Date not in March",IF(D239="","Pick project",IF(ISNA(MATCH(D239,ProjNames,0)),"Project not in list",IF(G239="","Add task description",IF(H239="","Pick NTIME or P6",IF(N(I239)&lt;=0,"Enter hours",IF(AND(AllowOT&lt;&gt;"Yes",SUMIF($B$7:$B$256,B239,$I$7:$I$256)&gt;INDEX($O$58:$O$88,DAY(B239))),"Day over "&amp;INDEX($O$58:$O$88,DAY(B239))&amp;" h","✓")))))))))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5" hidden="false" customHeight="false" outlineLevel="0" collapsed="false">
      <c r="A240" s="1"/>
      <c r="B240" s="10"/>
      <c r="C240" s="31" t="str">
        <f aca="false">IF(B240="","",TEXT(B240,"ddd"))</f>
        <v/>
      </c>
      <c r="D240" s="11"/>
      <c r="E240" s="8" t="str">
        <f aca="false">IF(D240="","",IFERROR(INDEX(ProjNumbers,MATCH(D240,ProjNames,0)),""))</f>
        <v/>
      </c>
      <c r="F240" s="8" t="str">
        <f aca="false">IF(D240="","",IFERROR(INDEX(ProjCodes,MATCH(D240,ProjNames,0)),""))</f>
        <v/>
      </c>
      <c r="G240" s="32"/>
      <c r="H240" s="11"/>
      <c r="I240" s="33"/>
      <c r="J240" s="8" t="str">
        <f aca="false">IF(COUNTA(B240,D240,G240,H240,I240)=0,"",IF(B240="","Enter date",IF(OR(B240&lt;$AC$2,B240&gt;$AC$3),"Date not in March",IF(D240="","Pick project",IF(ISNA(MATCH(D240,ProjNames,0)),"Project not in list",IF(G240="","Add task description",IF(H240="","Pick NTIME or P6",IF(N(I240)&lt;=0,"Enter hours",IF(AND(AllowOT&lt;&gt;"Yes",SUMIF($B$7:$B$256,B240,$I$7:$I$256)&gt;INDEX($O$58:$O$88,DAY(B240))),"Day over "&amp;INDEX($O$58:$O$88,DAY(B240))&amp;" h","✓")))))))))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5" hidden="false" customHeight="false" outlineLevel="0" collapsed="false">
      <c r="A241" s="1"/>
      <c r="B241" s="10"/>
      <c r="C241" s="31" t="str">
        <f aca="false">IF(B241="","",TEXT(B241,"ddd"))</f>
        <v/>
      </c>
      <c r="D241" s="11"/>
      <c r="E241" s="8" t="str">
        <f aca="false">IF(D241="","",IFERROR(INDEX(ProjNumbers,MATCH(D241,ProjNames,0)),""))</f>
        <v/>
      </c>
      <c r="F241" s="8" t="str">
        <f aca="false">IF(D241="","",IFERROR(INDEX(ProjCodes,MATCH(D241,ProjNames,0)),""))</f>
        <v/>
      </c>
      <c r="G241" s="32"/>
      <c r="H241" s="11"/>
      <c r="I241" s="33"/>
      <c r="J241" s="8" t="str">
        <f aca="false">IF(COUNTA(B241,D241,G241,H241,I241)=0,"",IF(B241="","Enter date",IF(OR(B241&lt;$AC$2,B241&gt;$AC$3),"Date not in March",IF(D241="","Pick project",IF(ISNA(MATCH(D241,ProjNames,0)),"Project not in list",IF(G241="","Add task description",IF(H241="","Pick NTIME or P6",IF(N(I241)&lt;=0,"Enter hours",IF(AND(AllowOT&lt;&gt;"Yes",SUMIF($B$7:$B$256,B241,$I$7:$I$256)&gt;INDEX($O$58:$O$88,DAY(B241))),"Day over "&amp;INDEX($O$58:$O$88,DAY(B241))&amp;" h","✓")))))))))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5" hidden="false" customHeight="false" outlineLevel="0" collapsed="false">
      <c r="A242" s="1"/>
      <c r="B242" s="10"/>
      <c r="C242" s="31" t="str">
        <f aca="false">IF(B242="","",TEXT(B242,"ddd"))</f>
        <v/>
      </c>
      <c r="D242" s="11"/>
      <c r="E242" s="8" t="str">
        <f aca="false">IF(D242="","",IFERROR(INDEX(ProjNumbers,MATCH(D242,ProjNames,0)),""))</f>
        <v/>
      </c>
      <c r="F242" s="8" t="str">
        <f aca="false">IF(D242="","",IFERROR(INDEX(ProjCodes,MATCH(D242,ProjNames,0)),""))</f>
        <v/>
      </c>
      <c r="G242" s="32"/>
      <c r="H242" s="11"/>
      <c r="I242" s="33"/>
      <c r="J242" s="8" t="str">
        <f aca="false">IF(COUNTA(B242,D242,G242,H242,I242)=0,"",IF(B242="","Enter date",IF(OR(B242&lt;$AC$2,B242&gt;$AC$3),"Date not in March",IF(D242="","Pick project",IF(ISNA(MATCH(D242,ProjNames,0)),"Project not in list",IF(G242="","Add task description",IF(H242="","Pick NTIME or P6",IF(N(I242)&lt;=0,"Enter hours",IF(AND(AllowOT&lt;&gt;"Yes",SUMIF($B$7:$B$256,B242,$I$7:$I$256)&gt;INDEX($O$58:$O$88,DAY(B242))),"Day over "&amp;INDEX($O$58:$O$88,DAY(B242))&amp;" h","✓")))))))))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5" hidden="false" customHeight="false" outlineLevel="0" collapsed="false">
      <c r="A243" s="1"/>
      <c r="B243" s="10"/>
      <c r="C243" s="31" t="str">
        <f aca="false">IF(B243="","",TEXT(B243,"ddd"))</f>
        <v/>
      </c>
      <c r="D243" s="11"/>
      <c r="E243" s="8" t="str">
        <f aca="false">IF(D243="","",IFERROR(INDEX(ProjNumbers,MATCH(D243,ProjNames,0)),""))</f>
        <v/>
      </c>
      <c r="F243" s="8" t="str">
        <f aca="false">IF(D243="","",IFERROR(INDEX(ProjCodes,MATCH(D243,ProjNames,0)),""))</f>
        <v/>
      </c>
      <c r="G243" s="32"/>
      <c r="H243" s="11"/>
      <c r="I243" s="33"/>
      <c r="J243" s="8" t="str">
        <f aca="false">IF(COUNTA(B243,D243,G243,H243,I243)=0,"",IF(B243="","Enter date",IF(OR(B243&lt;$AC$2,B243&gt;$AC$3),"Date not in March",IF(D243="","Pick project",IF(ISNA(MATCH(D243,ProjNames,0)),"Project not in list",IF(G243="","Add task description",IF(H243="","Pick NTIME or P6",IF(N(I243)&lt;=0,"Enter hours",IF(AND(AllowOT&lt;&gt;"Yes",SUMIF($B$7:$B$256,B243,$I$7:$I$256)&gt;INDEX($O$58:$O$88,DAY(B243))),"Day over "&amp;INDEX($O$58:$O$88,DAY(B243))&amp;" h","✓")))))))))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5" hidden="false" customHeight="false" outlineLevel="0" collapsed="false">
      <c r="A244" s="1"/>
      <c r="B244" s="10"/>
      <c r="C244" s="31" t="str">
        <f aca="false">IF(B244="","",TEXT(B244,"ddd"))</f>
        <v/>
      </c>
      <c r="D244" s="11"/>
      <c r="E244" s="8" t="str">
        <f aca="false">IF(D244="","",IFERROR(INDEX(ProjNumbers,MATCH(D244,ProjNames,0)),""))</f>
        <v/>
      </c>
      <c r="F244" s="8" t="str">
        <f aca="false">IF(D244="","",IFERROR(INDEX(ProjCodes,MATCH(D244,ProjNames,0)),""))</f>
        <v/>
      </c>
      <c r="G244" s="32"/>
      <c r="H244" s="11"/>
      <c r="I244" s="33"/>
      <c r="J244" s="8" t="str">
        <f aca="false">IF(COUNTA(B244,D244,G244,H244,I244)=0,"",IF(B244="","Enter date",IF(OR(B244&lt;$AC$2,B244&gt;$AC$3),"Date not in March",IF(D244="","Pick project",IF(ISNA(MATCH(D244,ProjNames,0)),"Project not in list",IF(G244="","Add task description",IF(H244="","Pick NTIME or P6",IF(N(I244)&lt;=0,"Enter hours",IF(AND(AllowOT&lt;&gt;"Yes",SUMIF($B$7:$B$256,B244,$I$7:$I$256)&gt;INDEX($O$58:$O$88,DAY(B244))),"Day over "&amp;INDEX($O$58:$O$88,DAY(B244))&amp;" h","✓")))))))))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5" hidden="false" customHeight="false" outlineLevel="0" collapsed="false">
      <c r="A245" s="1"/>
      <c r="B245" s="10"/>
      <c r="C245" s="31" t="str">
        <f aca="false">IF(B245="","",TEXT(B245,"ddd"))</f>
        <v/>
      </c>
      <c r="D245" s="11"/>
      <c r="E245" s="8" t="str">
        <f aca="false">IF(D245="","",IFERROR(INDEX(ProjNumbers,MATCH(D245,ProjNames,0)),""))</f>
        <v/>
      </c>
      <c r="F245" s="8" t="str">
        <f aca="false">IF(D245="","",IFERROR(INDEX(ProjCodes,MATCH(D245,ProjNames,0)),""))</f>
        <v/>
      </c>
      <c r="G245" s="32"/>
      <c r="H245" s="11"/>
      <c r="I245" s="33"/>
      <c r="J245" s="8" t="str">
        <f aca="false">IF(COUNTA(B245,D245,G245,H245,I245)=0,"",IF(B245="","Enter date",IF(OR(B245&lt;$AC$2,B245&gt;$AC$3),"Date not in March",IF(D245="","Pick project",IF(ISNA(MATCH(D245,ProjNames,0)),"Project not in list",IF(G245="","Add task description",IF(H245="","Pick NTIME or P6",IF(N(I245)&lt;=0,"Enter hours",IF(AND(AllowOT&lt;&gt;"Yes",SUMIF($B$7:$B$256,B245,$I$7:$I$256)&gt;INDEX($O$58:$O$88,DAY(B245))),"Day over "&amp;INDEX($O$58:$O$88,DAY(B245))&amp;" h","✓")))))))))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5" hidden="false" customHeight="false" outlineLevel="0" collapsed="false">
      <c r="A246" s="1"/>
      <c r="B246" s="10"/>
      <c r="C246" s="31" t="str">
        <f aca="false">IF(B246="","",TEXT(B246,"ddd"))</f>
        <v/>
      </c>
      <c r="D246" s="11"/>
      <c r="E246" s="8" t="str">
        <f aca="false">IF(D246="","",IFERROR(INDEX(ProjNumbers,MATCH(D246,ProjNames,0)),""))</f>
        <v/>
      </c>
      <c r="F246" s="8" t="str">
        <f aca="false">IF(D246="","",IFERROR(INDEX(ProjCodes,MATCH(D246,ProjNames,0)),""))</f>
        <v/>
      </c>
      <c r="G246" s="32"/>
      <c r="H246" s="11"/>
      <c r="I246" s="33"/>
      <c r="J246" s="8" t="str">
        <f aca="false">IF(COUNTA(B246,D246,G246,H246,I246)=0,"",IF(B246="","Enter date",IF(OR(B246&lt;$AC$2,B246&gt;$AC$3),"Date not in March",IF(D246="","Pick project",IF(ISNA(MATCH(D246,ProjNames,0)),"Project not in list",IF(G246="","Add task description",IF(H246="","Pick NTIME or P6",IF(N(I246)&lt;=0,"Enter hours",IF(AND(AllowOT&lt;&gt;"Yes",SUMIF($B$7:$B$256,B246,$I$7:$I$256)&gt;INDEX($O$58:$O$88,DAY(B246))),"Day over "&amp;INDEX($O$58:$O$88,DAY(B246))&amp;" h","✓")))))))))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5" hidden="false" customHeight="false" outlineLevel="0" collapsed="false">
      <c r="A247" s="1"/>
      <c r="B247" s="10"/>
      <c r="C247" s="31" t="str">
        <f aca="false">IF(B247="","",TEXT(B247,"ddd"))</f>
        <v/>
      </c>
      <c r="D247" s="11"/>
      <c r="E247" s="8" t="str">
        <f aca="false">IF(D247="","",IFERROR(INDEX(ProjNumbers,MATCH(D247,ProjNames,0)),""))</f>
        <v/>
      </c>
      <c r="F247" s="8" t="str">
        <f aca="false">IF(D247="","",IFERROR(INDEX(ProjCodes,MATCH(D247,ProjNames,0)),""))</f>
        <v/>
      </c>
      <c r="G247" s="32"/>
      <c r="H247" s="11"/>
      <c r="I247" s="33"/>
      <c r="J247" s="8" t="str">
        <f aca="false">IF(COUNTA(B247,D247,G247,H247,I247)=0,"",IF(B247="","Enter date",IF(OR(B247&lt;$AC$2,B247&gt;$AC$3),"Date not in March",IF(D247="","Pick project",IF(ISNA(MATCH(D247,ProjNames,0)),"Project not in list",IF(G247="","Add task description",IF(H247="","Pick NTIME or P6",IF(N(I247)&lt;=0,"Enter hours",IF(AND(AllowOT&lt;&gt;"Yes",SUMIF($B$7:$B$256,B247,$I$7:$I$256)&gt;INDEX($O$58:$O$88,DAY(B247))),"Day over "&amp;INDEX($O$58:$O$88,DAY(B247))&amp;" h","✓")))))))))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5" hidden="false" customHeight="false" outlineLevel="0" collapsed="false">
      <c r="A248" s="1"/>
      <c r="B248" s="10"/>
      <c r="C248" s="31" t="str">
        <f aca="false">IF(B248="","",TEXT(B248,"ddd"))</f>
        <v/>
      </c>
      <c r="D248" s="11"/>
      <c r="E248" s="8" t="str">
        <f aca="false">IF(D248="","",IFERROR(INDEX(ProjNumbers,MATCH(D248,ProjNames,0)),""))</f>
        <v/>
      </c>
      <c r="F248" s="8" t="str">
        <f aca="false">IF(D248="","",IFERROR(INDEX(ProjCodes,MATCH(D248,ProjNames,0)),""))</f>
        <v/>
      </c>
      <c r="G248" s="32"/>
      <c r="H248" s="11"/>
      <c r="I248" s="33"/>
      <c r="J248" s="8" t="str">
        <f aca="false">IF(COUNTA(B248,D248,G248,H248,I248)=0,"",IF(B248="","Enter date",IF(OR(B248&lt;$AC$2,B248&gt;$AC$3),"Date not in March",IF(D248="","Pick project",IF(ISNA(MATCH(D248,ProjNames,0)),"Project not in list",IF(G248="","Add task description",IF(H248="","Pick NTIME or P6",IF(N(I248)&lt;=0,"Enter hours",IF(AND(AllowOT&lt;&gt;"Yes",SUMIF($B$7:$B$256,B248,$I$7:$I$256)&gt;INDEX($O$58:$O$88,DAY(B248))),"Day over "&amp;INDEX($O$58:$O$88,DAY(B248))&amp;" h","✓")))))))))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5" hidden="false" customHeight="false" outlineLevel="0" collapsed="false">
      <c r="A249" s="1"/>
      <c r="B249" s="10"/>
      <c r="C249" s="31" t="str">
        <f aca="false">IF(B249="","",TEXT(B249,"ddd"))</f>
        <v/>
      </c>
      <c r="D249" s="11"/>
      <c r="E249" s="8" t="str">
        <f aca="false">IF(D249="","",IFERROR(INDEX(ProjNumbers,MATCH(D249,ProjNames,0)),""))</f>
        <v/>
      </c>
      <c r="F249" s="8" t="str">
        <f aca="false">IF(D249="","",IFERROR(INDEX(ProjCodes,MATCH(D249,ProjNames,0)),""))</f>
        <v/>
      </c>
      <c r="G249" s="32"/>
      <c r="H249" s="11"/>
      <c r="I249" s="33"/>
      <c r="J249" s="8" t="str">
        <f aca="false">IF(COUNTA(B249,D249,G249,H249,I249)=0,"",IF(B249="","Enter date",IF(OR(B249&lt;$AC$2,B249&gt;$AC$3),"Date not in March",IF(D249="","Pick project",IF(ISNA(MATCH(D249,ProjNames,0)),"Project not in list",IF(G249="","Add task description",IF(H249="","Pick NTIME or P6",IF(N(I249)&lt;=0,"Enter hours",IF(AND(AllowOT&lt;&gt;"Yes",SUMIF($B$7:$B$256,B249,$I$7:$I$256)&gt;INDEX($O$58:$O$88,DAY(B249))),"Day over "&amp;INDEX($O$58:$O$88,DAY(B249))&amp;" h","✓")))))))))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5" hidden="false" customHeight="false" outlineLevel="0" collapsed="false">
      <c r="A250" s="1"/>
      <c r="B250" s="10"/>
      <c r="C250" s="31" t="str">
        <f aca="false">IF(B250="","",TEXT(B250,"ddd"))</f>
        <v/>
      </c>
      <c r="D250" s="11"/>
      <c r="E250" s="8" t="str">
        <f aca="false">IF(D250="","",IFERROR(INDEX(ProjNumbers,MATCH(D250,ProjNames,0)),""))</f>
        <v/>
      </c>
      <c r="F250" s="8" t="str">
        <f aca="false">IF(D250="","",IFERROR(INDEX(ProjCodes,MATCH(D250,ProjNames,0)),""))</f>
        <v/>
      </c>
      <c r="G250" s="32"/>
      <c r="H250" s="11"/>
      <c r="I250" s="33"/>
      <c r="J250" s="8" t="str">
        <f aca="false">IF(COUNTA(B250,D250,G250,H250,I250)=0,"",IF(B250="","Enter date",IF(OR(B250&lt;$AC$2,B250&gt;$AC$3),"Date not in March",IF(D250="","Pick project",IF(ISNA(MATCH(D250,ProjNames,0)),"Project not in list",IF(G250="","Add task description",IF(H250="","Pick NTIME or P6",IF(N(I250)&lt;=0,"Enter hours",IF(AND(AllowOT&lt;&gt;"Yes",SUMIF($B$7:$B$256,B250,$I$7:$I$256)&gt;INDEX($O$58:$O$88,DAY(B250))),"Day over "&amp;INDEX($O$58:$O$88,DAY(B250))&amp;" h","✓")))))))))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5" hidden="false" customHeight="false" outlineLevel="0" collapsed="false">
      <c r="A251" s="1"/>
      <c r="B251" s="10"/>
      <c r="C251" s="31" t="str">
        <f aca="false">IF(B251="","",TEXT(B251,"ddd"))</f>
        <v/>
      </c>
      <c r="D251" s="11"/>
      <c r="E251" s="8" t="str">
        <f aca="false">IF(D251="","",IFERROR(INDEX(ProjNumbers,MATCH(D251,ProjNames,0)),""))</f>
        <v/>
      </c>
      <c r="F251" s="8" t="str">
        <f aca="false">IF(D251="","",IFERROR(INDEX(ProjCodes,MATCH(D251,ProjNames,0)),""))</f>
        <v/>
      </c>
      <c r="G251" s="32"/>
      <c r="H251" s="11"/>
      <c r="I251" s="33"/>
      <c r="J251" s="8" t="str">
        <f aca="false">IF(COUNTA(B251,D251,G251,H251,I251)=0,"",IF(B251="","Enter date",IF(OR(B251&lt;$AC$2,B251&gt;$AC$3),"Date not in March",IF(D251="","Pick project",IF(ISNA(MATCH(D251,ProjNames,0)),"Project not in list",IF(G251="","Add task description",IF(H251="","Pick NTIME or P6",IF(N(I251)&lt;=0,"Enter hours",IF(AND(AllowOT&lt;&gt;"Yes",SUMIF($B$7:$B$256,B251,$I$7:$I$256)&gt;INDEX($O$58:$O$88,DAY(B251))),"Day over "&amp;INDEX($O$58:$O$88,DAY(B251))&amp;" h","✓")))))))))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5" hidden="false" customHeight="false" outlineLevel="0" collapsed="false">
      <c r="A252" s="1"/>
      <c r="B252" s="10"/>
      <c r="C252" s="31" t="str">
        <f aca="false">IF(B252="","",TEXT(B252,"ddd"))</f>
        <v/>
      </c>
      <c r="D252" s="11"/>
      <c r="E252" s="8" t="str">
        <f aca="false">IF(D252="","",IFERROR(INDEX(ProjNumbers,MATCH(D252,ProjNames,0)),""))</f>
        <v/>
      </c>
      <c r="F252" s="8" t="str">
        <f aca="false">IF(D252="","",IFERROR(INDEX(ProjCodes,MATCH(D252,ProjNames,0)),""))</f>
        <v/>
      </c>
      <c r="G252" s="32"/>
      <c r="H252" s="11"/>
      <c r="I252" s="33"/>
      <c r="J252" s="8" t="str">
        <f aca="false">IF(COUNTA(B252,D252,G252,H252,I252)=0,"",IF(B252="","Enter date",IF(OR(B252&lt;$AC$2,B252&gt;$AC$3),"Date not in March",IF(D252="","Pick project",IF(ISNA(MATCH(D252,ProjNames,0)),"Project not in list",IF(G252="","Add task description",IF(H252="","Pick NTIME or P6",IF(N(I252)&lt;=0,"Enter hours",IF(AND(AllowOT&lt;&gt;"Yes",SUMIF($B$7:$B$256,B252,$I$7:$I$256)&gt;INDEX($O$58:$O$88,DAY(B252))),"Day over "&amp;INDEX($O$58:$O$88,DAY(B252))&amp;" h","✓")))))))))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5" hidden="false" customHeight="false" outlineLevel="0" collapsed="false">
      <c r="A253" s="1"/>
      <c r="B253" s="10"/>
      <c r="C253" s="31" t="str">
        <f aca="false">IF(B253="","",TEXT(B253,"ddd"))</f>
        <v/>
      </c>
      <c r="D253" s="11"/>
      <c r="E253" s="8" t="str">
        <f aca="false">IF(D253="","",IFERROR(INDEX(ProjNumbers,MATCH(D253,ProjNames,0)),""))</f>
        <v/>
      </c>
      <c r="F253" s="8" t="str">
        <f aca="false">IF(D253="","",IFERROR(INDEX(ProjCodes,MATCH(D253,ProjNames,0)),""))</f>
        <v/>
      </c>
      <c r="G253" s="32"/>
      <c r="H253" s="11"/>
      <c r="I253" s="33"/>
      <c r="J253" s="8" t="str">
        <f aca="false">IF(COUNTA(B253,D253,G253,H253,I253)=0,"",IF(B253="","Enter date",IF(OR(B253&lt;$AC$2,B253&gt;$AC$3),"Date not in March",IF(D253="","Pick project",IF(ISNA(MATCH(D253,ProjNames,0)),"Project not in list",IF(G253="","Add task description",IF(H253="","Pick NTIME or P6",IF(N(I253)&lt;=0,"Enter hours",IF(AND(AllowOT&lt;&gt;"Yes",SUMIF($B$7:$B$256,B253,$I$7:$I$256)&gt;INDEX($O$58:$O$88,DAY(B253))),"Day over "&amp;INDEX($O$58:$O$88,DAY(B253))&amp;" h","✓")))))))))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5" hidden="false" customHeight="false" outlineLevel="0" collapsed="false">
      <c r="A254" s="1"/>
      <c r="B254" s="10"/>
      <c r="C254" s="31" t="str">
        <f aca="false">IF(B254="","",TEXT(B254,"ddd"))</f>
        <v/>
      </c>
      <c r="D254" s="11"/>
      <c r="E254" s="8" t="str">
        <f aca="false">IF(D254="","",IFERROR(INDEX(ProjNumbers,MATCH(D254,ProjNames,0)),""))</f>
        <v/>
      </c>
      <c r="F254" s="8" t="str">
        <f aca="false">IF(D254="","",IFERROR(INDEX(ProjCodes,MATCH(D254,ProjNames,0)),""))</f>
        <v/>
      </c>
      <c r="G254" s="32"/>
      <c r="H254" s="11"/>
      <c r="I254" s="33"/>
      <c r="J254" s="8" t="str">
        <f aca="false">IF(COUNTA(B254,D254,G254,H254,I254)=0,"",IF(B254="","Enter date",IF(OR(B254&lt;$AC$2,B254&gt;$AC$3),"Date not in March",IF(D254="","Pick project",IF(ISNA(MATCH(D254,ProjNames,0)),"Project not in list",IF(G254="","Add task description",IF(H254="","Pick NTIME or P6",IF(N(I254)&lt;=0,"Enter hours",IF(AND(AllowOT&lt;&gt;"Yes",SUMIF($B$7:$B$256,B254,$I$7:$I$256)&gt;INDEX($O$58:$O$88,DAY(B254))),"Day over "&amp;INDEX($O$58:$O$88,DAY(B254))&amp;" h","✓")))))))))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5" hidden="false" customHeight="false" outlineLevel="0" collapsed="false">
      <c r="A255" s="1"/>
      <c r="B255" s="10"/>
      <c r="C255" s="31" t="str">
        <f aca="false">IF(B255="","",TEXT(B255,"ddd"))</f>
        <v/>
      </c>
      <c r="D255" s="11"/>
      <c r="E255" s="8" t="str">
        <f aca="false">IF(D255="","",IFERROR(INDEX(ProjNumbers,MATCH(D255,ProjNames,0)),""))</f>
        <v/>
      </c>
      <c r="F255" s="8" t="str">
        <f aca="false">IF(D255="","",IFERROR(INDEX(ProjCodes,MATCH(D255,ProjNames,0)),""))</f>
        <v/>
      </c>
      <c r="G255" s="32"/>
      <c r="H255" s="11"/>
      <c r="I255" s="33"/>
      <c r="J255" s="8" t="str">
        <f aca="false">IF(COUNTA(B255,D255,G255,H255,I255)=0,"",IF(B255="","Enter date",IF(OR(B255&lt;$AC$2,B255&gt;$AC$3),"Date not in March",IF(D255="","Pick project",IF(ISNA(MATCH(D255,ProjNames,0)),"Project not in list",IF(G255="","Add task description",IF(H255="","Pick NTIME or P6",IF(N(I255)&lt;=0,"Enter hours",IF(AND(AllowOT&lt;&gt;"Yes",SUMIF($B$7:$B$256,B255,$I$7:$I$256)&gt;INDEX($O$58:$O$88,DAY(B255))),"Day over "&amp;INDEX($O$58:$O$88,DAY(B255))&amp;" h","✓")))))))))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5" hidden="false" customHeight="false" outlineLevel="0" collapsed="false">
      <c r="A256" s="1"/>
      <c r="B256" s="10"/>
      <c r="C256" s="31" t="str">
        <f aca="false">IF(B256="","",TEXT(B256,"ddd"))</f>
        <v/>
      </c>
      <c r="D256" s="11"/>
      <c r="E256" s="8" t="str">
        <f aca="false">IF(D256="","",IFERROR(INDEX(ProjNumbers,MATCH(D256,ProjNames,0)),""))</f>
        <v/>
      </c>
      <c r="F256" s="8" t="str">
        <f aca="false">IF(D256="","",IFERROR(INDEX(ProjCodes,MATCH(D256,ProjNames,0)),""))</f>
        <v/>
      </c>
      <c r="G256" s="32"/>
      <c r="H256" s="11"/>
      <c r="I256" s="33"/>
      <c r="J256" s="8" t="str">
        <f aca="false">IF(COUNTA(B256,D256,G256,H256,I256)=0,"",IF(B256="","Enter date",IF(OR(B256&lt;$AC$2,B256&gt;$AC$3),"Date not in March",IF(D256="","Pick project",IF(ISNA(MATCH(D256,ProjNames,0)),"Project not in list",IF(G256="","Add task description",IF(H256="","Pick NTIME or P6",IF(N(I256)&lt;=0,"Enter hours",IF(AND(AllowOT&lt;&gt;"Yes",SUMIF($B$7:$B$256,B256,$I$7:$I$256)&gt;INDEX($O$58:$O$88,DAY(B256))),"Day over "&amp;INDEX($O$58:$O$88,DAY(B256))&amp;" h","✓")))))))))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</sheetData>
  <conditionalFormatting sqref="J7:J256">
    <cfRule type="expression" priority="2" aboveAverage="0" equalAverage="0" bottom="0" percent="0" rank="0" text="" dxfId="0">
      <formula>AND(J7&lt;&gt;"",J7&lt;&gt;"✓")</formula>
    </cfRule>
  </conditionalFormatting>
  <conditionalFormatting sqref="H7:H256">
    <cfRule type="expression" priority="3" aboveAverage="0" equalAverage="0" bottom="0" percent="0" rank="0" text="" dxfId="1">
      <formula>H7="NTIME"</formula>
    </cfRule>
    <cfRule type="expression" priority="4" aboveAverage="0" equalAverage="0" bottom="0" percent="0" rank="0" text="" dxfId="2">
      <formula>H7="P6"</formula>
    </cfRule>
  </conditionalFormatting>
  <conditionalFormatting sqref="S5">
    <cfRule type="expression" priority="5" aboveAverage="0" equalAverage="0" bottom="0" percent="0" rank="0" text="" dxfId="3">
      <formula>S5&gt;0</formula>
    </cfRule>
  </conditionalFormatting>
  <conditionalFormatting sqref="L52:R52">
    <cfRule type="expression" priority="6" aboveAverage="0" equalAverage="0" bottom="0" percent="0" rank="0" text="" dxfId="4">
      <formula>$Q$52&gt;0</formula>
    </cfRule>
  </conditionalFormatting>
  <conditionalFormatting sqref="L58:U88">
    <cfRule type="expression" priority="7" aboveAverage="0" equalAverage="0" bottom="0" percent="0" rank="0" text="" dxfId="5">
      <formula>$L58=TODAY()</formula>
    </cfRule>
    <cfRule type="expression" priority="8" aboveAverage="0" equalAverage="0" bottom="0" percent="0" rank="0" text="" dxfId="6">
      <formula>OR($N58="Weekend",$N58="Leave",$N58="Public Holiday")</formula>
    </cfRule>
  </conditionalFormatting>
  <conditionalFormatting sqref="U58:U88">
    <cfRule type="expression" priority="9" aboveAverage="0" equalAverage="0" bottom="0" percent="0" rank="0" text="" dxfId="7">
      <formula>OR(U58="Not logged",LEFT(U58,5)="Over ",LEFT(U58,7)="Entries")</formula>
    </cfRule>
    <cfRule type="expression" priority="10" aboveAverage="0" equalAverage="0" bottom="0" percent="0" rank="0" text="" dxfId="8">
      <formula>LEFT(U58,1)="✓"</formula>
    </cfRule>
  </conditionalFormatting>
  <dataValidations count="7">
    <dataValidation allowBlank="false" error="Enter a date in March 2026." errorStyle="stop" errorTitle="Date" operator="between" showDropDown="false" showErrorMessage="true" showInputMessage="false" sqref="B7:B256" type="date">
      <formula1>DATE(2026,3,1)</formula1>
      <formula2>DATE(2026,3,31)</formula2>
    </dataValidation>
    <dataValidation allowBlank="false" error="Pick a project from the list. Add new projects on the Projects sheet first." errorStyle="stop" errorTitle="Project" operator="between" showDropDown="false" showErrorMessage="true" showInputMessage="false" sqref="D7:D256" type="list">
      <formula1>ProjNames</formula1>
      <formula2>0</formula2>
    </dataValidation>
    <dataValidation allowBlank="false" errorStyle="stop" operator="between" showDropDown="false" showErrorMessage="true" showInputMessage="false" sqref="H7:H256" type="list">
      <formula1>"NTIME,P6"</formula1>
      <formula2>0</formula2>
    </dataValidation>
    <dataValidation allowBlank="false" error="Hours must be more than 0 and at most 24." errorStyle="stop" operator="between" showDropDown="false" showErrorMessage="true" showInputMessage="false" sqref="I7:I256" type="decimal">
      <formula1>0.01</formula1>
      <formula2>24</formula2>
    </dataValidation>
    <dataValidation allowBlank="false" error="Keep the task description to 200 characters." errorStyle="stop" operator="lessThanOrEqual" showDropDown="false" showErrorMessage="true" showInputMessage="false" sqref="G7:G256" type="textLength">
      <formula1>200</formula1>
      <formula2>0</formula2>
    </dataValidation>
    <dataValidation allowBlank="false" errorStyle="stop" operator="between" showDropDown="false" showErrorMessage="true" showInputMessage="false" sqref="N58:N88" type="list">
      <formula1>"Working,Overhead only,Leave,Public Holiday,Weekend"</formula1>
      <formula2>0</formula2>
    </dataValidation>
    <dataValidation allowBlank="false" errorStyle="stop" operator="between" showDropDown="false" showErrorMessage="true" showInputMessage="false" sqref="O58:O88" type="decimal">
      <formula1>0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true"/>
  </sheetPr>
  <dimension ref="A1:AH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9" min="15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true" outlineLevel="0" max="34" min="23" style="0" width="13"/>
  </cols>
  <sheetData>
    <row r="1" customFormat="false" ht="22.05" hidden="false" customHeight="false" outlineLevel="0" collapsed="false">
      <c r="A1" s="1"/>
      <c r="B1" s="2" t="s">
        <v>97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75</v>
      </c>
      <c r="AD1" s="1"/>
      <c r="AE1" s="1"/>
      <c r="AF1" s="1"/>
      <c r="AG1" s="1"/>
      <c r="AH1" s="1"/>
    </row>
    <row r="2" customFormat="false" ht="15" hidden="false" customHeight="false" outlineLevel="0" collapsed="false">
      <c r="A2" s="1"/>
      <c r="B2" s="3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0" t="n">
        <v>46113</v>
      </c>
      <c r="AD2" s="1"/>
      <c r="AE2" s="1"/>
      <c r="AF2" s="1"/>
      <c r="AG2" s="1"/>
      <c r="AH2" s="1"/>
    </row>
    <row r="3" customFormat="false" ht="15" hidden="false" customHeight="false" outlineLevel="0" collapsed="false">
      <c r="A3" s="1"/>
      <c r="B3" s="4" t="s">
        <v>77</v>
      </c>
      <c r="C3" s="1"/>
      <c r="D3" s="1"/>
      <c r="E3" s="1"/>
      <c r="F3" s="1"/>
      <c r="G3" s="1"/>
      <c r="H3" s="1"/>
      <c r="I3" s="1"/>
      <c r="J3" s="1"/>
      <c r="K3" s="1"/>
      <c r="L3" s="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0" t="n">
        <v>46142</v>
      </c>
      <c r="AD3" s="1"/>
      <c r="AE3" s="1"/>
      <c r="AF3" s="1"/>
      <c r="AG3" s="1"/>
      <c r="AH3" s="1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3" t="s">
        <v>50</v>
      </c>
      <c r="M4" s="13" t="str">
        <f aca="false">IF(OHSystem="NTIME","NTIME (incl. overhead)","NTIME")</f>
        <v>NTIME</v>
      </c>
      <c r="N4" s="13" t="str">
        <f aca="false">IF(OHSystem="P6","P6 (incl. overhead)","P6")</f>
        <v>P6</v>
      </c>
      <c r="O4" s="13" t="s">
        <v>15</v>
      </c>
      <c r="P4" s="13" t="s">
        <v>24</v>
      </c>
      <c r="Q4" s="13" t="s">
        <v>51</v>
      </c>
      <c r="R4" s="13" t="s">
        <v>52</v>
      </c>
      <c r="S4" s="13" t="s">
        <v>53</v>
      </c>
      <c r="T4" s="1"/>
      <c r="U4" s="1"/>
      <c r="V4" s="1"/>
      <c r="W4" s="1"/>
      <c r="X4" s="1"/>
      <c r="Y4" s="1"/>
      <c r="Z4" s="1"/>
      <c r="AA4" s="1"/>
      <c r="AB4" s="1"/>
      <c r="AC4" s="30" t="n">
        <f aca="false">AC2-MOD(WEEKDAY(AC2,2)-WeekStartNum,7)</f>
        <v>46111</v>
      </c>
      <c r="AD4" s="1"/>
      <c r="AE4" s="1"/>
      <c r="AF4" s="1"/>
      <c r="AG4" s="1"/>
      <c r="AH4" s="1"/>
    </row>
    <row r="5" customFormat="false" ht="30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 t="n">
        <f aca="false">SUM($T$58:$T$87)</f>
        <v>0</v>
      </c>
      <c r="M5" s="15" t="n">
        <f aca="false">SUM($P$58:$P$87)+IF(OHSystem="NTIME",SUM($R$58:$R$87),0)</f>
        <v>0</v>
      </c>
      <c r="N5" s="16" t="n">
        <f aca="false">SUM($Q$58:$Q$87)+IF(OHSystem="P6",SUM($R$58:$R$87),0)</f>
        <v>0</v>
      </c>
      <c r="O5" s="17" t="n">
        <f aca="false">SUM($R$58:$R$87)</f>
        <v>0</v>
      </c>
      <c r="P5" s="14" t="n">
        <f aca="false">SUM($S$58:$S$87)</f>
        <v>0</v>
      </c>
      <c r="Q5" s="18" t="str">
        <f aca="false">IF(L5=0,"-",(SUM($P$58:$P$87)+SUM($Q$58:$Q$87))/L5)</f>
        <v>-</v>
      </c>
      <c r="R5" s="19" t="n">
        <f aca="false">SUMPRODUCT(($N$58:$N$87="Working")*(($P$58:$P$87+$Q$58:$Q$87)&gt;0))+COUNTIF($N$58:$N$87,"Overhead only")</f>
        <v>0</v>
      </c>
      <c r="S5" s="19" t="n">
        <f aca="false">COUNTIF($U$58:$U$87,"Not logged")</f>
        <v>22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5" hidden="false" customHeight="false" outlineLevel="0" collapsed="false">
      <c r="A6" s="1"/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5" hidden="false" customHeight="false" outlineLevel="0" collapsed="false">
      <c r="A7" s="1"/>
      <c r="B7" s="10"/>
      <c r="C7" s="31" t="str">
        <f aca="false">IF(B7="","",TEXT(B7,"ddd"))</f>
        <v/>
      </c>
      <c r="D7" s="11"/>
      <c r="E7" s="8" t="str">
        <f aca="false">IF(D7="","",IFERROR(INDEX(ProjNumbers,MATCH(D7,ProjNames,0)),""))</f>
        <v/>
      </c>
      <c r="F7" s="8" t="str">
        <f aca="false">IF(D7="","",IFERROR(INDEX(ProjCodes,MATCH(D7,ProjNames,0)),""))</f>
        <v/>
      </c>
      <c r="G7" s="32"/>
      <c r="H7" s="11"/>
      <c r="I7" s="33"/>
      <c r="J7" s="8" t="str">
        <f aca="false">IF(COUNTA(B7,D7,G7,H7,I7)=0,"",IF(B7="","Enter date",IF(OR(B7&lt;$AC$2,B7&gt;$AC$3),"Date not in April",IF(D7="","Pick project",IF(ISNA(MATCH(D7,ProjNames,0)),"Project not in list",IF(G7="","Add task description",IF(H7="","Pick NTIME or P6",IF(N(I7)&lt;=0,"Enter hours",IF(AND(AllowOT&lt;&gt;"Yes",SUMIF($B$7:$B$256,B7,$I$7:$I$256)&gt;INDEX($O$58:$O$87,DAY(B7))),"Day over "&amp;INDEX($O$58:$O$87,DAY(B7))&amp;" h","✓")))))))))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tr">
        <f aca="false">IF(Projects!B5="","",Projects!B5)</f>
        <v>Project A</v>
      </c>
      <c r="X7" s="1" t="n">
        <f aca="false">IF(W7="",0,SUMIFS($I$7:$I$256,$D$7:$D$256,W7,$H$7:$H$256,"NTIME"))</f>
        <v>0</v>
      </c>
      <c r="Y7" s="1" t="n">
        <f aca="false">IF(W7="",0,SUMIFS($I$7:$I$256,$D$7:$D$256,W7,$H$7:$H$256,"P6"))</f>
        <v>0</v>
      </c>
      <c r="Z7" s="1" t="n">
        <f aca="false">X7+Y7</f>
        <v>0</v>
      </c>
      <c r="AA7" s="1" t="n">
        <f aca="false">IF(Z7&gt;0,Z7+(201-1)/10^6,0)</f>
        <v>0</v>
      </c>
      <c r="AB7" s="1"/>
      <c r="AC7" s="1"/>
      <c r="AD7" s="1"/>
      <c r="AE7" s="1"/>
      <c r="AF7" s="1"/>
      <c r="AG7" s="1"/>
      <c r="AH7" s="1"/>
    </row>
    <row r="8" customFormat="false" ht="15" hidden="false" customHeight="false" outlineLevel="0" collapsed="false">
      <c r="A8" s="1"/>
      <c r="B8" s="10"/>
      <c r="C8" s="31" t="str">
        <f aca="false">IF(B8="","",TEXT(B8,"ddd"))</f>
        <v/>
      </c>
      <c r="D8" s="11"/>
      <c r="E8" s="8" t="str">
        <f aca="false">IF(D8="","",IFERROR(INDEX(ProjNumbers,MATCH(D8,ProjNames,0)),""))</f>
        <v/>
      </c>
      <c r="F8" s="8" t="str">
        <f aca="false">IF(D8="","",IFERROR(INDEX(ProjCodes,MATCH(D8,ProjNames,0)),""))</f>
        <v/>
      </c>
      <c r="G8" s="32"/>
      <c r="H8" s="11"/>
      <c r="I8" s="33"/>
      <c r="J8" s="8" t="str">
        <f aca="false">IF(COUNTA(B8,D8,G8,H8,I8)=0,"",IF(B8="","Enter date",IF(OR(B8&lt;$AC$2,B8&gt;$AC$3),"Date not in April",IF(D8="","Pick project",IF(ISNA(MATCH(D8,ProjNames,0)),"Project not in list",IF(G8="","Add task description",IF(H8="","Pick NTIME or P6",IF(N(I8)&lt;=0,"Enter hours",IF(AND(AllowOT&lt;&gt;"Yes",SUMIF($B$7:$B$256,B8,$I$7:$I$256)&gt;INDEX($O$58:$O$87,DAY(B8))),"Day over "&amp;INDEX($O$58:$O$87,DAY(B8))&amp;" h","✓")))))))))</f>
        <v/>
      </c>
      <c r="K8" s="1"/>
      <c r="L8" s="4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f aca="false">IF(Projects!B6="","",Projects!B6)</f>
        <v/>
      </c>
      <c r="X8" s="1" t="n">
        <f aca="false">IF(W8="",0,SUMIFS($I$7:$I$256,$D$7:$D$256,W8,$H$7:$H$256,"NTIME"))</f>
        <v>0</v>
      </c>
      <c r="Y8" s="1" t="n">
        <f aca="false">IF(W8="",0,SUMIFS($I$7:$I$256,$D$7:$D$256,W8,$H$7:$H$256,"P6"))</f>
        <v>0</v>
      </c>
      <c r="Z8" s="1" t="n">
        <f aca="false">X8+Y8</f>
        <v>0</v>
      </c>
      <c r="AA8" s="1" t="n">
        <f aca="false">IF(Z8&gt;0,Z8+(201-2)/10^6,0)</f>
        <v>0</v>
      </c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/>
      <c r="B9" s="10"/>
      <c r="C9" s="31" t="str">
        <f aca="false">IF(B9="","",TEXT(B9,"ddd"))</f>
        <v/>
      </c>
      <c r="D9" s="11"/>
      <c r="E9" s="8" t="str">
        <f aca="false">IF(D9="","",IFERROR(INDEX(ProjNumbers,MATCH(D9,ProjNames,0)),""))</f>
        <v/>
      </c>
      <c r="F9" s="8" t="str">
        <f aca="false">IF(D9="","",IFERROR(INDEX(ProjCodes,MATCH(D9,ProjNames,0)),""))</f>
        <v/>
      </c>
      <c r="G9" s="32"/>
      <c r="H9" s="11"/>
      <c r="I9" s="33"/>
      <c r="J9" s="8" t="str">
        <f aca="false">IF(COUNTA(B9,D9,G9,H9,I9)=0,"",IF(B9="","Enter date",IF(OR(B9&lt;$AC$2,B9&gt;$AC$3),"Date not in April",IF(D9="","Pick project",IF(ISNA(MATCH(D9,ProjNames,0)),"Project not in list",IF(G9="","Add task description",IF(H9="","Pick NTIME or P6",IF(N(I9)&lt;=0,"Enter hours",IF(AND(AllowOT&lt;&gt;"Yes",SUMIF($B$7:$B$256,B9,$I$7:$I$256)&gt;INDEX($O$58:$O$87,DAY(B9))),"Day over "&amp;INDEX($O$58:$O$87,DAY(B9))&amp;" h","✓")))))))))</f>
        <v/>
      </c>
      <c r="K9" s="1"/>
      <c r="L9" s="9" t="s">
        <v>81</v>
      </c>
      <c r="M9" s="9" t="s">
        <v>82</v>
      </c>
      <c r="N9" s="9" t="s">
        <v>83</v>
      </c>
      <c r="O9" s="20" t="s">
        <v>46</v>
      </c>
      <c r="P9" s="21" t="s">
        <v>56</v>
      </c>
      <c r="Q9" s="22" t="s">
        <v>15</v>
      </c>
      <c r="R9" s="9" t="s">
        <v>24</v>
      </c>
      <c r="S9" s="9" t="s">
        <v>57</v>
      </c>
      <c r="T9" s="1"/>
      <c r="U9" s="1"/>
      <c r="V9" s="1"/>
      <c r="W9" s="1" t="str">
        <f aca="false">IF(Projects!B7="","",Projects!B7)</f>
        <v/>
      </c>
      <c r="X9" s="1" t="n">
        <f aca="false">IF(W9="",0,SUMIFS($I$7:$I$256,$D$7:$D$256,W9,$H$7:$H$256,"NTIME"))</f>
        <v>0</v>
      </c>
      <c r="Y9" s="1" t="n">
        <f aca="false">IF(W9="",0,SUMIFS($I$7:$I$256,$D$7:$D$256,W9,$H$7:$H$256,"P6"))</f>
        <v>0</v>
      </c>
      <c r="Z9" s="1" t="n">
        <f aca="false">X9+Y9</f>
        <v>0</v>
      </c>
      <c r="AA9" s="1" t="n">
        <f aca="false">IF(Z9&gt;0,Z9+(201-3)/10^6,0)</f>
        <v>0</v>
      </c>
      <c r="AB9" s="1"/>
      <c r="AC9" s="1"/>
      <c r="AD9" s="1"/>
      <c r="AE9" s="1"/>
      <c r="AF9" s="1" t="s">
        <v>46</v>
      </c>
      <c r="AG9" s="1" t="s">
        <v>56</v>
      </c>
      <c r="AH9" s="1" t="s">
        <v>15</v>
      </c>
    </row>
    <row r="10" customFormat="false" ht="15" hidden="false" customHeight="false" outlineLevel="0" collapsed="false">
      <c r="A10" s="1"/>
      <c r="B10" s="10"/>
      <c r="C10" s="31" t="str">
        <f aca="false">IF(B10="","",TEXT(B10,"ddd"))</f>
        <v/>
      </c>
      <c r="D10" s="11"/>
      <c r="E10" s="8" t="str">
        <f aca="false">IF(D10="","",IFERROR(INDEX(ProjNumbers,MATCH(D10,ProjNames,0)),""))</f>
        <v/>
      </c>
      <c r="F10" s="8" t="str">
        <f aca="false">IF(D10="","",IFERROR(INDEX(ProjCodes,MATCH(D10,ProjNames,0)),""))</f>
        <v/>
      </c>
      <c r="G10" s="32"/>
      <c r="H10" s="11"/>
      <c r="I10" s="33"/>
      <c r="J10" s="8" t="str">
        <f aca="false">IF(COUNTA(B10,D10,G10,H10,I10)=0,"",IF(B10="","Enter date",IF(OR(B10&lt;$AC$2,B10&gt;$AC$3),"Date not in April",IF(D10="","Pick project",IF(ISNA(MATCH(D10,ProjNames,0)),"Project not in list",IF(G10="","Add task description",IF(H10="","Pick NTIME or P6",IF(N(I10)&lt;=0,"Enter hours",IF(AND(AllowOT&lt;&gt;"Yes",SUMIF($B$7:$B$256,B10,$I$7:$I$256)&gt;INDEX($O$58:$O$87,DAY(B10))),"Day over "&amp;INDEX($O$58:$O$87,DAY(B10))&amp;" h","✓")))))))))</f>
        <v/>
      </c>
      <c r="K10" s="1"/>
      <c r="L10" s="24" t="str">
        <f aca="false">"Week 1"&amp;IF(M10="",""," ("&amp;DAY(M10)&amp;"–"&amp;DAY(N10)&amp;")")</f>
        <v>Week 1 (1–5)</v>
      </c>
      <c r="M10" s="34" t="n">
        <f aca="false">IF($AC$4+7*0&gt;$AC$3,"",MAX($AC$2,$AC$4+7*0))</f>
        <v>46113</v>
      </c>
      <c r="N10" s="34" t="n">
        <f aca="false">IF(M10="","",MIN($AC$3,$AC$4+7*1-1))</f>
        <v>46117</v>
      </c>
      <c r="O10" s="24" t="n">
        <f aca="false">IF($M10="","",AF10+IF(OHSystem="NTIME",AH10,0))</f>
        <v>0</v>
      </c>
      <c r="P10" s="24" t="n">
        <f aca="false">IF($M10="","",AG10+IF(OHSystem="P6",AH10,0))</f>
        <v>0</v>
      </c>
      <c r="Q10" s="24" t="n">
        <f aca="false">IF($M10="","",AH10)</f>
        <v>0</v>
      </c>
      <c r="R10" s="24" t="n">
        <f aca="false">IF($M10="","",SUMIFS($S$58:$S$87,$L$58:$L$87,"&gt;="&amp;$M10,$L$58:$L$87,"&lt;="&amp;$N10))</f>
        <v>0</v>
      </c>
      <c r="S10" s="24" t="n">
        <f aca="false">IF($M10="","",SUMIFS($T$58:$T$87,$L$58:$L$87,"&gt;="&amp;$M10,$L$58:$L$87,"&lt;="&amp;$N10))</f>
        <v>0</v>
      </c>
      <c r="T10" s="1"/>
      <c r="U10" s="1"/>
      <c r="V10" s="1"/>
      <c r="W10" s="1" t="str">
        <f aca="false">IF(Projects!B8="","",Projects!B8)</f>
        <v/>
      </c>
      <c r="X10" s="1" t="n">
        <f aca="false">IF(W10="",0,SUMIFS($I$7:$I$256,$D$7:$D$256,W10,$H$7:$H$256,"NTIME"))</f>
        <v>0</v>
      </c>
      <c r="Y10" s="1" t="n">
        <f aca="false">IF(W10="",0,SUMIFS($I$7:$I$256,$D$7:$D$256,W10,$H$7:$H$256,"P6"))</f>
        <v>0</v>
      </c>
      <c r="Z10" s="1" t="n">
        <f aca="false">X10+Y10</f>
        <v>0</v>
      </c>
      <c r="AA10" s="1" t="n">
        <f aca="false">IF(Z10&gt;0,Z10+(201-4)/10^6,0)</f>
        <v>0</v>
      </c>
      <c r="AB10" s="1"/>
      <c r="AC10" s="1"/>
      <c r="AD10" s="1"/>
      <c r="AE10" s="1"/>
      <c r="AF10" s="1" t="n">
        <f aca="false">IF($M10="",0,SUMIFS($P$58:$P$87,$L$58:$L$87,"&gt;="&amp;$M10,$L$58:$L$87,"&lt;="&amp;$N10))</f>
        <v>0</v>
      </c>
      <c r="AG10" s="1" t="n">
        <f aca="false">IF($M10="",0,SUMIFS($Q$58:$Q$87,$L$58:$L$87,"&gt;="&amp;$M10,$L$58:$L$87,"&lt;="&amp;$N10))</f>
        <v>0</v>
      </c>
      <c r="AH10" s="1" t="n">
        <f aca="false">IF($M10="",0,SUMIFS($R$58:$R$87,$L$58:$L$87,"&gt;="&amp;$M10,$L$58:$L$87,"&lt;="&amp;$N10))</f>
        <v>0</v>
      </c>
    </row>
    <row r="11" customFormat="false" ht="15" hidden="false" customHeight="false" outlineLevel="0" collapsed="false">
      <c r="A11" s="1"/>
      <c r="B11" s="10"/>
      <c r="C11" s="31" t="str">
        <f aca="false">IF(B11="","",TEXT(B11,"ddd"))</f>
        <v/>
      </c>
      <c r="D11" s="11"/>
      <c r="E11" s="8" t="str">
        <f aca="false">IF(D11="","",IFERROR(INDEX(ProjNumbers,MATCH(D11,ProjNames,0)),""))</f>
        <v/>
      </c>
      <c r="F11" s="8" t="str">
        <f aca="false">IF(D11="","",IFERROR(INDEX(ProjCodes,MATCH(D11,ProjNames,0)),""))</f>
        <v/>
      </c>
      <c r="G11" s="32"/>
      <c r="H11" s="11"/>
      <c r="I11" s="33"/>
      <c r="J11" s="8" t="str">
        <f aca="false">IF(COUNTA(B11,D11,G11,H11,I11)=0,"",IF(B11="","Enter date",IF(OR(B11&lt;$AC$2,B11&gt;$AC$3),"Date not in April",IF(D11="","Pick project",IF(ISNA(MATCH(D11,ProjNames,0)),"Project not in list",IF(G11="","Add task description",IF(H11="","Pick NTIME or P6",IF(N(I11)&lt;=0,"Enter hours",IF(AND(AllowOT&lt;&gt;"Yes",SUMIF($B$7:$B$256,B11,$I$7:$I$256)&gt;INDEX($O$58:$O$87,DAY(B11))),"Day over "&amp;INDEX($O$58:$O$87,DAY(B11))&amp;" h","✓")))))))))</f>
        <v/>
      </c>
      <c r="K11" s="1"/>
      <c r="L11" s="24" t="str">
        <f aca="false">"Week 2"&amp;IF(M11="",""," ("&amp;DAY(M11)&amp;"–"&amp;DAY(N11)&amp;")")</f>
        <v>Week 2 (6–12)</v>
      </c>
      <c r="M11" s="34" t="n">
        <f aca="false">IF($AC$4+7*1&gt;$AC$3,"",MAX($AC$2,$AC$4+7*1))</f>
        <v>46118</v>
      </c>
      <c r="N11" s="34" t="n">
        <f aca="false">IF(M11="","",MIN($AC$3,$AC$4+7*2-1))</f>
        <v>46124</v>
      </c>
      <c r="O11" s="24" t="n">
        <f aca="false">IF($M11="","",AF11+IF(OHSystem="NTIME",AH11,0))</f>
        <v>0</v>
      </c>
      <c r="P11" s="24" t="n">
        <f aca="false">IF($M11="","",AG11+IF(OHSystem="P6",AH11,0))</f>
        <v>0</v>
      </c>
      <c r="Q11" s="24" t="n">
        <f aca="false">IF($M11="","",AH11)</f>
        <v>0</v>
      </c>
      <c r="R11" s="24" t="n">
        <f aca="false">IF($M11="","",SUMIFS($S$58:$S$87,$L$58:$L$87,"&gt;="&amp;$M11,$L$58:$L$87,"&lt;="&amp;$N11))</f>
        <v>0</v>
      </c>
      <c r="S11" s="24" t="n">
        <f aca="false">IF($M11="","",SUMIFS($T$58:$T$87,$L$58:$L$87,"&gt;="&amp;$M11,$L$58:$L$87,"&lt;="&amp;$N11))</f>
        <v>0</v>
      </c>
      <c r="T11" s="1"/>
      <c r="U11" s="1"/>
      <c r="V11" s="1"/>
      <c r="W11" s="1" t="str">
        <f aca="false">IF(Projects!B9="","",Projects!B9)</f>
        <v/>
      </c>
      <c r="X11" s="1" t="n">
        <f aca="false">IF(W11="",0,SUMIFS($I$7:$I$256,$D$7:$D$256,W11,$H$7:$H$256,"NTIME"))</f>
        <v>0</v>
      </c>
      <c r="Y11" s="1" t="n">
        <f aca="false">IF(W11="",0,SUMIFS($I$7:$I$256,$D$7:$D$256,W11,$H$7:$H$256,"P6"))</f>
        <v>0</v>
      </c>
      <c r="Z11" s="1" t="n">
        <f aca="false">X11+Y11</f>
        <v>0</v>
      </c>
      <c r="AA11" s="1" t="n">
        <f aca="false">IF(Z11&gt;0,Z11+(201-5)/10^6,0)</f>
        <v>0</v>
      </c>
      <c r="AB11" s="1"/>
      <c r="AC11" s="1"/>
      <c r="AD11" s="1"/>
      <c r="AE11" s="1"/>
      <c r="AF11" s="1" t="n">
        <f aca="false">IF($M11="",0,SUMIFS($P$58:$P$87,$L$58:$L$87,"&gt;="&amp;$M11,$L$58:$L$87,"&lt;="&amp;$N11))</f>
        <v>0</v>
      </c>
      <c r="AG11" s="1" t="n">
        <f aca="false">IF($M11="",0,SUMIFS($Q$58:$Q$87,$L$58:$L$87,"&gt;="&amp;$M11,$L$58:$L$87,"&lt;="&amp;$N11))</f>
        <v>0</v>
      </c>
      <c r="AH11" s="1" t="n">
        <f aca="false">IF($M11="",0,SUMIFS($R$58:$R$87,$L$58:$L$87,"&gt;="&amp;$M11,$L$58:$L$87,"&lt;="&amp;$N11))</f>
        <v>0</v>
      </c>
    </row>
    <row r="12" customFormat="false" ht="15" hidden="false" customHeight="false" outlineLevel="0" collapsed="false">
      <c r="A12" s="1"/>
      <c r="B12" s="10"/>
      <c r="C12" s="31" t="str">
        <f aca="false">IF(B12="","",TEXT(B12,"ddd"))</f>
        <v/>
      </c>
      <c r="D12" s="11"/>
      <c r="E12" s="8" t="str">
        <f aca="false">IF(D12="","",IFERROR(INDEX(ProjNumbers,MATCH(D12,ProjNames,0)),""))</f>
        <v/>
      </c>
      <c r="F12" s="8" t="str">
        <f aca="false">IF(D12="","",IFERROR(INDEX(ProjCodes,MATCH(D12,ProjNames,0)),""))</f>
        <v/>
      </c>
      <c r="G12" s="32"/>
      <c r="H12" s="11"/>
      <c r="I12" s="33"/>
      <c r="J12" s="8" t="str">
        <f aca="false">IF(COUNTA(B12,D12,G12,H12,I12)=0,"",IF(B12="","Enter date",IF(OR(B12&lt;$AC$2,B12&gt;$AC$3),"Date not in April",IF(D12="","Pick project",IF(ISNA(MATCH(D12,ProjNames,0)),"Project not in list",IF(G12="","Add task description",IF(H12="","Pick NTIME or P6",IF(N(I12)&lt;=0,"Enter hours",IF(AND(AllowOT&lt;&gt;"Yes",SUMIF($B$7:$B$256,B12,$I$7:$I$256)&gt;INDEX($O$58:$O$87,DAY(B12))),"Day over "&amp;INDEX($O$58:$O$87,DAY(B12))&amp;" h","✓")))))))))</f>
        <v/>
      </c>
      <c r="K12" s="1"/>
      <c r="L12" s="24" t="str">
        <f aca="false">"Week 3"&amp;IF(M12="",""," ("&amp;DAY(M12)&amp;"–"&amp;DAY(N12)&amp;")")</f>
        <v>Week 3 (13–19)</v>
      </c>
      <c r="M12" s="34" t="n">
        <f aca="false">IF($AC$4+7*2&gt;$AC$3,"",MAX($AC$2,$AC$4+7*2))</f>
        <v>46125</v>
      </c>
      <c r="N12" s="34" t="n">
        <f aca="false">IF(M12="","",MIN($AC$3,$AC$4+7*3-1))</f>
        <v>46131</v>
      </c>
      <c r="O12" s="24" t="n">
        <f aca="false">IF($M12="","",AF12+IF(OHSystem="NTIME",AH12,0))</f>
        <v>0</v>
      </c>
      <c r="P12" s="24" t="n">
        <f aca="false">IF($M12="","",AG12+IF(OHSystem="P6",AH12,0))</f>
        <v>0</v>
      </c>
      <c r="Q12" s="24" t="n">
        <f aca="false">IF($M12="","",AH12)</f>
        <v>0</v>
      </c>
      <c r="R12" s="24" t="n">
        <f aca="false">IF($M12="","",SUMIFS($S$58:$S$87,$L$58:$L$87,"&gt;="&amp;$M12,$L$58:$L$87,"&lt;="&amp;$N12))</f>
        <v>0</v>
      </c>
      <c r="S12" s="24" t="n">
        <f aca="false">IF($M12="","",SUMIFS($T$58:$T$87,$L$58:$L$87,"&gt;="&amp;$M12,$L$58:$L$87,"&lt;="&amp;$N12))</f>
        <v>0</v>
      </c>
      <c r="T12" s="1"/>
      <c r="U12" s="1"/>
      <c r="V12" s="1"/>
      <c r="W12" s="1" t="str">
        <f aca="false">IF(Projects!B10="","",Projects!B10)</f>
        <v/>
      </c>
      <c r="X12" s="1" t="n">
        <f aca="false">IF(W12="",0,SUMIFS($I$7:$I$256,$D$7:$D$256,W12,$H$7:$H$256,"NTIME"))</f>
        <v>0</v>
      </c>
      <c r="Y12" s="1" t="n">
        <f aca="false">IF(W12="",0,SUMIFS($I$7:$I$256,$D$7:$D$256,W12,$H$7:$H$256,"P6"))</f>
        <v>0</v>
      </c>
      <c r="Z12" s="1" t="n">
        <f aca="false">X12+Y12</f>
        <v>0</v>
      </c>
      <c r="AA12" s="1" t="n">
        <f aca="false">IF(Z12&gt;0,Z12+(201-6)/10^6,0)</f>
        <v>0</v>
      </c>
      <c r="AB12" s="1"/>
      <c r="AC12" s="1"/>
      <c r="AD12" s="1"/>
      <c r="AE12" s="1"/>
      <c r="AF12" s="1" t="n">
        <f aca="false">IF($M12="",0,SUMIFS($P$58:$P$87,$L$58:$L$87,"&gt;="&amp;$M12,$L$58:$L$87,"&lt;="&amp;$N12))</f>
        <v>0</v>
      </c>
      <c r="AG12" s="1" t="n">
        <f aca="false">IF($M12="",0,SUMIFS($Q$58:$Q$87,$L$58:$L$87,"&gt;="&amp;$M12,$L$58:$L$87,"&lt;="&amp;$N12))</f>
        <v>0</v>
      </c>
      <c r="AH12" s="1" t="n">
        <f aca="false">IF($M12="",0,SUMIFS($R$58:$R$87,$L$58:$L$87,"&gt;="&amp;$M12,$L$58:$L$87,"&lt;="&amp;$N12))</f>
        <v>0</v>
      </c>
    </row>
    <row r="13" customFormat="false" ht="15" hidden="false" customHeight="false" outlineLevel="0" collapsed="false">
      <c r="A13" s="1"/>
      <c r="B13" s="10"/>
      <c r="C13" s="31" t="str">
        <f aca="false">IF(B13="","",TEXT(B13,"ddd"))</f>
        <v/>
      </c>
      <c r="D13" s="11"/>
      <c r="E13" s="8" t="str">
        <f aca="false">IF(D13="","",IFERROR(INDEX(ProjNumbers,MATCH(D13,ProjNames,0)),""))</f>
        <v/>
      </c>
      <c r="F13" s="8" t="str">
        <f aca="false">IF(D13="","",IFERROR(INDEX(ProjCodes,MATCH(D13,ProjNames,0)),""))</f>
        <v/>
      </c>
      <c r="G13" s="32"/>
      <c r="H13" s="11"/>
      <c r="I13" s="33"/>
      <c r="J13" s="8" t="str">
        <f aca="false">IF(COUNTA(B13,D13,G13,H13,I13)=0,"",IF(B13="","Enter date",IF(OR(B13&lt;$AC$2,B13&gt;$AC$3),"Date not in April",IF(D13="","Pick project",IF(ISNA(MATCH(D13,ProjNames,0)),"Project not in list",IF(G13="","Add task description",IF(H13="","Pick NTIME or P6",IF(N(I13)&lt;=0,"Enter hours",IF(AND(AllowOT&lt;&gt;"Yes",SUMIF($B$7:$B$256,B13,$I$7:$I$256)&gt;INDEX($O$58:$O$87,DAY(B13))),"Day over "&amp;INDEX($O$58:$O$87,DAY(B13))&amp;" h","✓")))))))))</f>
        <v/>
      </c>
      <c r="K13" s="1"/>
      <c r="L13" s="24" t="str">
        <f aca="false">"Week 4"&amp;IF(M13="",""," ("&amp;DAY(M13)&amp;"–"&amp;DAY(N13)&amp;")")</f>
        <v>Week 4 (20–26)</v>
      </c>
      <c r="M13" s="34" t="n">
        <f aca="false">IF($AC$4+7*3&gt;$AC$3,"",MAX($AC$2,$AC$4+7*3))</f>
        <v>46132</v>
      </c>
      <c r="N13" s="34" t="n">
        <f aca="false">IF(M13="","",MIN($AC$3,$AC$4+7*4-1))</f>
        <v>46138</v>
      </c>
      <c r="O13" s="24" t="n">
        <f aca="false">IF($M13="","",AF13+IF(OHSystem="NTIME",AH13,0))</f>
        <v>0</v>
      </c>
      <c r="P13" s="24" t="n">
        <f aca="false">IF($M13="","",AG13+IF(OHSystem="P6",AH13,0))</f>
        <v>0</v>
      </c>
      <c r="Q13" s="24" t="n">
        <f aca="false">IF($M13="","",AH13)</f>
        <v>0</v>
      </c>
      <c r="R13" s="24" t="n">
        <f aca="false">IF($M13="","",SUMIFS($S$58:$S$87,$L$58:$L$87,"&gt;="&amp;$M13,$L$58:$L$87,"&lt;="&amp;$N13))</f>
        <v>0</v>
      </c>
      <c r="S13" s="24" t="n">
        <f aca="false">IF($M13="","",SUMIFS($T$58:$T$87,$L$58:$L$87,"&gt;="&amp;$M13,$L$58:$L$87,"&lt;="&amp;$N13))</f>
        <v>0</v>
      </c>
      <c r="T13" s="1"/>
      <c r="U13" s="1"/>
      <c r="V13" s="1"/>
      <c r="W13" s="1" t="str">
        <f aca="false">IF(Projects!B11="","",Projects!B11)</f>
        <v/>
      </c>
      <c r="X13" s="1" t="n">
        <f aca="false">IF(W13="",0,SUMIFS($I$7:$I$256,$D$7:$D$256,W13,$H$7:$H$256,"NTIME"))</f>
        <v>0</v>
      </c>
      <c r="Y13" s="1" t="n">
        <f aca="false">IF(W13="",0,SUMIFS($I$7:$I$256,$D$7:$D$256,W13,$H$7:$H$256,"P6"))</f>
        <v>0</v>
      </c>
      <c r="Z13" s="1" t="n">
        <f aca="false">X13+Y13</f>
        <v>0</v>
      </c>
      <c r="AA13" s="1" t="n">
        <f aca="false">IF(Z13&gt;0,Z13+(201-7)/10^6,0)</f>
        <v>0</v>
      </c>
      <c r="AB13" s="1"/>
      <c r="AC13" s="1"/>
      <c r="AD13" s="1"/>
      <c r="AE13" s="1"/>
      <c r="AF13" s="1" t="n">
        <f aca="false">IF($M13="",0,SUMIFS($P$58:$P$87,$L$58:$L$87,"&gt;="&amp;$M13,$L$58:$L$87,"&lt;="&amp;$N13))</f>
        <v>0</v>
      </c>
      <c r="AG13" s="1" t="n">
        <f aca="false">IF($M13="",0,SUMIFS($Q$58:$Q$87,$L$58:$L$87,"&gt;="&amp;$M13,$L$58:$L$87,"&lt;="&amp;$N13))</f>
        <v>0</v>
      </c>
      <c r="AH13" s="1" t="n">
        <f aca="false">IF($M13="",0,SUMIFS($R$58:$R$87,$L$58:$L$87,"&gt;="&amp;$M13,$L$58:$L$87,"&lt;="&amp;$N13))</f>
        <v>0</v>
      </c>
    </row>
    <row r="14" customFormat="false" ht="15" hidden="false" customHeight="false" outlineLevel="0" collapsed="false">
      <c r="A14" s="1"/>
      <c r="B14" s="10"/>
      <c r="C14" s="31" t="str">
        <f aca="false">IF(B14="","",TEXT(B14,"ddd"))</f>
        <v/>
      </c>
      <c r="D14" s="11"/>
      <c r="E14" s="8" t="str">
        <f aca="false">IF(D14="","",IFERROR(INDEX(ProjNumbers,MATCH(D14,ProjNames,0)),""))</f>
        <v/>
      </c>
      <c r="F14" s="8" t="str">
        <f aca="false">IF(D14="","",IFERROR(INDEX(ProjCodes,MATCH(D14,ProjNames,0)),""))</f>
        <v/>
      </c>
      <c r="G14" s="32"/>
      <c r="H14" s="11"/>
      <c r="I14" s="33"/>
      <c r="J14" s="8" t="str">
        <f aca="false">IF(COUNTA(B14,D14,G14,H14,I14)=0,"",IF(B14="","Enter date",IF(OR(B14&lt;$AC$2,B14&gt;$AC$3),"Date not in April",IF(D14="","Pick project",IF(ISNA(MATCH(D14,ProjNames,0)),"Project not in list",IF(G14="","Add task description",IF(H14="","Pick NTIME or P6",IF(N(I14)&lt;=0,"Enter hours",IF(AND(AllowOT&lt;&gt;"Yes",SUMIF($B$7:$B$256,B14,$I$7:$I$256)&gt;INDEX($O$58:$O$87,DAY(B14))),"Day over "&amp;INDEX($O$58:$O$87,DAY(B14))&amp;" h","✓")))))))))</f>
        <v/>
      </c>
      <c r="K14" s="1"/>
      <c r="L14" s="24" t="str">
        <f aca="false">"Week 5"&amp;IF(M14="",""," ("&amp;DAY(M14)&amp;"–"&amp;DAY(N14)&amp;")")</f>
        <v>Week 5 (27–30)</v>
      </c>
      <c r="M14" s="34" t="n">
        <f aca="false">IF($AC$4+7*4&gt;$AC$3,"",MAX($AC$2,$AC$4+7*4))</f>
        <v>46139</v>
      </c>
      <c r="N14" s="34" t="n">
        <f aca="false">IF(M14="","",MIN($AC$3,$AC$4+7*5-1))</f>
        <v>46142</v>
      </c>
      <c r="O14" s="24" t="n">
        <f aca="false">IF($M14="","",AF14+IF(OHSystem="NTIME",AH14,0))</f>
        <v>0</v>
      </c>
      <c r="P14" s="24" t="n">
        <f aca="false">IF($M14="","",AG14+IF(OHSystem="P6",AH14,0))</f>
        <v>0</v>
      </c>
      <c r="Q14" s="24" t="n">
        <f aca="false">IF($M14="","",AH14)</f>
        <v>0</v>
      </c>
      <c r="R14" s="24" t="n">
        <f aca="false">IF($M14="","",SUMIFS($S$58:$S$87,$L$58:$L$87,"&gt;="&amp;$M14,$L$58:$L$87,"&lt;="&amp;$N14))</f>
        <v>0</v>
      </c>
      <c r="S14" s="24" t="n">
        <f aca="false">IF($M14="","",SUMIFS($T$58:$T$87,$L$58:$L$87,"&gt;="&amp;$M14,$L$58:$L$87,"&lt;="&amp;$N14))</f>
        <v>0</v>
      </c>
      <c r="T14" s="1"/>
      <c r="U14" s="1"/>
      <c r="V14" s="1"/>
      <c r="W14" s="1" t="str">
        <f aca="false">IF(Projects!B12="","",Projects!B12)</f>
        <v/>
      </c>
      <c r="X14" s="1" t="n">
        <f aca="false">IF(W14="",0,SUMIFS($I$7:$I$256,$D$7:$D$256,W14,$H$7:$H$256,"NTIME"))</f>
        <v>0</v>
      </c>
      <c r="Y14" s="1" t="n">
        <f aca="false">IF(W14="",0,SUMIFS($I$7:$I$256,$D$7:$D$256,W14,$H$7:$H$256,"P6"))</f>
        <v>0</v>
      </c>
      <c r="Z14" s="1" t="n">
        <f aca="false">X14+Y14</f>
        <v>0</v>
      </c>
      <c r="AA14" s="1" t="n">
        <f aca="false">IF(Z14&gt;0,Z14+(201-8)/10^6,0)</f>
        <v>0</v>
      </c>
      <c r="AB14" s="1"/>
      <c r="AC14" s="1"/>
      <c r="AD14" s="1"/>
      <c r="AE14" s="1"/>
      <c r="AF14" s="1" t="n">
        <f aca="false">IF($M14="",0,SUMIFS($P$58:$P$87,$L$58:$L$87,"&gt;="&amp;$M14,$L$58:$L$87,"&lt;="&amp;$N14))</f>
        <v>0</v>
      </c>
      <c r="AG14" s="1" t="n">
        <f aca="false">IF($M14="",0,SUMIFS($Q$58:$Q$87,$L$58:$L$87,"&gt;="&amp;$M14,$L$58:$L$87,"&lt;="&amp;$N14))</f>
        <v>0</v>
      </c>
      <c r="AH14" s="1" t="n">
        <f aca="false">IF($M14="",0,SUMIFS($R$58:$R$87,$L$58:$L$87,"&gt;="&amp;$M14,$L$58:$L$87,"&lt;="&amp;$N14))</f>
        <v>0</v>
      </c>
    </row>
    <row r="15" customFormat="false" ht="15" hidden="false" customHeight="false" outlineLevel="0" collapsed="false">
      <c r="A15" s="1"/>
      <c r="B15" s="10"/>
      <c r="C15" s="31" t="str">
        <f aca="false">IF(B15="","",TEXT(B15,"ddd"))</f>
        <v/>
      </c>
      <c r="D15" s="11"/>
      <c r="E15" s="8" t="str">
        <f aca="false">IF(D15="","",IFERROR(INDEX(ProjNumbers,MATCH(D15,ProjNames,0)),""))</f>
        <v/>
      </c>
      <c r="F15" s="8" t="str">
        <f aca="false">IF(D15="","",IFERROR(INDEX(ProjCodes,MATCH(D15,ProjNames,0)),""))</f>
        <v/>
      </c>
      <c r="G15" s="32"/>
      <c r="H15" s="11"/>
      <c r="I15" s="33"/>
      <c r="J15" s="8" t="str">
        <f aca="false">IF(COUNTA(B15,D15,G15,H15,I15)=0,"",IF(B15="","Enter date",IF(OR(B15&lt;$AC$2,B15&gt;$AC$3),"Date not in April",IF(D15="","Pick project",IF(ISNA(MATCH(D15,ProjNames,0)),"Project not in list",IF(G15="","Add task description",IF(H15="","Pick NTIME or P6",IF(N(I15)&lt;=0,"Enter hours",IF(AND(AllowOT&lt;&gt;"Yes",SUMIF($B$7:$B$256,B15,$I$7:$I$256)&gt;INDEX($O$58:$O$87,DAY(B15))),"Day over "&amp;INDEX($O$58:$O$87,DAY(B15))&amp;" h","✓")))))))))</f>
        <v/>
      </c>
      <c r="K15" s="1"/>
      <c r="L15" s="24" t="str">
        <f aca="false">"Week 6"&amp;IF(M15="",""," ("&amp;DAY(M15)&amp;"–"&amp;DAY(N15)&amp;")")</f>
        <v>Week 6</v>
      </c>
      <c r="M15" s="34" t="str">
        <f aca="false">IF($AC$4+7*5&gt;$AC$3,"",MAX($AC$2,$AC$4+7*5))</f>
        <v/>
      </c>
      <c r="N15" s="34" t="str">
        <f aca="false">IF(M15="","",MIN($AC$3,$AC$4+7*6-1))</f>
        <v/>
      </c>
      <c r="O15" s="24" t="str">
        <f aca="false">IF($M15="","",AF15+IF(OHSystem="NTIME",AH15,0))</f>
        <v/>
      </c>
      <c r="P15" s="24" t="str">
        <f aca="false">IF($M15="","",AG15+IF(OHSystem="P6",AH15,0))</f>
        <v/>
      </c>
      <c r="Q15" s="24" t="str">
        <f aca="false">IF($M15="","",AH15)</f>
        <v/>
      </c>
      <c r="R15" s="24" t="str">
        <f aca="false">IF($M15="","",SUMIFS($S$58:$S$87,$L$58:$L$87,"&gt;="&amp;$M15,$L$58:$L$87,"&lt;="&amp;$N15))</f>
        <v/>
      </c>
      <c r="S15" s="24" t="str">
        <f aca="false">IF($M15="","",SUMIFS($T$58:$T$87,$L$58:$L$87,"&gt;="&amp;$M15,$L$58:$L$87,"&lt;="&amp;$N15))</f>
        <v/>
      </c>
      <c r="T15" s="1"/>
      <c r="U15" s="1"/>
      <c r="V15" s="1"/>
      <c r="W15" s="1" t="str">
        <f aca="false">IF(Projects!B13="","",Projects!B13)</f>
        <v/>
      </c>
      <c r="X15" s="1" t="n">
        <f aca="false">IF(W15="",0,SUMIFS($I$7:$I$256,$D$7:$D$256,W15,$H$7:$H$256,"NTIME"))</f>
        <v>0</v>
      </c>
      <c r="Y15" s="1" t="n">
        <f aca="false">IF(W15="",0,SUMIFS($I$7:$I$256,$D$7:$D$256,W15,$H$7:$H$256,"P6"))</f>
        <v>0</v>
      </c>
      <c r="Z15" s="1" t="n">
        <f aca="false">X15+Y15</f>
        <v>0</v>
      </c>
      <c r="AA15" s="1" t="n">
        <f aca="false">IF(Z15&gt;0,Z15+(201-9)/10^6,0)</f>
        <v>0</v>
      </c>
      <c r="AB15" s="1"/>
      <c r="AC15" s="1"/>
      <c r="AD15" s="1"/>
      <c r="AE15" s="1"/>
      <c r="AF15" s="1" t="n">
        <f aca="false">IF($M15="",0,SUMIFS($P$58:$P$87,$L$58:$L$87,"&gt;="&amp;$M15,$L$58:$L$87,"&lt;="&amp;$N15))</f>
        <v>0</v>
      </c>
      <c r="AG15" s="1" t="n">
        <f aca="false">IF($M15="",0,SUMIFS($Q$58:$Q$87,$L$58:$L$87,"&gt;="&amp;$M15,$L$58:$L$87,"&lt;="&amp;$N15))</f>
        <v>0</v>
      </c>
      <c r="AH15" s="1" t="n">
        <f aca="false">IF($M15="",0,SUMIFS($R$58:$R$87,$L$58:$L$87,"&gt;="&amp;$M15,$L$58:$L$87,"&lt;="&amp;$N15))</f>
        <v>0</v>
      </c>
    </row>
    <row r="16" customFormat="false" ht="15" hidden="false" customHeight="false" outlineLevel="0" collapsed="false">
      <c r="A16" s="1"/>
      <c r="B16" s="10"/>
      <c r="C16" s="31" t="str">
        <f aca="false">IF(B16="","",TEXT(B16,"ddd"))</f>
        <v/>
      </c>
      <c r="D16" s="11"/>
      <c r="E16" s="8" t="str">
        <f aca="false">IF(D16="","",IFERROR(INDEX(ProjNumbers,MATCH(D16,ProjNames,0)),""))</f>
        <v/>
      </c>
      <c r="F16" s="8" t="str">
        <f aca="false">IF(D16="","",IFERROR(INDEX(ProjCodes,MATCH(D16,ProjNames,0)),""))</f>
        <v/>
      </c>
      <c r="G16" s="32"/>
      <c r="H16" s="11"/>
      <c r="I16" s="33"/>
      <c r="J16" s="8" t="str">
        <f aca="false">IF(COUNTA(B16,D16,G16,H16,I16)=0,"",IF(B16="","Enter date",IF(OR(B16&lt;$AC$2,B16&gt;$AC$3),"Date not in April",IF(D16="","Pick project",IF(ISNA(MATCH(D16,ProjNames,0)),"Project not in list",IF(G16="","Add task description",IF(H16="","Pick NTIME or P6",IF(N(I16)&lt;=0,"Enter hours",IF(AND(AllowOT&lt;&gt;"Yes",SUMIF($B$7:$B$256,B16,$I$7:$I$256)&gt;INDEX($O$58:$O$87,DAY(B16))),"Day over "&amp;INDEX($O$58:$O$87,DAY(B16))&amp;" h","✓")))))))))</f>
        <v/>
      </c>
      <c r="K16" s="1"/>
      <c r="L16" s="27" t="s">
        <v>84</v>
      </c>
      <c r="M16" s="27"/>
      <c r="N16" s="27"/>
      <c r="O16" s="27" t="n">
        <f aca="false">SUM(O10:O15)</f>
        <v>0</v>
      </c>
      <c r="P16" s="27" t="n">
        <f aca="false">SUM(P10:P15)</f>
        <v>0</v>
      </c>
      <c r="Q16" s="27" t="n">
        <f aca="false">SUM(Q10:Q15)</f>
        <v>0</v>
      </c>
      <c r="R16" s="27" t="n">
        <f aca="false">SUM(R10:R15)</f>
        <v>0</v>
      </c>
      <c r="S16" s="27" t="n">
        <f aca="false">SUM(S10:S15)</f>
        <v>0</v>
      </c>
      <c r="T16" s="1"/>
      <c r="U16" s="1"/>
      <c r="V16" s="1"/>
      <c r="W16" s="1" t="str">
        <f aca="false">IF(Projects!B14="","",Projects!B14)</f>
        <v/>
      </c>
      <c r="X16" s="1" t="n">
        <f aca="false">IF(W16="",0,SUMIFS($I$7:$I$256,$D$7:$D$256,W16,$H$7:$H$256,"NTIME"))</f>
        <v>0</v>
      </c>
      <c r="Y16" s="1" t="n">
        <f aca="false">IF(W16="",0,SUMIFS($I$7:$I$256,$D$7:$D$256,W16,$H$7:$H$256,"P6"))</f>
        <v>0</v>
      </c>
      <c r="Z16" s="1" t="n">
        <f aca="false">X16+Y16</f>
        <v>0</v>
      </c>
      <c r="AA16" s="1" t="n">
        <f aca="false">IF(Z16&gt;0,Z16+(201-10)/10^6,0)</f>
        <v>0</v>
      </c>
      <c r="AB16" s="1"/>
      <c r="AC16" s="1"/>
      <c r="AD16" s="1"/>
      <c r="AE16" s="1"/>
      <c r="AF16" s="1" t="n">
        <f aca="false">SUM(AF10:AF15)</f>
        <v>0</v>
      </c>
      <c r="AG16" s="1" t="n">
        <f aca="false">SUM(AG10:AG15)</f>
        <v>0</v>
      </c>
      <c r="AH16" s="1" t="n">
        <f aca="false">SUM(AH10:AH15)</f>
        <v>0</v>
      </c>
    </row>
    <row r="17" customFormat="false" ht="15" hidden="false" customHeight="false" outlineLevel="0" collapsed="false">
      <c r="A17" s="1"/>
      <c r="B17" s="10"/>
      <c r="C17" s="31" t="str">
        <f aca="false">IF(B17="","",TEXT(B17,"ddd"))</f>
        <v/>
      </c>
      <c r="D17" s="11"/>
      <c r="E17" s="8" t="str">
        <f aca="false">IF(D17="","",IFERROR(INDEX(ProjNumbers,MATCH(D17,ProjNames,0)),""))</f>
        <v/>
      </c>
      <c r="F17" s="8" t="str">
        <f aca="false">IF(D17="","",IFERROR(INDEX(ProjCodes,MATCH(D17,ProjNames,0)),""))</f>
        <v/>
      </c>
      <c r="G17" s="32"/>
      <c r="H17" s="11"/>
      <c r="I17" s="33"/>
      <c r="J17" s="8" t="str">
        <f aca="false">IF(COUNTA(B17,D17,G17,H17,I17)=0,"",IF(B17="","Enter date",IF(OR(B17&lt;$AC$2,B17&gt;$AC$3),"Date not in April",IF(D17="","Pick project",IF(ISNA(MATCH(D17,ProjNames,0)),"Project not in list",IF(G17="","Add task description",IF(H17="","Pick NTIME or P6",IF(N(I17)&lt;=0,"Enter hours",IF(AND(AllowOT&lt;&gt;"Yes",SUMIF($B$7:$B$256,B17,$I$7:$I$256)&gt;INDEX($O$58:$O$87,DAY(B17))),"Day over "&amp;INDEX($O$58:$O$87,DAY(B17))&amp;" h","✓")))))))))</f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tr">
        <f aca="false">IF(Projects!B15="","",Projects!B15)</f>
        <v/>
      </c>
      <c r="X17" s="1" t="n">
        <f aca="false">IF(W17="",0,SUMIFS($I$7:$I$256,$D$7:$D$256,W17,$H$7:$H$256,"NTIME"))</f>
        <v>0</v>
      </c>
      <c r="Y17" s="1" t="n">
        <f aca="false">IF(W17="",0,SUMIFS($I$7:$I$256,$D$7:$D$256,W17,$H$7:$H$256,"P6"))</f>
        <v>0</v>
      </c>
      <c r="Z17" s="1" t="n">
        <f aca="false">X17+Y17</f>
        <v>0</v>
      </c>
      <c r="AA17" s="1" t="n">
        <f aca="false">IF(Z17&gt;0,Z17+(201-11)/10^6,0)</f>
        <v>0</v>
      </c>
      <c r="AB17" s="1"/>
      <c r="AC17" s="1"/>
      <c r="AD17" s="1"/>
      <c r="AE17" s="1"/>
      <c r="AF17" s="1"/>
      <c r="AG17" s="1"/>
      <c r="AH17" s="1"/>
    </row>
    <row r="18" customFormat="false" ht="15" hidden="false" customHeight="false" outlineLevel="0" collapsed="false">
      <c r="A18" s="1"/>
      <c r="B18" s="10"/>
      <c r="C18" s="31" t="str">
        <f aca="false">IF(B18="","",TEXT(B18,"ddd"))</f>
        <v/>
      </c>
      <c r="D18" s="11"/>
      <c r="E18" s="8" t="str">
        <f aca="false">IF(D18="","",IFERROR(INDEX(ProjNumbers,MATCH(D18,ProjNames,0)),""))</f>
        <v/>
      </c>
      <c r="F18" s="8" t="str">
        <f aca="false">IF(D18="","",IFERROR(INDEX(ProjCodes,MATCH(D18,ProjNames,0)),""))</f>
        <v/>
      </c>
      <c r="G18" s="32"/>
      <c r="H18" s="11"/>
      <c r="I18" s="33"/>
      <c r="J18" s="8" t="str">
        <f aca="false">IF(COUNTA(B18,D18,G18,H18,I18)=0,"",IF(B18="","Enter date",IF(OR(B18&lt;$AC$2,B18&gt;$AC$3),"Date not in April",IF(D18="","Pick project",IF(ISNA(MATCH(D18,ProjNames,0)),"Project not in list",IF(G18="","Add task description",IF(H18="","Pick NTIME or P6",IF(N(I18)&lt;=0,"Enter hours",IF(AND(AllowOT&lt;&gt;"Yes",SUMIF($B$7:$B$256,B18,$I$7:$I$256)&gt;INDEX($O$58:$O$87,DAY(B18))),"Day over "&amp;INDEX($O$58:$O$87,DAY(B18))&amp;" h","✓")))))))))</f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 aca="false">IF(Projects!B16="","",Projects!B16)</f>
        <v/>
      </c>
      <c r="X18" s="1" t="n">
        <f aca="false">IF(W18="",0,SUMIFS($I$7:$I$256,$D$7:$D$256,W18,$H$7:$H$256,"NTIME"))</f>
        <v>0</v>
      </c>
      <c r="Y18" s="1" t="n">
        <f aca="false">IF(W18="",0,SUMIFS($I$7:$I$256,$D$7:$D$256,W18,$H$7:$H$256,"P6"))</f>
        <v>0</v>
      </c>
      <c r="Z18" s="1" t="n">
        <f aca="false">X18+Y18</f>
        <v>0</v>
      </c>
      <c r="AA18" s="1" t="n">
        <f aca="false">IF(Z18&gt;0,Z18+(201-12)/10^6,0)</f>
        <v>0</v>
      </c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/>
      <c r="B19" s="10"/>
      <c r="C19" s="31" t="str">
        <f aca="false">IF(B19="","",TEXT(B19,"ddd"))</f>
        <v/>
      </c>
      <c r="D19" s="11"/>
      <c r="E19" s="8" t="str">
        <f aca="false">IF(D19="","",IFERROR(INDEX(ProjNumbers,MATCH(D19,ProjNames,0)),""))</f>
        <v/>
      </c>
      <c r="F19" s="8" t="str">
        <f aca="false">IF(D19="","",IFERROR(INDEX(ProjCodes,MATCH(D19,ProjNames,0)),""))</f>
        <v/>
      </c>
      <c r="G19" s="32"/>
      <c r="H19" s="11"/>
      <c r="I19" s="33"/>
      <c r="J19" s="8" t="str">
        <f aca="false">IF(COUNTA(B19,D19,G19,H19,I19)=0,"",IF(B19="","Enter date",IF(OR(B19&lt;$AC$2,B19&gt;$AC$3),"Date not in April",IF(D19="","Pick project",IF(ISNA(MATCH(D19,ProjNames,0)),"Project not in list",IF(G19="","Add task description",IF(H19="","Pick NTIME or P6",IF(N(I19)&lt;=0,"Enter hours",IF(AND(AllowOT&lt;&gt;"Yes",SUMIF($B$7:$B$256,B19,$I$7:$I$256)&gt;INDEX($O$58:$O$87,DAY(B19))),"Day over "&amp;INDEX($O$58:$O$87,DAY(B19))&amp;" h","✓")))))))))</f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tr">
        <f aca="false">IF(Projects!B17="","",Projects!B17)</f>
        <v/>
      </c>
      <c r="X19" s="1" t="n">
        <f aca="false">IF(W19="",0,SUMIFS($I$7:$I$256,$D$7:$D$256,W19,$H$7:$H$256,"NTIME"))</f>
        <v>0</v>
      </c>
      <c r="Y19" s="1" t="n">
        <f aca="false">IF(W19="",0,SUMIFS($I$7:$I$256,$D$7:$D$256,W19,$H$7:$H$256,"P6"))</f>
        <v>0</v>
      </c>
      <c r="Z19" s="1" t="n">
        <f aca="false">X19+Y19</f>
        <v>0</v>
      </c>
      <c r="AA19" s="1" t="n">
        <f aca="false">IF(Z19&gt;0,Z19+(201-13)/10^6,0)</f>
        <v>0</v>
      </c>
      <c r="AB19" s="1"/>
      <c r="AC19" s="1"/>
      <c r="AD19" s="1"/>
      <c r="AE19" s="1"/>
      <c r="AF19" s="1"/>
      <c r="AG19" s="1"/>
      <c r="AH19" s="1"/>
    </row>
    <row r="20" customFormat="false" ht="15" hidden="false" customHeight="false" outlineLevel="0" collapsed="false">
      <c r="A20" s="1"/>
      <c r="B20" s="10"/>
      <c r="C20" s="31" t="str">
        <f aca="false">IF(B20="","",TEXT(B20,"ddd"))</f>
        <v/>
      </c>
      <c r="D20" s="11"/>
      <c r="E20" s="8" t="str">
        <f aca="false">IF(D20="","",IFERROR(INDEX(ProjNumbers,MATCH(D20,ProjNames,0)),""))</f>
        <v/>
      </c>
      <c r="F20" s="8" t="str">
        <f aca="false">IF(D20="","",IFERROR(INDEX(ProjCodes,MATCH(D20,ProjNames,0)),""))</f>
        <v/>
      </c>
      <c r="G20" s="32"/>
      <c r="H20" s="11"/>
      <c r="I20" s="33"/>
      <c r="J20" s="8" t="str">
        <f aca="false">IF(COUNTA(B20,D20,G20,H20,I20)=0,"",IF(B20="","Enter date",IF(OR(B20&lt;$AC$2,B20&gt;$AC$3),"Date not in April",IF(D20="","Pick project",IF(ISNA(MATCH(D20,ProjNames,0)),"Project not in list",IF(G20="","Add task description",IF(H20="","Pick NTIME or P6",IF(N(I20)&lt;=0,"Enter hours",IF(AND(AllowOT&lt;&gt;"Yes",SUMIF($B$7:$B$256,B20,$I$7:$I$256)&gt;INDEX($O$58:$O$87,DAY(B20))),"Day over "&amp;INDEX($O$58:$O$87,DAY(B20))&amp;" h","✓")))))))))</f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tr">
        <f aca="false">IF(Projects!B18="","",Projects!B18)</f>
        <v/>
      </c>
      <c r="X20" s="1" t="n">
        <f aca="false">IF(W20="",0,SUMIFS($I$7:$I$256,$D$7:$D$256,W20,$H$7:$H$256,"NTIME"))</f>
        <v>0</v>
      </c>
      <c r="Y20" s="1" t="n">
        <f aca="false">IF(W20="",0,SUMIFS($I$7:$I$256,$D$7:$D$256,W20,$H$7:$H$256,"P6"))</f>
        <v>0</v>
      </c>
      <c r="Z20" s="1" t="n">
        <f aca="false">X20+Y20</f>
        <v>0</v>
      </c>
      <c r="AA20" s="1" t="n">
        <f aca="false">IF(Z20&gt;0,Z20+(201-14)/10^6,0)</f>
        <v>0</v>
      </c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/>
      <c r="B21" s="10"/>
      <c r="C21" s="31" t="str">
        <f aca="false">IF(B21="","",TEXT(B21,"ddd"))</f>
        <v/>
      </c>
      <c r="D21" s="11"/>
      <c r="E21" s="8" t="str">
        <f aca="false">IF(D21="","",IFERROR(INDEX(ProjNumbers,MATCH(D21,ProjNames,0)),""))</f>
        <v/>
      </c>
      <c r="F21" s="8" t="str">
        <f aca="false">IF(D21="","",IFERROR(INDEX(ProjCodes,MATCH(D21,ProjNames,0)),""))</f>
        <v/>
      </c>
      <c r="G21" s="32"/>
      <c r="H21" s="11"/>
      <c r="I21" s="33"/>
      <c r="J21" s="8" t="str">
        <f aca="false">IF(COUNTA(B21,D21,G21,H21,I21)=0,"",IF(B21="","Enter date",IF(OR(B21&lt;$AC$2,B21&gt;$AC$3),"Date not in April",IF(D21="","Pick project",IF(ISNA(MATCH(D21,ProjNames,0)),"Project not in list",IF(G21="","Add task description",IF(H21="","Pick NTIME or P6",IF(N(I21)&lt;=0,"Enter hours",IF(AND(AllowOT&lt;&gt;"Yes",SUMIF($B$7:$B$256,B21,$I$7:$I$256)&gt;INDEX($O$58:$O$87,DAY(B21))),"Day over "&amp;INDEX($O$58:$O$87,DAY(B21))&amp;" h","✓")))))))))</f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tr">
        <f aca="false">IF(Projects!B19="","",Projects!B19)</f>
        <v/>
      </c>
      <c r="X21" s="1" t="n">
        <f aca="false">IF(W21="",0,SUMIFS($I$7:$I$256,$D$7:$D$256,W21,$H$7:$H$256,"NTIME"))</f>
        <v>0</v>
      </c>
      <c r="Y21" s="1" t="n">
        <f aca="false">IF(W21="",0,SUMIFS($I$7:$I$256,$D$7:$D$256,W21,$H$7:$H$256,"P6"))</f>
        <v>0</v>
      </c>
      <c r="Z21" s="1" t="n">
        <f aca="false">X21+Y21</f>
        <v>0</v>
      </c>
      <c r="AA21" s="1" t="n">
        <f aca="false">IF(Z21&gt;0,Z21+(201-15)/10^6,0)</f>
        <v>0</v>
      </c>
      <c r="AB21" s="1"/>
      <c r="AC21" s="1"/>
      <c r="AD21" s="1"/>
      <c r="AE21" s="1"/>
      <c r="AF21" s="1"/>
      <c r="AG21" s="1"/>
      <c r="AH21" s="1"/>
    </row>
    <row r="22" customFormat="false" ht="15" hidden="false" customHeight="false" outlineLevel="0" collapsed="false">
      <c r="A22" s="1"/>
      <c r="B22" s="10"/>
      <c r="C22" s="31" t="str">
        <f aca="false">IF(B22="","",TEXT(B22,"ddd"))</f>
        <v/>
      </c>
      <c r="D22" s="11"/>
      <c r="E22" s="8" t="str">
        <f aca="false">IF(D22="","",IFERROR(INDEX(ProjNumbers,MATCH(D22,ProjNames,0)),""))</f>
        <v/>
      </c>
      <c r="F22" s="8" t="str">
        <f aca="false">IF(D22="","",IFERROR(INDEX(ProjCodes,MATCH(D22,ProjNames,0)),""))</f>
        <v/>
      </c>
      <c r="G22" s="32"/>
      <c r="H22" s="11"/>
      <c r="I22" s="33"/>
      <c r="J22" s="8" t="str">
        <f aca="false">IF(COUNTA(B22,D22,G22,H22,I22)=0,"",IF(B22="","Enter date",IF(OR(B22&lt;$AC$2,B22&gt;$AC$3),"Date not in April",IF(D22="","Pick project",IF(ISNA(MATCH(D22,ProjNames,0)),"Project not in list",IF(G22="","Add task description",IF(H22="","Pick NTIME or P6",IF(N(I22)&lt;=0,"Enter hours",IF(AND(AllowOT&lt;&gt;"Yes",SUMIF($B$7:$B$256,B22,$I$7:$I$256)&gt;INDEX($O$58:$O$87,DAY(B22))),"Day over "&amp;INDEX($O$58:$O$87,DAY(B22))&amp;" h","✓")))))))))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tr">
        <f aca="false">IF(Projects!B20="","",Projects!B20)</f>
        <v/>
      </c>
      <c r="X22" s="1" t="n">
        <f aca="false">IF(W22="",0,SUMIFS($I$7:$I$256,$D$7:$D$256,W22,$H$7:$H$256,"NTIME"))</f>
        <v>0</v>
      </c>
      <c r="Y22" s="1" t="n">
        <f aca="false">IF(W22="",0,SUMIFS($I$7:$I$256,$D$7:$D$256,W22,$H$7:$H$256,"P6"))</f>
        <v>0</v>
      </c>
      <c r="Z22" s="1" t="n">
        <f aca="false">X22+Y22</f>
        <v>0</v>
      </c>
      <c r="AA22" s="1" t="n">
        <f aca="false">IF(Z22&gt;0,Z22+(201-16)/10^6,0)</f>
        <v>0</v>
      </c>
      <c r="AB22" s="1"/>
      <c r="AC22" s="1"/>
      <c r="AD22" s="1"/>
      <c r="AE22" s="1"/>
      <c r="AF22" s="1"/>
      <c r="AG22" s="1"/>
      <c r="AH22" s="1"/>
    </row>
    <row r="23" customFormat="false" ht="15" hidden="false" customHeight="false" outlineLevel="0" collapsed="false">
      <c r="A23" s="1"/>
      <c r="B23" s="10"/>
      <c r="C23" s="31" t="str">
        <f aca="false">IF(B23="","",TEXT(B23,"ddd"))</f>
        <v/>
      </c>
      <c r="D23" s="11"/>
      <c r="E23" s="8" t="str">
        <f aca="false">IF(D23="","",IFERROR(INDEX(ProjNumbers,MATCH(D23,ProjNames,0)),""))</f>
        <v/>
      </c>
      <c r="F23" s="8" t="str">
        <f aca="false">IF(D23="","",IFERROR(INDEX(ProjCodes,MATCH(D23,ProjNames,0)),""))</f>
        <v/>
      </c>
      <c r="G23" s="32"/>
      <c r="H23" s="11"/>
      <c r="I23" s="33"/>
      <c r="J23" s="8" t="str">
        <f aca="false">IF(COUNTA(B23,D23,G23,H23,I23)=0,"",IF(B23="","Enter date",IF(OR(B23&lt;$AC$2,B23&gt;$AC$3),"Date not in April",IF(D23="","Pick project",IF(ISNA(MATCH(D23,ProjNames,0)),"Project not in list",IF(G23="","Add task description",IF(H23="","Pick NTIME or P6",IF(N(I23)&lt;=0,"Enter hours",IF(AND(AllowOT&lt;&gt;"Yes",SUMIF($B$7:$B$256,B23,$I$7:$I$256)&gt;INDEX($O$58:$O$87,DAY(B23))),"Day over "&amp;INDEX($O$58:$O$87,DAY(B23))&amp;" h","✓")))))))))</f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tr">
        <f aca="false">IF(Projects!B21="","",Projects!B21)</f>
        <v/>
      </c>
      <c r="X23" s="1" t="n">
        <f aca="false">IF(W23="",0,SUMIFS($I$7:$I$256,$D$7:$D$256,W23,$H$7:$H$256,"NTIME"))</f>
        <v>0</v>
      </c>
      <c r="Y23" s="1" t="n">
        <f aca="false">IF(W23="",0,SUMIFS($I$7:$I$256,$D$7:$D$256,W23,$H$7:$H$256,"P6"))</f>
        <v>0</v>
      </c>
      <c r="Z23" s="1" t="n">
        <f aca="false">X23+Y23</f>
        <v>0</v>
      </c>
      <c r="AA23" s="1" t="n">
        <f aca="false">IF(Z23&gt;0,Z23+(201-17)/10^6,0)</f>
        <v>0</v>
      </c>
      <c r="AB23" s="1"/>
      <c r="AC23" s="1"/>
      <c r="AD23" s="1"/>
      <c r="AE23" s="1"/>
      <c r="AF23" s="1"/>
      <c r="AG23" s="1"/>
      <c r="AH23" s="1"/>
    </row>
    <row r="24" customFormat="false" ht="15" hidden="false" customHeight="false" outlineLevel="0" collapsed="false">
      <c r="A24" s="1"/>
      <c r="B24" s="10"/>
      <c r="C24" s="31" t="str">
        <f aca="false">IF(B24="","",TEXT(B24,"ddd"))</f>
        <v/>
      </c>
      <c r="D24" s="11"/>
      <c r="E24" s="8" t="str">
        <f aca="false">IF(D24="","",IFERROR(INDEX(ProjNumbers,MATCH(D24,ProjNames,0)),""))</f>
        <v/>
      </c>
      <c r="F24" s="8" t="str">
        <f aca="false">IF(D24="","",IFERROR(INDEX(ProjCodes,MATCH(D24,ProjNames,0)),""))</f>
        <v/>
      </c>
      <c r="G24" s="32"/>
      <c r="H24" s="11"/>
      <c r="I24" s="33"/>
      <c r="J24" s="8" t="str">
        <f aca="false">IF(COUNTA(B24,D24,G24,H24,I24)=0,"",IF(B24="","Enter date",IF(OR(B24&lt;$AC$2,B24&gt;$AC$3),"Date not in April",IF(D24="","Pick project",IF(ISNA(MATCH(D24,ProjNames,0)),"Project not in list",IF(G24="","Add task description",IF(H24="","Pick NTIME or P6",IF(N(I24)&lt;=0,"Enter hours",IF(AND(AllowOT&lt;&gt;"Yes",SUMIF($B$7:$B$256,B24,$I$7:$I$256)&gt;INDEX($O$58:$O$87,DAY(B24))),"Day over "&amp;INDEX($O$58:$O$87,DAY(B24))&amp;" h","✓")))))))))</f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tr">
        <f aca="false">IF(Projects!B22="","",Projects!B22)</f>
        <v/>
      </c>
      <c r="X24" s="1" t="n">
        <f aca="false">IF(W24="",0,SUMIFS($I$7:$I$256,$D$7:$D$256,W24,$H$7:$H$256,"NTIME"))</f>
        <v>0</v>
      </c>
      <c r="Y24" s="1" t="n">
        <f aca="false">IF(W24="",0,SUMIFS($I$7:$I$256,$D$7:$D$256,W24,$H$7:$H$256,"P6"))</f>
        <v>0</v>
      </c>
      <c r="Z24" s="1" t="n">
        <f aca="false">X24+Y24</f>
        <v>0</v>
      </c>
      <c r="AA24" s="1" t="n">
        <f aca="false">IF(Z24&gt;0,Z24+(201-18)/10^6,0)</f>
        <v>0</v>
      </c>
      <c r="AB24" s="1"/>
      <c r="AC24" s="1"/>
      <c r="AD24" s="1"/>
      <c r="AE24" s="1"/>
      <c r="AF24" s="1"/>
      <c r="AG24" s="1"/>
      <c r="AH24" s="1"/>
    </row>
    <row r="25" customFormat="false" ht="15" hidden="false" customHeight="false" outlineLevel="0" collapsed="false">
      <c r="A25" s="1"/>
      <c r="B25" s="10"/>
      <c r="C25" s="31" t="str">
        <f aca="false">IF(B25="","",TEXT(B25,"ddd"))</f>
        <v/>
      </c>
      <c r="D25" s="11"/>
      <c r="E25" s="8" t="str">
        <f aca="false">IF(D25="","",IFERROR(INDEX(ProjNumbers,MATCH(D25,ProjNames,0)),""))</f>
        <v/>
      </c>
      <c r="F25" s="8" t="str">
        <f aca="false">IF(D25="","",IFERROR(INDEX(ProjCodes,MATCH(D25,ProjNames,0)),""))</f>
        <v/>
      </c>
      <c r="G25" s="32"/>
      <c r="H25" s="11"/>
      <c r="I25" s="33"/>
      <c r="J25" s="8" t="str">
        <f aca="false">IF(COUNTA(B25,D25,G25,H25,I25)=0,"",IF(B25="","Enter date",IF(OR(B25&lt;$AC$2,B25&gt;$AC$3),"Date not in April",IF(D25="","Pick project",IF(ISNA(MATCH(D25,ProjNames,0)),"Project not in list",IF(G25="","Add task description",IF(H25="","Pick NTIME or P6",IF(N(I25)&lt;=0,"Enter hours",IF(AND(AllowOT&lt;&gt;"Yes",SUMIF($B$7:$B$256,B25,$I$7:$I$256)&gt;INDEX($O$58:$O$87,DAY(B25))),"Day over "&amp;INDEX($O$58:$O$87,DAY(B25))&amp;" h","✓")))))))))</f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tr">
        <f aca="false">IF(Projects!B23="","",Projects!B23)</f>
        <v/>
      </c>
      <c r="X25" s="1" t="n">
        <f aca="false">IF(W25="",0,SUMIFS($I$7:$I$256,$D$7:$D$256,W25,$H$7:$H$256,"NTIME"))</f>
        <v>0</v>
      </c>
      <c r="Y25" s="1" t="n">
        <f aca="false">IF(W25="",0,SUMIFS($I$7:$I$256,$D$7:$D$256,W25,$H$7:$H$256,"P6"))</f>
        <v>0</v>
      </c>
      <c r="Z25" s="1" t="n">
        <f aca="false">X25+Y25</f>
        <v>0</v>
      </c>
      <c r="AA25" s="1" t="n">
        <f aca="false">IF(Z25&gt;0,Z25+(201-19)/10^6,0)</f>
        <v>0</v>
      </c>
      <c r="AB25" s="1"/>
      <c r="AC25" s="1"/>
      <c r="AD25" s="1"/>
      <c r="AE25" s="1"/>
      <c r="AF25" s="1"/>
      <c r="AG25" s="1"/>
      <c r="AH25" s="1"/>
    </row>
    <row r="26" customFormat="false" ht="15" hidden="false" customHeight="false" outlineLevel="0" collapsed="false">
      <c r="A26" s="1"/>
      <c r="B26" s="10"/>
      <c r="C26" s="31" t="str">
        <f aca="false">IF(B26="","",TEXT(B26,"ddd"))</f>
        <v/>
      </c>
      <c r="D26" s="11"/>
      <c r="E26" s="8" t="str">
        <f aca="false">IF(D26="","",IFERROR(INDEX(ProjNumbers,MATCH(D26,ProjNames,0)),""))</f>
        <v/>
      </c>
      <c r="F26" s="8" t="str">
        <f aca="false">IF(D26="","",IFERROR(INDEX(ProjCodes,MATCH(D26,ProjNames,0)),""))</f>
        <v/>
      </c>
      <c r="G26" s="32"/>
      <c r="H26" s="11"/>
      <c r="I26" s="33"/>
      <c r="J26" s="8" t="str">
        <f aca="false">IF(COUNTA(B26,D26,G26,H26,I26)=0,"",IF(B26="","Enter date",IF(OR(B26&lt;$AC$2,B26&gt;$AC$3),"Date not in April",IF(D26="","Pick project",IF(ISNA(MATCH(D26,ProjNames,0)),"Project not in list",IF(G26="","Add task description",IF(H26="","Pick NTIME or P6",IF(N(I26)&lt;=0,"Enter hours",IF(AND(AllowOT&lt;&gt;"Yes",SUMIF($B$7:$B$256,B26,$I$7:$I$256)&gt;INDEX($O$58:$O$87,DAY(B26))),"Day over "&amp;INDEX($O$58:$O$87,DAY(B26))&amp;" h","✓")))))))))</f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tr">
        <f aca="false">IF(Projects!B24="","",Projects!B24)</f>
        <v/>
      </c>
      <c r="X26" s="1" t="n">
        <f aca="false">IF(W26="",0,SUMIFS($I$7:$I$256,$D$7:$D$256,W26,$H$7:$H$256,"NTIME"))</f>
        <v>0</v>
      </c>
      <c r="Y26" s="1" t="n">
        <f aca="false">IF(W26="",0,SUMIFS($I$7:$I$256,$D$7:$D$256,W26,$H$7:$H$256,"P6"))</f>
        <v>0</v>
      </c>
      <c r="Z26" s="1" t="n">
        <f aca="false">X26+Y26</f>
        <v>0</v>
      </c>
      <c r="AA26" s="1" t="n">
        <f aca="false">IF(Z26&gt;0,Z26+(201-20)/10^6,0)</f>
        <v>0</v>
      </c>
      <c r="AB26" s="1"/>
      <c r="AC26" s="1"/>
      <c r="AD26" s="1"/>
      <c r="AE26" s="1"/>
      <c r="AF26" s="1"/>
      <c r="AG26" s="1"/>
      <c r="AH26" s="1"/>
    </row>
    <row r="27" customFormat="false" ht="15" hidden="false" customHeight="false" outlineLevel="0" collapsed="false">
      <c r="A27" s="1"/>
      <c r="B27" s="10"/>
      <c r="C27" s="31" t="str">
        <f aca="false">IF(B27="","",TEXT(B27,"ddd"))</f>
        <v/>
      </c>
      <c r="D27" s="11"/>
      <c r="E27" s="8" t="str">
        <f aca="false">IF(D27="","",IFERROR(INDEX(ProjNumbers,MATCH(D27,ProjNames,0)),""))</f>
        <v/>
      </c>
      <c r="F27" s="8" t="str">
        <f aca="false">IF(D27="","",IFERROR(INDEX(ProjCodes,MATCH(D27,ProjNames,0)),""))</f>
        <v/>
      </c>
      <c r="G27" s="32"/>
      <c r="H27" s="11"/>
      <c r="I27" s="33"/>
      <c r="J27" s="8" t="str">
        <f aca="false">IF(COUNTA(B27,D27,G27,H27,I27)=0,"",IF(B27="","Enter date",IF(OR(B27&lt;$AC$2,B27&gt;$AC$3),"Date not in April",IF(D27="","Pick project",IF(ISNA(MATCH(D27,ProjNames,0)),"Project not in list",IF(G27="","Add task description",IF(H27="","Pick NTIME or P6",IF(N(I27)&lt;=0,"Enter hours",IF(AND(AllowOT&lt;&gt;"Yes",SUMIF($B$7:$B$256,B27,$I$7:$I$256)&gt;INDEX($O$58:$O$87,DAY(B27))),"Day over "&amp;INDEX($O$58:$O$87,DAY(B27))&amp;" h","✓")))))))))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aca="false">IF(Projects!B25="","",Projects!B25)</f>
        <v/>
      </c>
      <c r="X27" s="1" t="n">
        <f aca="false">IF(W27="",0,SUMIFS($I$7:$I$256,$D$7:$D$256,W27,$H$7:$H$256,"NTIME"))</f>
        <v>0</v>
      </c>
      <c r="Y27" s="1" t="n">
        <f aca="false">IF(W27="",0,SUMIFS($I$7:$I$256,$D$7:$D$256,W27,$H$7:$H$256,"P6"))</f>
        <v>0</v>
      </c>
      <c r="Z27" s="1" t="n">
        <f aca="false">X27+Y27</f>
        <v>0</v>
      </c>
      <c r="AA27" s="1" t="n">
        <f aca="false">IF(Z27&gt;0,Z27+(201-21)/10^6,0)</f>
        <v>0</v>
      </c>
      <c r="AB27" s="1"/>
      <c r="AC27" s="1"/>
      <c r="AD27" s="1"/>
      <c r="AE27" s="1"/>
      <c r="AF27" s="1"/>
      <c r="AG27" s="1"/>
      <c r="AH27" s="1"/>
    </row>
    <row r="28" customFormat="false" ht="15" hidden="false" customHeight="false" outlineLevel="0" collapsed="false">
      <c r="A28" s="1"/>
      <c r="B28" s="10"/>
      <c r="C28" s="31" t="str">
        <f aca="false">IF(B28="","",TEXT(B28,"ddd"))</f>
        <v/>
      </c>
      <c r="D28" s="11"/>
      <c r="E28" s="8" t="str">
        <f aca="false">IF(D28="","",IFERROR(INDEX(ProjNumbers,MATCH(D28,ProjNames,0)),""))</f>
        <v/>
      </c>
      <c r="F28" s="8" t="str">
        <f aca="false">IF(D28="","",IFERROR(INDEX(ProjCodes,MATCH(D28,ProjNames,0)),""))</f>
        <v/>
      </c>
      <c r="G28" s="32"/>
      <c r="H28" s="11"/>
      <c r="I28" s="33"/>
      <c r="J28" s="8" t="str">
        <f aca="false">IF(COUNTA(B28,D28,G28,H28,I28)=0,"",IF(B28="","Enter date",IF(OR(B28&lt;$AC$2,B28&gt;$AC$3),"Date not in April",IF(D28="","Pick project",IF(ISNA(MATCH(D28,ProjNames,0)),"Project not in list",IF(G28="","Add task description",IF(H28="","Pick NTIME or P6",IF(N(I28)&lt;=0,"Enter hours",IF(AND(AllowOT&lt;&gt;"Yes",SUMIF($B$7:$B$256,B28,$I$7:$I$256)&gt;INDEX($O$58:$O$87,DAY(B28))),"Day over "&amp;INDEX($O$58:$O$87,DAY(B28))&amp;" h","✓")))))))))</f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tr">
        <f aca="false">IF(Projects!B26="","",Projects!B26)</f>
        <v/>
      </c>
      <c r="X28" s="1" t="n">
        <f aca="false">IF(W28="",0,SUMIFS($I$7:$I$256,$D$7:$D$256,W28,$H$7:$H$256,"NTIME"))</f>
        <v>0</v>
      </c>
      <c r="Y28" s="1" t="n">
        <f aca="false">IF(W28="",0,SUMIFS($I$7:$I$256,$D$7:$D$256,W28,$H$7:$H$256,"P6"))</f>
        <v>0</v>
      </c>
      <c r="Z28" s="1" t="n">
        <f aca="false">X28+Y28</f>
        <v>0</v>
      </c>
      <c r="AA28" s="1" t="n">
        <f aca="false">IF(Z28&gt;0,Z28+(201-22)/10^6,0)</f>
        <v>0</v>
      </c>
      <c r="AB28" s="1"/>
      <c r="AC28" s="1"/>
      <c r="AD28" s="1"/>
      <c r="AE28" s="1"/>
      <c r="AF28" s="1"/>
      <c r="AG28" s="1"/>
      <c r="AH28" s="1"/>
    </row>
    <row r="29" customFormat="false" ht="15" hidden="false" customHeight="false" outlineLevel="0" collapsed="false">
      <c r="A29" s="1"/>
      <c r="B29" s="10"/>
      <c r="C29" s="31" t="str">
        <f aca="false">IF(B29="","",TEXT(B29,"ddd"))</f>
        <v/>
      </c>
      <c r="D29" s="11"/>
      <c r="E29" s="8" t="str">
        <f aca="false">IF(D29="","",IFERROR(INDEX(ProjNumbers,MATCH(D29,ProjNames,0)),""))</f>
        <v/>
      </c>
      <c r="F29" s="8" t="str">
        <f aca="false">IF(D29="","",IFERROR(INDEX(ProjCodes,MATCH(D29,ProjNames,0)),""))</f>
        <v/>
      </c>
      <c r="G29" s="32"/>
      <c r="H29" s="11"/>
      <c r="I29" s="33"/>
      <c r="J29" s="8" t="str">
        <f aca="false">IF(COUNTA(B29,D29,G29,H29,I29)=0,"",IF(B29="","Enter date",IF(OR(B29&lt;$AC$2,B29&gt;$AC$3),"Date not in April",IF(D29="","Pick project",IF(ISNA(MATCH(D29,ProjNames,0)),"Project not in list",IF(G29="","Add task description",IF(H29="","Pick NTIME or P6",IF(N(I29)&lt;=0,"Enter hours",IF(AND(AllowOT&lt;&gt;"Yes",SUMIF($B$7:$B$256,B29,$I$7:$I$256)&gt;INDEX($O$58:$O$87,DAY(B29))),"Day over "&amp;INDEX($O$58:$O$87,DAY(B29))&amp;" h","✓")))))))))</f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tr">
        <f aca="false">IF(Projects!B27="","",Projects!B27)</f>
        <v/>
      </c>
      <c r="X29" s="1" t="n">
        <f aca="false">IF(W29="",0,SUMIFS($I$7:$I$256,$D$7:$D$256,W29,$H$7:$H$256,"NTIME"))</f>
        <v>0</v>
      </c>
      <c r="Y29" s="1" t="n">
        <f aca="false">IF(W29="",0,SUMIFS($I$7:$I$256,$D$7:$D$256,W29,$H$7:$H$256,"P6"))</f>
        <v>0</v>
      </c>
      <c r="Z29" s="1" t="n">
        <f aca="false">X29+Y29</f>
        <v>0</v>
      </c>
      <c r="AA29" s="1" t="n">
        <f aca="false">IF(Z29&gt;0,Z29+(201-23)/10^6,0)</f>
        <v>0</v>
      </c>
      <c r="AB29" s="1"/>
      <c r="AC29" s="1"/>
      <c r="AD29" s="1"/>
      <c r="AE29" s="1"/>
      <c r="AF29" s="1"/>
      <c r="AG29" s="1"/>
      <c r="AH29" s="1"/>
    </row>
    <row r="30" customFormat="false" ht="15" hidden="false" customHeight="false" outlineLevel="0" collapsed="false">
      <c r="A30" s="1"/>
      <c r="B30" s="10"/>
      <c r="C30" s="31" t="str">
        <f aca="false">IF(B30="","",TEXT(B30,"ddd"))</f>
        <v/>
      </c>
      <c r="D30" s="11"/>
      <c r="E30" s="8" t="str">
        <f aca="false">IF(D30="","",IFERROR(INDEX(ProjNumbers,MATCH(D30,ProjNames,0)),""))</f>
        <v/>
      </c>
      <c r="F30" s="8" t="str">
        <f aca="false">IF(D30="","",IFERROR(INDEX(ProjCodes,MATCH(D30,ProjNames,0)),""))</f>
        <v/>
      </c>
      <c r="G30" s="32"/>
      <c r="H30" s="11"/>
      <c r="I30" s="33"/>
      <c r="J30" s="8" t="str">
        <f aca="false">IF(COUNTA(B30,D30,G30,H30,I30)=0,"",IF(B30="","Enter date",IF(OR(B30&lt;$AC$2,B30&gt;$AC$3),"Date not in April",IF(D30="","Pick project",IF(ISNA(MATCH(D30,ProjNames,0)),"Project not in list",IF(G30="","Add task description",IF(H30="","Pick NTIME or P6",IF(N(I30)&lt;=0,"Enter hours",IF(AND(AllowOT&lt;&gt;"Yes",SUMIF($B$7:$B$256,B30,$I$7:$I$256)&gt;INDEX($O$58:$O$87,DAY(B30))),"Day over "&amp;INDEX($O$58:$O$87,DAY(B30))&amp;" h","✓")))))))))</f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tr">
        <f aca="false">IF(Projects!B28="","",Projects!B28)</f>
        <v/>
      </c>
      <c r="X30" s="1" t="n">
        <f aca="false">IF(W30="",0,SUMIFS($I$7:$I$256,$D$7:$D$256,W30,$H$7:$H$256,"NTIME"))</f>
        <v>0</v>
      </c>
      <c r="Y30" s="1" t="n">
        <f aca="false">IF(W30="",0,SUMIFS($I$7:$I$256,$D$7:$D$256,W30,$H$7:$H$256,"P6"))</f>
        <v>0</v>
      </c>
      <c r="Z30" s="1" t="n">
        <f aca="false">X30+Y30</f>
        <v>0</v>
      </c>
      <c r="AA30" s="1" t="n">
        <f aca="false">IF(Z30&gt;0,Z30+(201-24)/10^6,0)</f>
        <v>0</v>
      </c>
      <c r="AB30" s="1"/>
      <c r="AC30" s="1"/>
      <c r="AD30" s="1"/>
      <c r="AE30" s="1"/>
      <c r="AF30" s="1"/>
      <c r="AG30" s="1"/>
      <c r="AH30" s="1"/>
    </row>
    <row r="31" customFormat="false" ht="15" hidden="false" customHeight="false" outlineLevel="0" collapsed="false">
      <c r="A31" s="1"/>
      <c r="B31" s="10"/>
      <c r="C31" s="31" t="str">
        <f aca="false">IF(B31="","",TEXT(B31,"ddd"))</f>
        <v/>
      </c>
      <c r="D31" s="11"/>
      <c r="E31" s="8" t="str">
        <f aca="false">IF(D31="","",IFERROR(INDEX(ProjNumbers,MATCH(D31,ProjNames,0)),""))</f>
        <v/>
      </c>
      <c r="F31" s="8" t="str">
        <f aca="false">IF(D31="","",IFERROR(INDEX(ProjCodes,MATCH(D31,ProjNames,0)),""))</f>
        <v/>
      </c>
      <c r="G31" s="32"/>
      <c r="H31" s="11"/>
      <c r="I31" s="33"/>
      <c r="J31" s="8" t="str">
        <f aca="false">IF(COUNTA(B31,D31,G31,H31,I31)=0,"",IF(B31="","Enter date",IF(OR(B31&lt;$AC$2,B31&gt;$AC$3),"Date not in April",IF(D31="","Pick project",IF(ISNA(MATCH(D31,ProjNames,0)),"Project not in list",IF(G31="","Add task description",IF(H31="","Pick NTIME or P6",IF(N(I31)&lt;=0,"Enter hours",IF(AND(AllowOT&lt;&gt;"Yes",SUMIF($B$7:$B$256,B31,$I$7:$I$256)&gt;INDEX($O$58:$O$87,DAY(B31))),"Day over "&amp;INDEX($O$58:$O$87,DAY(B31))&amp;" h","✓")))))))))</f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tr">
        <f aca="false">IF(Projects!B29="","",Projects!B29)</f>
        <v/>
      </c>
      <c r="X31" s="1" t="n">
        <f aca="false">IF(W31="",0,SUMIFS($I$7:$I$256,$D$7:$D$256,W31,$H$7:$H$256,"NTIME"))</f>
        <v>0</v>
      </c>
      <c r="Y31" s="1" t="n">
        <f aca="false">IF(W31="",0,SUMIFS($I$7:$I$256,$D$7:$D$256,W31,$H$7:$H$256,"P6"))</f>
        <v>0</v>
      </c>
      <c r="Z31" s="1" t="n">
        <f aca="false">X31+Y31</f>
        <v>0</v>
      </c>
      <c r="AA31" s="1" t="n">
        <f aca="false">IF(Z31&gt;0,Z31+(201-25)/10^6,0)</f>
        <v>0</v>
      </c>
      <c r="AB31" s="1"/>
      <c r="AC31" s="1"/>
      <c r="AD31" s="1"/>
      <c r="AE31" s="1"/>
      <c r="AF31" s="1"/>
      <c r="AG31" s="1"/>
      <c r="AH31" s="1"/>
    </row>
    <row r="32" customFormat="false" ht="15" hidden="false" customHeight="false" outlineLevel="0" collapsed="false">
      <c r="A32" s="1"/>
      <c r="B32" s="10"/>
      <c r="C32" s="31" t="str">
        <f aca="false">IF(B32="","",TEXT(B32,"ddd"))</f>
        <v/>
      </c>
      <c r="D32" s="11"/>
      <c r="E32" s="8" t="str">
        <f aca="false">IF(D32="","",IFERROR(INDEX(ProjNumbers,MATCH(D32,ProjNames,0)),""))</f>
        <v/>
      </c>
      <c r="F32" s="8" t="str">
        <f aca="false">IF(D32="","",IFERROR(INDEX(ProjCodes,MATCH(D32,ProjNames,0)),""))</f>
        <v/>
      </c>
      <c r="G32" s="32"/>
      <c r="H32" s="11"/>
      <c r="I32" s="33"/>
      <c r="J32" s="8" t="str">
        <f aca="false">IF(COUNTA(B32,D32,G32,H32,I32)=0,"",IF(B32="","Enter date",IF(OR(B32&lt;$AC$2,B32&gt;$AC$3),"Date not in April",IF(D32="","Pick project",IF(ISNA(MATCH(D32,ProjNames,0)),"Project not in list",IF(G32="","Add task description",IF(H32="","Pick NTIME or P6",IF(N(I32)&lt;=0,"Enter hours",IF(AND(AllowOT&lt;&gt;"Yes",SUMIF($B$7:$B$256,B32,$I$7:$I$256)&gt;INDEX($O$58:$O$87,DAY(B32))),"Day over "&amp;INDEX($O$58:$O$87,DAY(B32))&amp;" h","✓")))))))))</f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tr">
        <f aca="false">IF(Projects!B30="","",Projects!B30)</f>
        <v/>
      </c>
      <c r="X32" s="1" t="n">
        <f aca="false">IF(W32="",0,SUMIFS($I$7:$I$256,$D$7:$D$256,W32,$H$7:$H$256,"NTIME"))</f>
        <v>0</v>
      </c>
      <c r="Y32" s="1" t="n">
        <f aca="false">IF(W32="",0,SUMIFS($I$7:$I$256,$D$7:$D$256,W32,$H$7:$H$256,"P6"))</f>
        <v>0</v>
      </c>
      <c r="Z32" s="1" t="n">
        <f aca="false">X32+Y32</f>
        <v>0</v>
      </c>
      <c r="AA32" s="1" t="n">
        <f aca="false">IF(Z32&gt;0,Z32+(201-26)/10^6,0)</f>
        <v>0</v>
      </c>
      <c r="AB32" s="1"/>
      <c r="AC32" s="1"/>
      <c r="AD32" s="1"/>
      <c r="AE32" s="1"/>
      <c r="AF32" s="1"/>
      <c r="AG32" s="1"/>
      <c r="AH32" s="1"/>
    </row>
    <row r="33" customFormat="false" ht="15" hidden="false" customHeight="false" outlineLevel="0" collapsed="false">
      <c r="A33" s="1"/>
      <c r="B33" s="10"/>
      <c r="C33" s="31" t="str">
        <f aca="false">IF(B33="","",TEXT(B33,"ddd"))</f>
        <v/>
      </c>
      <c r="D33" s="11"/>
      <c r="E33" s="8" t="str">
        <f aca="false">IF(D33="","",IFERROR(INDEX(ProjNumbers,MATCH(D33,ProjNames,0)),""))</f>
        <v/>
      </c>
      <c r="F33" s="8" t="str">
        <f aca="false">IF(D33="","",IFERROR(INDEX(ProjCodes,MATCH(D33,ProjNames,0)),""))</f>
        <v/>
      </c>
      <c r="G33" s="32"/>
      <c r="H33" s="11"/>
      <c r="I33" s="33"/>
      <c r="J33" s="8" t="str">
        <f aca="false">IF(COUNTA(B33,D33,G33,H33,I33)=0,"",IF(B33="","Enter date",IF(OR(B33&lt;$AC$2,B33&gt;$AC$3),"Date not in April",IF(D33="","Pick project",IF(ISNA(MATCH(D33,ProjNames,0)),"Project not in list",IF(G33="","Add task description",IF(H33="","Pick NTIME or P6",IF(N(I33)&lt;=0,"Enter hours",IF(AND(AllowOT&lt;&gt;"Yes",SUMIF($B$7:$B$256,B33,$I$7:$I$256)&gt;INDEX($O$58:$O$87,DAY(B33))),"Day over "&amp;INDEX($O$58:$O$87,DAY(B33))&amp;" h","✓")))))))))</f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tr">
        <f aca="false">IF(Projects!B31="","",Projects!B31)</f>
        <v/>
      </c>
      <c r="X33" s="1" t="n">
        <f aca="false">IF(W33="",0,SUMIFS($I$7:$I$256,$D$7:$D$256,W33,$H$7:$H$256,"NTIME"))</f>
        <v>0</v>
      </c>
      <c r="Y33" s="1" t="n">
        <f aca="false">IF(W33="",0,SUMIFS($I$7:$I$256,$D$7:$D$256,W33,$H$7:$H$256,"P6"))</f>
        <v>0</v>
      </c>
      <c r="Z33" s="1" t="n">
        <f aca="false">X33+Y33</f>
        <v>0</v>
      </c>
      <c r="AA33" s="1" t="n">
        <f aca="false">IF(Z33&gt;0,Z33+(201-27)/10^6,0)</f>
        <v>0</v>
      </c>
      <c r="AB33" s="1"/>
      <c r="AC33" s="1"/>
      <c r="AD33" s="1"/>
      <c r="AE33" s="1"/>
      <c r="AF33" s="1"/>
      <c r="AG33" s="1"/>
      <c r="AH33" s="1"/>
    </row>
    <row r="34" customFormat="false" ht="15" hidden="false" customHeight="false" outlineLevel="0" collapsed="false">
      <c r="A34" s="1"/>
      <c r="B34" s="10"/>
      <c r="C34" s="31" t="str">
        <f aca="false">IF(B34="","",TEXT(B34,"ddd"))</f>
        <v/>
      </c>
      <c r="D34" s="11"/>
      <c r="E34" s="8" t="str">
        <f aca="false">IF(D34="","",IFERROR(INDEX(ProjNumbers,MATCH(D34,ProjNames,0)),""))</f>
        <v/>
      </c>
      <c r="F34" s="8" t="str">
        <f aca="false">IF(D34="","",IFERROR(INDEX(ProjCodes,MATCH(D34,ProjNames,0)),""))</f>
        <v/>
      </c>
      <c r="G34" s="32"/>
      <c r="H34" s="11"/>
      <c r="I34" s="33"/>
      <c r="J34" s="8" t="str">
        <f aca="false">IF(COUNTA(B34,D34,G34,H34,I34)=0,"",IF(B34="","Enter date",IF(OR(B34&lt;$AC$2,B34&gt;$AC$3),"Date not in April",IF(D34="","Pick project",IF(ISNA(MATCH(D34,ProjNames,0)),"Project not in list",IF(G34="","Add task description",IF(H34="","Pick NTIME or P6",IF(N(I34)&lt;=0,"Enter hours",IF(AND(AllowOT&lt;&gt;"Yes",SUMIF($B$7:$B$256,B34,$I$7:$I$256)&gt;INDEX($O$58:$O$87,DAY(B34))),"Day over "&amp;INDEX($O$58:$O$87,DAY(B34))&amp;" h","✓")))))))))</f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tr">
        <f aca="false">IF(Projects!B32="","",Projects!B32)</f>
        <v/>
      </c>
      <c r="X34" s="1" t="n">
        <f aca="false">IF(W34="",0,SUMIFS($I$7:$I$256,$D$7:$D$256,W34,$H$7:$H$256,"NTIME"))</f>
        <v>0</v>
      </c>
      <c r="Y34" s="1" t="n">
        <f aca="false">IF(W34="",0,SUMIFS($I$7:$I$256,$D$7:$D$256,W34,$H$7:$H$256,"P6"))</f>
        <v>0</v>
      </c>
      <c r="Z34" s="1" t="n">
        <f aca="false">X34+Y34</f>
        <v>0</v>
      </c>
      <c r="AA34" s="1" t="n">
        <f aca="false">IF(Z34&gt;0,Z34+(201-28)/10^6,0)</f>
        <v>0</v>
      </c>
      <c r="AB34" s="1"/>
      <c r="AC34" s="1"/>
      <c r="AD34" s="1"/>
      <c r="AE34" s="1"/>
      <c r="AF34" s="1"/>
      <c r="AG34" s="1"/>
      <c r="AH34" s="1"/>
    </row>
    <row r="35" customFormat="false" ht="15" hidden="false" customHeight="false" outlineLevel="0" collapsed="false">
      <c r="A35" s="1"/>
      <c r="B35" s="10"/>
      <c r="C35" s="31" t="str">
        <f aca="false">IF(B35="","",TEXT(B35,"ddd"))</f>
        <v/>
      </c>
      <c r="D35" s="11"/>
      <c r="E35" s="8" t="str">
        <f aca="false">IF(D35="","",IFERROR(INDEX(ProjNumbers,MATCH(D35,ProjNames,0)),""))</f>
        <v/>
      </c>
      <c r="F35" s="8" t="str">
        <f aca="false">IF(D35="","",IFERROR(INDEX(ProjCodes,MATCH(D35,ProjNames,0)),""))</f>
        <v/>
      </c>
      <c r="G35" s="32"/>
      <c r="H35" s="11"/>
      <c r="I35" s="33"/>
      <c r="J35" s="8" t="str">
        <f aca="false">IF(COUNTA(B35,D35,G35,H35,I35)=0,"",IF(B35="","Enter date",IF(OR(B35&lt;$AC$2,B35&gt;$AC$3),"Date not in April",IF(D35="","Pick project",IF(ISNA(MATCH(D35,ProjNames,0)),"Project not in list",IF(G35="","Add task description",IF(H35="","Pick NTIME or P6",IF(N(I35)&lt;=0,"Enter hours",IF(AND(AllowOT&lt;&gt;"Yes",SUMIF($B$7:$B$256,B35,$I$7:$I$256)&gt;INDEX($O$58:$O$87,DAY(B35))),"Day over "&amp;INDEX($O$58:$O$87,DAY(B35))&amp;" h","✓")))))))))</f>
        <v/>
      </c>
      <c r="K35" s="1"/>
      <c r="L35" s="4" t="s">
        <v>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 t="str">
        <f aca="false">IF(Projects!B33="","",Projects!B33)</f>
        <v/>
      </c>
      <c r="X35" s="1" t="n">
        <f aca="false">IF(W35="",0,SUMIFS($I$7:$I$256,$D$7:$D$256,W35,$H$7:$H$256,"NTIME"))</f>
        <v>0</v>
      </c>
      <c r="Y35" s="1" t="n">
        <f aca="false">IF(W35="",0,SUMIFS($I$7:$I$256,$D$7:$D$256,W35,$H$7:$H$256,"P6"))</f>
        <v>0</v>
      </c>
      <c r="Z35" s="1" t="n">
        <f aca="false">X35+Y35</f>
        <v>0</v>
      </c>
      <c r="AA35" s="1" t="n">
        <f aca="false">IF(Z35&gt;0,Z35+(201-29)/10^6,0)</f>
        <v>0</v>
      </c>
      <c r="AB35" s="1"/>
      <c r="AC35" s="1"/>
      <c r="AD35" s="1"/>
      <c r="AE35" s="1"/>
      <c r="AF35" s="1"/>
      <c r="AG35" s="1"/>
      <c r="AH35" s="1"/>
    </row>
    <row r="36" customFormat="false" ht="23.85" hidden="false" customHeight="false" outlineLevel="0" collapsed="false">
      <c r="A36" s="1"/>
      <c r="B36" s="10"/>
      <c r="C36" s="31" t="str">
        <f aca="false">IF(B36="","",TEXT(B36,"ddd"))</f>
        <v/>
      </c>
      <c r="D36" s="11"/>
      <c r="E36" s="8" t="str">
        <f aca="false">IF(D36="","",IFERROR(INDEX(ProjNumbers,MATCH(D36,ProjNames,0)),""))</f>
        <v/>
      </c>
      <c r="F36" s="8" t="str">
        <f aca="false">IF(D36="","",IFERROR(INDEX(ProjCodes,MATCH(D36,ProjNames,0)),""))</f>
        <v/>
      </c>
      <c r="G36" s="32"/>
      <c r="H36" s="11"/>
      <c r="I36" s="33"/>
      <c r="J36" s="8" t="str">
        <f aca="false">IF(COUNTA(B36,D36,G36,H36,I36)=0,"",IF(B36="","Enter date",IF(OR(B36&lt;$AC$2,B36&gt;$AC$3),"Date not in April",IF(D36="","Pick project",IF(ISNA(MATCH(D36,ProjNames,0)),"Project not in list",IF(G36="","Add task description",IF(H36="","Pick NTIME or P6",IF(N(I36)&lt;=0,"Enter hours",IF(AND(AllowOT&lt;&gt;"Yes",SUMIF($B$7:$B$256,B36,$I$7:$I$256)&gt;INDEX($O$58:$O$87,DAY(B36))),"Day over "&amp;INDEX($O$58:$O$87,DAY(B36))&amp;" h","✓")))))))))</f>
        <v/>
      </c>
      <c r="K36" s="1"/>
      <c r="L36" s="9" t="s">
        <v>72</v>
      </c>
      <c r="M36" s="9" t="s">
        <v>36</v>
      </c>
      <c r="N36" s="9" t="s">
        <v>37</v>
      </c>
      <c r="O36" s="20" t="s">
        <v>46</v>
      </c>
      <c r="P36" s="21" t="s">
        <v>56</v>
      </c>
      <c r="Q36" s="9" t="s">
        <v>57</v>
      </c>
      <c r="R36" s="9" t="s">
        <v>86</v>
      </c>
      <c r="S36" s="1"/>
      <c r="T36" s="1"/>
      <c r="U36" s="1"/>
      <c r="V36" s="1"/>
      <c r="W36" s="1" t="str">
        <f aca="false">IF(Projects!B34="","",Projects!B34)</f>
        <v/>
      </c>
      <c r="X36" s="1" t="n">
        <f aca="false">IF(W36="",0,SUMIFS($I$7:$I$256,$D$7:$D$256,W36,$H$7:$H$256,"NTIME"))</f>
        <v>0</v>
      </c>
      <c r="Y36" s="1" t="n">
        <f aca="false">IF(W36="",0,SUMIFS($I$7:$I$256,$D$7:$D$256,W36,$H$7:$H$256,"P6"))</f>
        <v>0</v>
      </c>
      <c r="Z36" s="1" t="n">
        <f aca="false">X36+Y36</f>
        <v>0</v>
      </c>
      <c r="AA36" s="1" t="n">
        <f aca="false">IF(Z36&gt;0,Z36+(201-30)/10^6,0)</f>
        <v>0</v>
      </c>
      <c r="AB36" s="1"/>
      <c r="AC36" s="1"/>
      <c r="AD36" s="1"/>
      <c r="AE36" s="1"/>
      <c r="AF36" s="1"/>
      <c r="AG36" s="1"/>
      <c r="AH36" s="1"/>
    </row>
    <row r="37" customFormat="false" ht="15" hidden="false" customHeight="false" outlineLevel="0" collapsed="false">
      <c r="A37" s="1"/>
      <c r="B37" s="10"/>
      <c r="C37" s="31" t="str">
        <f aca="false">IF(B37="","",TEXT(B37,"ddd"))</f>
        <v/>
      </c>
      <c r="D37" s="11"/>
      <c r="E37" s="8" t="str">
        <f aca="false">IF(D37="","",IFERROR(INDEX(ProjNumbers,MATCH(D37,ProjNames,0)),""))</f>
        <v/>
      </c>
      <c r="F37" s="8" t="str">
        <f aca="false">IF(D37="","",IFERROR(INDEX(ProjCodes,MATCH(D37,ProjNames,0)),""))</f>
        <v/>
      </c>
      <c r="G37" s="32"/>
      <c r="H37" s="11"/>
      <c r="I37" s="33"/>
      <c r="J37" s="8" t="str">
        <f aca="false">IF(COUNTA(B37,D37,G37,H37,I37)=0,"",IF(B37="","Enter date",IF(OR(B37&lt;$AC$2,B37&gt;$AC$3),"Date not in April",IF(D37="","Pick project",IF(ISNA(MATCH(D37,ProjNames,0)),"Project not in list",IF(G37="","Add task description",IF(H37="","Pick NTIME or P6",IF(N(I37)&lt;=0,"Enter hours",IF(AND(AllowOT&lt;&gt;"Yes",SUMIF($B$7:$B$256,B37,$I$7:$I$256)&gt;INDEX($O$58:$O$87,DAY(B37))),"Day over "&amp;INDEX($O$58:$O$87,DAY(B37))&amp;" h","✓")))))))))</f>
        <v/>
      </c>
      <c r="K37" s="1"/>
      <c r="L37" s="24" t="str">
        <f aca="false">IF($AD37=0,"",INDEX($W$7:$W$206,$AD37))</f>
        <v/>
      </c>
      <c r="M37" s="24" t="str">
        <f aca="false">IF($AD37=0,"",INDEX(ProjNumbers,$AD37))</f>
        <v/>
      </c>
      <c r="N37" s="24" t="str">
        <f aca="false">IF($AD37=0,"",INDEX(ProjCodes,$AD37))</f>
        <v/>
      </c>
      <c r="O37" s="24" t="str">
        <f aca="false">IF($AD37=0,"",INDEX($X$7:$X$206,$AD37))</f>
        <v/>
      </c>
      <c r="P37" s="24" t="str">
        <f aca="false">IF($AD37=0,"",INDEX($Y$7:$Y$206,$AD37))</f>
        <v/>
      </c>
      <c r="Q37" s="24" t="str">
        <f aca="false">IF($AD37=0,"",INDEX($Z$7:$Z$206,$AD37))</f>
        <v/>
      </c>
      <c r="R37" s="25" t="str">
        <f aca="false">IF(OR($AD37=0,$L$5=0),"",Q37/$L$5)</f>
        <v/>
      </c>
      <c r="S37" s="1"/>
      <c r="T37" s="1"/>
      <c r="U37" s="1"/>
      <c r="V37" s="1"/>
      <c r="W37" s="1" t="str">
        <f aca="false">IF(Projects!B35="","",Projects!B35)</f>
        <v/>
      </c>
      <c r="X37" s="1" t="n">
        <f aca="false">IF(W37="",0,SUMIFS($I$7:$I$256,$D$7:$D$256,W37,$H$7:$H$256,"NTIME"))</f>
        <v>0</v>
      </c>
      <c r="Y37" s="1" t="n">
        <f aca="false">IF(W37="",0,SUMIFS($I$7:$I$256,$D$7:$D$256,W37,$H$7:$H$256,"P6"))</f>
        <v>0</v>
      </c>
      <c r="Z37" s="1" t="n">
        <f aca="false">X37+Y37</f>
        <v>0</v>
      </c>
      <c r="AA37" s="1" t="n">
        <f aca="false">IF(Z37&gt;0,Z37+(201-31)/10^6,0)</f>
        <v>0</v>
      </c>
      <c r="AB37" s="1"/>
      <c r="AC37" s="1"/>
      <c r="AD37" s="1" t="n">
        <f aca="false">IF(LARGE($AA$7:$AA$206,1)&lt;=0,0,MATCH(LARGE($AA$7:$AA$206,1),$AA$7:$AA$206,0))</f>
        <v>0</v>
      </c>
      <c r="AE37" s="1"/>
      <c r="AF37" s="1"/>
      <c r="AG37" s="1"/>
      <c r="AH37" s="1"/>
    </row>
    <row r="38" customFormat="false" ht="15" hidden="false" customHeight="false" outlineLevel="0" collapsed="false">
      <c r="A38" s="1"/>
      <c r="B38" s="10"/>
      <c r="C38" s="31" t="str">
        <f aca="false">IF(B38="","",TEXT(B38,"ddd"))</f>
        <v/>
      </c>
      <c r="D38" s="11"/>
      <c r="E38" s="8" t="str">
        <f aca="false">IF(D38="","",IFERROR(INDEX(ProjNumbers,MATCH(D38,ProjNames,0)),""))</f>
        <v/>
      </c>
      <c r="F38" s="8" t="str">
        <f aca="false">IF(D38="","",IFERROR(INDEX(ProjCodes,MATCH(D38,ProjNames,0)),""))</f>
        <v/>
      </c>
      <c r="G38" s="32"/>
      <c r="H38" s="11"/>
      <c r="I38" s="33"/>
      <c r="J38" s="8" t="str">
        <f aca="false">IF(COUNTA(B38,D38,G38,H38,I38)=0,"",IF(B38="","Enter date",IF(OR(B38&lt;$AC$2,B38&gt;$AC$3),"Date not in April",IF(D38="","Pick project",IF(ISNA(MATCH(D38,ProjNames,0)),"Project not in list",IF(G38="","Add task description",IF(H38="","Pick NTIME or P6",IF(N(I38)&lt;=0,"Enter hours",IF(AND(AllowOT&lt;&gt;"Yes",SUMIF($B$7:$B$256,B38,$I$7:$I$256)&gt;INDEX($O$58:$O$87,DAY(B38))),"Day over "&amp;INDEX($O$58:$O$87,DAY(B38))&amp;" h","✓")))))))))</f>
        <v/>
      </c>
      <c r="K38" s="1"/>
      <c r="L38" s="24" t="str">
        <f aca="false">IF($AD38=0,"",INDEX($W$7:$W$206,$AD38))</f>
        <v/>
      </c>
      <c r="M38" s="24" t="str">
        <f aca="false">IF($AD38=0,"",INDEX(ProjNumbers,$AD38))</f>
        <v/>
      </c>
      <c r="N38" s="24" t="str">
        <f aca="false">IF($AD38=0,"",INDEX(ProjCodes,$AD38))</f>
        <v/>
      </c>
      <c r="O38" s="24" t="str">
        <f aca="false">IF($AD38=0,"",INDEX($X$7:$X$206,$AD38))</f>
        <v/>
      </c>
      <c r="P38" s="24" t="str">
        <f aca="false">IF($AD38=0,"",INDEX($Y$7:$Y$206,$AD38))</f>
        <v/>
      </c>
      <c r="Q38" s="24" t="str">
        <f aca="false">IF($AD38=0,"",INDEX($Z$7:$Z$206,$AD38))</f>
        <v/>
      </c>
      <c r="R38" s="25" t="str">
        <f aca="false">IF(OR($AD38=0,$L$5=0),"",Q38/$L$5)</f>
        <v/>
      </c>
      <c r="S38" s="1"/>
      <c r="T38" s="1"/>
      <c r="U38" s="1"/>
      <c r="V38" s="1"/>
      <c r="W38" s="1" t="str">
        <f aca="false">IF(Projects!B36="","",Projects!B36)</f>
        <v/>
      </c>
      <c r="X38" s="1" t="n">
        <f aca="false">IF(W38="",0,SUMIFS($I$7:$I$256,$D$7:$D$256,W38,$H$7:$H$256,"NTIME"))</f>
        <v>0</v>
      </c>
      <c r="Y38" s="1" t="n">
        <f aca="false">IF(W38="",0,SUMIFS($I$7:$I$256,$D$7:$D$256,W38,$H$7:$H$256,"P6"))</f>
        <v>0</v>
      </c>
      <c r="Z38" s="1" t="n">
        <f aca="false">X38+Y38</f>
        <v>0</v>
      </c>
      <c r="AA38" s="1" t="n">
        <f aca="false">IF(Z38&gt;0,Z38+(201-32)/10^6,0)</f>
        <v>0</v>
      </c>
      <c r="AB38" s="1"/>
      <c r="AC38" s="1"/>
      <c r="AD38" s="1" t="n">
        <f aca="false">IF(LARGE($AA$7:$AA$206,2)&lt;=0,0,MATCH(LARGE($AA$7:$AA$206,2),$AA$7:$AA$206,0))</f>
        <v>0</v>
      </c>
      <c r="AE38" s="1"/>
      <c r="AF38" s="1"/>
      <c r="AG38" s="1"/>
      <c r="AH38" s="1"/>
    </row>
    <row r="39" customFormat="false" ht="15" hidden="false" customHeight="false" outlineLevel="0" collapsed="false">
      <c r="A39" s="1"/>
      <c r="B39" s="10"/>
      <c r="C39" s="31" t="str">
        <f aca="false">IF(B39="","",TEXT(B39,"ddd"))</f>
        <v/>
      </c>
      <c r="D39" s="11"/>
      <c r="E39" s="8" t="str">
        <f aca="false">IF(D39="","",IFERROR(INDEX(ProjNumbers,MATCH(D39,ProjNames,0)),""))</f>
        <v/>
      </c>
      <c r="F39" s="8" t="str">
        <f aca="false">IF(D39="","",IFERROR(INDEX(ProjCodes,MATCH(D39,ProjNames,0)),""))</f>
        <v/>
      </c>
      <c r="G39" s="32"/>
      <c r="H39" s="11"/>
      <c r="I39" s="33"/>
      <c r="J39" s="8" t="str">
        <f aca="false">IF(COUNTA(B39,D39,G39,H39,I39)=0,"",IF(B39="","Enter date",IF(OR(B39&lt;$AC$2,B39&gt;$AC$3),"Date not in April",IF(D39="","Pick project",IF(ISNA(MATCH(D39,ProjNames,0)),"Project not in list",IF(G39="","Add task description",IF(H39="","Pick NTIME or P6",IF(N(I39)&lt;=0,"Enter hours",IF(AND(AllowOT&lt;&gt;"Yes",SUMIF($B$7:$B$256,B39,$I$7:$I$256)&gt;INDEX($O$58:$O$87,DAY(B39))),"Day over "&amp;INDEX($O$58:$O$87,DAY(B39))&amp;" h","✓")))))))))</f>
        <v/>
      </c>
      <c r="K39" s="1"/>
      <c r="L39" s="24" t="str">
        <f aca="false">IF($AD39=0,"",INDEX($W$7:$W$206,$AD39))</f>
        <v/>
      </c>
      <c r="M39" s="24" t="str">
        <f aca="false">IF($AD39=0,"",INDEX(ProjNumbers,$AD39))</f>
        <v/>
      </c>
      <c r="N39" s="24" t="str">
        <f aca="false">IF($AD39=0,"",INDEX(ProjCodes,$AD39))</f>
        <v/>
      </c>
      <c r="O39" s="24" t="str">
        <f aca="false">IF($AD39=0,"",INDEX($X$7:$X$206,$AD39))</f>
        <v/>
      </c>
      <c r="P39" s="24" t="str">
        <f aca="false">IF($AD39=0,"",INDEX($Y$7:$Y$206,$AD39))</f>
        <v/>
      </c>
      <c r="Q39" s="24" t="str">
        <f aca="false">IF($AD39=0,"",INDEX($Z$7:$Z$206,$AD39))</f>
        <v/>
      </c>
      <c r="R39" s="25" t="str">
        <f aca="false">IF(OR($AD39=0,$L$5=0),"",Q39/$L$5)</f>
        <v/>
      </c>
      <c r="S39" s="1"/>
      <c r="T39" s="1"/>
      <c r="U39" s="1"/>
      <c r="V39" s="1"/>
      <c r="W39" s="1" t="str">
        <f aca="false">IF(Projects!B37="","",Projects!B37)</f>
        <v/>
      </c>
      <c r="X39" s="1" t="n">
        <f aca="false">IF(W39="",0,SUMIFS($I$7:$I$256,$D$7:$D$256,W39,$H$7:$H$256,"NTIME"))</f>
        <v>0</v>
      </c>
      <c r="Y39" s="1" t="n">
        <f aca="false">IF(W39="",0,SUMIFS($I$7:$I$256,$D$7:$D$256,W39,$H$7:$H$256,"P6"))</f>
        <v>0</v>
      </c>
      <c r="Z39" s="1" t="n">
        <f aca="false">X39+Y39</f>
        <v>0</v>
      </c>
      <c r="AA39" s="1" t="n">
        <f aca="false">IF(Z39&gt;0,Z39+(201-33)/10^6,0)</f>
        <v>0</v>
      </c>
      <c r="AB39" s="1"/>
      <c r="AC39" s="1"/>
      <c r="AD39" s="1" t="n">
        <f aca="false">IF(LARGE($AA$7:$AA$206,3)&lt;=0,0,MATCH(LARGE($AA$7:$AA$206,3),$AA$7:$AA$206,0))</f>
        <v>0</v>
      </c>
      <c r="AE39" s="1"/>
      <c r="AF39" s="1"/>
      <c r="AG39" s="1"/>
      <c r="AH39" s="1"/>
    </row>
    <row r="40" customFormat="false" ht="15" hidden="false" customHeight="false" outlineLevel="0" collapsed="false">
      <c r="A40" s="1"/>
      <c r="B40" s="10"/>
      <c r="C40" s="31" t="str">
        <f aca="false">IF(B40="","",TEXT(B40,"ddd"))</f>
        <v/>
      </c>
      <c r="D40" s="11"/>
      <c r="E40" s="8" t="str">
        <f aca="false">IF(D40="","",IFERROR(INDEX(ProjNumbers,MATCH(D40,ProjNames,0)),""))</f>
        <v/>
      </c>
      <c r="F40" s="8" t="str">
        <f aca="false">IF(D40="","",IFERROR(INDEX(ProjCodes,MATCH(D40,ProjNames,0)),""))</f>
        <v/>
      </c>
      <c r="G40" s="32"/>
      <c r="H40" s="11"/>
      <c r="I40" s="33"/>
      <c r="J40" s="8" t="str">
        <f aca="false">IF(COUNTA(B40,D40,G40,H40,I40)=0,"",IF(B40="","Enter date",IF(OR(B40&lt;$AC$2,B40&gt;$AC$3),"Date not in April",IF(D40="","Pick project",IF(ISNA(MATCH(D40,ProjNames,0)),"Project not in list",IF(G40="","Add task description",IF(H40="","Pick NTIME or P6",IF(N(I40)&lt;=0,"Enter hours",IF(AND(AllowOT&lt;&gt;"Yes",SUMIF($B$7:$B$256,B40,$I$7:$I$256)&gt;INDEX($O$58:$O$87,DAY(B40))),"Day over "&amp;INDEX($O$58:$O$87,DAY(B40))&amp;" h","✓")))))))))</f>
        <v/>
      </c>
      <c r="K40" s="1"/>
      <c r="L40" s="24" t="str">
        <f aca="false">IF($AD40=0,"",INDEX($W$7:$W$206,$AD40))</f>
        <v/>
      </c>
      <c r="M40" s="24" t="str">
        <f aca="false">IF($AD40=0,"",INDEX(ProjNumbers,$AD40))</f>
        <v/>
      </c>
      <c r="N40" s="24" t="str">
        <f aca="false">IF($AD40=0,"",INDEX(ProjCodes,$AD40))</f>
        <v/>
      </c>
      <c r="O40" s="24" t="str">
        <f aca="false">IF($AD40=0,"",INDEX($X$7:$X$206,$AD40))</f>
        <v/>
      </c>
      <c r="P40" s="24" t="str">
        <f aca="false">IF($AD40=0,"",INDEX($Y$7:$Y$206,$AD40))</f>
        <v/>
      </c>
      <c r="Q40" s="24" t="str">
        <f aca="false">IF($AD40=0,"",INDEX($Z$7:$Z$206,$AD40))</f>
        <v/>
      </c>
      <c r="R40" s="25" t="str">
        <f aca="false">IF(OR($AD40=0,$L$5=0),"",Q40/$L$5)</f>
        <v/>
      </c>
      <c r="S40" s="1"/>
      <c r="T40" s="1"/>
      <c r="U40" s="1"/>
      <c r="V40" s="1"/>
      <c r="W40" s="1" t="str">
        <f aca="false">IF(Projects!B38="","",Projects!B38)</f>
        <v/>
      </c>
      <c r="X40" s="1" t="n">
        <f aca="false">IF(W40="",0,SUMIFS($I$7:$I$256,$D$7:$D$256,W40,$H$7:$H$256,"NTIME"))</f>
        <v>0</v>
      </c>
      <c r="Y40" s="1" t="n">
        <f aca="false">IF(W40="",0,SUMIFS($I$7:$I$256,$D$7:$D$256,W40,$H$7:$H$256,"P6"))</f>
        <v>0</v>
      </c>
      <c r="Z40" s="1" t="n">
        <f aca="false">X40+Y40</f>
        <v>0</v>
      </c>
      <c r="AA40" s="1" t="n">
        <f aca="false">IF(Z40&gt;0,Z40+(201-34)/10^6,0)</f>
        <v>0</v>
      </c>
      <c r="AB40" s="1"/>
      <c r="AC40" s="1"/>
      <c r="AD40" s="1" t="n">
        <f aca="false">IF(LARGE($AA$7:$AA$206,4)&lt;=0,0,MATCH(LARGE($AA$7:$AA$206,4),$AA$7:$AA$206,0))</f>
        <v>0</v>
      </c>
      <c r="AE40" s="1"/>
      <c r="AF40" s="1"/>
      <c r="AG40" s="1"/>
      <c r="AH40" s="1"/>
    </row>
    <row r="41" customFormat="false" ht="15" hidden="false" customHeight="false" outlineLevel="0" collapsed="false">
      <c r="A41" s="1"/>
      <c r="B41" s="10"/>
      <c r="C41" s="31" t="str">
        <f aca="false">IF(B41="","",TEXT(B41,"ddd"))</f>
        <v/>
      </c>
      <c r="D41" s="11"/>
      <c r="E41" s="8" t="str">
        <f aca="false">IF(D41="","",IFERROR(INDEX(ProjNumbers,MATCH(D41,ProjNames,0)),""))</f>
        <v/>
      </c>
      <c r="F41" s="8" t="str">
        <f aca="false">IF(D41="","",IFERROR(INDEX(ProjCodes,MATCH(D41,ProjNames,0)),""))</f>
        <v/>
      </c>
      <c r="G41" s="32"/>
      <c r="H41" s="11"/>
      <c r="I41" s="33"/>
      <c r="J41" s="8" t="str">
        <f aca="false">IF(COUNTA(B41,D41,G41,H41,I41)=0,"",IF(B41="","Enter date",IF(OR(B41&lt;$AC$2,B41&gt;$AC$3),"Date not in April",IF(D41="","Pick project",IF(ISNA(MATCH(D41,ProjNames,0)),"Project not in list",IF(G41="","Add task description",IF(H41="","Pick NTIME or P6",IF(N(I41)&lt;=0,"Enter hours",IF(AND(AllowOT&lt;&gt;"Yes",SUMIF($B$7:$B$256,B41,$I$7:$I$256)&gt;INDEX($O$58:$O$87,DAY(B41))),"Day over "&amp;INDEX($O$58:$O$87,DAY(B41))&amp;" h","✓")))))))))</f>
        <v/>
      </c>
      <c r="K41" s="1"/>
      <c r="L41" s="24" t="str">
        <f aca="false">IF($AD41=0,"",INDEX($W$7:$W$206,$AD41))</f>
        <v/>
      </c>
      <c r="M41" s="24" t="str">
        <f aca="false">IF($AD41=0,"",INDEX(ProjNumbers,$AD41))</f>
        <v/>
      </c>
      <c r="N41" s="24" t="str">
        <f aca="false">IF($AD41=0,"",INDEX(ProjCodes,$AD41))</f>
        <v/>
      </c>
      <c r="O41" s="24" t="str">
        <f aca="false">IF($AD41=0,"",INDEX($X$7:$X$206,$AD41))</f>
        <v/>
      </c>
      <c r="P41" s="24" t="str">
        <f aca="false">IF($AD41=0,"",INDEX($Y$7:$Y$206,$AD41))</f>
        <v/>
      </c>
      <c r="Q41" s="24" t="str">
        <f aca="false">IF($AD41=0,"",INDEX($Z$7:$Z$206,$AD41))</f>
        <v/>
      </c>
      <c r="R41" s="25" t="str">
        <f aca="false">IF(OR($AD41=0,$L$5=0),"",Q41/$L$5)</f>
        <v/>
      </c>
      <c r="S41" s="1"/>
      <c r="T41" s="1"/>
      <c r="U41" s="1"/>
      <c r="V41" s="1"/>
      <c r="W41" s="1" t="str">
        <f aca="false">IF(Projects!B39="","",Projects!B39)</f>
        <v/>
      </c>
      <c r="X41" s="1" t="n">
        <f aca="false">IF(W41="",0,SUMIFS($I$7:$I$256,$D$7:$D$256,W41,$H$7:$H$256,"NTIME"))</f>
        <v>0</v>
      </c>
      <c r="Y41" s="1" t="n">
        <f aca="false">IF(W41="",0,SUMIFS($I$7:$I$256,$D$7:$D$256,W41,$H$7:$H$256,"P6"))</f>
        <v>0</v>
      </c>
      <c r="Z41" s="1" t="n">
        <f aca="false">X41+Y41</f>
        <v>0</v>
      </c>
      <c r="AA41" s="1" t="n">
        <f aca="false">IF(Z41&gt;0,Z41+(201-35)/10^6,0)</f>
        <v>0</v>
      </c>
      <c r="AB41" s="1"/>
      <c r="AC41" s="1"/>
      <c r="AD41" s="1" t="n">
        <f aca="false">IF(LARGE($AA$7:$AA$206,5)&lt;=0,0,MATCH(LARGE($AA$7:$AA$206,5),$AA$7:$AA$206,0))</f>
        <v>0</v>
      </c>
      <c r="AE41" s="1"/>
      <c r="AF41" s="1"/>
      <c r="AG41" s="1"/>
      <c r="AH41" s="1"/>
    </row>
    <row r="42" customFormat="false" ht="15" hidden="false" customHeight="false" outlineLevel="0" collapsed="false">
      <c r="A42" s="1"/>
      <c r="B42" s="10"/>
      <c r="C42" s="31" t="str">
        <f aca="false">IF(B42="","",TEXT(B42,"ddd"))</f>
        <v/>
      </c>
      <c r="D42" s="11"/>
      <c r="E42" s="8" t="str">
        <f aca="false">IF(D42="","",IFERROR(INDEX(ProjNumbers,MATCH(D42,ProjNames,0)),""))</f>
        <v/>
      </c>
      <c r="F42" s="8" t="str">
        <f aca="false">IF(D42="","",IFERROR(INDEX(ProjCodes,MATCH(D42,ProjNames,0)),""))</f>
        <v/>
      </c>
      <c r="G42" s="32"/>
      <c r="H42" s="11"/>
      <c r="I42" s="33"/>
      <c r="J42" s="8" t="str">
        <f aca="false">IF(COUNTA(B42,D42,G42,H42,I42)=0,"",IF(B42="","Enter date",IF(OR(B42&lt;$AC$2,B42&gt;$AC$3),"Date not in April",IF(D42="","Pick project",IF(ISNA(MATCH(D42,ProjNames,0)),"Project not in list",IF(G42="","Add task description",IF(H42="","Pick NTIME or P6",IF(N(I42)&lt;=0,"Enter hours",IF(AND(AllowOT&lt;&gt;"Yes",SUMIF($B$7:$B$256,B42,$I$7:$I$256)&gt;INDEX($O$58:$O$87,DAY(B42))),"Day over "&amp;INDEX($O$58:$O$87,DAY(B42))&amp;" h","✓")))))))))</f>
        <v/>
      </c>
      <c r="K42" s="1"/>
      <c r="L42" s="24" t="str">
        <f aca="false">IF($AD42=0,"",INDEX($W$7:$W$206,$AD42))</f>
        <v/>
      </c>
      <c r="M42" s="24" t="str">
        <f aca="false">IF($AD42=0,"",INDEX(ProjNumbers,$AD42))</f>
        <v/>
      </c>
      <c r="N42" s="24" t="str">
        <f aca="false">IF($AD42=0,"",INDEX(ProjCodes,$AD42))</f>
        <v/>
      </c>
      <c r="O42" s="24" t="str">
        <f aca="false">IF($AD42=0,"",INDEX($X$7:$X$206,$AD42))</f>
        <v/>
      </c>
      <c r="P42" s="24" t="str">
        <f aca="false">IF($AD42=0,"",INDEX($Y$7:$Y$206,$AD42))</f>
        <v/>
      </c>
      <c r="Q42" s="24" t="str">
        <f aca="false">IF($AD42=0,"",INDEX($Z$7:$Z$206,$AD42))</f>
        <v/>
      </c>
      <c r="R42" s="25" t="str">
        <f aca="false">IF(OR($AD42=0,$L$5=0),"",Q42/$L$5)</f>
        <v/>
      </c>
      <c r="S42" s="1"/>
      <c r="T42" s="1"/>
      <c r="U42" s="1"/>
      <c r="V42" s="1"/>
      <c r="W42" s="1" t="str">
        <f aca="false">IF(Projects!B40="","",Projects!B40)</f>
        <v/>
      </c>
      <c r="X42" s="1" t="n">
        <f aca="false">IF(W42="",0,SUMIFS($I$7:$I$256,$D$7:$D$256,W42,$H$7:$H$256,"NTIME"))</f>
        <v>0</v>
      </c>
      <c r="Y42" s="1" t="n">
        <f aca="false">IF(W42="",0,SUMIFS($I$7:$I$256,$D$7:$D$256,W42,$H$7:$H$256,"P6"))</f>
        <v>0</v>
      </c>
      <c r="Z42" s="1" t="n">
        <f aca="false">X42+Y42</f>
        <v>0</v>
      </c>
      <c r="AA42" s="1" t="n">
        <f aca="false">IF(Z42&gt;0,Z42+(201-36)/10^6,0)</f>
        <v>0</v>
      </c>
      <c r="AB42" s="1"/>
      <c r="AC42" s="1"/>
      <c r="AD42" s="1" t="n">
        <f aca="false">IF(LARGE($AA$7:$AA$206,6)&lt;=0,0,MATCH(LARGE($AA$7:$AA$206,6),$AA$7:$AA$206,0))</f>
        <v>0</v>
      </c>
      <c r="AE42" s="1"/>
      <c r="AF42" s="1"/>
      <c r="AG42" s="1"/>
      <c r="AH42" s="1"/>
    </row>
    <row r="43" customFormat="false" ht="15" hidden="false" customHeight="false" outlineLevel="0" collapsed="false">
      <c r="A43" s="1"/>
      <c r="B43" s="10"/>
      <c r="C43" s="31" t="str">
        <f aca="false">IF(B43="","",TEXT(B43,"ddd"))</f>
        <v/>
      </c>
      <c r="D43" s="11"/>
      <c r="E43" s="8" t="str">
        <f aca="false">IF(D43="","",IFERROR(INDEX(ProjNumbers,MATCH(D43,ProjNames,0)),""))</f>
        <v/>
      </c>
      <c r="F43" s="8" t="str">
        <f aca="false">IF(D43="","",IFERROR(INDEX(ProjCodes,MATCH(D43,ProjNames,0)),""))</f>
        <v/>
      </c>
      <c r="G43" s="32"/>
      <c r="H43" s="11"/>
      <c r="I43" s="33"/>
      <c r="J43" s="8" t="str">
        <f aca="false">IF(COUNTA(B43,D43,G43,H43,I43)=0,"",IF(B43="","Enter date",IF(OR(B43&lt;$AC$2,B43&gt;$AC$3),"Date not in April",IF(D43="","Pick project",IF(ISNA(MATCH(D43,ProjNames,0)),"Project not in list",IF(G43="","Add task description",IF(H43="","Pick NTIME or P6",IF(N(I43)&lt;=0,"Enter hours",IF(AND(AllowOT&lt;&gt;"Yes",SUMIF($B$7:$B$256,B43,$I$7:$I$256)&gt;INDEX($O$58:$O$87,DAY(B43))),"Day over "&amp;INDEX($O$58:$O$87,DAY(B43))&amp;" h","✓")))))))))</f>
        <v/>
      </c>
      <c r="K43" s="1"/>
      <c r="L43" s="24" t="str">
        <f aca="false">IF($AD43=0,"",INDEX($W$7:$W$206,$AD43))</f>
        <v/>
      </c>
      <c r="M43" s="24" t="str">
        <f aca="false">IF($AD43=0,"",INDEX(ProjNumbers,$AD43))</f>
        <v/>
      </c>
      <c r="N43" s="24" t="str">
        <f aca="false">IF($AD43=0,"",INDEX(ProjCodes,$AD43))</f>
        <v/>
      </c>
      <c r="O43" s="24" t="str">
        <f aca="false">IF($AD43=0,"",INDEX($X$7:$X$206,$AD43))</f>
        <v/>
      </c>
      <c r="P43" s="24" t="str">
        <f aca="false">IF($AD43=0,"",INDEX($Y$7:$Y$206,$AD43))</f>
        <v/>
      </c>
      <c r="Q43" s="24" t="str">
        <f aca="false">IF($AD43=0,"",INDEX($Z$7:$Z$206,$AD43))</f>
        <v/>
      </c>
      <c r="R43" s="25" t="str">
        <f aca="false">IF(OR($AD43=0,$L$5=0),"",Q43/$L$5)</f>
        <v/>
      </c>
      <c r="S43" s="1"/>
      <c r="T43" s="1"/>
      <c r="U43" s="1"/>
      <c r="V43" s="1"/>
      <c r="W43" s="1" t="str">
        <f aca="false">IF(Projects!B41="","",Projects!B41)</f>
        <v/>
      </c>
      <c r="X43" s="1" t="n">
        <f aca="false">IF(W43="",0,SUMIFS($I$7:$I$256,$D$7:$D$256,W43,$H$7:$H$256,"NTIME"))</f>
        <v>0</v>
      </c>
      <c r="Y43" s="1" t="n">
        <f aca="false">IF(W43="",0,SUMIFS($I$7:$I$256,$D$7:$D$256,W43,$H$7:$H$256,"P6"))</f>
        <v>0</v>
      </c>
      <c r="Z43" s="1" t="n">
        <f aca="false">X43+Y43</f>
        <v>0</v>
      </c>
      <c r="AA43" s="1" t="n">
        <f aca="false">IF(Z43&gt;0,Z43+(201-37)/10^6,0)</f>
        <v>0</v>
      </c>
      <c r="AB43" s="1"/>
      <c r="AC43" s="1"/>
      <c r="AD43" s="1" t="n">
        <f aca="false">IF(LARGE($AA$7:$AA$206,7)&lt;=0,0,MATCH(LARGE($AA$7:$AA$206,7),$AA$7:$AA$206,0))</f>
        <v>0</v>
      </c>
      <c r="AE43" s="1"/>
      <c r="AF43" s="1"/>
      <c r="AG43" s="1"/>
      <c r="AH43" s="1"/>
    </row>
    <row r="44" customFormat="false" ht="15" hidden="false" customHeight="false" outlineLevel="0" collapsed="false">
      <c r="A44" s="1"/>
      <c r="B44" s="10"/>
      <c r="C44" s="31" t="str">
        <f aca="false">IF(B44="","",TEXT(B44,"ddd"))</f>
        <v/>
      </c>
      <c r="D44" s="11"/>
      <c r="E44" s="8" t="str">
        <f aca="false">IF(D44="","",IFERROR(INDEX(ProjNumbers,MATCH(D44,ProjNames,0)),""))</f>
        <v/>
      </c>
      <c r="F44" s="8" t="str">
        <f aca="false">IF(D44="","",IFERROR(INDEX(ProjCodes,MATCH(D44,ProjNames,0)),""))</f>
        <v/>
      </c>
      <c r="G44" s="32"/>
      <c r="H44" s="11"/>
      <c r="I44" s="33"/>
      <c r="J44" s="8" t="str">
        <f aca="false">IF(COUNTA(B44,D44,G44,H44,I44)=0,"",IF(B44="","Enter date",IF(OR(B44&lt;$AC$2,B44&gt;$AC$3),"Date not in April",IF(D44="","Pick project",IF(ISNA(MATCH(D44,ProjNames,0)),"Project not in list",IF(G44="","Add task description",IF(H44="","Pick NTIME or P6",IF(N(I44)&lt;=0,"Enter hours",IF(AND(AllowOT&lt;&gt;"Yes",SUMIF($B$7:$B$256,B44,$I$7:$I$256)&gt;INDEX($O$58:$O$87,DAY(B44))),"Day over "&amp;INDEX($O$58:$O$87,DAY(B44))&amp;" h","✓")))))))))</f>
        <v/>
      </c>
      <c r="K44" s="1"/>
      <c r="L44" s="24" t="str">
        <f aca="false">IF($AD44=0,"",INDEX($W$7:$W$206,$AD44))</f>
        <v/>
      </c>
      <c r="M44" s="24" t="str">
        <f aca="false">IF($AD44=0,"",INDEX(ProjNumbers,$AD44))</f>
        <v/>
      </c>
      <c r="N44" s="24" t="str">
        <f aca="false">IF($AD44=0,"",INDEX(ProjCodes,$AD44))</f>
        <v/>
      </c>
      <c r="O44" s="24" t="str">
        <f aca="false">IF($AD44=0,"",INDEX($X$7:$X$206,$AD44))</f>
        <v/>
      </c>
      <c r="P44" s="24" t="str">
        <f aca="false">IF($AD44=0,"",INDEX($Y$7:$Y$206,$AD44))</f>
        <v/>
      </c>
      <c r="Q44" s="24" t="str">
        <f aca="false">IF($AD44=0,"",INDEX($Z$7:$Z$206,$AD44))</f>
        <v/>
      </c>
      <c r="R44" s="25" t="str">
        <f aca="false">IF(OR($AD44=0,$L$5=0),"",Q44/$L$5)</f>
        <v/>
      </c>
      <c r="S44" s="1"/>
      <c r="T44" s="1"/>
      <c r="U44" s="1"/>
      <c r="V44" s="1"/>
      <c r="W44" s="1" t="str">
        <f aca="false">IF(Projects!B42="","",Projects!B42)</f>
        <v/>
      </c>
      <c r="X44" s="1" t="n">
        <f aca="false">IF(W44="",0,SUMIFS($I$7:$I$256,$D$7:$D$256,W44,$H$7:$H$256,"NTIME"))</f>
        <v>0</v>
      </c>
      <c r="Y44" s="1" t="n">
        <f aca="false">IF(W44="",0,SUMIFS($I$7:$I$256,$D$7:$D$256,W44,$H$7:$H$256,"P6"))</f>
        <v>0</v>
      </c>
      <c r="Z44" s="1" t="n">
        <f aca="false">X44+Y44</f>
        <v>0</v>
      </c>
      <c r="AA44" s="1" t="n">
        <f aca="false">IF(Z44&gt;0,Z44+(201-38)/10^6,0)</f>
        <v>0</v>
      </c>
      <c r="AB44" s="1"/>
      <c r="AC44" s="1"/>
      <c r="AD44" s="1" t="n">
        <f aca="false">IF(LARGE($AA$7:$AA$206,8)&lt;=0,0,MATCH(LARGE($AA$7:$AA$206,8),$AA$7:$AA$206,0))</f>
        <v>0</v>
      </c>
      <c r="AE44" s="1"/>
      <c r="AF44" s="1"/>
      <c r="AG44" s="1"/>
      <c r="AH44" s="1"/>
    </row>
    <row r="45" customFormat="false" ht="15" hidden="false" customHeight="false" outlineLevel="0" collapsed="false">
      <c r="A45" s="1"/>
      <c r="B45" s="10"/>
      <c r="C45" s="31" t="str">
        <f aca="false">IF(B45="","",TEXT(B45,"ddd"))</f>
        <v/>
      </c>
      <c r="D45" s="11"/>
      <c r="E45" s="8" t="str">
        <f aca="false">IF(D45="","",IFERROR(INDEX(ProjNumbers,MATCH(D45,ProjNames,0)),""))</f>
        <v/>
      </c>
      <c r="F45" s="8" t="str">
        <f aca="false">IF(D45="","",IFERROR(INDEX(ProjCodes,MATCH(D45,ProjNames,0)),""))</f>
        <v/>
      </c>
      <c r="G45" s="32"/>
      <c r="H45" s="11"/>
      <c r="I45" s="33"/>
      <c r="J45" s="8" t="str">
        <f aca="false">IF(COUNTA(B45,D45,G45,H45,I45)=0,"",IF(B45="","Enter date",IF(OR(B45&lt;$AC$2,B45&gt;$AC$3),"Date not in April",IF(D45="","Pick project",IF(ISNA(MATCH(D45,ProjNames,0)),"Project not in list",IF(G45="","Add task description",IF(H45="","Pick NTIME or P6",IF(N(I45)&lt;=0,"Enter hours",IF(AND(AllowOT&lt;&gt;"Yes",SUMIF($B$7:$B$256,B45,$I$7:$I$256)&gt;INDEX($O$58:$O$87,DAY(B45))),"Day over "&amp;INDEX($O$58:$O$87,DAY(B45))&amp;" h","✓")))))))))</f>
        <v/>
      </c>
      <c r="K45" s="1"/>
      <c r="L45" s="24" t="str">
        <f aca="false">IF($AD45=0,"",INDEX($W$7:$W$206,$AD45))</f>
        <v/>
      </c>
      <c r="M45" s="24" t="str">
        <f aca="false">IF($AD45=0,"",INDEX(ProjNumbers,$AD45))</f>
        <v/>
      </c>
      <c r="N45" s="24" t="str">
        <f aca="false">IF($AD45=0,"",INDEX(ProjCodes,$AD45))</f>
        <v/>
      </c>
      <c r="O45" s="24" t="str">
        <f aca="false">IF($AD45=0,"",INDEX($X$7:$X$206,$AD45))</f>
        <v/>
      </c>
      <c r="P45" s="24" t="str">
        <f aca="false">IF($AD45=0,"",INDEX($Y$7:$Y$206,$AD45))</f>
        <v/>
      </c>
      <c r="Q45" s="24" t="str">
        <f aca="false">IF($AD45=0,"",INDEX($Z$7:$Z$206,$AD45))</f>
        <v/>
      </c>
      <c r="R45" s="25" t="str">
        <f aca="false">IF(OR($AD45=0,$L$5=0),"",Q45/$L$5)</f>
        <v/>
      </c>
      <c r="S45" s="1"/>
      <c r="T45" s="1"/>
      <c r="U45" s="1"/>
      <c r="V45" s="1"/>
      <c r="W45" s="1" t="str">
        <f aca="false">IF(Projects!B43="","",Projects!B43)</f>
        <v/>
      </c>
      <c r="X45" s="1" t="n">
        <f aca="false">IF(W45="",0,SUMIFS($I$7:$I$256,$D$7:$D$256,W45,$H$7:$H$256,"NTIME"))</f>
        <v>0</v>
      </c>
      <c r="Y45" s="1" t="n">
        <f aca="false">IF(W45="",0,SUMIFS($I$7:$I$256,$D$7:$D$256,W45,$H$7:$H$256,"P6"))</f>
        <v>0</v>
      </c>
      <c r="Z45" s="1" t="n">
        <f aca="false">X45+Y45</f>
        <v>0</v>
      </c>
      <c r="AA45" s="1" t="n">
        <f aca="false">IF(Z45&gt;0,Z45+(201-39)/10^6,0)</f>
        <v>0</v>
      </c>
      <c r="AB45" s="1"/>
      <c r="AC45" s="1"/>
      <c r="AD45" s="1" t="n">
        <f aca="false">IF(LARGE($AA$7:$AA$206,9)&lt;=0,0,MATCH(LARGE($AA$7:$AA$206,9),$AA$7:$AA$206,0))</f>
        <v>0</v>
      </c>
      <c r="AE45" s="1"/>
      <c r="AF45" s="1"/>
      <c r="AG45" s="1"/>
      <c r="AH45" s="1"/>
    </row>
    <row r="46" customFormat="false" ht="15" hidden="false" customHeight="false" outlineLevel="0" collapsed="false">
      <c r="A46" s="1"/>
      <c r="B46" s="10"/>
      <c r="C46" s="31" t="str">
        <f aca="false">IF(B46="","",TEXT(B46,"ddd"))</f>
        <v/>
      </c>
      <c r="D46" s="11"/>
      <c r="E46" s="8" t="str">
        <f aca="false">IF(D46="","",IFERROR(INDEX(ProjNumbers,MATCH(D46,ProjNames,0)),""))</f>
        <v/>
      </c>
      <c r="F46" s="8" t="str">
        <f aca="false">IF(D46="","",IFERROR(INDEX(ProjCodes,MATCH(D46,ProjNames,0)),""))</f>
        <v/>
      </c>
      <c r="G46" s="32"/>
      <c r="H46" s="11"/>
      <c r="I46" s="33"/>
      <c r="J46" s="8" t="str">
        <f aca="false">IF(COUNTA(B46,D46,G46,H46,I46)=0,"",IF(B46="","Enter date",IF(OR(B46&lt;$AC$2,B46&gt;$AC$3),"Date not in April",IF(D46="","Pick project",IF(ISNA(MATCH(D46,ProjNames,0)),"Project not in list",IF(G46="","Add task description",IF(H46="","Pick NTIME or P6",IF(N(I46)&lt;=0,"Enter hours",IF(AND(AllowOT&lt;&gt;"Yes",SUMIF($B$7:$B$256,B46,$I$7:$I$256)&gt;INDEX($O$58:$O$87,DAY(B46))),"Day over "&amp;INDEX($O$58:$O$87,DAY(B46))&amp;" h","✓")))))))))</f>
        <v/>
      </c>
      <c r="K46" s="1"/>
      <c r="L46" s="24" t="str">
        <f aca="false">IF($AD46=0,"",INDEX($W$7:$W$206,$AD46))</f>
        <v/>
      </c>
      <c r="M46" s="24" t="str">
        <f aca="false">IF($AD46=0,"",INDEX(ProjNumbers,$AD46))</f>
        <v/>
      </c>
      <c r="N46" s="24" t="str">
        <f aca="false">IF($AD46=0,"",INDEX(ProjCodes,$AD46))</f>
        <v/>
      </c>
      <c r="O46" s="24" t="str">
        <f aca="false">IF($AD46=0,"",INDEX($X$7:$X$206,$AD46))</f>
        <v/>
      </c>
      <c r="P46" s="24" t="str">
        <f aca="false">IF($AD46=0,"",INDEX($Y$7:$Y$206,$AD46))</f>
        <v/>
      </c>
      <c r="Q46" s="24" t="str">
        <f aca="false">IF($AD46=0,"",INDEX($Z$7:$Z$206,$AD46))</f>
        <v/>
      </c>
      <c r="R46" s="25" t="str">
        <f aca="false">IF(OR($AD46=0,$L$5=0),"",Q46/$L$5)</f>
        <v/>
      </c>
      <c r="S46" s="1"/>
      <c r="T46" s="1"/>
      <c r="U46" s="1"/>
      <c r="V46" s="1"/>
      <c r="W46" s="1" t="str">
        <f aca="false">IF(Projects!B44="","",Projects!B44)</f>
        <v/>
      </c>
      <c r="X46" s="1" t="n">
        <f aca="false">IF(W46="",0,SUMIFS($I$7:$I$256,$D$7:$D$256,W46,$H$7:$H$256,"NTIME"))</f>
        <v>0</v>
      </c>
      <c r="Y46" s="1" t="n">
        <f aca="false">IF(W46="",0,SUMIFS($I$7:$I$256,$D$7:$D$256,W46,$H$7:$H$256,"P6"))</f>
        <v>0</v>
      </c>
      <c r="Z46" s="1" t="n">
        <f aca="false">X46+Y46</f>
        <v>0</v>
      </c>
      <c r="AA46" s="1" t="n">
        <f aca="false">IF(Z46&gt;0,Z46+(201-40)/10^6,0)</f>
        <v>0</v>
      </c>
      <c r="AB46" s="1"/>
      <c r="AC46" s="1"/>
      <c r="AD46" s="1" t="n">
        <f aca="false">IF(LARGE($AA$7:$AA$206,10)&lt;=0,0,MATCH(LARGE($AA$7:$AA$206,10),$AA$7:$AA$206,0))</f>
        <v>0</v>
      </c>
      <c r="AE46" s="1"/>
      <c r="AF46" s="1"/>
      <c r="AG46" s="1"/>
      <c r="AH46" s="1"/>
    </row>
    <row r="47" customFormat="false" ht="15" hidden="false" customHeight="false" outlineLevel="0" collapsed="false">
      <c r="A47" s="1"/>
      <c r="B47" s="10"/>
      <c r="C47" s="31" t="str">
        <f aca="false">IF(B47="","",TEXT(B47,"ddd"))</f>
        <v/>
      </c>
      <c r="D47" s="11"/>
      <c r="E47" s="8" t="str">
        <f aca="false">IF(D47="","",IFERROR(INDEX(ProjNumbers,MATCH(D47,ProjNames,0)),""))</f>
        <v/>
      </c>
      <c r="F47" s="8" t="str">
        <f aca="false">IF(D47="","",IFERROR(INDEX(ProjCodes,MATCH(D47,ProjNames,0)),""))</f>
        <v/>
      </c>
      <c r="G47" s="32"/>
      <c r="H47" s="11"/>
      <c r="I47" s="33"/>
      <c r="J47" s="8" t="str">
        <f aca="false">IF(COUNTA(B47,D47,G47,H47,I47)=0,"",IF(B47="","Enter date",IF(OR(B47&lt;$AC$2,B47&gt;$AC$3),"Date not in April",IF(D47="","Pick project",IF(ISNA(MATCH(D47,ProjNames,0)),"Project not in list",IF(G47="","Add task description",IF(H47="","Pick NTIME or P6",IF(N(I47)&lt;=0,"Enter hours",IF(AND(AllowOT&lt;&gt;"Yes",SUMIF($B$7:$B$256,B47,$I$7:$I$256)&gt;INDEX($O$58:$O$87,DAY(B47))),"Day over "&amp;INDEX($O$58:$O$87,DAY(B47))&amp;" h","✓")))))))))</f>
        <v/>
      </c>
      <c r="K47" s="1"/>
      <c r="L47" s="24" t="str">
        <f aca="false">IF($AD47=0,"",INDEX($W$7:$W$206,$AD47))</f>
        <v/>
      </c>
      <c r="M47" s="24" t="str">
        <f aca="false">IF($AD47=0,"",INDEX(ProjNumbers,$AD47))</f>
        <v/>
      </c>
      <c r="N47" s="24" t="str">
        <f aca="false">IF($AD47=0,"",INDEX(ProjCodes,$AD47))</f>
        <v/>
      </c>
      <c r="O47" s="24" t="str">
        <f aca="false">IF($AD47=0,"",INDEX($X$7:$X$206,$AD47))</f>
        <v/>
      </c>
      <c r="P47" s="24" t="str">
        <f aca="false">IF($AD47=0,"",INDEX($Y$7:$Y$206,$AD47))</f>
        <v/>
      </c>
      <c r="Q47" s="24" t="str">
        <f aca="false">IF($AD47=0,"",INDEX($Z$7:$Z$206,$AD47))</f>
        <v/>
      </c>
      <c r="R47" s="25" t="str">
        <f aca="false">IF(OR($AD47=0,$L$5=0),"",Q47/$L$5)</f>
        <v/>
      </c>
      <c r="S47" s="1"/>
      <c r="T47" s="1"/>
      <c r="U47" s="1"/>
      <c r="V47" s="1"/>
      <c r="W47" s="1" t="str">
        <f aca="false">IF(Projects!B45="","",Projects!B45)</f>
        <v/>
      </c>
      <c r="X47" s="1" t="n">
        <f aca="false">IF(W47="",0,SUMIFS($I$7:$I$256,$D$7:$D$256,W47,$H$7:$H$256,"NTIME"))</f>
        <v>0</v>
      </c>
      <c r="Y47" s="1" t="n">
        <f aca="false">IF(W47="",0,SUMIFS($I$7:$I$256,$D$7:$D$256,W47,$H$7:$H$256,"P6"))</f>
        <v>0</v>
      </c>
      <c r="Z47" s="1" t="n">
        <f aca="false">X47+Y47</f>
        <v>0</v>
      </c>
      <c r="AA47" s="1" t="n">
        <f aca="false">IF(Z47&gt;0,Z47+(201-41)/10^6,0)</f>
        <v>0</v>
      </c>
      <c r="AB47" s="1"/>
      <c r="AC47" s="1"/>
      <c r="AD47" s="1" t="n">
        <f aca="false">IF(LARGE($AA$7:$AA$206,11)&lt;=0,0,MATCH(LARGE($AA$7:$AA$206,11),$AA$7:$AA$206,0))</f>
        <v>0</v>
      </c>
      <c r="AE47" s="1"/>
      <c r="AF47" s="1"/>
      <c r="AG47" s="1"/>
      <c r="AH47" s="1"/>
    </row>
    <row r="48" customFormat="false" ht="15" hidden="false" customHeight="false" outlineLevel="0" collapsed="false">
      <c r="A48" s="1"/>
      <c r="B48" s="10"/>
      <c r="C48" s="31" t="str">
        <f aca="false">IF(B48="","",TEXT(B48,"ddd"))</f>
        <v/>
      </c>
      <c r="D48" s="11"/>
      <c r="E48" s="8" t="str">
        <f aca="false">IF(D48="","",IFERROR(INDEX(ProjNumbers,MATCH(D48,ProjNames,0)),""))</f>
        <v/>
      </c>
      <c r="F48" s="8" t="str">
        <f aca="false">IF(D48="","",IFERROR(INDEX(ProjCodes,MATCH(D48,ProjNames,0)),""))</f>
        <v/>
      </c>
      <c r="G48" s="32"/>
      <c r="H48" s="11"/>
      <c r="I48" s="33"/>
      <c r="J48" s="8" t="str">
        <f aca="false">IF(COUNTA(B48,D48,G48,H48,I48)=0,"",IF(B48="","Enter date",IF(OR(B48&lt;$AC$2,B48&gt;$AC$3),"Date not in April",IF(D48="","Pick project",IF(ISNA(MATCH(D48,ProjNames,0)),"Project not in list",IF(G48="","Add task description",IF(H48="","Pick NTIME or P6",IF(N(I48)&lt;=0,"Enter hours",IF(AND(AllowOT&lt;&gt;"Yes",SUMIF($B$7:$B$256,B48,$I$7:$I$256)&gt;INDEX($O$58:$O$87,DAY(B48))),"Day over "&amp;INDEX($O$58:$O$87,DAY(B48))&amp;" h","✓")))))))))</f>
        <v/>
      </c>
      <c r="K48" s="1"/>
      <c r="L48" s="24" t="str">
        <f aca="false">IF($AD48=0,"",INDEX($W$7:$W$206,$AD48))</f>
        <v/>
      </c>
      <c r="M48" s="24" t="str">
        <f aca="false">IF($AD48=0,"",INDEX(ProjNumbers,$AD48))</f>
        <v/>
      </c>
      <c r="N48" s="24" t="str">
        <f aca="false">IF($AD48=0,"",INDEX(ProjCodes,$AD48))</f>
        <v/>
      </c>
      <c r="O48" s="24" t="str">
        <f aca="false">IF($AD48=0,"",INDEX($X$7:$X$206,$AD48))</f>
        <v/>
      </c>
      <c r="P48" s="24" t="str">
        <f aca="false">IF($AD48=0,"",INDEX($Y$7:$Y$206,$AD48))</f>
        <v/>
      </c>
      <c r="Q48" s="24" t="str">
        <f aca="false">IF($AD48=0,"",INDEX($Z$7:$Z$206,$AD48))</f>
        <v/>
      </c>
      <c r="R48" s="25" t="str">
        <f aca="false">IF(OR($AD48=0,$L$5=0),"",Q48/$L$5)</f>
        <v/>
      </c>
      <c r="S48" s="1"/>
      <c r="T48" s="1"/>
      <c r="U48" s="1"/>
      <c r="V48" s="1"/>
      <c r="W48" s="1" t="str">
        <f aca="false">IF(Projects!B46="","",Projects!B46)</f>
        <v/>
      </c>
      <c r="X48" s="1" t="n">
        <f aca="false">IF(W48="",0,SUMIFS($I$7:$I$256,$D$7:$D$256,W48,$H$7:$H$256,"NTIME"))</f>
        <v>0</v>
      </c>
      <c r="Y48" s="1" t="n">
        <f aca="false">IF(W48="",0,SUMIFS($I$7:$I$256,$D$7:$D$256,W48,$H$7:$H$256,"P6"))</f>
        <v>0</v>
      </c>
      <c r="Z48" s="1" t="n">
        <f aca="false">X48+Y48</f>
        <v>0</v>
      </c>
      <c r="AA48" s="1" t="n">
        <f aca="false">IF(Z48&gt;0,Z48+(201-42)/10^6,0)</f>
        <v>0</v>
      </c>
      <c r="AB48" s="1"/>
      <c r="AC48" s="1"/>
      <c r="AD48" s="1" t="n">
        <f aca="false">IF(LARGE($AA$7:$AA$206,12)&lt;=0,0,MATCH(LARGE($AA$7:$AA$206,12),$AA$7:$AA$206,0))</f>
        <v>0</v>
      </c>
      <c r="AE48" s="1"/>
      <c r="AF48" s="1"/>
      <c r="AG48" s="1"/>
      <c r="AH48" s="1"/>
    </row>
    <row r="49" customFormat="false" ht="15" hidden="false" customHeight="false" outlineLevel="0" collapsed="false">
      <c r="A49" s="1"/>
      <c r="B49" s="10"/>
      <c r="C49" s="31" t="str">
        <f aca="false">IF(B49="","",TEXT(B49,"ddd"))</f>
        <v/>
      </c>
      <c r="D49" s="11"/>
      <c r="E49" s="8" t="str">
        <f aca="false">IF(D49="","",IFERROR(INDEX(ProjNumbers,MATCH(D49,ProjNames,0)),""))</f>
        <v/>
      </c>
      <c r="F49" s="8" t="str">
        <f aca="false">IF(D49="","",IFERROR(INDEX(ProjCodes,MATCH(D49,ProjNames,0)),""))</f>
        <v/>
      </c>
      <c r="G49" s="32"/>
      <c r="H49" s="11"/>
      <c r="I49" s="33"/>
      <c r="J49" s="8" t="str">
        <f aca="false">IF(COUNTA(B49,D49,G49,H49,I49)=0,"",IF(B49="","Enter date",IF(OR(B49&lt;$AC$2,B49&gt;$AC$3),"Date not in April",IF(D49="","Pick project",IF(ISNA(MATCH(D49,ProjNames,0)),"Project not in list",IF(G49="","Add task description",IF(H49="","Pick NTIME or P6",IF(N(I49)&lt;=0,"Enter hours",IF(AND(AllowOT&lt;&gt;"Yes",SUMIF($B$7:$B$256,B49,$I$7:$I$256)&gt;INDEX($O$58:$O$87,DAY(B49))),"Day over "&amp;INDEX($O$58:$O$87,DAY(B49))&amp;" h","✓")))))))))</f>
        <v/>
      </c>
      <c r="K49" s="1"/>
      <c r="L49" s="24" t="str">
        <f aca="false">IF($AD49=0,"",INDEX($W$7:$W$206,$AD49))</f>
        <v/>
      </c>
      <c r="M49" s="24" t="str">
        <f aca="false">IF($AD49=0,"",INDEX(ProjNumbers,$AD49))</f>
        <v/>
      </c>
      <c r="N49" s="24" t="str">
        <f aca="false">IF($AD49=0,"",INDEX(ProjCodes,$AD49))</f>
        <v/>
      </c>
      <c r="O49" s="24" t="str">
        <f aca="false">IF($AD49=0,"",INDEX($X$7:$X$206,$AD49))</f>
        <v/>
      </c>
      <c r="P49" s="24" t="str">
        <f aca="false">IF($AD49=0,"",INDEX($Y$7:$Y$206,$AD49))</f>
        <v/>
      </c>
      <c r="Q49" s="24" t="str">
        <f aca="false">IF($AD49=0,"",INDEX($Z$7:$Z$206,$AD49))</f>
        <v/>
      </c>
      <c r="R49" s="25" t="str">
        <f aca="false">IF(OR($AD49=0,$L$5=0),"",Q49/$L$5)</f>
        <v/>
      </c>
      <c r="S49" s="1"/>
      <c r="T49" s="1"/>
      <c r="U49" s="1"/>
      <c r="V49" s="1"/>
      <c r="W49" s="1" t="str">
        <f aca="false">IF(Projects!B47="","",Projects!B47)</f>
        <v/>
      </c>
      <c r="X49" s="1" t="n">
        <f aca="false">IF(W49="",0,SUMIFS($I$7:$I$256,$D$7:$D$256,W49,$H$7:$H$256,"NTIME"))</f>
        <v>0</v>
      </c>
      <c r="Y49" s="1" t="n">
        <f aca="false">IF(W49="",0,SUMIFS($I$7:$I$256,$D$7:$D$256,W49,$H$7:$H$256,"P6"))</f>
        <v>0</v>
      </c>
      <c r="Z49" s="1" t="n">
        <f aca="false">X49+Y49</f>
        <v>0</v>
      </c>
      <c r="AA49" s="1" t="n">
        <f aca="false">IF(Z49&gt;0,Z49+(201-43)/10^6,0)</f>
        <v>0</v>
      </c>
      <c r="AB49" s="1"/>
      <c r="AC49" s="1"/>
      <c r="AD49" s="1" t="n">
        <f aca="false">IF(LARGE($AA$7:$AA$206,13)&lt;=0,0,MATCH(LARGE($AA$7:$AA$206,13),$AA$7:$AA$206,0))</f>
        <v>0</v>
      </c>
      <c r="AE49" s="1"/>
      <c r="AF49" s="1"/>
      <c r="AG49" s="1"/>
      <c r="AH49" s="1"/>
    </row>
    <row r="50" customFormat="false" ht="15" hidden="false" customHeight="false" outlineLevel="0" collapsed="false">
      <c r="A50" s="1"/>
      <c r="B50" s="10"/>
      <c r="C50" s="31" t="str">
        <f aca="false">IF(B50="","",TEXT(B50,"ddd"))</f>
        <v/>
      </c>
      <c r="D50" s="11"/>
      <c r="E50" s="8" t="str">
        <f aca="false">IF(D50="","",IFERROR(INDEX(ProjNumbers,MATCH(D50,ProjNames,0)),""))</f>
        <v/>
      </c>
      <c r="F50" s="8" t="str">
        <f aca="false">IF(D50="","",IFERROR(INDEX(ProjCodes,MATCH(D50,ProjNames,0)),""))</f>
        <v/>
      </c>
      <c r="G50" s="32"/>
      <c r="H50" s="11"/>
      <c r="I50" s="33"/>
      <c r="J50" s="8" t="str">
        <f aca="false">IF(COUNTA(B50,D50,G50,H50,I50)=0,"",IF(B50="","Enter date",IF(OR(B50&lt;$AC$2,B50&gt;$AC$3),"Date not in April",IF(D50="","Pick project",IF(ISNA(MATCH(D50,ProjNames,0)),"Project not in list",IF(G50="","Add task description",IF(H50="","Pick NTIME or P6",IF(N(I50)&lt;=0,"Enter hours",IF(AND(AllowOT&lt;&gt;"Yes",SUMIF($B$7:$B$256,B50,$I$7:$I$256)&gt;INDEX($O$58:$O$87,DAY(B50))),"Day over "&amp;INDEX($O$58:$O$87,DAY(B50))&amp;" h","✓")))))))))</f>
        <v/>
      </c>
      <c r="K50" s="1"/>
      <c r="L50" s="24" t="str">
        <f aca="false">IF($AD50=0,"",INDEX($W$7:$W$206,$AD50))</f>
        <v/>
      </c>
      <c r="M50" s="24" t="str">
        <f aca="false">IF($AD50=0,"",INDEX(ProjNumbers,$AD50))</f>
        <v/>
      </c>
      <c r="N50" s="24" t="str">
        <f aca="false">IF($AD50=0,"",INDEX(ProjCodes,$AD50))</f>
        <v/>
      </c>
      <c r="O50" s="24" t="str">
        <f aca="false">IF($AD50=0,"",INDEX($X$7:$X$206,$AD50))</f>
        <v/>
      </c>
      <c r="P50" s="24" t="str">
        <f aca="false">IF($AD50=0,"",INDEX($Y$7:$Y$206,$AD50))</f>
        <v/>
      </c>
      <c r="Q50" s="24" t="str">
        <f aca="false">IF($AD50=0,"",INDEX($Z$7:$Z$206,$AD50))</f>
        <v/>
      </c>
      <c r="R50" s="25" t="str">
        <f aca="false">IF(OR($AD50=0,$L$5=0),"",Q50/$L$5)</f>
        <v/>
      </c>
      <c r="S50" s="1"/>
      <c r="T50" s="1"/>
      <c r="U50" s="1"/>
      <c r="V50" s="1"/>
      <c r="W50" s="1" t="str">
        <f aca="false">IF(Projects!B48="","",Projects!B48)</f>
        <v/>
      </c>
      <c r="X50" s="1" t="n">
        <f aca="false">IF(W50="",0,SUMIFS($I$7:$I$256,$D$7:$D$256,W50,$H$7:$H$256,"NTIME"))</f>
        <v>0</v>
      </c>
      <c r="Y50" s="1" t="n">
        <f aca="false">IF(W50="",0,SUMIFS($I$7:$I$256,$D$7:$D$256,W50,$H$7:$H$256,"P6"))</f>
        <v>0</v>
      </c>
      <c r="Z50" s="1" t="n">
        <f aca="false">X50+Y50</f>
        <v>0</v>
      </c>
      <c r="AA50" s="1" t="n">
        <f aca="false">IF(Z50&gt;0,Z50+(201-44)/10^6,0)</f>
        <v>0</v>
      </c>
      <c r="AB50" s="1"/>
      <c r="AC50" s="1"/>
      <c r="AD50" s="1" t="n">
        <f aca="false">IF(LARGE($AA$7:$AA$206,14)&lt;=0,0,MATCH(LARGE($AA$7:$AA$206,14),$AA$7:$AA$206,0))</f>
        <v>0</v>
      </c>
      <c r="AE50" s="1"/>
      <c r="AF50" s="1"/>
      <c r="AG50" s="1"/>
      <c r="AH50" s="1"/>
    </row>
    <row r="51" customFormat="false" ht="15" hidden="false" customHeight="false" outlineLevel="0" collapsed="false">
      <c r="A51" s="1"/>
      <c r="B51" s="10"/>
      <c r="C51" s="31" t="str">
        <f aca="false">IF(B51="","",TEXT(B51,"ddd"))</f>
        <v/>
      </c>
      <c r="D51" s="11"/>
      <c r="E51" s="8" t="str">
        <f aca="false">IF(D51="","",IFERROR(INDEX(ProjNumbers,MATCH(D51,ProjNames,0)),""))</f>
        <v/>
      </c>
      <c r="F51" s="8" t="str">
        <f aca="false">IF(D51="","",IFERROR(INDEX(ProjCodes,MATCH(D51,ProjNames,0)),""))</f>
        <v/>
      </c>
      <c r="G51" s="32"/>
      <c r="H51" s="11"/>
      <c r="I51" s="33"/>
      <c r="J51" s="8" t="str">
        <f aca="false">IF(COUNTA(B51,D51,G51,H51,I51)=0,"",IF(B51="","Enter date",IF(OR(B51&lt;$AC$2,B51&gt;$AC$3),"Date not in April",IF(D51="","Pick project",IF(ISNA(MATCH(D51,ProjNames,0)),"Project not in list",IF(G51="","Add task description",IF(H51="","Pick NTIME or P6",IF(N(I51)&lt;=0,"Enter hours",IF(AND(AllowOT&lt;&gt;"Yes",SUMIF($B$7:$B$256,B51,$I$7:$I$256)&gt;INDEX($O$58:$O$87,DAY(B51))),"Day over "&amp;INDEX($O$58:$O$87,DAY(B51))&amp;" h","✓")))))))))</f>
        <v/>
      </c>
      <c r="K51" s="1"/>
      <c r="L51" s="24" t="str">
        <f aca="false">IF($AD51=0,"",INDEX($W$7:$W$206,$AD51))</f>
        <v/>
      </c>
      <c r="M51" s="24" t="str">
        <f aca="false">IF($AD51=0,"",INDEX(ProjNumbers,$AD51))</f>
        <v/>
      </c>
      <c r="N51" s="24" t="str">
        <f aca="false">IF($AD51=0,"",INDEX(ProjCodes,$AD51))</f>
        <v/>
      </c>
      <c r="O51" s="24" t="str">
        <f aca="false">IF($AD51=0,"",INDEX($X$7:$X$206,$AD51))</f>
        <v/>
      </c>
      <c r="P51" s="24" t="str">
        <f aca="false">IF($AD51=0,"",INDEX($Y$7:$Y$206,$AD51))</f>
        <v/>
      </c>
      <c r="Q51" s="24" t="str">
        <f aca="false">IF($AD51=0,"",INDEX($Z$7:$Z$206,$AD51))</f>
        <v/>
      </c>
      <c r="R51" s="25" t="str">
        <f aca="false">IF(OR($AD51=0,$L$5=0),"",Q51/$L$5)</f>
        <v/>
      </c>
      <c r="S51" s="1"/>
      <c r="T51" s="1"/>
      <c r="U51" s="1"/>
      <c r="V51" s="1"/>
      <c r="W51" s="1" t="str">
        <f aca="false">IF(Projects!B49="","",Projects!B49)</f>
        <v/>
      </c>
      <c r="X51" s="1" t="n">
        <f aca="false">IF(W51="",0,SUMIFS($I$7:$I$256,$D$7:$D$256,W51,$H$7:$H$256,"NTIME"))</f>
        <v>0</v>
      </c>
      <c r="Y51" s="1" t="n">
        <f aca="false">IF(W51="",0,SUMIFS($I$7:$I$256,$D$7:$D$256,W51,$H$7:$H$256,"P6"))</f>
        <v>0</v>
      </c>
      <c r="Z51" s="1" t="n">
        <f aca="false">X51+Y51</f>
        <v>0</v>
      </c>
      <c r="AA51" s="1" t="n">
        <f aca="false">IF(Z51&gt;0,Z51+(201-45)/10^6,0)</f>
        <v>0</v>
      </c>
      <c r="AB51" s="1"/>
      <c r="AC51" s="1"/>
      <c r="AD51" s="1" t="n">
        <f aca="false">IF(LARGE($AA$7:$AA$206,15)&lt;=0,0,MATCH(LARGE($AA$7:$AA$206,15),$AA$7:$AA$206,0))</f>
        <v>0</v>
      </c>
      <c r="AE51" s="1"/>
      <c r="AF51" s="1"/>
      <c r="AG51" s="1"/>
      <c r="AH51" s="1"/>
    </row>
    <row r="52" customFormat="false" ht="15" hidden="false" customHeight="false" outlineLevel="0" collapsed="false">
      <c r="A52" s="1"/>
      <c r="B52" s="10"/>
      <c r="C52" s="31" t="str">
        <f aca="false">IF(B52="","",TEXT(B52,"ddd"))</f>
        <v/>
      </c>
      <c r="D52" s="11"/>
      <c r="E52" s="8" t="str">
        <f aca="false">IF(D52="","",IFERROR(INDEX(ProjNumbers,MATCH(D52,ProjNames,0)),""))</f>
        <v/>
      </c>
      <c r="F52" s="8" t="str">
        <f aca="false">IF(D52="","",IFERROR(INDEX(ProjCodes,MATCH(D52,ProjNames,0)),""))</f>
        <v/>
      </c>
      <c r="G52" s="32"/>
      <c r="H52" s="11"/>
      <c r="I52" s="33"/>
      <c r="J52" s="8" t="str">
        <f aca="false">IF(COUNTA(B52,D52,G52,H52,I52)=0,"",IF(B52="","Enter date",IF(OR(B52&lt;$AC$2,B52&gt;$AC$3),"Date not in April",IF(D52="","Pick project",IF(ISNA(MATCH(D52,ProjNames,0)),"Project not in list",IF(G52="","Add task description",IF(H52="","Pick NTIME or P6",IF(N(I52)&lt;=0,"Enter hours",IF(AND(AllowOT&lt;&gt;"Yes",SUMIF($B$7:$B$256,B52,$I$7:$I$256)&gt;INDEX($O$58:$O$87,DAY(B52))),"Day over "&amp;INDEX($O$58:$O$87,DAY(B52))&amp;" h","✓")))))))))</f>
        <v/>
      </c>
      <c r="K52" s="1"/>
      <c r="L52" s="24" t="s">
        <v>87</v>
      </c>
      <c r="M52" s="24"/>
      <c r="N52" s="24"/>
      <c r="O52" s="24" t="n">
        <f aca="false">SUM($P$58:$P$87)-SUM($X$7:$X$206)</f>
        <v>0</v>
      </c>
      <c r="P52" s="24" t="n">
        <f aca="false">SUM($Q$58:$Q$87)-SUM($Y$7:$Y$206)</f>
        <v>0</v>
      </c>
      <c r="Q52" s="24" t="n">
        <f aca="false">O52+P52</f>
        <v>0</v>
      </c>
      <c r="R52" s="25" t="str">
        <f aca="false">IF($L$5=0,"",Q52/$L$5)</f>
        <v/>
      </c>
      <c r="S52" s="1"/>
      <c r="T52" s="1"/>
      <c r="U52" s="1"/>
      <c r="V52" s="1"/>
      <c r="W52" s="1" t="str">
        <f aca="false">IF(Projects!B50="","",Projects!B50)</f>
        <v/>
      </c>
      <c r="X52" s="1" t="n">
        <f aca="false">IF(W52="",0,SUMIFS($I$7:$I$256,$D$7:$D$256,W52,$H$7:$H$256,"NTIME"))</f>
        <v>0</v>
      </c>
      <c r="Y52" s="1" t="n">
        <f aca="false">IF(W52="",0,SUMIFS($I$7:$I$256,$D$7:$D$256,W52,$H$7:$H$256,"P6"))</f>
        <v>0</v>
      </c>
      <c r="Z52" s="1" t="n">
        <f aca="false">X52+Y52</f>
        <v>0</v>
      </c>
      <c r="AA52" s="1" t="n">
        <f aca="false">IF(Z52&gt;0,Z52+(201-46)/10^6,0)</f>
        <v>0</v>
      </c>
      <c r="AB52" s="1"/>
      <c r="AC52" s="1"/>
      <c r="AD52" s="1"/>
      <c r="AE52" s="1"/>
      <c r="AF52" s="1"/>
      <c r="AG52" s="1"/>
      <c r="AH52" s="1"/>
    </row>
    <row r="53" customFormat="false" ht="15" hidden="false" customHeight="false" outlineLevel="0" collapsed="false">
      <c r="A53" s="1"/>
      <c r="B53" s="10"/>
      <c r="C53" s="31" t="str">
        <f aca="false">IF(B53="","",TEXT(B53,"ddd"))</f>
        <v/>
      </c>
      <c r="D53" s="11"/>
      <c r="E53" s="8" t="str">
        <f aca="false">IF(D53="","",IFERROR(INDEX(ProjNumbers,MATCH(D53,ProjNames,0)),""))</f>
        <v/>
      </c>
      <c r="F53" s="8" t="str">
        <f aca="false">IF(D53="","",IFERROR(INDEX(ProjCodes,MATCH(D53,ProjNames,0)),""))</f>
        <v/>
      </c>
      <c r="G53" s="32"/>
      <c r="H53" s="11"/>
      <c r="I53" s="33"/>
      <c r="J53" s="8" t="str">
        <f aca="false">IF(COUNTA(B53,D53,G53,H53,I53)=0,"",IF(B53="","Enter date",IF(OR(B53&lt;$AC$2,B53&gt;$AC$3),"Date not in April",IF(D53="","Pick project",IF(ISNA(MATCH(D53,ProjNames,0)),"Project not in list",IF(G53="","Add task description",IF(H53="","Pick NTIME or P6",IF(N(I53)&lt;=0,"Enter hours",IF(AND(AllowOT&lt;&gt;"Yes",SUMIF($B$7:$B$256,B53,$I$7:$I$256)&gt;INDEX($O$58:$O$87,DAY(B53))),"Day over "&amp;INDEX($O$58:$O$87,DAY(B53))&amp;" h","✓")))))))))</f>
        <v/>
      </c>
      <c r="K53" s="1"/>
      <c r="L53" s="24" t="s">
        <v>15</v>
      </c>
      <c r="M53" s="24" t="s">
        <v>88</v>
      </c>
      <c r="N53" s="24"/>
      <c r="O53" s="24" t="str">
        <f aca="false">IF(OHSystem="NTIME",O5,"")</f>
        <v/>
      </c>
      <c r="P53" s="24" t="str">
        <f aca="false">IF(OHSystem="P6",O5,"")</f>
        <v/>
      </c>
      <c r="Q53" s="24" t="n">
        <f aca="false">O5</f>
        <v>0</v>
      </c>
      <c r="R53" s="25" t="str">
        <f aca="false">IF($L$5=0,"",Q53/$L$5)</f>
        <v/>
      </c>
      <c r="S53" s="1"/>
      <c r="T53" s="1"/>
      <c r="U53" s="1"/>
      <c r="V53" s="1"/>
      <c r="W53" s="1" t="str">
        <f aca="false">IF(Projects!B51="","",Projects!B51)</f>
        <v/>
      </c>
      <c r="X53" s="1" t="n">
        <f aca="false">IF(W53="",0,SUMIFS($I$7:$I$256,$D$7:$D$256,W53,$H$7:$H$256,"NTIME"))</f>
        <v>0</v>
      </c>
      <c r="Y53" s="1" t="n">
        <f aca="false">IF(W53="",0,SUMIFS($I$7:$I$256,$D$7:$D$256,W53,$H$7:$H$256,"P6"))</f>
        <v>0</v>
      </c>
      <c r="Z53" s="1" t="n">
        <f aca="false">X53+Y53</f>
        <v>0</v>
      </c>
      <c r="AA53" s="1" t="n">
        <f aca="false">IF(Z53&gt;0,Z53+(201-47)/10^6,0)</f>
        <v>0</v>
      </c>
      <c r="AB53" s="1"/>
      <c r="AC53" s="1"/>
      <c r="AD53" s="1"/>
      <c r="AE53" s="1"/>
      <c r="AF53" s="1"/>
      <c r="AG53" s="1"/>
      <c r="AH53" s="1"/>
    </row>
    <row r="54" customFormat="false" ht="15" hidden="false" customHeight="false" outlineLevel="0" collapsed="false">
      <c r="A54" s="1"/>
      <c r="B54" s="10"/>
      <c r="C54" s="31" t="str">
        <f aca="false">IF(B54="","",TEXT(B54,"ddd"))</f>
        <v/>
      </c>
      <c r="D54" s="11"/>
      <c r="E54" s="8" t="str">
        <f aca="false">IF(D54="","",IFERROR(INDEX(ProjNumbers,MATCH(D54,ProjNames,0)),""))</f>
        <v/>
      </c>
      <c r="F54" s="8" t="str">
        <f aca="false">IF(D54="","",IFERROR(INDEX(ProjCodes,MATCH(D54,ProjNames,0)),""))</f>
        <v/>
      </c>
      <c r="G54" s="32"/>
      <c r="H54" s="11"/>
      <c r="I54" s="33"/>
      <c r="J54" s="8" t="str">
        <f aca="false">IF(COUNTA(B54,D54,G54,H54,I54)=0,"",IF(B54="","Enter date",IF(OR(B54&lt;$AC$2,B54&gt;$AC$3),"Date not in April",IF(D54="","Pick project",IF(ISNA(MATCH(D54,ProjNames,0)),"Project not in list",IF(G54="","Add task description",IF(H54="","Pick NTIME or P6",IF(N(I54)&lt;=0,"Enter hours",IF(AND(AllowOT&lt;&gt;"Yes",SUMIF($B$7:$B$256,B54,$I$7:$I$256)&gt;INDEX($O$58:$O$87,DAY(B54))),"Day over "&amp;INDEX($O$58:$O$87,DAY(B54))&amp;" h","✓")))))))))</f>
        <v/>
      </c>
      <c r="K54" s="1"/>
      <c r="L54" s="27" t="s">
        <v>57</v>
      </c>
      <c r="M54" s="27"/>
      <c r="N54" s="27"/>
      <c r="O54" s="27" t="n">
        <f aca="false">M5</f>
        <v>0</v>
      </c>
      <c r="P54" s="27" t="n">
        <f aca="false">N5</f>
        <v>0</v>
      </c>
      <c r="Q54" s="27" t="n">
        <f aca="false">L5</f>
        <v>0</v>
      </c>
      <c r="R54" s="27"/>
      <c r="S54" s="1"/>
      <c r="T54" s="1"/>
      <c r="U54" s="1"/>
      <c r="V54" s="1"/>
      <c r="W54" s="1" t="str">
        <f aca="false">IF(Projects!B52="","",Projects!B52)</f>
        <v/>
      </c>
      <c r="X54" s="1" t="n">
        <f aca="false">IF(W54="",0,SUMIFS($I$7:$I$256,$D$7:$D$256,W54,$H$7:$H$256,"NTIME"))</f>
        <v>0</v>
      </c>
      <c r="Y54" s="1" t="n">
        <f aca="false">IF(W54="",0,SUMIFS($I$7:$I$256,$D$7:$D$256,W54,$H$7:$H$256,"P6"))</f>
        <v>0</v>
      </c>
      <c r="Z54" s="1" t="n">
        <f aca="false">X54+Y54</f>
        <v>0</v>
      </c>
      <c r="AA54" s="1" t="n">
        <f aca="false">IF(Z54&gt;0,Z54+(201-48)/10^6,0)</f>
        <v>0</v>
      </c>
      <c r="AB54" s="1"/>
      <c r="AC54" s="1"/>
      <c r="AD54" s="1"/>
      <c r="AE54" s="1"/>
      <c r="AF54" s="1"/>
      <c r="AG54" s="1"/>
      <c r="AH54" s="1"/>
    </row>
    <row r="55" customFormat="false" ht="15" hidden="false" customHeight="false" outlineLevel="0" collapsed="false">
      <c r="A55" s="1"/>
      <c r="B55" s="10"/>
      <c r="C55" s="31" t="str">
        <f aca="false">IF(B55="","",TEXT(B55,"ddd"))</f>
        <v/>
      </c>
      <c r="D55" s="11"/>
      <c r="E55" s="8" t="str">
        <f aca="false">IF(D55="","",IFERROR(INDEX(ProjNumbers,MATCH(D55,ProjNames,0)),""))</f>
        <v/>
      </c>
      <c r="F55" s="8" t="str">
        <f aca="false">IF(D55="","",IFERROR(INDEX(ProjCodes,MATCH(D55,ProjNames,0)),""))</f>
        <v/>
      </c>
      <c r="G55" s="32"/>
      <c r="H55" s="11"/>
      <c r="I55" s="33"/>
      <c r="J55" s="8" t="str">
        <f aca="false">IF(COUNTA(B55,D55,G55,H55,I55)=0,"",IF(B55="","Enter date",IF(OR(B55&lt;$AC$2,B55&gt;$AC$3),"Date not in April",IF(D55="","Pick project",IF(ISNA(MATCH(D55,ProjNames,0)),"Project not in list",IF(G55="","Add task description",IF(H55="","Pick NTIME or P6",IF(N(I55)&lt;=0,"Enter hours",IF(AND(AllowOT&lt;&gt;"Yes",SUMIF($B$7:$B$256,B55,$I$7:$I$256)&gt;INDEX($O$58:$O$87,DAY(B55))),"Day over "&amp;INDEX($O$58:$O$87,DAY(B55))&amp;" h","✓")))))))))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tr">
        <f aca="false">IF(Projects!B53="","",Projects!B53)</f>
        <v/>
      </c>
      <c r="X55" s="1" t="n">
        <f aca="false">IF(W55="",0,SUMIFS($I$7:$I$256,$D$7:$D$256,W55,$H$7:$H$256,"NTIME"))</f>
        <v>0</v>
      </c>
      <c r="Y55" s="1" t="n">
        <f aca="false">IF(W55="",0,SUMIFS($I$7:$I$256,$D$7:$D$256,W55,$H$7:$H$256,"P6"))</f>
        <v>0</v>
      </c>
      <c r="Z55" s="1" t="n">
        <f aca="false">X55+Y55</f>
        <v>0</v>
      </c>
      <c r="AA55" s="1" t="n">
        <f aca="false">IF(Z55&gt;0,Z55+(201-49)/10^6,0)</f>
        <v>0</v>
      </c>
      <c r="AB55" s="1"/>
      <c r="AC55" s="1"/>
      <c r="AD55" s="1"/>
      <c r="AE55" s="1"/>
      <c r="AF55" s="1"/>
      <c r="AG55" s="1"/>
      <c r="AH55" s="1"/>
    </row>
    <row r="56" customFormat="false" ht="15" hidden="false" customHeight="false" outlineLevel="0" collapsed="false">
      <c r="A56" s="1"/>
      <c r="B56" s="10"/>
      <c r="C56" s="31" t="str">
        <f aca="false">IF(B56="","",TEXT(B56,"ddd"))</f>
        <v/>
      </c>
      <c r="D56" s="11"/>
      <c r="E56" s="8" t="str">
        <f aca="false">IF(D56="","",IFERROR(INDEX(ProjNumbers,MATCH(D56,ProjNames,0)),""))</f>
        <v/>
      </c>
      <c r="F56" s="8" t="str">
        <f aca="false">IF(D56="","",IFERROR(INDEX(ProjCodes,MATCH(D56,ProjNames,0)),""))</f>
        <v/>
      </c>
      <c r="G56" s="32"/>
      <c r="H56" s="11"/>
      <c r="I56" s="33"/>
      <c r="J56" s="8" t="str">
        <f aca="false">IF(COUNTA(B56,D56,G56,H56,I56)=0,"",IF(B56="","Enter date",IF(OR(B56&lt;$AC$2,B56&gt;$AC$3),"Date not in April",IF(D56="","Pick project",IF(ISNA(MATCH(D56,ProjNames,0)),"Project not in list",IF(G56="","Add task description",IF(H56="","Pick NTIME or P6",IF(N(I56)&lt;=0,"Enter hours",IF(AND(AllowOT&lt;&gt;"Yes",SUMIF($B$7:$B$256,B56,$I$7:$I$256)&gt;INDEX($O$58:$O$87,DAY(B56))),"Day over "&amp;INDEX($O$58:$O$87,DAY(B56))&amp;" h","✓")))))))))</f>
        <v/>
      </c>
      <c r="K56" s="1"/>
      <c r="L56" s="4" t="s">
        <v>89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 aca="false">IF(Projects!B54="","",Projects!B54)</f>
        <v/>
      </c>
      <c r="X56" s="1" t="n">
        <f aca="false">IF(W56="",0,SUMIFS($I$7:$I$256,$D$7:$D$256,W56,$H$7:$H$256,"NTIME"))</f>
        <v>0</v>
      </c>
      <c r="Y56" s="1" t="n">
        <f aca="false">IF(W56="",0,SUMIFS($I$7:$I$256,$D$7:$D$256,W56,$H$7:$H$256,"P6"))</f>
        <v>0</v>
      </c>
      <c r="Z56" s="1" t="n">
        <f aca="false">X56+Y56</f>
        <v>0</v>
      </c>
      <c r="AA56" s="1" t="n">
        <f aca="false">IF(Z56&gt;0,Z56+(201-50)/10^6,0)</f>
        <v>0</v>
      </c>
      <c r="AB56" s="1"/>
      <c r="AC56" s="1"/>
      <c r="AD56" s="1"/>
      <c r="AE56" s="1"/>
      <c r="AF56" s="1"/>
      <c r="AG56" s="1"/>
      <c r="AH56" s="1"/>
    </row>
    <row r="57" customFormat="false" ht="15" hidden="false" customHeight="false" outlineLevel="0" collapsed="false">
      <c r="A57" s="1"/>
      <c r="B57" s="10"/>
      <c r="C57" s="31" t="str">
        <f aca="false">IF(B57="","",TEXT(B57,"ddd"))</f>
        <v/>
      </c>
      <c r="D57" s="11"/>
      <c r="E57" s="8" t="str">
        <f aca="false">IF(D57="","",IFERROR(INDEX(ProjNumbers,MATCH(D57,ProjNames,0)),""))</f>
        <v/>
      </c>
      <c r="F57" s="8" t="str">
        <f aca="false">IF(D57="","",IFERROR(INDEX(ProjCodes,MATCH(D57,ProjNames,0)),""))</f>
        <v/>
      </c>
      <c r="G57" s="32"/>
      <c r="H57" s="11"/>
      <c r="I57" s="33"/>
      <c r="J57" s="8" t="str">
        <f aca="false">IF(COUNTA(B57,D57,G57,H57,I57)=0,"",IF(B57="","Enter date",IF(OR(B57&lt;$AC$2,B57&gt;$AC$3),"Date not in April",IF(D57="","Pick project",IF(ISNA(MATCH(D57,ProjNames,0)),"Project not in list",IF(G57="","Add task description",IF(H57="","Pick NTIME or P6",IF(N(I57)&lt;=0,"Enter hours",IF(AND(AllowOT&lt;&gt;"Yes",SUMIF($B$7:$B$256,B57,$I$7:$I$256)&gt;INDEX($O$58:$O$87,DAY(B57))),"Day over "&amp;INDEX($O$58:$O$87,DAY(B57))&amp;" h","✓")))))))))</f>
        <v/>
      </c>
      <c r="K57" s="1"/>
      <c r="L57" s="9" t="s">
        <v>33</v>
      </c>
      <c r="M57" s="9" t="s">
        <v>34</v>
      </c>
      <c r="N57" s="9" t="s">
        <v>90</v>
      </c>
      <c r="O57" s="9" t="s">
        <v>91</v>
      </c>
      <c r="P57" s="20" t="s">
        <v>46</v>
      </c>
      <c r="Q57" s="21" t="s">
        <v>56</v>
      </c>
      <c r="R57" s="22" t="s">
        <v>15</v>
      </c>
      <c r="S57" s="9" t="s">
        <v>24</v>
      </c>
      <c r="T57" s="9" t="s">
        <v>57</v>
      </c>
      <c r="U57" s="9" t="s">
        <v>92</v>
      </c>
      <c r="V57" s="1"/>
      <c r="W57" s="1" t="str">
        <f aca="false">IF(Projects!B55="","",Projects!B55)</f>
        <v/>
      </c>
      <c r="X57" s="1" t="n">
        <f aca="false">IF(W57="",0,SUMIFS($I$7:$I$256,$D$7:$D$256,W57,$H$7:$H$256,"NTIME"))</f>
        <v>0</v>
      </c>
      <c r="Y57" s="1" t="n">
        <f aca="false">IF(W57="",0,SUMIFS($I$7:$I$256,$D$7:$D$256,W57,$H$7:$H$256,"P6"))</f>
        <v>0</v>
      </c>
      <c r="Z57" s="1" t="n">
        <f aca="false">X57+Y57</f>
        <v>0</v>
      </c>
      <c r="AA57" s="1" t="n">
        <f aca="false">IF(Z57&gt;0,Z57+(201-51)/10^6,0)</f>
        <v>0</v>
      </c>
      <c r="AB57" s="1"/>
      <c r="AC57" s="1"/>
      <c r="AD57" s="1"/>
      <c r="AE57" s="1"/>
      <c r="AF57" s="1"/>
      <c r="AG57" s="1"/>
      <c r="AH57" s="1"/>
    </row>
    <row r="58" customFormat="false" ht="15" hidden="false" customHeight="false" outlineLevel="0" collapsed="false">
      <c r="A58" s="1"/>
      <c r="B58" s="10"/>
      <c r="C58" s="31" t="str">
        <f aca="false">IF(B58="","",TEXT(B58,"ddd"))</f>
        <v/>
      </c>
      <c r="D58" s="11"/>
      <c r="E58" s="8" t="str">
        <f aca="false">IF(D58="","",IFERROR(INDEX(ProjNumbers,MATCH(D58,ProjNames,0)),""))</f>
        <v/>
      </c>
      <c r="F58" s="8" t="str">
        <f aca="false">IF(D58="","",IFERROR(INDEX(ProjCodes,MATCH(D58,ProjNames,0)),""))</f>
        <v/>
      </c>
      <c r="G58" s="32"/>
      <c r="H58" s="11"/>
      <c r="I58" s="33"/>
      <c r="J58" s="8" t="str">
        <f aca="false">IF(COUNTA(B58,D58,G58,H58,I58)=0,"",IF(B58="","Enter date",IF(OR(B58&lt;$AC$2,B58&gt;$AC$3),"Date not in April",IF(D58="","Pick project",IF(ISNA(MATCH(D58,ProjNames,0)),"Project not in list",IF(G58="","Add task description",IF(H58="","Pick NTIME or P6",IF(N(I58)&lt;=0,"Enter hours",IF(AND(AllowOT&lt;&gt;"Yes",SUMIF($B$7:$B$256,B58,$I$7:$I$256)&gt;INDEX($O$58:$O$87,DAY(B58))),"Day over "&amp;INDEX($O$58:$O$87,DAY(B58))&amp;" h","✓")))))))))</f>
        <v/>
      </c>
      <c r="K58" s="1"/>
      <c r="L58" s="35" t="n">
        <v>46113</v>
      </c>
      <c r="M58" s="36" t="str">
        <f aca="false">TEXT(L58,"ddd")</f>
        <v>Wed</v>
      </c>
      <c r="N58" s="37" t="s">
        <v>93</v>
      </c>
      <c r="O58" s="37" t="n">
        <f aca="false">AvailHours</f>
        <v>8</v>
      </c>
      <c r="P58" s="24" t="n">
        <f aca="false">SUMIFS($I$7:$I$256,$B$7:$B$256,L58,$H$7:$H$256,"NTIME")</f>
        <v>0</v>
      </c>
      <c r="Q58" s="24" t="n">
        <f aca="false">SUMIFS($I$7:$I$256,$B$7:$B$256,L58,$H$7:$H$256,"P6")</f>
        <v>0</v>
      </c>
      <c r="R58" s="24" t="n">
        <f aca="false">IF(N58="Overhead only",O58,IF(AND(N58="Working",P58+Q58&gt;0),MAX(0,O58-P58-Q58),0))</f>
        <v>0</v>
      </c>
      <c r="S58" s="24" t="n">
        <f aca="false">IF(OR(N58="Working",N58="Overhead only"),MAX(0,P58+Q58-O58),0)</f>
        <v>0</v>
      </c>
      <c r="T58" s="24" t="n">
        <f aca="false">P58+Q58+R58</f>
        <v>0</v>
      </c>
      <c r="U58" s="24" t="str">
        <f aca="true">IF(N58="Working",IF(P58+Q58=0,IF(L58&lt;=TODAY(),"Not logged",""),IF(P58+Q58&gt;O58,IF(AllowOT="Yes","Overtime","Over "&amp;O58&amp;" h!"),"✓")),IF(N58="Overhead only","✓ Overhead day",IF(P58+Q58&gt;0,"Entries on "&amp;LOWER(N58)&amp;" day",N58)))</f>
        <v>Not logged</v>
      </c>
      <c r="V58" s="1"/>
      <c r="W58" s="1" t="str">
        <f aca="false">IF(Projects!B56="","",Projects!B56)</f>
        <v/>
      </c>
      <c r="X58" s="1" t="n">
        <f aca="false">IF(W58="",0,SUMIFS($I$7:$I$256,$D$7:$D$256,W58,$H$7:$H$256,"NTIME"))</f>
        <v>0</v>
      </c>
      <c r="Y58" s="1" t="n">
        <f aca="false">IF(W58="",0,SUMIFS($I$7:$I$256,$D$7:$D$256,W58,$H$7:$H$256,"P6"))</f>
        <v>0</v>
      </c>
      <c r="Z58" s="1" t="n">
        <f aca="false">X58+Y58</f>
        <v>0</v>
      </c>
      <c r="AA58" s="1" t="n">
        <f aca="false">IF(Z58&gt;0,Z58+(201-52)/10^6,0)</f>
        <v>0</v>
      </c>
      <c r="AB58" s="1"/>
      <c r="AC58" s="1"/>
      <c r="AD58" s="1"/>
      <c r="AE58" s="1"/>
      <c r="AF58" s="1"/>
      <c r="AG58" s="1"/>
      <c r="AH58" s="1"/>
    </row>
    <row r="59" customFormat="false" ht="15" hidden="false" customHeight="false" outlineLevel="0" collapsed="false">
      <c r="A59" s="1"/>
      <c r="B59" s="10"/>
      <c r="C59" s="31" t="str">
        <f aca="false">IF(B59="","",TEXT(B59,"ddd"))</f>
        <v/>
      </c>
      <c r="D59" s="11"/>
      <c r="E59" s="8" t="str">
        <f aca="false">IF(D59="","",IFERROR(INDEX(ProjNumbers,MATCH(D59,ProjNames,0)),""))</f>
        <v/>
      </c>
      <c r="F59" s="8" t="str">
        <f aca="false">IF(D59="","",IFERROR(INDEX(ProjCodes,MATCH(D59,ProjNames,0)),""))</f>
        <v/>
      </c>
      <c r="G59" s="32"/>
      <c r="H59" s="11"/>
      <c r="I59" s="33"/>
      <c r="J59" s="8" t="str">
        <f aca="false">IF(COUNTA(B59,D59,G59,H59,I59)=0,"",IF(B59="","Enter date",IF(OR(B59&lt;$AC$2,B59&gt;$AC$3),"Date not in April",IF(D59="","Pick project",IF(ISNA(MATCH(D59,ProjNames,0)),"Project not in list",IF(G59="","Add task description",IF(H59="","Pick NTIME or P6",IF(N(I59)&lt;=0,"Enter hours",IF(AND(AllowOT&lt;&gt;"Yes",SUMIF($B$7:$B$256,B59,$I$7:$I$256)&gt;INDEX($O$58:$O$87,DAY(B59))),"Day over "&amp;INDEX($O$58:$O$87,DAY(B59))&amp;" h","✓")))))))))</f>
        <v/>
      </c>
      <c r="K59" s="1"/>
      <c r="L59" s="35" t="n">
        <v>46114</v>
      </c>
      <c r="M59" s="36" t="str">
        <f aca="false">TEXT(L59,"ddd")</f>
        <v>Thu</v>
      </c>
      <c r="N59" s="37" t="s">
        <v>93</v>
      </c>
      <c r="O59" s="37" t="n">
        <f aca="false">AvailHours</f>
        <v>8</v>
      </c>
      <c r="P59" s="24" t="n">
        <f aca="false">SUMIFS($I$7:$I$256,$B$7:$B$256,L59,$H$7:$H$256,"NTIME")</f>
        <v>0</v>
      </c>
      <c r="Q59" s="24" t="n">
        <f aca="false">SUMIFS($I$7:$I$256,$B$7:$B$256,L59,$H$7:$H$256,"P6")</f>
        <v>0</v>
      </c>
      <c r="R59" s="24" t="n">
        <f aca="false">IF(N59="Overhead only",O59,IF(AND(N59="Working",P59+Q59&gt;0),MAX(0,O59-P59-Q59),0))</f>
        <v>0</v>
      </c>
      <c r="S59" s="24" t="n">
        <f aca="false">IF(OR(N59="Working",N59="Overhead only"),MAX(0,P59+Q59-O59),0)</f>
        <v>0</v>
      </c>
      <c r="T59" s="24" t="n">
        <f aca="false">P59+Q59+R59</f>
        <v>0</v>
      </c>
      <c r="U59" s="24" t="str">
        <f aca="true">IF(N59="Working",IF(P59+Q59=0,IF(L59&lt;=TODAY(),"Not logged",""),IF(P59+Q59&gt;O59,IF(AllowOT="Yes","Overtime","Over "&amp;O59&amp;" h!"),"✓")),IF(N59="Overhead only","✓ Overhead day",IF(P59+Q59&gt;0,"Entries on "&amp;LOWER(N59)&amp;" day",N59)))</f>
        <v>Not logged</v>
      </c>
      <c r="V59" s="1"/>
      <c r="W59" s="1" t="str">
        <f aca="false">IF(Projects!B57="","",Projects!B57)</f>
        <v/>
      </c>
      <c r="X59" s="1" t="n">
        <f aca="false">IF(W59="",0,SUMIFS($I$7:$I$256,$D$7:$D$256,W59,$H$7:$H$256,"NTIME"))</f>
        <v>0</v>
      </c>
      <c r="Y59" s="1" t="n">
        <f aca="false">IF(W59="",0,SUMIFS($I$7:$I$256,$D$7:$D$256,W59,$H$7:$H$256,"P6"))</f>
        <v>0</v>
      </c>
      <c r="Z59" s="1" t="n">
        <f aca="false">X59+Y59</f>
        <v>0</v>
      </c>
      <c r="AA59" s="1" t="n">
        <f aca="false">IF(Z59&gt;0,Z59+(201-53)/10^6,0)</f>
        <v>0</v>
      </c>
      <c r="AB59" s="1"/>
      <c r="AC59" s="1"/>
      <c r="AD59" s="1"/>
      <c r="AE59" s="1"/>
      <c r="AF59" s="1"/>
      <c r="AG59" s="1"/>
      <c r="AH59" s="1"/>
    </row>
    <row r="60" customFormat="false" ht="15" hidden="false" customHeight="false" outlineLevel="0" collapsed="false">
      <c r="A60" s="1"/>
      <c r="B60" s="10"/>
      <c r="C60" s="31" t="str">
        <f aca="false">IF(B60="","",TEXT(B60,"ddd"))</f>
        <v/>
      </c>
      <c r="D60" s="11"/>
      <c r="E60" s="8" t="str">
        <f aca="false">IF(D60="","",IFERROR(INDEX(ProjNumbers,MATCH(D60,ProjNames,0)),""))</f>
        <v/>
      </c>
      <c r="F60" s="8" t="str">
        <f aca="false">IF(D60="","",IFERROR(INDEX(ProjCodes,MATCH(D60,ProjNames,0)),""))</f>
        <v/>
      </c>
      <c r="G60" s="32"/>
      <c r="H60" s="11"/>
      <c r="I60" s="33"/>
      <c r="J60" s="8" t="str">
        <f aca="false">IF(COUNTA(B60,D60,G60,H60,I60)=0,"",IF(B60="","Enter date",IF(OR(B60&lt;$AC$2,B60&gt;$AC$3),"Date not in April",IF(D60="","Pick project",IF(ISNA(MATCH(D60,ProjNames,0)),"Project not in list",IF(G60="","Add task description",IF(H60="","Pick NTIME or P6",IF(N(I60)&lt;=0,"Enter hours",IF(AND(AllowOT&lt;&gt;"Yes",SUMIF($B$7:$B$256,B60,$I$7:$I$256)&gt;INDEX($O$58:$O$87,DAY(B60))),"Day over "&amp;INDEX($O$58:$O$87,DAY(B60))&amp;" h","✓")))))))))</f>
        <v/>
      </c>
      <c r="K60" s="1"/>
      <c r="L60" s="35" t="n">
        <v>46115</v>
      </c>
      <c r="M60" s="36" t="str">
        <f aca="false">TEXT(L60,"ddd")</f>
        <v>Fri</v>
      </c>
      <c r="N60" s="37" t="s">
        <v>93</v>
      </c>
      <c r="O60" s="37" t="n">
        <f aca="false">AvailHours</f>
        <v>8</v>
      </c>
      <c r="P60" s="24" t="n">
        <f aca="false">SUMIFS($I$7:$I$256,$B$7:$B$256,L60,$H$7:$H$256,"NTIME")</f>
        <v>0</v>
      </c>
      <c r="Q60" s="24" t="n">
        <f aca="false">SUMIFS($I$7:$I$256,$B$7:$B$256,L60,$H$7:$H$256,"P6")</f>
        <v>0</v>
      </c>
      <c r="R60" s="24" t="n">
        <f aca="false">IF(N60="Overhead only",O60,IF(AND(N60="Working",P60+Q60&gt;0),MAX(0,O60-P60-Q60),0))</f>
        <v>0</v>
      </c>
      <c r="S60" s="24" t="n">
        <f aca="false">IF(OR(N60="Working",N60="Overhead only"),MAX(0,P60+Q60-O60),0)</f>
        <v>0</v>
      </c>
      <c r="T60" s="24" t="n">
        <f aca="false">P60+Q60+R60</f>
        <v>0</v>
      </c>
      <c r="U60" s="24" t="str">
        <f aca="true">IF(N60="Working",IF(P60+Q60=0,IF(L60&lt;=TODAY(),"Not logged",""),IF(P60+Q60&gt;O60,IF(AllowOT="Yes","Overtime","Over "&amp;O60&amp;" h!"),"✓")),IF(N60="Overhead only","✓ Overhead day",IF(P60+Q60&gt;0,"Entries on "&amp;LOWER(N60)&amp;" day",N60)))</f>
        <v>Not logged</v>
      </c>
      <c r="V60" s="1"/>
      <c r="W60" s="1" t="str">
        <f aca="false">IF(Projects!B58="","",Projects!B58)</f>
        <v/>
      </c>
      <c r="X60" s="1" t="n">
        <f aca="false">IF(W60="",0,SUMIFS($I$7:$I$256,$D$7:$D$256,W60,$H$7:$H$256,"NTIME"))</f>
        <v>0</v>
      </c>
      <c r="Y60" s="1" t="n">
        <f aca="false">IF(W60="",0,SUMIFS($I$7:$I$256,$D$7:$D$256,W60,$H$7:$H$256,"P6"))</f>
        <v>0</v>
      </c>
      <c r="Z60" s="1" t="n">
        <f aca="false">X60+Y60</f>
        <v>0</v>
      </c>
      <c r="AA60" s="1" t="n">
        <f aca="false">IF(Z60&gt;0,Z60+(201-54)/10^6,0)</f>
        <v>0</v>
      </c>
      <c r="AB60" s="1"/>
      <c r="AC60" s="1"/>
      <c r="AD60" s="1"/>
      <c r="AE60" s="1"/>
      <c r="AF60" s="1"/>
      <c r="AG60" s="1"/>
      <c r="AH60" s="1"/>
    </row>
    <row r="61" customFormat="false" ht="15" hidden="false" customHeight="false" outlineLevel="0" collapsed="false">
      <c r="A61" s="1"/>
      <c r="B61" s="10"/>
      <c r="C61" s="31" t="str">
        <f aca="false">IF(B61="","",TEXT(B61,"ddd"))</f>
        <v/>
      </c>
      <c r="D61" s="11"/>
      <c r="E61" s="8" t="str">
        <f aca="false">IF(D61="","",IFERROR(INDEX(ProjNumbers,MATCH(D61,ProjNames,0)),""))</f>
        <v/>
      </c>
      <c r="F61" s="8" t="str">
        <f aca="false">IF(D61="","",IFERROR(INDEX(ProjCodes,MATCH(D61,ProjNames,0)),""))</f>
        <v/>
      </c>
      <c r="G61" s="32"/>
      <c r="H61" s="11"/>
      <c r="I61" s="33"/>
      <c r="J61" s="8" t="str">
        <f aca="false">IF(COUNTA(B61,D61,G61,H61,I61)=0,"",IF(B61="","Enter date",IF(OR(B61&lt;$AC$2,B61&gt;$AC$3),"Date not in April",IF(D61="","Pick project",IF(ISNA(MATCH(D61,ProjNames,0)),"Project not in list",IF(G61="","Add task description",IF(H61="","Pick NTIME or P6",IF(N(I61)&lt;=0,"Enter hours",IF(AND(AllowOT&lt;&gt;"Yes",SUMIF($B$7:$B$256,B61,$I$7:$I$256)&gt;INDEX($O$58:$O$87,DAY(B61))),"Day over "&amp;INDEX($O$58:$O$87,DAY(B61))&amp;" h","✓")))))))))</f>
        <v/>
      </c>
      <c r="K61" s="1"/>
      <c r="L61" s="35" t="n">
        <v>46116</v>
      </c>
      <c r="M61" s="36" t="str">
        <f aca="false">TEXT(L61,"ddd")</f>
        <v>Sat</v>
      </c>
      <c r="N61" s="37" t="s">
        <v>94</v>
      </c>
      <c r="O61" s="37" t="n">
        <f aca="false">AvailHours</f>
        <v>8</v>
      </c>
      <c r="P61" s="24" t="n">
        <f aca="false">SUMIFS($I$7:$I$256,$B$7:$B$256,L61,$H$7:$H$256,"NTIME")</f>
        <v>0</v>
      </c>
      <c r="Q61" s="24" t="n">
        <f aca="false">SUMIFS($I$7:$I$256,$B$7:$B$256,L61,$H$7:$H$256,"P6")</f>
        <v>0</v>
      </c>
      <c r="R61" s="24" t="n">
        <f aca="false">IF(N61="Overhead only",O61,IF(AND(N61="Working",P61+Q61&gt;0),MAX(0,O61-P61-Q61),0))</f>
        <v>0</v>
      </c>
      <c r="S61" s="24" t="n">
        <f aca="false">IF(OR(N61="Working",N61="Overhead only"),MAX(0,P61+Q61-O61),0)</f>
        <v>0</v>
      </c>
      <c r="T61" s="24" t="n">
        <f aca="false">P61+Q61+R61</f>
        <v>0</v>
      </c>
      <c r="U61" s="24" t="str">
        <f aca="true">IF(N61="Working",IF(P61+Q61=0,IF(L61&lt;=TODAY(),"Not logged",""),IF(P61+Q61&gt;O61,IF(AllowOT="Yes","Overtime","Over "&amp;O61&amp;" h!"),"✓")),IF(N61="Overhead only","✓ Overhead day",IF(P61+Q61&gt;0,"Entries on "&amp;LOWER(N61)&amp;" day",N61)))</f>
        <v>Weekend</v>
      </c>
      <c r="V61" s="1"/>
      <c r="W61" s="1" t="str">
        <f aca="false">IF(Projects!B59="","",Projects!B59)</f>
        <v/>
      </c>
      <c r="X61" s="1" t="n">
        <f aca="false">IF(W61="",0,SUMIFS($I$7:$I$256,$D$7:$D$256,W61,$H$7:$H$256,"NTIME"))</f>
        <v>0</v>
      </c>
      <c r="Y61" s="1" t="n">
        <f aca="false">IF(W61="",0,SUMIFS($I$7:$I$256,$D$7:$D$256,W61,$H$7:$H$256,"P6"))</f>
        <v>0</v>
      </c>
      <c r="Z61" s="1" t="n">
        <f aca="false">X61+Y61</f>
        <v>0</v>
      </c>
      <c r="AA61" s="1" t="n">
        <f aca="false">IF(Z61&gt;0,Z61+(201-55)/10^6,0)</f>
        <v>0</v>
      </c>
      <c r="AB61" s="1"/>
      <c r="AC61" s="1"/>
      <c r="AD61" s="1"/>
      <c r="AE61" s="1"/>
      <c r="AF61" s="1"/>
      <c r="AG61" s="1"/>
      <c r="AH61" s="1"/>
    </row>
    <row r="62" customFormat="false" ht="15" hidden="false" customHeight="false" outlineLevel="0" collapsed="false">
      <c r="A62" s="1"/>
      <c r="B62" s="10"/>
      <c r="C62" s="31" t="str">
        <f aca="false">IF(B62="","",TEXT(B62,"ddd"))</f>
        <v/>
      </c>
      <c r="D62" s="11"/>
      <c r="E62" s="8" t="str">
        <f aca="false">IF(D62="","",IFERROR(INDEX(ProjNumbers,MATCH(D62,ProjNames,0)),""))</f>
        <v/>
      </c>
      <c r="F62" s="8" t="str">
        <f aca="false">IF(D62="","",IFERROR(INDEX(ProjCodes,MATCH(D62,ProjNames,0)),""))</f>
        <v/>
      </c>
      <c r="G62" s="32"/>
      <c r="H62" s="11"/>
      <c r="I62" s="33"/>
      <c r="J62" s="8" t="str">
        <f aca="false">IF(COUNTA(B62,D62,G62,H62,I62)=0,"",IF(B62="","Enter date",IF(OR(B62&lt;$AC$2,B62&gt;$AC$3),"Date not in April",IF(D62="","Pick project",IF(ISNA(MATCH(D62,ProjNames,0)),"Project not in list",IF(G62="","Add task description",IF(H62="","Pick NTIME or P6",IF(N(I62)&lt;=0,"Enter hours",IF(AND(AllowOT&lt;&gt;"Yes",SUMIF($B$7:$B$256,B62,$I$7:$I$256)&gt;INDEX($O$58:$O$87,DAY(B62))),"Day over "&amp;INDEX($O$58:$O$87,DAY(B62))&amp;" h","✓")))))))))</f>
        <v/>
      </c>
      <c r="K62" s="1"/>
      <c r="L62" s="35" t="n">
        <v>46117</v>
      </c>
      <c r="M62" s="36" t="str">
        <f aca="false">TEXT(L62,"ddd")</f>
        <v>Sun</v>
      </c>
      <c r="N62" s="37" t="s">
        <v>94</v>
      </c>
      <c r="O62" s="37" t="n">
        <f aca="false">AvailHours</f>
        <v>8</v>
      </c>
      <c r="P62" s="24" t="n">
        <f aca="false">SUMIFS($I$7:$I$256,$B$7:$B$256,L62,$H$7:$H$256,"NTIME")</f>
        <v>0</v>
      </c>
      <c r="Q62" s="24" t="n">
        <f aca="false">SUMIFS($I$7:$I$256,$B$7:$B$256,L62,$H$7:$H$256,"P6")</f>
        <v>0</v>
      </c>
      <c r="R62" s="24" t="n">
        <f aca="false">IF(N62="Overhead only",O62,IF(AND(N62="Working",P62+Q62&gt;0),MAX(0,O62-P62-Q62),0))</f>
        <v>0</v>
      </c>
      <c r="S62" s="24" t="n">
        <f aca="false">IF(OR(N62="Working",N62="Overhead only"),MAX(0,P62+Q62-O62),0)</f>
        <v>0</v>
      </c>
      <c r="T62" s="24" t="n">
        <f aca="false">P62+Q62+R62</f>
        <v>0</v>
      </c>
      <c r="U62" s="24" t="str">
        <f aca="true">IF(N62="Working",IF(P62+Q62=0,IF(L62&lt;=TODAY(),"Not logged",""),IF(P62+Q62&gt;O62,IF(AllowOT="Yes","Overtime","Over "&amp;O62&amp;" h!"),"✓")),IF(N62="Overhead only","✓ Overhead day",IF(P62+Q62&gt;0,"Entries on "&amp;LOWER(N62)&amp;" day",N62)))</f>
        <v>Weekend</v>
      </c>
      <c r="V62" s="1"/>
      <c r="W62" s="1" t="str">
        <f aca="false">IF(Projects!B60="","",Projects!B60)</f>
        <v/>
      </c>
      <c r="X62" s="1" t="n">
        <f aca="false">IF(W62="",0,SUMIFS($I$7:$I$256,$D$7:$D$256,W62,$H$7:$H$256,"NTIME"))</f>
        <v>0</v>
      </c>
      <c r="Y62" s="1" t="n">
        <f aca="false">IF(W62="",0,SUMIFS($I$7:$I$256,$D$7:$D$256,W62,$H$7:$H$256,"P6"))</f>
        <v>0</v>
      </c>
      <c r="Z62" s="1" t="n">
        <f aca="false">X62+Y62</f>
        <v>0</v>
      </c>
      <c r="AA62" s="1" t="n">
        <f aca="false">IF(Z62&gt;0,Z62+(201-56)/10^6,0)</f>
        <v>0</v>
      </c>
      <c r="AB62" s="1"/>
      <c r="AC62" s="1"/>
      <c r="AD62" s="1"/>
      <c r="AE62" s="1"/>
      <c r="AF62" s="1"/>
      <c r="AG62" s="1"/>
      <c r="AH62" s="1"/>
    </row>
    <row r="63" customFormat="false" ht="15" hidden="false" customHeight="false" outlineLevel="0" collapsed="false">
      <c r="A63" s="1"/>
      <c r="B63" s="10"/>
      <c r="C63" s="31" t="str">
        <f aca="false">IF(B63="","",TEXT(B63,"ddd"))</f>
        <v/>
      </c>
      <c r="D63" s="11"/>
      <c r="E63" s="8" t="str">
        <f aca="false">IF(D63="","",IFERROR(INDEX(ProjNumbers,MATCH(D63,ProjNames,0)),""))</f>
        <v/>
      </c>
      <c r="F63" s="8" t="str">
        <f aca="false">IF(D63="","",IFERROR(INDEX(ProjCodes,MATCH(D63,ProjNames,0)),""))</f>
        <v/>
      </c>
      <c r="G63" s="32"/>
      <c r="H63" s="11"/>
      <c r="I63" s="33"/>
      <c r="J63" s="8" t="str">
        <f aca="false">IF(COUNTA(B63,D63,G63,H63,I63)=0,"",IF(B63="","Enter date",IF(OR(B63&lt;$AC$2,B63&gt;$AC$3),"Date not in April",IF(D63="","Pick project",IF(ISNA(MATCH(D63,ProjNames,0)),"Project not in list",IF(G63="","Add task description",IF(H63="","Pick NTIME or P6",IF(N(I63)&lt;=0,"Enter hours",IF(AND(AllowOT&lt;&gt;"Yes",SUMIF($B$7:$B$256,B63,$I$7:$I$256)&gt;INDEX($O$58:$O$87,DAY(B63))),"Day over "&amp;INDEX($O$58:$O$87,DAY(B63))&amp;" h","✓")))))))))</f>
        <v/>
      </c>
      <c r="K63" s="1"/>
      <c r="L63" s="35" t="n">
        <v>46118</v>
      </c>
      <c r="M63" s="36" t="str">
        <f aca="false">TEXT(L63,"ddd")</f>
        <v>Mon</v>
      </c>
      <c r="N63" s="37" t="s">
        <v>93</v>
      </c>
      <c r="O63" s="37" t="n">
        <f aca="false">AvailHours</f>
        <v>8</v>
      </c>
      <c r="P63" s="24" t="n">
        <f aca="false">SUMIFS($I$7:$I$256,$B$7:$B$256,L63,$H$7:$H$256,"NTIME")</f>
        <v>0</v>
      </c>
      <c r="Q63" s="24" t="n">
        <f aca="false">SUMIFS($I$7:$I$256,$B$7:$B$256,L63,$H$7:$H$256,"P6")</f>
        <v>0</v>
      </c>
      <c r="R63" s="24" t="n">
        <f aca="false">IF(N63="Overhead only",O63,IF(AND(N63="Working",P63+Q63&gt;0),MAX(0,O63-P63-Q63),0))</f>
        <v>0</v>
      </c>
      <c r="S63" s="24" t="n">
        <f aca="false">IF(OR(N63="Working",N63="Overhead only"),MAX(0,P63+Q63-O63),0)</f>
        <v>0</v>
      </c>
      <c r="T63" s="24" t="n">
        <f aca="false">P63+Q63+R63</f>
        <v>0</v>
      </c>
      <c r="U63" s="24" t="str">
        <f aca="true">IF(N63="Working",IF(P63+Q63=0,IF(L63&lt;=TODAY(),"Not logged",""),IF(P63+Q63&gt;O63,IF(AllowOT="Yes","Overtime","Over "&amp;O63&amp;" h!"),"✓")),IF(N63="Overhead only","✓ Overhead day",IF(P63+Q63&gt;0,"Entries on "&amp;LOWER(N63)&amp;" day",N63)))</f>
        <v>Not logged</v>
      </c>
      <c r="V63" s="1"/>
      <c r="W63" s="1" t="str">
        <f aca="false">IF(Projects!B61="","",Projects!B61)</f>
        <v/>
      </c>
      <c r="X63" s="1" t="n">
        <f aca="false">IF(W63="",0,SUMIFS($I$7:$I$256,$D$7:$D$256,W63,$H$7:$H$256,"NTIME"))</f>
        <v>0</v>
      </c>
      <c r="Y63" s="1" t="n">
        <f aca="false">IF(W63="",0,SUMIFS($I$7:$I$256,$D$7:$D$256,W63,$H$7:$H$256,"P6"))</f>
        <v>0</v>
      </c>
      <c r="Z63" s="1" t="n">
        <f aca="false">X63+Y63</f>
        <v>0</v>
      </c>
      <c r="AA63" s="1" t="n">
        <f aca="false">IF(Z63&gt;0,Z63+(201-57)/10^6,0)</f>
        <v>0</v>
      </c>
      <c r="AB63" s="1"/>
      <c r="AC63" s="1"/>
      <c r="AD63" s="1"/>
      <c r="AE63" s="1"/>
      <c r="AF63" s="1"/>
      <c r="AG63" s="1"/>
      <c r="AH63" s="1"/>
    </row>
    <row r="64" customFormat="false" ht="15" hidden="false" customHeight="false" outlineLevel="0" collapsed="false">
      <c r="A64" s="1"/>
      <c r="B64" s="10"/>
      <c r="C64" s="31" t="str">
        <f aca="false">IF(B64="","",TEXT(B64,"ddd"))</f>
        <v/>
      </c>
      <c r="D64" s="11"/>
      <c r="E64" s="8" t="str">
        <f aca="false">IF(D64="","",IFERROR(INDEX(ProjNumbers,MATCH(D64,ProjNames,0)),""))</f>
        <v/>
      </c>
      <c r="F64" s="8" t="str">
        <f aca="false">IF(D64="","",IFERROR(INDEX(ProjCodes,MATCH(D64,ProjNames,0)),""))</f>
        <v/>
      </c>
      <c r="G64" s="32"/>
      <c r="H64" s="11"/>
      <c r="I64" s="33"/>
      <c r="J64" s="8" t="str">
        <f aca="false">IF(COUNTA(B64,D64,G64,H64,I64)=0,"",IF(B64="","Enter date",IF(OR(B64&lt;$AC$2,B64&gt;$AC$3),"Date not in April",IF(D64="","Pick project",IF(ISNA(MATCH(D64,ProjNames,0)),"Project not in list",IF(G64="","Add task description",IF(H64="","Pick NTIME or P6",IF(N(I64)&lt;=0,"Enter hours",IF(AND(AllowOT&lt;&gt;"Yes",SUMIF($B$7:$B$256,B64,$I$7:$I$256)&gt;INDEX($O$58:$O$87,DAY(B64))),"Day over "&amp;INDEX($O$58:$O$87,DAY(B64))&amp;" h","✓")))))))))</f>
        <v/>
      </c>
      <c r="K64" s="1"/>
      <c r="L64" s="35" t="n">
        <v>46119</v>
      </c>
      <c r="M64" s="36" t="str">
        <f aca="false">TEXT(L64,"ddd")</f>
        <v>Tue</v>
      </c>
      <c r="N64" s="37" t="s">
        <v>93</v>
      </c>
      <c r="O64" s="37" t="n">
        <f aca="false">AvailHours</f>
        <v>8</v>
      </c>
      <c r="P64" s="24" t="n">
        <f aca="false">SUMIFS($I$7:$I$256,$B$7:$B$256,L64,$H$7:$H$256,"NTIME")</f>
        <v>0</v>
      </c>
      <c r="Q64" s="24" t="n">
        <f aca="false">SUMIFS($I$7:$I$256,$B$7:$B$256,L64,$H$7:$H$256,"P6")</f>
        <v>0</v>
      </c>
      <c r="R64" s="24" t="n">
        <f aca="false">IF(N64="Overhead only",O64,IF(AND(N64="Working",P64+Q64&gt;0),MAX(0,O64-P64-Q64),0))</f>
        <v>0</v>
      </c>
      <c r="S64" s="24" t="n">
        <f aca="false">IF(OR(N64="Working",N64="Overhead only"),MAX(0,P64+Q64-O64),0)</f>
        <v>0</v>
      </c>
      <c r="T64" s="24" t="n">
        <f aca="false">P64+Q64+R64</f>
        <v>0</v>
      </c>
      <c r="U64" s="24" t="str">
        <f aca="true">IF(N64="Working",IF(P64+Q64=0,IF(L64&lt;=TODAY(),"Not logged",""),IF(P64+Q64&gt;O64,IF(AllowOT="Yes","Overtime","Over "&amp;O64&amp;" h!"),"✓")),IF(N64="Overhead only","✓ Overhead day",IF(P64+Q64&gt;0,"Entries on "&amp;LOWER(N64)&amp;" day",N64)))</f>
        <v>Not logged</v>
      </c>
      <c r="V64" s="1"/>
      <c r="W64" s="1" t="str">
        <f aca="false">IF(Projects!B62="","",Projects!B62)</f>
        <v/>
      </c>
      <c r="X64" s="1" t="n">
        <f aca="false">IF(W64="",0,SUMIFS($I$7:$I$256,$D$7:$D$256,W64,$H$7:$H$256,"NTIME"))</f>
        <v>0</v>
      </c>
      <c r="Y64" s="1" t="n">
        <f aca="false">IF(W64="",0,SUMIFS($I$7:$I$256,$D$7:$D$256,W64,$H$7:$H$256,"P6"))</f>
        <v>0</v>
      </c>
      <c r="Z64" s="1" t="n">
        <f aca="false">X64+Y64</f>
        <v>0</v>
      </c>
      <c r="AA64" s="1" t="n">
        <f aca="false">IF(Z64&gt;0,Z64+(201-58)/10^6,0)</f>
        <v>0</v>
      </c>
      <c r="AB64" s="1"/>
      <c r="AC64" s="1"/>
      <c r="AD64" s="1"/>
      <c r="AE64" s="1"/>
      <c r="AF64" s="1"/>
      <c r="AG64" s="1"/>
      <c r="AH64" s="1"/>
    </row>
    <row r="65" customFormat="false" ht="15" hidden="false" customHeight="false" outlineLevel="0" collapsed="false">
      <c r="A65" s="1"/>
      <c r="B65" s="10"/>
      <c r="C65" s="31" t="str">
        <f aca="false">IF(B65="","",TEXT(B65,"ddd"))</f>
        <v/>
      </c>
      <c r="D65" s="11"/>
      <c r="E65" s="8" t="str">
        <f aca="false">IF(D65="","",IFERROR(INDEX(ProjNumbers,MATCH(D65,ProjNames,0)),""))</f>
        <v/>
      </c>
      <c r="F65" s="8" t="str">
        <f aca="false">IF(D65="","",IFERROR(INDEX(ProjCodes,MATCH(D65,ProjNames,0)),""))</f>
        <v/>
      </c>
      <c r="G65" s="32"/>
      <c r="H65" s="11"/>
      <c r="I65" s="33"/>
      <c r="J65" s="8" t="str">
        <f aca="false">IF(COUNTA(B65,D65,G65,H65,I65)=0,"",IF(B65="","Enter date",IF(OR(B65&lt;$AC$2,B65&gt;$AC$3),"Date not in April",IF(D65="","Pick project",IF(ISNA(MATCH(D65,ProjNames,0)),"Project not in list",IF(G65="","Add task description",IF(H65="","Pick NTIME or P6",IF(N(I65)&lt;=0,"Enter hours",IF(AND(AllowOT&lt;&gt;"Yes",SUMIF($B$7:$B$256,B65,$I$7:$I$256)&gt;INDEX($O$58:$O$87,DAY(B65))),"Day over "&amp;INDEX($O$58:$O$87,DAY(B65))&amp;" h","✓")))))))))</f>
        <v/>
      </c>
      <c r="K65" s="1"/>
      <c r="L65" s="35" t="n">
        <v>46120</v>
      </c>
      <c r="M65" s="36" t="str">
        <f aca="false">TEXT(L65,"ddd")</f>
        <v>Wed</v>
      </c>
      <c r="N65" s="37" t="s">
        <v>93</v>
      </c>
      <c r="O65" s="37" t="n">
        <f aca="false">AvailHours</f>
        <v>8</v>
      </c>
      <c r="P65" s="24" t="n">
        <f aca="false">SUMIFS($I$7:$I$256,$B$7:$B$256,L65,$H$7:$H$256,"NTIME")</f>
        <v>0</v>
      </c>
      <c r="Q65" s="24" t="n">
        <f aca="false">SUMIFS($I$7:$I$256,$B$7:$B$256,L65,$H$7:$H$256,"P6")</f>
        <v>0</v>
      </c>
      <c r="R65" s="24" t="n">
        <f aca="false">IF(N65="Overhead only",O65,IF(AND(N65="Working",P65+Q65&gt;0),MAX(0,O65-P65-Q65),0))</f>
        <v>0</v>
      </c>
      <c r="S65" s="24" t="n">
        <f aca="false">IF(OR(N65="Working",N65="Overhead only"),MAX(0,P65+Q65-O65),0)</f>
        <v>0</v>
      </c>
      <c r="T65" s="24" t="n">
        <f aca="false">P65+Q65+R65</f>
        <v>0</v>
      </c>
      <c r="U65" s="24" t="str">
        <f aca="true">IF(N65="Working",IF(P65+Q65=0,IF(L65&lt;=TODAY(),"Not logged",""),IF(P65+Q65&gt;O65,IF(AllowOT="Yes","Overtime","Over "&amp;O65&amp;" h!"),"✓")),IF(N65="Overhead only","✓ Overhead day",IF(P65+Q65&gt;0,"Entries on "&amp;LOWER(N65)&amp;" day",N65)))</f>
        <v>Not logged</v>
      </c>
      <c r="V65" s="1"/>
      <c r="W65" s="1" t="str">
        <f aca="false">IF(Projects!B63="","",Projects!B63)</f>
        <v/>
      </c>
      <c r="X65" s="1" t="n">
        <f aca="false">IF(W65="",0,SUMIFS($I$7:$I$256,$D$7:$D$256,W65,$H$7:$H$256,"NTIME"))</f>
        <v>0</v>
      </c>
      <c r="Y65" s="1" t="n">
        <f aca="false">IF(W65="",0,SUMIFS($I$7:$I$256,$D$7:$D$256,W65,$H$7:$H$256,"P6"))</f>
        <v>0</v>
      </c>
      <c r="Z65" s="1" t="n">
        <f aca="false">X65+Y65</f>
        <v>0</v>
      </c>
      <c r="AA65" s="1" t="n">
        <f aca="false">IF(Z65&gt;0,Z65+(201-59)/10^6,0)</f>
        <v>0</v>
      </c>
      <c r="AB65" s="1"/>
      <c r="AC65" s="1"/>
      <c r="AD65" s="1"/>
      <c r="AE65" s="1"/>
      <c r="AF65" s="1"/>
      <c r="AG65" s="1"/>
      <c r="AH65" s="1"/>
    </row>
    <row r="66" customFormat="false" ht="15" hidden="false" customHeight="false" outlineLevel="0" collapsed="false">
      <c r="A66" s="1"/>
      <c r="B66" s="10"/>
      <c r="C66" s="31" t="str">
        <f aca="false">IF(B66="","",TEXT(B66,"ddd"))</f>
        <v/>
      </c>
      <c r="D66" s="11"/>
      <c r="E66" s="8" t="str">
        <f aca="false">IF(D66="","",IFERROR(INDEX(ProjNumbers,MATCH(D66,ProjNames,0)),""))</f>
        <v/>
      </c>
      <c r="F66" s="8" t="str">
        <f aca="false">IF(D66="","",IFERROR(INDEX(ProjCodes,MATCH(D66,ProjNames,0)),""))</f>
        <v/>
      </c>
      <c r="G66" s="32"/>
      <c r="H66" s="11"/>
      <c r="I66" s="33"/>
      <c r="J66" s="8" t="str">
        <f aca="false">IF(COUNTA(B66,D66,G66,H66,I66)=0,"",IF(B66="","Enter date",IF(OR(B66&lt;$AC$2,B66&gt;$AC$3),"Date not in April",IF(D66="","Pick project",IF(ISNA(MATCH(D66,ProjNames,0)),"Project not in list",IF(G66="","Add task description",IF(H66="","Pick NTIME or P6",IF(N(I66)&lt;=0,"Enter hours",IF(AND(AllowOT&lt;&gt;"Yes",SUMIF($B$7:$B$256,B66,$I$7:$I$256)&gt;INDEX($O$58:$O$87,DAY(B66))),"Day over "&amp;INDEX($O$58:$O$87,DAY(B66))&amp;" h","✓")))))))))</f>
        <v/>
      </c>
      <c r="K66" s="1"/>
      <c r="L66" s="35" t="n">
        <v>46121</v>
      </c>
      <c r="M66" s="36" t="str">
        <f aca="false">TEXT(L66,"ddd")</f>
        <v>Thu</v>
      </c>
      <c r="N66" s="37" t="s">
        <v>93</v>
      </c>
      <c r="O66" s="37" t="n">
        <f aca="false">AvailHours</f>
        <v>8</v>
      </c>
      <c r="P66" s="24" t="n">
        <f aca="false">SUMIFS($I$7:$I$256,$B$7:$B$256,L66,$H$7:$H$256,"NTIME")</f>
        <v>0</v>
      </c>
      <c r="Q66" s="24" t="n">
        <f aca="false">SUMIFS($I$7:$I$256,$B$7:$B$256,L66,$H$7:$H$256,"P6")</f>
        <v>0</v>
      </c>
      <c r="R66" s="24" t="n">
        <f aca="false">IF(N66="Overhead only",O66,IF(AND(N66="Working",P66+Q66&gt;0),MAX(0,O66-P66-Q66),0))</f>
        <v>0</v>
      </c>
      <c r="S66" s="24" t="n">
        <f aca="false">IF(OR(N66="Working",N66="Overhead only"),MAX(0,P66+Q66-O66),0)</f>
        <v>0</v>
      </c>
      <c r="T66" s="24" t="n">
        <f aca="false">P66+Q66+R66</f>
        <v>0</v>
      </c>
      <c r="U66" s="24" t="str">
        <f aca="true">IF(N66="Working",IF(P66+Q66=0,IF(L66&lt;=TODAY(),"Not logged",""),IF(P66+Q66&gt;O66,IF(AllowOT="Yes","Overtime","Over "&amp;O66&amp;" h!"),"✓")),IF(N66="Overhead only","✓ Overhead day",IF(P66+Q66&gt;0,"Entries on "&amp;LOWER(N66)&amp;" day",N66)))</f>
        <v>Not logged</v>
      </c>
      <c r="V66" s="1"/>
      <c r="W66" s="1" t="str">
        <f aca="false">IF(Projects!B64="","",Projects!B64)</f>
        <v/>
      </c>
      <c r="X66" s="1" t="n">
        <f aca="false">IF(W66="",0,SUMIFS($I$7:$I$256,$D$7:$D$256,W66,$H$7:$H$256,"NTIME"))</f>
        <v>0</v>
      </c>
      <c r="Y66" s="1" t="n">
        <f aca="false">IF(W66="",0,SUMIFS($I$7:$I$256,$D$7:$D$256,W66,$H$7:$H$256,"P6"))</f>
        <v>0</v>
      </c>
      <c r="Z66" s="1" t="n">
        <f aca="false">X66+Y66</f>
        <v>0</v>
      </c>
      <c r="AA66" s="1" t="n">
        <f aca="false">IF(Z66&gt;0,Z66+(201-60)/10^6,0)</f>
        <v>0</v>
      </c>
      <c r="AB66" s="1"/>
      <c r="AC66" s="1"/>
      <c r="AD66" s="1"/>
      <c r="AE66" s="1"/>
      <c r="AF66" s="1"/>
      <c r="AG66" s="1"/>
      <c r="AH66" s="1"/>
    </row>
    <row r="67" customFormat="false" ht="15" hidden="false" customHeight="false" outlineLevel="0" collapsed="false">
      <c r="A67" s="1"/>
      <c r="B67" s="10"/>
      <c r="C67" s="31" t="str">
        <f aca="false">IF(B67="","",TEXT(B67,"ddd"))</f>
        <v/>
      </c>
      <c r="D67" s="11"/>
      <c r="E67" s="8" t="str">
        <f aca="false">IF(D67="","",IFERROR(INDEX(ProjNumbers,MATCH(D67,ProjNames,0)),""))</f>
        <v/>
      </c>
      <c r="F67" s="8" t="str">
        <f aca="false">IF(D67="","",IFERROR(INDEX(ProjCodes,MATCH(D67,ProjNames,0)),""))</f>
        <v/>
      </c>
      <c r="G67" s="32"/>
      <c r="H67" s="11"/>
      <c r="I67" s="33"/>
      <c r="J67" s="8" t="str">
        <f aca="false">IF(COUNTA(B67,D67,G67,H67,I67)=0,"",IF(B67="","Enter date",IF(OR(B67&lt;$AC$2,B67&gt;$AC$3),"Date not in April",IF(D67="","Pick project",IF(ISNA(MATCH(D67,ProjNames,0)),"Project not in list",IF(G67="","Add task description",IF(H67="","Pick NTIME or P6",IF(N(I67)&lt;=0,"Enter hours",IF(AND(AllowOT&lt;&gt;"Yes",SUMIF($B$7:$B$256,B67,$I$7:$I$256)&gt;INDEX($O$58:$O$87,DAY(B67))),"Day over "&amp;INDEX($O$58:$O$87,DAY(B67))&amp;" h","✓")))))))))</f>
        <v/>
      </c>
      <c r="K67" s="1"/>
      <c r="L67" s="35" t="n">
        <v>46122</v>
      </c>
      <c r="M67" s="36" t="str">
        <f aca="false">TEXT(L67,"ddd")</f>
        <v>Fri</v>
      </c>
      <c r="N67" s="37" t="s">
        <v>93</v>
      </c>
      <c r="O67" s="37" t="n">
        <f aca="false">AvailHours</f>
        <v>8</v>
      </c>
      <c r="P67" s="24" t="n">
        <f aca="false">SUMIFS($I$7:$I$256,$B$7:$B$256,L67,$H$7:$H$256,"NTIME")</f>
        <v>0</v>
      </c>
      <c r="Q67" s="24" t="n">
        <f aca="false">SUMIFS($I$7:$I$256,$B$7:$B$256,L67,$H$7:$H$256,"P6")</f>
        <v>0</v>
      </c>
      <c r="R67" s="24" t="n">
        <f aca="false">IF(N67="Overhead only",O67,IF(AND(N67="Working",P67+Q67&gt;0),MAX(0,O67-P67-Q67),0))</f>
        <v>0</v>
      </c>
      <c r="S67" s="24" t="n">
        <f aca="false">IF(OR(N67="Working",N67="Overhead only"),MAX(0,P67+Q67-O67),0)</f>
        <v>0</v>
      </c>
      <c r="T67" s="24" t="n">
        <f aca="false">P67+Q67+R67</f>
        <v>0</v>
      </c>
      <c r="U67" s="24" t="str">
        <f aca="true">IF(N67="Working",IF(P67+Q67=0,IF(L67&lt;=TODAY(),"Not logged",""),IF(P67+Q67&gt;O67,IF(AllowOT="Yes","Overtime","Over "&amp;O67&amp;" h!"),"✓")),IF(N67="Overhead only","✓ Overhead day",IF(P67+Q67&gt;0,"Entries on "&amp;LOWER(N67)&amp;" day",N67)))</f>
        <v>Not logged</v>
      </c>
      <c r="V67" s="1"/>
      <c r="W67" s="1" t="str">
        <f aca="false">IF(Projects!B65="","",Projects!B65)</f>
        <v/>
      </c>
      <c r="X67" s="1" t="n">
        <f aca="false">IF(W67="",0,SUMIFS($I$7:$I$256,$D$7:$D$256,W67,$H$7:$H$256,"NTIME"))</f>
        <v>0</v>
      </c>
      <c r="Y67" s="1" t="n">
        <f aca="false">IF(W67="",0,SUMIFS($I$7:$I$256,$D$7:$D$256,W67,$H$7:$H$256,"P6"))</f>
        <v>0</v>
      </c>
      <c r="Z67" s="1" t="n">
        <f aca="false">X67+Y67</f>
        <v>0</v>
      </c>
      <c r="AA67" s="1" t="n">
        <f aca="false">IF(Z67&gt;0,Z67+(201-61)/10^6,0)</f>
        <v>0</v>
      </c>
      <c r="AB67" s="1"/>
      <c r="AC67" s="1"/>
      <c r="AD67" s="1"/>
      <c r="AE67" s="1"/>
      <c r="AF67" s="1"/>
      <c r="AG67" s="1"/>
      <c r="AH67" s="1"/>
    </row>
    <row r="68" customFormat="false" ht="15" hidden="false" customHeight="false" outlineLevel="0" collapsed="false">
      <c r="A68" s="1"/>
      <c r="B68" s="10"/>
      <c r="C68" s="31" t="str">
        <f aca="false">IF(B68="","",TEXT(B68,"ddd"))</f>
        <v/>
      </c>
      <c r="D68" s="11"/>
      <c r="E68" s="8" t="str">
        <f aca="false">IF(D68="","",IFERROR(INDEX(ProjNumbers,MATCH(D68,ProjNames,0)),""))</f>
        <v/>
      </c>
      <c r="F68" s="8" t="str">
        <f aca="false">IF(D68="","",IFERROR(INDEX(ProjCodes,MATCH(D68,ProjNames,0)),""))</f>
        <v/>
      </c>
      <c r="G68" s="32"/>
      <c r="H68" s="11"/>
      <c r="I68" s="33"/>
      <c r="J68" s="8" t="str">
        <f aca="false">IF(COUNTA(B68,D68,G68,H68,I68)=0,"",IF(B68="","Enter date",IF(OR(B68&lt;$AC$2,B68&gt;$AC$3),"Date not in April",IF(D68="","Pick project",IF(ISNA(MATCH(D68,ProjNames,0)),"Project not in list",IF(G68="","Add task description",IF(H68="","Pick NTIME or P6",IF(N(I68)&lt;=0,"Enter hours",IF(AND(AllowOT&lt;&gt;"Yes",SUMIF($B$7:$B$256,B68,$I$7:$I$256)&gt;INDEX($O$58:$O$87,DAY(B68))),"Day over "&amp;INDEX($O$58:$O$87,DAY(B68))&amp;" h","✓")))))))))</f>
        <v/>
      </c>
      <c r="K68" s="1"/>
      <c r="L68" s="35" t="n">
        <v>46123</v>
      </c>
      <c r="M68" s="36" t="str">
        <f aca="false">TEXT(L68,"ddd")</f>
        <v>Sat</v>
      </c>
      <c r="N68" s="37" t="s">
        <v>94</v>
      </c>
      <c r="O68" s="37" t="n">
        <f aca="false">AvailHours</f>
        <v>8</v>
      </c>
      <c r="P68" s="24" t="n">
        <f aca="false">SUMIFS($I$7:$I$256,$B$7:$B$256,L68,$H$7:$H$256,"NTIME")</f>
        <v>0</v>
      </c>
      <c r="Q68" s="24" t="n">
        <f aca="false">SUMIFS($I$7:$I$256,$B$7:$B$256,L68,$H$7:$H$256,"P6")</f>
        <v>0</v>
      </c>
      <c r="R68" s="24" t="n">
        <f aca="false">IF(N68="Overhead only",O68,IF(AND(N68="Working",P68+Q68&gt;0),MAX(0,O68-P68-Q68),0))</f>
        <v>0</v>
      </c>
      <c r="S68" s="24" t="n">
        <f aca="false">IF(OR(N68="Working",N68="Overhead only"),MAX(0,P68+Q68-O68),0)</f>
        <v>0</v>
      </c>
      <c r="T68" s="24" t="n">
        <f aca="false">P68+Q68+R68</f>
        <v>0</v>
      </c>
      <c r="U68" s="24" t="str">
        <f aca="true">IF(N68="Working",IF(P68+Q68=0,IF(L68&lt;=TODAY(),"Not logged",""),IF(P68+Q68&gt;O68,IF(AllowOT="Yes","Overtime","Over "&amp;O68&amp;" h!"),"✓")),IF(N68="Overhead only","✓ Overhead day",IF(P68+Q68&gt;0,"Entries on "&amp;LOWER(N68)&amp;" day",N68)))</f>
        <v>Weekend</v>
      </c>
      <c r="V68" s="1"/>
      <c r="W68" s="1" t="str">
        <f aca="false">IF(Projects!B66="","",Projects!B66)</f>
        <v/>
      </c>
      <c r="X68" s="1" t="n">
        <f aca="false">IF(W68="",0,SUMIFS($I$7:$I$256,$D$7:$D$256,W68,$H$7:$H$256,"NTIME"))</f>
        <v>0</v>
      </c>
      <c r="Y68" s="1" t="n">
        <f aca="false">IF(W68="",0,SUMIFS($I$7:$I$256,$D$7:$D$256,W68,$H$7:$H$256,"P6"))</f>
        <v>0</v>
      </c>
      <c r="Z68" s="1" t="n">
        <f aca="false">X68+Y68</f>
        <v>0</v>
      </c>
      <c r="AA68" s="1" t="n">
        <f aca="false">IF(Z68&gt;0,Z68+(201-62)/10^6,0)</f>
        <v>0</v>
      </c>
      <c r="AB68" s="1"/>
      <c r="AC68" s="1"/>
      <c r="AD68" s="1"/>
      <c r="AE68" s="1"/>
      <c r="AF68" s="1"/>
      <c r="AG68" s="1"/>
      <c r="AH68" s="1"/>
    </row>
    <row r="69" customFormat="false" ht="15" hidden="false" customHeight="false" outlineLevel="0" collapsed="false">
      <c r="A69" s="1"/>
      <c r="B69" s="10"/>
      <c r="C69" s="31" t="str">
        <f aca="false">IF(B69="","",TEXT(B69,"ddd"))</f>
        <v/>
      </c>
      <c r="D69" s="11"/>
      <c r="E69" s="8" t="str">
        <f aca="false">IF(D69="","",IFERROR(INDEX(ProjNumbers,MATCH(D69,ProjNames,0)),""))</f>
        <v/>
      </c>
      <c r="F69" s="8" t="str">
        <f aca="false">IF(D69="","",IFERROR(INDEX(ProjCodes,MATCH(D69,ProjNames,0)),""))</f>
        <v/>
      </c>
      <c r="G69" s="32"/>
      <c r="H69" s="11"/>
      <c r="I69" s="33"/>
      <c r="J69" s="8" t="str">
        <f aca="false">IF(COUNTA(B69,D69,G69,H69,I69)=0,"",IF(B69="","Enter date",IF(OR(B69&lt;$AC$2,B69&gt;$AC$3),"Date not in April",IF(D69="","Pick project",IF(ISNA(MATCH(D69,ProjNames,0)),"Project not in list",IF(G69="","Add task description",IF(H69="","Pick NTIME or P6",IF(N(I69)&lt;=0,"Enter hours",IF(AND(AllowOT&lt;&gt;"Yes",SUMIF($B$7:$B$256,B69,$I$7:$I$256)&gt;INDEX($O$58:$O$87,DAY(B69))),"Day over "&amp;INDEX($O$58:$O$87,DAY(B69))&amp;" h","✓")))))))))</f>
        <v/>
      </c>
      <c r="K69" s="1"/>
      <c r="L69" s="35" t="n">
        <v>46124</v>
      </c>
      <c r="M69" s="36" t="str">
        <f aca="false">TEXT(L69,"ddd")</f>
        <v>Sun</v>
      </c>
      <c r="N69" s="37" t="s">
        <v>94</v>
      </c>
      <c r="O69" s="37" t="n">
        <f aca="false">AvailHours</f>
        <v>8</v>
      </c>
      <c r="P69" s="24" t="n">
        <f aca="false">SUMIFS($I$7:$I$256,$B$7:$B$256,L69,$H$7:$H$256,"NTIME")</f>
        <v>0</v>
      </c>
      <c r="Q69" s="24" t="n">
        <f aca="false">SUMIFS($I$7:$I$256,$B$7:$B$256,L69,$H$7:$H$256,"P6")</f>
        <v>0</v>
      </c>
      <c r="R69" s="24" t="n">
        <f aca="false">IF(N69="Overhead only",O69,IF(AND(N69="Working",P69+Q69&gt;0),MAX(0,O69-P69-Q69),0))</f>
        <v>0</v>
      </c>
      <c r="S69" s="24" t="n">
        <f aca="false">IF(OR(N69="Working",N69="Overhead only"),MAX(0,P69+Q69-O69),0)</f>
        <v>0</v>
      </c>
      <c r="T69" s="24" t="n">
        <f aca="false">P69+Q69+R69</f>
        <v>0</v>
      </c>
      <c r="U69" s="24" t="str">
        <f aca="true">IF(N69="Working",IF(P69+Q69=0,IF(L69&lt;=TODAY(),"Not logged",""),IF(P69+Q69&gt;O69,IF(AllowOT="Yes","Overtime","Over "&amp;O69&amp;" h!"),"✓")),IF(N69="Overhead only","✓ Overhead day",IF(P69+Q69&gt;0,"Entries on "&amp;LOWER(N69)&amp;" day",N69)))</f>
        <v>Weekend</v>
      </c>
      <c r="V69" s="1"/>
      <c r="W69" s="1" t="str">
        <f aca="false">IF(Projects!B67="","",Projects!B67)</f>
        <v/>
      </c>
      <c r="X69" s="1" t="n">
        <f aca="false">IF(W69="",0,SUMIFS($I$7:$I$256,$D$7:$D$256,W69,$H$7:$H$256,"NTIME"))</f>
        <v>0</v>
      </c>
      <c r="Y69" s="1" t="n">
        <f aca="false">IF(W69="",0,SUMIFS($I$7:$I$256,$D$7:$D$256,W69,$H$7:$H$256,"P6"))</f>
        <v>0</v>
      </c>
      <c r="Z69" s="1" t="n">
        <f aca="false">X69+Y69</f>
        <v>0</v>
      </c>
      <c r="AA69" s="1" t="n">
        <f aca="false">IF(Z69&gt;0,Z69+(201-63)/10^6,0)</f>
        <v>0</v>
      </c>
      <c r="AB69" s="1"/>
      <c r="AC69" s="1"/>
      <c r="AD69" s="1"/>
      <c r="AE69" s="1"/>
      <c r="AF69" s="1"/>
      <c r="AG69" s="1"/>
      <c r="AH69" s="1"/>
    </row>
    <row r="70" customFormat="false" ht="15" hidden="false" customHeight="false" outlineLevel="0" collapsed="false">
      <c r="A70" s="1"/>
      <c r="B70" s="10"/>
      <c r="C70" s="31" t="str">
        <f aca="false">IF(B70="","",TEXT(B70,"ddd"))</f>
        <v/>
      </c>
      <c r="D70" s="11"/>
      <c r="E70" s="8" t="str">
        <f aca="false">IF(D70="","",IFERROR(INDEX(ProjNumbers,MATCH(D70,ProjNames,0)),""))</f>
        <v/>
      </c>
      <c r="F70" s="8" t="str">
        <f aca="false">IF(D70="","",IFERROR(INDEX(ProjCodes,MATCH(D70,ProjNames,0)),""))</f>
        <v/>
      </c>
      <c r="G70" s="32"/>
      <c r="H70" s="11"/>
      <c r="I70" s="33"/>
      <c r="J70" s="8" t="str">
        <f aca="false">IF(COUNTA(B70,D70,G70,H70,I70)=0,"",IF(B70="","Enter date",IF(OR(B70&lt;$AC$2,B70&gt;$AC$3),"Date not in April",IF(D70="","Pick project",IF(ISNA(MATCH(D70,ProjNames,0)),"Project not in list",IF(G70="","Add task description",IF(H70="","Pick NTIME or P6",IF(N(I70)&lt;=0,"Enter hours",IF(AND(AllowOT&lt;&gt;"Yes",SUMIF($B$7:$B$256,B70,$I$7:$I$256)&gt;INDEX($O$58:$O$87,DAY(B70))),"Day over "&amp;INDEX($O$58:$O$87,DAY(B70))&amp;" h","✓")))))))))</f>
        <v/>
      </c>
      <c r="K70" s="1"/>
      <c r="L70" s="35" t="n">
        <v>46125</v>
      </c>
      <c r="M70" s="36" t="str">
        <f aca="false">TEXT(L70,"ddd")</f>
        <v>Mon</v>
      </c>
      <c r="N70" s="37" t="s">
        <v>93</v>
      </c>
      <c r="O70" s="37" t="n">
        <f aca="false">AvailHours</f>
        <v>8</v>
      </c>
      <c r="P70" s="24" t="n">
        <f aca="false">SUMIFS($I$7:$I$256,$B$7:$B$256,L70,$H$7:$H$256,"NTIME")</f>
        <v>0</v>
      </c>
      <c r="Q70" s="24" t="n">
        <f aca="false">SUMIFS($I$7:$I$256,$B$7:$B$256,L70,$H$7:$H$256,"P6")</f>
        <v>0</v>
      </c>
      <c r="R70" s="24" t="n">
        <f aca="false">IF(N70="Overhead only",O70,IF(AND(N70="Working",P70+Q70&gt;0),MAX(0,O70-P70-Q70),0))</f>
        <v>0</v>
      </c>
      <c r="S70" s="24" t="n">
        <f aca="false">IF(OR(N70="Working",N70="Overhead only"),MAX(0,P70+Q70-O70),0)</f>
        <v>0</v>
      </c>
      <c r="T70" s="24" t="n">
        <f aca="false">P70+Q70+R70</f>
        <v>0</v>
      </c>
      <c r="U70" s="24" t="str">
        <f aca="true">IF(N70="Working",IF(P70+Q70=0,IF(L70&lt;=TODAY(),"Not logged",""),IF(P70+Q70&gt;O70,IF(AllowOT="Yes","Overtime","Over "&amp;O70&amp;" h!"),"✓")),IF(N70="Overhead only","✓ Overhead day",IF(P70+Q70&gt;0,"Entries on "&amp;LOWER(N70)&amp;" day",N70)))</f>
        <v>Not logged</v>
      </c>
      <c r="V70" s="1"/>
      <c r="W70" s="1" t="str">
        <f aca="false">IF(Projects!B68="","",Projects!B68)</f>
        <v/>
      </c>
      <c r="X70" s="1" t="n">
        <f aca="false">IF(W70="",0,SUMIFS($I$7:$I$256,$D$7:$D$256,W70,$H$7:$H$256,"NTIME"))</f>
        <v>0</v>
      </c>
      <c r="Y70" s="1" t="n">
        <f aca="false">IF(W70="",0,SUMIFS($I$7:$I$256,$D$7:$D$256,W70,$H$7:$H$256,"P6"))</f>
        <v>0</v>
      </c>
      <c r="Z70" s="1" t="n">
        <f aca="false">X70+Y70</f>
        <v>0</v>
      </c>
      <c r="AA70" s="1" t="n">
        <f aca="false">IF(Z70&gt;0,Z70+(201-64)/10^6,0)</f>
        <v>0</v>
      </c>
      <c r="AB70" s="1"/>
      <c r="AC70" s="1"/>
      <c r="AD70" s="1"/>
      <c r="AE70" s="1"/>
      <c r="AF70" s="1"/>
      <c r="AG70" s="1"/>
      <c r="AH70" s="1"/>
    </row>
    <row r="71" customFormat="false" ht="15" hidden="false" customHeight="false" outlineLevel="0" collapsed="false">
      <c r="A71" s="1"/>
      <c r="B71" s="10"/>
      <c r="C71" s="31" t="str">
        <f aca="false">IF(B71="","",TEXT(B71,"ddd"))</f>
        <v/>
      </c>
      <c r="D71" s="11"/>
      <c r="E71" s="8" t="str">
        <f aca="false">IF(D71="","",IFERROR(INDEX(ProjNumbers,MATCH(D71,ProjNames,0)),""))</f>
        <v/>
      </c>
      <c r="F71" s="8" t="str">
        <f aca="false">IF(D71="","",IFERROR(INDEX(ProjCodes,MATCH(D71,ProjNames,0)),""))</f>
        <v/>
      </c>
      <c r="G71" s="32"/>
      <c r="H71" s="11"/>
      <c r="I71" s="33"/>
      <c r="J71" s="8" t="str">
        <f aca="false">IF(COUNTA(B71,D71,G71,H71,I71)=0,"",IF(B71="","Enter date",IF(OR(B71&lt;$AC$2,B71&gt;$AC$3),"Date not in April",IF(D71="","Pick project",IF(ISNA(MATCH(D71,ProjNames,0)),"Project not in list",IF(G71="","Add task description",IF(H71="","Pick NTIME or P6",IF(N(I71)&lt;=0,"Enter hours",IF(AND(AllowOT&lt;&gt;"Yes",SUMIF($B$7:$B$256,B71,$I$7:$I$256)&gt;INDEX($O$58:$O$87,DAY(B71))),"Day over "&amp;INDEX($O$58:$O$87,DAY(B71))&amp;" h","✓")))))))))</f>
        <v/>
      </c>
      <c r="K71" s="1"/>
      <c r="L71" s="35" t="n">
        <v>46126</v>
      </c>
      <c r="M71" s="36" t="str">
        <f aca="false">TEXT(L71,"ddd")</f>
        <v>Tue</v>
      </c>
      <c r="N71" s="37" t="s">
        <v>93</v>
      </c>
      <c r="O71" s="37" t="n">
        <f aca="false">AvailHours</f>
        <v>8</v>
      </c>
      <c r="P71" s="24" t="n">
        <f aca="false">SUMIFS($I$7:$I$256,$B$7:$B$256,L71,$H$7:$H$256,"NTIME")</f>
        <v>0</v>
      </c>
      <c r="Q71" s="24" t="n">
        <f aca="false">SUMIFS($I$7:$I$256,$B$7:$B$256,L71,$H$7:$H$256,"P6")</f>
        <v>0</v>
      </c>
      <c r="R71" s="24" t="n">
        <f aca="false">IF(N71="Overhead only",O71,IF(AND(N71="Working",P71+Q71&gt;0),MAX(0,O71-P71-Q71),0))</f>
        <v>0</v>
      </c>
      <c r="S71" s="24" t="n">
        <f aca="false">IF(OR(N71="Working",N71="Overhead only"),MAX(0,P71+Q71-O71),0)</f>
        <v>0</v>
      </c>
      <c r="T71" s="24" t="n">
        <f aca="false">P71+Q71+R71</f>
        <v>0</v>
      </c>
      <c r="U71" s="24" t="str">
        <f aca="true">IF(N71="Working",IF(P71+Q71=0,IF(L71&lt;=TODAY(),"Not logged",""),IF(P71+Q71&gt;O71,IF(AllowOT="Yes","Overtime","Over "&amp;O71&amp;" h!"),"✓")),IF(N71="Overhead only","✓ Overhead day",IF(P71+Q71&gt;0,"Entries on "&amp;LOWER(N71)&amp;" day",N71)))</f>
        <v>Not logged</v>
      </c>
      <c r="V71" s="1"/>
      <c r="W71" s="1" t="str">
        <f aca="false">IF(Projects!B69="","",Projects!B69)</f>
        <v/>
      </c>
      <c r="X71" s="1" t="n">
        <f aca="false">IF(W71="",0,SUMIFS($I$7:$I$256,$D$7:$D$256,W71,$H$7:$H$256,"NTIME"))</f>
        <v>0</v>
      </c>
      <c r="Y71" s="1" t="n">
        <f aca="false">IF(W71="",0,SUMIFS($I$7:$I$256,$D$7:$D$256,W71,$H$7:$H$256,"P6"))</f>
        <v>0</v>
      </c>
      <c r="Z71" s="1" t="n">
        <f aca="false">X71+Y71</f>
        <v>0</v>
      </c>
      <c r="AA71" s="1" t="n">
        <f aca="false">IF(Z71&gt;0,Z71+(201-65)/10^6,0)</f>
        <v>0</v>
      </c>
      <c r="AB71" s="1"/>
      <c r="AC71" s="1"/>
      <c r="AD71" s="1"/>
      <c r="AE71" s="1"/>
      <c r="AF71" s="1"/>
      <c r="AG71" s="1"/>
      <c r="AH71" s="1"/>
    </row>
    <row r="72" customFormat="false" ht="15" hidden="false" customHeight="false" outlineLevel="0" collapsed="false">
      <c r="A72" s="1"/>
      <c r="B72" s="10"/>
      <c r="C72" s="31" t="str">
        <f aca="false">IF(B72="","",TEXT(B72,"ddd"))</f>
        <v/>
      </c>
      <c r="D72" s="11"/>
      <c r="E72" s="8" t="str">
        <f aca="false">IF(D72="","",IFERROR(INDEX(ProjNumbers,MATCH(D72,ProjNames,0)),""))</f>
        <v/>
      </c>
      <c r="F72" s="8" t="str">
        <f aca="false">IF(D72="","",IFERROR(INDEX(ProjCodes,MATCH(D72,ProjNames,0)),""))</f>
        <v/>
      </c>
      <c r="G72" s="32"/>
      <c r="H72" s="11"/>
      <c r="I72" s="33"/>
      <c r="J72" s="8" t="str">
        <f aca="false">IF(COUNTA(B72,D72,G72,H72,I72)=0,"",IF(B72="","Enter date",IF(OR(B72&lt;$AC$2,B72&gt;$AC$3),"Date not in April",IF(D72="","Pick project",IF(ISNA(MATCH(D72,ProjNames,0)),"Project not in list",IF(G72="","Add task description",IF(H72="","Pick NTIME or P6",IF(N(I72)&lt;=0,"Enter hours",IF(AND(AllowOT&lt;&gt;"Yes",SUMIF($B$7:$B$256,B72,$I$7:$I$256)&gt;INDEX($O$58:$O$87,DAY(B72))),"Day over "&amp;INDEX($O$58:$O$87,DAY(B72))&amp;" h","✓")))))))))</f>
        <v/>
      </c>
      <c r="K72" s="1"/>
      <c r="L72" s="35" t="n">
        <v>46127</v>
      </c>
      <c r="M72" s="36" t="str">
        <f aca="false">TEXT(L72,"ddd")</f>
        <v>Wed</v>
      </c>
      <c r="N72" s="37" t="s">
        <v>93</v>
      </c>
      <c r="O72" s="37" t="n">
        <f aca="false">AvailHours</f>
        <v>8</v>
      </c>
      <c r="P72" s="24" t="n">
        <f aca="false">SUMIFS($I$7:$I$256,$B$7:$B$256,L72,$H$7:$H$256,"NTIME")</f>
        <v>0</v>
      </c>
      <c r="Q72" s="24" t="n">
        <f aca="false">SUMIFS($I$7:$I$256,$B$7:$B$256,L72,$H$7:$H$256,"P6")</f>
        <v>0</v>
      </c>
      <c r="R72" s="24" t="n">
        <f aca="false">IF(N72="Overhead only",O72,IF(AND(N72="Working",P72+Q72&gt;0),MAX(0,O72-P72-Q72),0))</f>
        <v>0</v>
      </c>
      <c r="S72" s="24" t="n">
        <f aca="false">IF(OR(N72="Working",N72="Overhead only"),MAX(0,P72+Q72-O72),0)</f>
        <v>0</v>
      </c>
      <c r="T72" s="24" t="n">
        <f aca="false">P72+Q72+R72</f>
        <v>0</v>
      </c>
      <c r="U72" s="24" t="str">
        <f aca="true">IF(N72="Working",IF(P72+Q72=0,IF(L72&lt;=TODAY(),"Not logged",""),IF(P72+Q72&gt;O72,IF(AllowOT="Yes","Overtime","Over "&amp;O72&amp;" h!"),"✓")),IF(N72="Overhead only","✓ Overhead day",IF(P72+Q72&gt;0,"Entries on "&amp;LOWER(N72)&amp;" day",N72)))</f>
        <v>Not logged</v>
      </c>
      <c r="V72" s="1"/>
      <c r="W72" s="1" t="str">
        <f aca="false">IF(Projects!B70="","",Projects!B70)</f>
        <v/>
      </c>
      <c r="X72" s="1" t="n">
        <f aca="false">IF(W72="",0,SUMIFS($I$7:$I$256,$D$7:$D$256,W72,$H$7:$H$256,"NTIME"))</f>
        <v>0</v>
      </c>
      <c r="Y72" s="1" t="n">
        <f aca="false">IF(W72="",0,SUMIFS($I$7:$I$256,$D$7:$D$256,W72,$H$7:$H$256,"P6"))</f>
        <v>0</v>
      </c>
      <c r="Z72" s="1" t="n">
        <f aca="false">X72+Y72</f>
        <v>0</v>
      </c>
      <c r="AA72" s="1" t="n">
        <f aca="false">IF(Z72&gt;0,Z72+(201-66)/10^6,0)</f>
        <v>0</v>
      </c>
      <c r="AB72" s="1"/>
      <c r="AC72" s="1"/>
      <c r="AD72" s="1"/>
      <c r="AE72" s="1"/>
      <c r="AF72" s="1"/>
      <c r="AG72" s="1"/>
      <c r="AH72" s="1"/>
    </row>
    <row r="73" customFormat="false" ht="15" hidden="false" customHeight="false" outlineLevel="0" collapsed="false">
      <c r="A73" s="1"/>
      <c r="B73" s="10"/>
      <c r="C73" s="31" t="str">
        <f aca="false">IF(B73="","",TEXT(B73,"ddd"))</f>
        <v/>
      </c>
      <c r="D73" s="11"/>
      <c r="E73" s="8" t="str">
        <f aca="false">IF(D73="","",IFERROR(INDEX(ProjNumbers,MATCH(D73,ProjNames,0)),""))</f>
        <v/>
      </c>
      <c r="F73" s="8" t="str">
        <f aca="false">IF(D73="","",IFERROR(INDEX(ProjCodes,MATCH(D73,ProjNames,0)),""))</f>
        <v/>
      </c>
      <c r="G73" s="32"/>
      <c r="H73" s="11"/>
      <c r="I73" s="33"/>
      <c r="J73" s="8" t="str">
        <f aca="false">IF(COUNTA(B73,D73,G73,H73,I73)=0,"",IF(B73="","Enter date",IF(OR(B73&lt;$AC$2,B73&gt;$AC$3),"Date not in April",IF(D73="","Pick project",IF(ISNA(MATCH(D73,ProjNames,0)),"Project not in list",IF(G73="","Add task description",IF(H73="","Pick NTIME or P6",IF(N(I73)&lt;=0,"Enter hours",IF(AND(AllowOT&lt;&gt;"Yes",SUMIF($B$7:$B$256,B73,$I$7:$I$256)&gt;INDEX($O$58:$O$87,DAY(B73))),"Day over "&amp;INDEX($O$58:$O$87,DAY(B73))&amp;" h","✓")))))))))</f>
        <v/>
      </c>
      <c r="K73" s="1"/>
      <c r="L73" s="35" t="n">
        <v>46128</v>
      </c>
      <c r="M73" s="36" t="str">
        <f aca="false">TEXT(L73,"ddd")</f>
        <v>Thu</v>
      </c>
      <c r="N73" s="37" t="s">
        <v>93</v>
      </c>
      <c r="O73" s="37" t="n">
        <f aca="false">AvailHours</f>
        <v>8</v>
      </c>
      <c r="P73" s="24" t="n">
        <f aca="false">SUMIFS($I$7:$I$256,$B$7:$B$256,L73,$H$7:$H$256,"NTIME")</f>
        <v>0</v>
      </c>
      <c r="Q73" s="24" t="n">
        <f aca="false">SUMIFS($I$7:$I$256,$B$7:$B$256,L73,$H$7:$H$256,"P6")</f>
        <v>0</v>
      </c>
      <c r="R73" s="24" t="n">
        <f aca="false">IF(N73="Overhead only",O73,IF(AND(N73="Working",P73+Q73&gt;0),MAX(0,O73-P73-Q73),0))</f>
        <v>0</v>
      </c>
      <c r="S73" s="24" t="n">
        <f aca="false">IF(OR(N73="Working",N73="Overhead only"),MAX(0,P73+Q73-O73),0)</f>
        <v>0</v>
      </c>
      <c r="T73" s="24" t="n">
        <f aca="false">P73+Q73+R73</f>
        <v>0</v>
      </c>
      <c r="U73" s="24" t="str">
        <f aca="true">IF(N73="Working",IF(P73+Q73=0,IF(L73&lt;=TODAY(),"Not logged",""),IF(P73+Q73&gt;O73,IF(AllowOT="Yes","Overtime","Over "&amp;O73&amp;" h!"),"✓")),IF(N73="Overhead only","✓ Overhead day",IF(P73+Q73&gt;0,"Entries on "&amp;LOWER(N73)&amp;" day",N73)))</f>
        <v>Not logged</v>
      </c>
      <c r="V73" s="1"/>
      <c r="W73" s="1" t="str">
        <f aca="false">IF(Projects!B71="","",Projects!B71)</f>
        <v/>
      </c>
      <c r="X73" s="1" t="n">
        <f aca="false">IF(W73="",0,SUMIFS($I$7:$I$256,$D$7:$D$256,W73,$H$7:$H$256,"NTIME"))</f>
        <v>0</v>
      </c>
      <c r="Y73" s="1" t="n">
        <f aca="false">IF(W73="",0,SUMIFS($I$7:$I$256,$D$7:$D$256,W73,$H$7:$H$256,"P6"))</f>
        <v>0</v>
      </c>
      <c r="Z73" s="1" t="n">
        <f aca="false">X73+Y73</f>
        <v>0</v>
      </c>
      <c r="AA73" s="1" t="n">
        <f aca="false">IF(Z73&gt;0,Z73+(201-67)/10^6,0)</f>
        <v>0</v>
      </c>
      <c r="AB73" s="1"/>
      <c r="AC73" s="1"/>
      <c r="AD73" s="1"/>
      <c r="AE73" s="1"/>
      <c r="AF73" s="1"/>
      <c r="AG73" s="1"/>
      <c r="AH73" s="1"/>
    </row>
    <row r="74" customFormat="false" ht="15" hidden="false" customHeight="false" outlineLevel="0" collapsed="false">
      <c r="A74" s="1"/>
      <c r="B74" s="10"/>
      <c r="C74" s="31" t="str">
        <f aca="false">IF(B74="","",TEXT(B74,"ddd"))</f>
        <v/>
      </c>
      <c r="D74" s="11"/>
      <c r="E74" s="8" t="str">
        <f aca="false">IF(D74="","",IFERROR(INDEX(ProjNumbers,MATCH(D74,ProjNames,0)),""))</f>
        <v/>
      </c>
      <c r="F74" s="8" t="str">
        <f aca="false">IF(D74="","",IFERROR(INDEX(ProjCodes,MATCH(D74,ProjNames,0)),""))</f>
        <v/>
      </c>
      <c r="G74" s="32"/>
      <c r="H74" s="11"/>
      <c r="I74" s="33"/>
      <c r="J74" s="8" t="str">
        <f aca="false">IF(COUNTA(B74,D74,G74,H74,I74)=0,"",IF(B74="","Enter date",IF(OR(B74&lt;$AC$2,B74&gt;$AC$3),"Date not in April",IF(D74="","Pick project",IF(ISNA(MATCH(D74,ProjNames,0)),"Project not in list",IF(G74="","Add task description",IF(H74="","Pick NTIME or P6",IF(N(I74)&lt;=0,"Enter hours",IF(AND(AllowOT&lt;&gt;"Yes",SUMIF($B$7:$B$256,B74,$I$7:$I$256)&gt;INDEX($O$58:$O$87,DAY(B74))),"Day over "&amp;INDEX($O$58:$O$87,DAY(B74))&amp;" h","✓")))))))))</f>
        <v/>
      </c>
      <c r="K74" s="1"/>
      <c r="L74" s="35" t="n">
        <v>46129</v>
      </c>
      <c r="M74" s="36" t="str">
        <f aca="false">TEXT(L74,"ddd")</f>
        <v>Fri</v>
      </c>
      <c r="N74" s="37" t="s">
        <v>93</v>
      </c>
      <c r="O74" s="37" t="n">
        <f aca="false">AvailHours</f>
        <v>8</v>
      </c>
      <c r="P74" s="24" t="n">
        <f aca="false">SUMIFS($I$7:$I$256,$B$7:$B$256,L74,$H$7:$H$256,"NTIME")</f>
        <v>0</v>
      </c>
      <c r="Q74" s="24" t="n">
        <f aca="false">SUMIFS($I$7:$I$256,$B$7:$B$256,L74,$H$7:$H$256,"P6")</f>
        <v>0</v>
      </c>
      <c r="R74" s="24" t="n">
        <f aca="false">IF(N74="Overhead only",O74,IF(AND(N74="Working",P74+Q74&gt;0),MAX(0,O74-P74-Q74),0))</f>
        <v>0</v>
      </c>
      <c r="S74" s="24" t="n">
        <f aca="false">IF(OR(N74="Working",N74="Overhead only"),MAX(0,P74+Q74-O74),0)</f>
        <v>0</v>
      </c>
      <c r="T74" s="24" t="n">
        <f aca="false">P74+Q74+R74</f>
        <v>0</v>
      </c>
      <c r="U74" s="24" t="str">
        <f aca="true">IF(N74="Working",IF(P74+Q74=0,IF(L74&lt;=TODAY(),"Not logged",""),IF(P74+Q74&gt;O74,IF(AllowOT="Yes","Overtime","Over "&amp;O74&amp;" h!"),"✓")),IF(N74="Overhead only","✓ Overhead day",IF(P74+Q74&gt;0,"Entries on "&amp;LOWER(N74)&amp;" day",N74)))</f>
        <v>Not logged</v>
      </c>
      <c r="V74" s="1"/>
      <c r="W74" s="1" t="str">
        <f aca="false">IF(Projects!B72="","",Projects!B72)</f>
        <v/>
      </c>
      <c r="X74" s="1" t="n">
        <f aca="false">IF(W74="",0,SUMIFS($I$7:$I$256,$D$7:$D$256,W74,$H$7:$H$256,"NTIME"))</f>
        <v>0</v>
      </c>
      <c r="Y74" s="1" t="n">
        <f aca="false">IF(W74="",0,SUMIFS($I$7:$I$256,$D$7:$D$256,W74,$H$7:$H$256,"P6"))</f>
        <v>0</v>
      </c>
      <c r="Z74" s="1" t="n">
        <f aca="false">X74+Y74</f>
        <v>0</v>
      </c>
      <c r="AA74" s="1" t="n">
        <f aca="false">IF(Z74&gt;0,Z74+(201-68)/10^6,0)</f>
        <v>0</v>
      </c>
      <c r="AB74" s="1"/>
      <c r="AC74" s="1"/>
      <c r="AD74" s="1"/>
      <c r="AE74" s="1"/>
      <c r="AF74" s="1"/>
      <c r="AG74" s="1"/>
      <c r="AH74" s="1"/>
    </row>
    <row r="75" customFormat="false" ht="15" hidden="false" customHeight="false" outlineLevel="0" collapsed="false">
      <c r="A75" s="1"/>
      <c r="B75" s="10"/>
      <c r="C75" s="31" t="str">
        <f aca="false">IF(B75="","",TEXT(B75,"ddd"))</f>
        <v/>
      </c>
      <c r="D75" s="11"/>
      <c r="E75" s="8" t="str">
        <f aca="false">IF(D75="","",IFERROR(INDEX(ProjNumbers,MATCH(D75,ProjNames,0)),""))</f>
        <v/>
      </c>
      <c r="F75" s="8" t="str">
        <f aca="false">IF(D75="","",IFERROR(INDEX(ProjCodes,MATCH(D75,ProjNames,0)),""))</f>
        <v/>
      </c>
      <c r="G75" s="32"/>
      <c r="H75" s="11"/>
      <c r="I75" s="33"/>
      <c r="J75" s="8" t="str">
        <f aca="false">IF(COUNTA(B75,D75,G75,H75,I75)=0,"",IF(B75="","Enter date",IF(OR(B75&lt;$AC$2,B75&gt;$AC$3),"Date not in April",IF(D75="","Pick project",IF(ISNA(MATCH(D75,ProjNames,0)),"Project not in list",IF(G75="","Add task description",IF(H75="","Pick NTIME or P6",IF(N(I75)&lt;=0,"Enter hours",IF(AND(AllowOT&lt;&gt;"Yes",SUMIF($B$7:$B$256,B75,$I$7:$I$256)&gt;INDEX($O$58:$O$87,DAY(B75))),"Day over "&amp;INDEX($O$58:$O$87,DAY(B75))&amp;" h","✓")))))))))</f>
        <v/>
      </c>
      <c r="K75" s="1"/>
      <c r="L75" s="35" t="n">
        <v>46130</v>
      </c>
      <c r="M75" s="36" t="str">
        <f aca="false">TEXT(L75,"ddd")</f>
        <v>Sat</v>
      </c>
      <c r="N75" s="37" t="s">
        <v>94</v>
      </c>
      <c r="O75" s="37" t="n">
        <f aca="false">AvailHours</f>
        <v>8</v>
      </c>
      <c r="P75" s="24" t="n">
        <f aca="false">SUMIFS($I$7:$I$256,$B$7:$B$256,L75,$H$7:$H$256,"NTIME")</f>
        <v>0</v>
      </c>
      <c r="Q75" s="24" t="n">
        <f aca="false">SUMIFS($I$7:$I$256,$B$7:$B$256,L75,$H$7:$H$256,"P6")</f>
        <v>0</v>
      </c>
      <c r="R75" s="24" t="n">
        <f aca="false">IF(N75="Overhead only",O75,IF(AND(N75="Working",P75+Q75&gt;0),MAX(0,O75-P75-Q75),0))</f>
        <v>0</v>
      </c>
      <c r="S75" s="24" t="n">
        <f aca="false">IF(OR(N75="Working",N75="Overhead only"),MAX(0,P75+Q75-O75),0)</f>
        <v>0</v>
      </c>
      <c r="T75" s="24" t="n">
        <f aca="false">P75+Q75+R75</f>
        <v>0</v>
      </c>
      <c r="U75" s="24" t="str">
        <f aca="true">IF(N75="Working",IF(P75+Q75=0,IF(L75&lt;=TODAY(),"Not logged",""),IF(P75+Q75&gt;O75,IF(AllowOT="Yes","Overtime","Over "&amp;O75&amp;" h!"),"✓")),IF(N75="Overhead only","✓ Overhead day",IF(P75+Q75&gt;0,"Entries on "&amp;LOWER(N75)&amp;" day",N75)))</f>
        <v>Weekend</v>
      </c>
      <c r="V75" s="1"/>
      <c r="W75" s="1" t="str">
        <f aca="false">IF(Projects!B73="","",Projects!B73)</f>
        <v/>
      </c>
      <c r="X75" s="1" t="n">
        <f aca="false">IF(W75="",0,SUMIFS($I$7:$I$256,$D$7:$D$256,W75,$H$7:$H$256,"NTIME"))</f>
        <v>0</v>
      </c>
      <c r="Y75" s="1" t="n">
        <f aca="false">IF(W75="",0,SUMIFS($I$7:$I$256,$D$7:$D$256,W75,$H$7:$H$256,"P6"))</f>
        <v>0</v>
      </c>
      <c r="Z75" s="1" t="n">
        <f aca="false">X75+Y75</f>
        <v>0</v>
      </c>
      <c r="AA75" s="1" t="n">
        <f aca="false">IF(Z75&gt;0,Z75+(201-69)/10^6,0)</f>
        <v>0</v>
      </c>
      <c r="AB75" s="1"/>
      <c r="AC75" s="1"/>
      <c r="AD75" s="1"/>
      <c r="AE75" s="1"/>
      <c r="AF75" s="1"/>
      <c r="AG75" s="1"/>
      <c r="AH75" s="1"/>
    </row>
    <row r="76" customFormat="false" ht="15" hidden="false" customHeight="false" outlineLevel="0" collapsed="false">
      <c r="A76" s="1"/>
      <c r="B76" s="10"/>
      <c r="C76" s="31" t="str">
        <f aca="false">IF(B76="","",TEXT(B76,"ddd"))</f>
        <v/>
      </c>
      <c r="D76" s="11"/>
      <c r="E76" s="8" t="str">
        <f aca="false">IF(D76="","",IFERROR(INDEX(ProjNumbers,MATCH(D76,ProjNames,0)),""))</f>
        <v/>
      </c>
      <c r="F76" s="8" t="str">
        <f aca="false">IF(D76="","",IFERROR(INDEX(ProjCodes,MATCH(D76,ProjNames,0)),""))</f>
        <v/>
      </c>
      <c r="G76" s="32"/>
      <c r="H76" s="11"/>
      <c r="I76" s="33"/>
      <c r="J76" s="8" t="str">
        <f aca="false">IF(COUNTA(B76,D76,G76,H76,I76)=0,"",IF(B76="","Enter date",IF(OR(B76&lt;$AC$2,B76&gt;$AC$3),"Date not in April",IF(D76="","Pick project",IF(ISNA(MATCH(D76,ProjNames,0)),"Project not in list",IF(G76="","Add task description",IF(H76="","Pick NTIME or P6",IF(N(I76)&lt;=0,"Enter hours",IF(AND(AllowOT&lt;&gt;"Yes",SUMIF($B$7:$B$256,B76,$I$7:$I$256)&gt;INDEX($O$58:$O$87,DAY(B76))),"Day over "&amp;INDEX($O$58:$O$87,DAY(B76))&amp;" h","✓")))))))))</f>
        <v/>
      </c>
      <c r="K76" s="1"/>
      <c r="L76" s="35" t="n">
        <v>46131</v>
      </c>
      <c r="M76" s="36" t="str">
        <f aca="false">TEXT(L76,"ddd")</f>
        <v>Sun</v>
      </c>
      <c r="N76" s="37" t="s">
        <v>94</v>
      </c>
      <c r="O76" s="37" t="n">
        <f aca="false">AvailHours</f>
        <v>8</v>
      </c>
      <c r="P76" s="24" t="n">
        <f aca="false">SUMIFS($I$7:$I$256,$B$7:$B$256,L76,$H$7:$H$256,"NTIME")</f>
        <v>0</v>
      </c>
      <c r="Q76" s="24" t="n">
        <f aca="false">SUMIFS($I$7:$I$256,$B$7:$B$256,L76,$H$7:$H$256,"P6")</f>
        <v>0</v>
      </c>
      <c r="R76" s="24" t="n">
        <f aca="false">IF(N76="Overhead only",O76,IF(AND(N76="Working",P76+Q76&gt;0),MAX(0,O76-P76-Q76),0))</f>
        <v>0</v>
      </c>
      <c r="S76" s="24" t="n">
        <f aca="false">IF(OR(N76="Working",N76="Overhead only"),MAX(0,P76+Q76-O76),0)</f>
        <v>0</v>
      </c>
      <c r="T76" s="24" t="n">
        <f aca="false">P76+Q76+R76</f>
        <v>0</v>
      </c>
      <c r="U76" s="24" t="str">
        <f aca="true">IF(N76="Working",IF(P76+Q76=0,IF(L76&lt;=TODAY(),"Not logged",""),IF(P76+Q76&gt;O76,IF(AllowOT="Yes","Overtime","Over "&amp;O76&amp;" h!"),"✓")),IF(N76="Overhead only","✓ Overhead day",IF(P76+Q76&gt;0,"Entries on "&amp;LOWER(N76)&amp;" day",N76)))</f>
        <v>Weekend</v>
      </c>
      <c r="V76" s="1"/>
      <c r="W76" s="1" t="str">
        <f aca="false">IF(Projects!B74="","",Projects!B74)</f>
        <v/>
      </c>
      <c r="X76" s="1" t="n">
        <f aca="false">IF(W76="",0,SUMIFS($I$7:$I$256,$D$7:$D$256,W76,$H$7:$H$256,"NTIME"))</f>
        <v>0</v>
      </c>
      <c r="Y76" s="1" t="n">
        <f aca="false">IF(W76="",0,SUMIFS($I$7:$I$256,$D$7:$D$256,W76,$H$7:$H$256,"P6"))</f>
        <v>0</v>
      </c>
      <c r="Z76" s="1" t="n">
        <f aca="false">X76+Y76</f>
        <v>0</v>
      </c>
      <c r="AA76" s="1" t="n">
        <f aca="false">IF(Z76&gt;0,Z76+(201-70)/10^6,0)</f>
        <v>0</v>
      </c>
      <c r="AB76" s="1"/>
      <c r="AC76" s="1"/>
      <c r="AD76" s="1"/>
      <c r="AE76" s="1"/>
      <c r="AF76" s="1"/>
      <c r="AG76" s="1"/>
      <c r="AH76" s="1"/>
    </row>
    <row r="77" customFormat="false" ht="15" hidden="false" customHeight="false" outlineLevel="0" collapsed="false">
      <c r="A77" s="1"/>
      <c r="B77" s="10"/>
      <c r="C77" s="31" t="str">
        <f aca="false">IF(B77="","",TEXT(B77,"ddd"))</f>
        <v/>
      </c>
      <c r="D77" s="11"/>
      <c r="E77" s="8" t="str">
        <f aca="false">IF(D77="","",IFERROR(INDEX(ProjNumbers,MATCH(D77,ProjNames,0)),""))</f>
        <v/>
      </c>
      <c r="F77" s="8" t="str">
        <f aca="false">IF(D77="","",IFERROR(INDEX(ProjCodes,MATCH(D77,ProjNames,0)),""))</f>
        <v/>
      </c>
      <c r="G77" s="32"/>
      <c r="H77" s="11"/>
      <c r="I77" s="33"/>
      <c r="J77" s="8" t="str">
        <f aca="false">IF(COUNTA(B77,D77,G77,H77,I77)=0,"",IF(B77="","Enter date",IF(OR(B77&lt;$AC$2,B77&gt;$AC$3),"Date not in April",IF(D77="","Pick project",IF(ISNA(MATCH(D77,ProjNames,0)),"Project not in list",IF(G77="","Add task description",IF(H77="","Pick NTIME or P6",IF(N(I77)&lt;=0,"Enter hours",IF(AND(AllowOT&lt;&gt;"Yes",SUMIF($B$7:$B$256,B77,$I$7:$I$256)&gt;INDEX($O$58:$O$87,DAY(B77))),"Day over "&amp;INDEX($O$58:$O$87,DAY(B77))&amp;" h","✓")))))))))</f>
        <v/>
      </c>
      <c r="K77" s="1"/>
      <c r="L77" s="35" t="n">
        <v>46132</v>
      </c>
      <c r="M77" s="36" t="str">
        <f aca="false">TEXT(L77,"ddd")</f>
        <v>Mon</v>
      </c>
      <c r="N77" s="37" t="s">
        <v>93</v>
      </c>
      <c r="O77" s="37" t="n">
        <f aca="false">AvailHours</f>
        <v>8</v>
      </c>
      <c r="P77" s="24" t="n">
        <f aca="false">SUMIFS($I$7:$I$256,$B$7:$B$256,L77,$H$7:$H$256,"NTIME")</f>
        <v>0</v>
      </c>
      <c r="Q77" s="24" t="n">
        <f aca="false">SUMIFS($I$7:$I$256,$B$7:$B$256,L77,$H$7:$H$256,"P6")</f>
        <v>0</v>
      </c>
      <c r="R77" s="24" t="n">
        <f aca="false">IF(N77="Overhead only",O77,IF(AND(N77="Working",P77+Q77&gt;0),MAX(0,O77-P77-Q77),0))</f>
        <v>0</v>
      </c>
      <c r="S77" s="24" t="n">
        <f aca="false">IF(OR(N77="Working",N77="Overhead only"),MAX(0,P77+Q77-O77),0)</f>
        <v>0</v>
      </c>
      <c r="T77" s="24" t="n">
        <f aca="false">P77+Q77+R77</f>
        <v>0</v>
      </c>
      <c r="U77" s="24" t="str">
        <f aca="true">IF(N77="Working",IF(P77+Q77=0,IF(L77&lt;=TODAY(),"Not logged",""),IF(P77+Q77&gt;O77,IF(AllowOT="Yes","Overtime","Over "&amp;O77&amp;" h!"),"✓")),IF(N77="Overhead only","✓ Overhead day",IF(P77+Q77&gt;0,"Entries on "&amp;LOWER(N77)&amp;" day",N77)))</f>
        <v>Not logged</v>
      </c>
      <c r="V77" s="1"/>
      <c r="W77" s="1" t="str">
        <f aca="false">IF(Projects!B75="","",Projects!B75)</f>
        <v/>
      </c>
      <c r="X77" s="1" t="n">
        <f aca="false">IF(W77="",0,SUMIFS($I$7:$I$256,$D$7:$D$256,W77,$H$7:$H$256,"NTIME"))</f>
        <v>0</v>
      </c>
      <c r="Y77" s="1" t="n">
        <f aca="false">IF(W77="",0,SUMIFS($I$7:$I$256,$D$7:$D$256,W77,$H$7:$H$256,"P6"))</f>
        <v>0</v>
      </c>
      <c r="Z77" s="1" t="n">
        <f aca="false">X77+Y77</f>
        <v>0</v>
      </c>
      <c r="AA77" s="1" t="n">
        <f aca="false">IF(Z77&gt;0,Z77+(201-71)/10^6,0)</f>
        <v>0</v>
      </c>
      <c r="AB77" s="1"/>
      <c r="AC77" s="1"/>
      <c r="AD77" s="1"/>
      <c r="AE77" s="1"/>
      <c r="AF77" s="1"/>
      <c r="AG77" s="1"/>
      <c r="AH77" s="1"/>
    </row>
    <row r="78" customFormat="false" ht="15" hidden="false" customHeight="false" outlineLevel="0" collapsed="false">
      <c r="A78" s="1"/>
      <c r="B78" s="10"/>
      <c r="C78" s="31" t="str">
        <f aca="false">IF(B78="","",TEXT(B78,"ddd"))</f>
        <v/>
      </c>
      <c r="D78" s="11"/>
      <c r="E78" s="8" t="str">
        <f aca="false">IF(D78="","",IFERROR(INDEX(ProjNumbers,MATCH(D78,ProjNames,0)),""))</f>
        <v/>
      </c>
      <c r="F78" s="8" t="str">
        <f aca="false">IF(D78="","",IFERROR(INDEX(ProjCodes,MATCH(D78,ProjNames,0)),""))</f>
        <v/>
      </c>
      <c r="G78" s="32"/>
      <c r="H78" s="11"/>
      <c r="I78" s="33"/>
      <c r="J78" s="8" t="str">
        <f aca="false">IF(COUNTA(B78,D78,G78,H78,I78)=0,"",IF(B78="","Enter date",IF(OR(B78&lt;$AC$2,B78&gt;$AC$3),"Date not in April",IF(D78="","Pick project",IF(ISNA(MATCH(D78,ProjNames,0)),"Project not in list",IF(G78="","Add task description",IF(H78="","Pick NTIME or P6",IF(N(I78)&lt;=0,"Enter hours",IF(AND(AllowOT&lt;&gt;"Yes",SUMIF($B$7:$B$256,B78,$I$7:$I$256)&gt;INDEX($O$58:$O$87,DAY(B78))),"Day over "&amp;INDEX($O$58:$O$87,DAY(B78))&amp;" h","✓")))))))))</f>
        <v/>
      </c>
      <c r="K78" s="1"/>
      <c r="L78" s="35" t="n">
        <v>46133</v>
      </c>
      <c r="M78" s="36" t="str">
        <f aca="false">TEXT(L78,"ddd")</f>
        <v>Tue</v>
      </c>
      <c r="N78" s="37" t="s">
        <v>93</v>
      </c>
      <c r="O78" s="37" t="n">
        <f aca="false">AvailHours</f>
        <v>8</v>
      </c>
      <c r="P78" s="24" t="n">
        <f aca="false">SUMIFS($I$7:$I$256,$B$7:$B$256,L78,$H$7:$H$256,"NTIME")</f>
        <v>0</v>
      </c>
      <c r="Q78" s="24" t="n">
        <f aca="false">SUMIFS($I$7:$I$256,$B$7:$B$256,L78,$H$7:$H$256,"P6")</f>
        <v>0</v>
      </c>
      <c r="R78" s="24" t="n">
        <f aca="false">IF(N78="Overhead only",O78,IF(AND(N78="Working",P78+Q78&gt;0),MAX(0,O78-P78-Q78),0))</f>
        <v>0</v>
      </c>
      <c r="S78" s="24" t="n">
        <f aca="false">IF(OR(N78="Working",N78="Overhead only"),MAX(0,P78+Q78-O78),0)</f>
        <v>0</v>
      </c>
      <c r="T78" s="24" t="n">
        <f aca="false">P78+Q78+R78</f>
        <v>0</v>
      </c>
      <c r="U78" s="24" t="str">
        <f aca="true">IF(N78="Working",IF(P78+Q78=0,IF(L78&lt;=TODAY(),"Not logged",""),IF(P78+Q78&gt;O78,IF(AllowOT="Yes","Overtime","Over "&amp;O78&amp;" h!"),"✓")),IF(N78="Overhead only","✓ Overhead day",IF(P78+Q78&gt;0,"Entries on "&amp;LOWER(N78)&amp;" day",N78)))</f>
        <v>Not logged</v>
      </c>
      <c r="V78" s="1"/>
      <c r="W78" s="1" t="str">
        <f aca="false">IF(Projects!B76="","",Projects!B76)</f>
        <v/>
      </c>
      <c r="X78" s="1" t="n">
        <f aca="false">IF(W78="",0,SUMIFS($I$7:$I$256,$D$7:$D$256,W78,$H$7:$H$256,"NTIME"))</f>
        <v>0</v>
      </c>
      <c r="Y78" s="1" t="n">
        <f aca="false">IF(W78="",0,SUMIFS($I$7:$I$256,$D$7:$D$256,W78,$H$7:$H$256,"P6"))</f>
        <v>0</v>
      </c>
      <c r="Z78" s="1" t="n">
        <f aca="false">X78+Y78</f>
        <v>0</v>
      </c>
      <c r="AA78" s="1" t="n">
        <f aca="false">IF(Z78&gt;0,Z78+(201-72)/10^6,0)</f>
        <v>0</v>
      </c>
      <c r="AB78" s="1"/>
      <c r="AC78" s="1"/>
      <c r="AD78" s="1"/>
      <c r="AE78" s="1"/>
      <c r="AF78" s="1"/>
      <c r="AG78" s="1"/>
      <c r="AH78" s="1"/>
    </row>
    <row r="79" customFormat="false" ht="15" hidden="false" customHeight="false" outlineLevel="0" collapsed="false">
      <c r="A79" s="1"/>
      <c r="B79" s="10"/>
      <c r="C79" s="31" t="str">
        <f aca="false">IF(B79="","",TEXT(B79,"ddd"))</f>
        <v/>
      </c>
      <c r="D79" s="11"/>
      <c r="E79" s="8" t="str">
        <f aca="false">IF(D79="","",IFERROR(INDEX(ProjNumbers,MATCH(D79,ProjNames,0)),""))</f>
        <v/>
      </c>
      <c r="F79" s="8" t="str">
        <f aca="false">IF(D79="","",IFERROR(INDEX(ProjCodes,MATCH(D79,ProjNames,0)),""))</f>
        <v/>
      </c>
      <c r="G79" s="32"/>
      <c r="H79" s="11"/>
      <c r="I79" s="33"/>
      <c r="J79" s="8" t="str">
        <f aca="false">IF(COUNTA(B79,D79,G79,H79,I79)=0,"",IF(B79="","Enter date",IF(OR(B79&lt;$AC$2,B79&gt;$AC$3),"Date not in April",IF(D79="","Pick project",IF(ISNA(MATCH(D79,ProjNames,0)),"Project not in list",IF(G79="","Add task description",IF(H79="","Pick NTIME or P6",IF(N(I79)&lt;=0,"Enter hours",IF(AND(AllowOT&lt;&gt;"Yes",SUMIF($B$7:$B$256,B79,$I$7:$I$256)&gt;INDEX($O$58:$O$87,DAY(B79))),"Day over "&amp;INDEX($O$58:$O$87,DAY(B79))&amp;" h","✓")))))))))</f>
        <v/>
      </c>
      <c r="K79" s="1"/>
      <c r="L79" s="35" t="n">
        <v>46134</v>
      </c>
      <c r="M79" s="36" t="str">
        <f aca="false">TEXT(L79,"ddd")</f>
        <v>Wed</v>
      </c>
      <c r="N79" s="37" t="s">
        <v>93</v>
      </c>
      <c r="O79" s="37" t="n">
        <f aca="false">AvailHours</f>
        <v>8</v>
      </c>
      <c r="P79" s="24" t="n">
        <f aca="false">SUMIFS($I$7:$I$256,$B$7:$B$256,L79,$H$7:$H$256,"NTIME")</f>
        <v>0</v>
      </c>
      <c r="Q79" s="24" t="n">
        <f aca="false">SUMIFS($I$7:$I$256,$B$7:$B$256,L79,$H$7:$H$256,"P6")</f>
        <v>0</v>
      </c>
      <c r="R79" s="24" t="n">
        <f aca="false">IF(N79="Overhead only",O79,IF(AND(N79="Working",P79+Q79&gt;0),MAX(0,O79-P79-Q79),0))</f>
        <v>0</v>
      </c>
      <c r="S79" s="24" t="n">
        <f aca="false">IF(OR(N79="Working",N79="Overhead only"),MAX(0,P79+Q79-O79),0)</f>
        <v>0</v>
      </c>
      <c r="T79" s="24" t="n">
        <f aca="false">P79+Q79+R79</f>
        <v>0</v>
      </c>
      <c r="U79" s="24" t="str">
        <f aca="true">IF(N79="Working",IF(P79+Q79=0,IF(L79&lt;=TODAY(),"Not logged",""),IF(P79+Q79&gt;O79,IF(AllowOT="Yes","Overtime","Over "&amp;O79&amp;" h!"),"✓")),IF(N79="Overhead only","✓ Overhead day",IF(P79+Q79&gt;0,"Entries on "&amp;LOWER(N79)&amp;" day",N79)))</f>
        <v>Not logged</v>
      </c>
      <c r="V79" s="1"/>
      <c r="W79" s="1" t="str">
        <f aca="false">IF(Projects!B77="","",Projects!B77)</f>
        <v/>
      </c>
      <c r="X79" s="1" t="n">
        <f aca="false">IF(W79="",0,SUMIFS($I$7:$I$256,$D$7:$D$256,W79,$H$7:$H$256,"NTIME"))</f>
        <v>0</v>
      </c>
      <c r="Y79" s="1" t="n">
        <f aca="false">IF(W79="",0,SUMIFS($I$7:$I$256,$D$7:$D$256,W79,$H$7:$H$256,"P6"))</f>
        <v>0</v>
      </c>
      <c r="Z79" s="1" t="n">
        <f aca="false">X79+Y79</f>
        <v>0</v>
      </c>
      <c r="AA79" s="1" t="n">
        <f aca="false">IF(Z79&gt;0,Z79+(201-73)/10^6,0)</f>
        <v>0</v>
      </c>
      <c r="AB79" s="1"/>
      <c r="AC79" s="1"/>
      <c r="AD79" s="1"/>
      <c r="AE79" s="1"/>
      <c r="AF79" s="1"/>
      <c r="AG79" s="1"/>
      <c r="AH79" s="1"/>
    </row>
    <row r="80" customFormat="false" ht="15" hidden="false" customHeight="false" outlineLevel="0" collapsed="false">
      <c r="A80" s="1"/>
      <c r="B80" s="10"/>
      <c r="C80" s="31" t="str">
        <f aca="false">IF(B80="","",TEXT(B80,"ddd"))</f>
        <v/>
      </c>
      <c r="D80" s="11"/>
      <c r="E80" s="8" t="str">
        <f aca="false">IF(D80="","",IFERROR(INDEX(ProjNumbers,MATCH(D80,ProjNames,0)),""))</f>
        <v/>
      </c>
      <c r="F80" s="8" t="str">
        <f aca="false">IF(D80="","",IFERROR(INDEX(ProjCodes,MATCH(D80,ProjNames,0)),""))</f>
        <v/>
      </c>
      <c r="G80" s="32"/>
      <c r="H80" s="11"/>
      <c r="I80" s="33"/>
      <c r="J80" s="8" t="str">
        <f aca="false">IF(COUNTA(B80,D80,G80,H80,I80)=0,"",IF(B80="","Enter date",IF(OR(B80&lt;$AC$2,B80&gt;$AC$3),"Date not in April",IF(D80="","Pick project",IF(ISNA(MATCH(D80,ProjNames,0)),"Project not in list",IF(G80="","Add task description",IF(H80="","Pick NTIME or P6",IF(N(I80)&lt;=0,"Enter hours",IF(AND(AllowOT&lt;&gt;"Yes",SUMIF($B$7:$B$256,B80,$I$7:$I$256)&gt;INDEX($O$58:$O$87,DAY(B80))),"Day over "&amp;INDEX($O$58:$O$87,DAY(B80))&amp;" h","✓")))))))))</f>
        <v/>
      </c>
      <c r="K80" s="1"/>
      <c r="L80" s="35" t="n">
        <v>46135</v>
      </c>
      <c r="M80" s="36" t="str">
        <f aca="false">TEXT(L80,"ddd")</f>
        <v>Thu</v>
      </c>
      <c r="N80" s="37" t="s">
        <v>93</v>
      </c>
      <c r="O80" s="37" t="n">
        <f aca="false">AvailHours</f>
        <v>8</v>
      </c>
      <c r="P80" s="24" t="n">
        <f aca="false">SUMIFS($I$7:$I$256,$B$7:$B$256,L80,$H$7:$H$256,"NTIME")</f>
        <v>0</v>
      </c>
      <c r="Q80" s="24" t="n">
        <f aca="false">SUMIFS($I$7:$I$256,$B$7:$B$256,L80,$H$7:$H$256,"P6")</f>
        <v>0</v>
      </c>
      <c r="R80" s="24" t="n">
        <f aca="false">IF(N80="Overhead only",O80,IF(AND(N80="Working",P80+Q80&gt;0),MAX(0,O80-P80-Q80),0))</f>
        <v>0</v>
      </c>
      <c r="S80" s="24" t="n">
        <f aca="false">IF(OR(N80="Working",N80="Overhead only"),MAX(0,P80+Q80-O80),0)</f>
        <v>0</v>
      </c>
      <c r="T80" s="24" t="n">
        <f aca="false">P80+Q80+R80</f>
        <v>0</v>
      </c>
      <c r="U80" s="24" t="str">
        <f aca="true">IF(N80="Working",IF(P80+Q80=0,IF(L80&lt;=TODAY(),"Not logged",""),IF(P80+Q80&gt;O80,IF(AllowOT="Yes","Overtime","Over "&amp;O80&amp;" h!"),"✓")),IF(N80="Overhead only","✓ Overhead day",IF(P80+Q80&gt;0,"Entries on "&amp;LOWER(N80)&amp;" day",N80)))</f>
        <v>Not logged</v>
      </c>
      <c r="V80" s="1"/>
      <c r="W80" s="1" t="str">
        <f aca="false">IF(Projects!B78="","",Projects!B78)</f>
        <v/>
      </c>
      <c r="X80" s="1" t="n">
        <f aca="false">IF(W80="",0,SUMIFS($I$7:$I$256,$D$7:$D$256,W80,$H$7:$H$256,"NTIME"))</f>
        <v>0</v>
      </c>
      <c r="Y80" s="1" t="n">
        <f aca="false">IF(W80="",0,SUMIFS($I$7:$I$256,$D$7:$D$256,W80,$H$7:$H$256,"P6"))</f>
        <v>0</v>
      </c>
      <c r="Z80" s="1" t="n">
        <f aca="false">X80+Y80</f>
        <v>0</v>
      </c>
      <c r="AA80" s="1" t="n">
        <f aca="false">IF(Z80&gt;0,Z80+(201-74)/10^6,0)</f>
        <v>0</v>
      </c>
      <c r="AB80" s="1"/>
      <c r="AC80" s="1"/>
      <c r="AD80" s="1"/>
      <c r="AE80" s="1"/>
      <c r="AF80" s="1"/>
      <c r="AG80" s="1"/>
      <c r="AH80" s="1"/>
    </row>
    <row r="81" customFormat="false" ht="15" hidden="false" customHeight="false" outlineLevel="0" collapsed="false">
      <c r="A81" s="1"/>
      <c r="B81" s="10"/>
      <c r="C81" s="31" t="str">
        <f aca="false">IF(B81="","",TEXT(B81,"ddd"))</f>
        <v/>
      </c>
      <c r="D81" s="11"/>
      <c r="E81" s="8" t="str">
        <f aca="false">IF(D81="","",IFERROR(INDEX(ProjNumbers,MATCH(D81,ProjNames,0)),""))</f>
        <v/>
      </c>
      <c r="F81" s="8" t="str">
        <f aca="false">IF(D81="","",IFERROR(INDEX(ProjCodes,MATCH(D81,ProjNames,0)),""))</f>
        <v/>
      </c>
      <c r="G81" s="32"/>
      <c r="H81" s="11"/>
      <c r="I81" s="33"/>
      <c r="J81" s="8" t="str">
        <f aca="false">IF(COUNTA(B81,D81,G81,H81,I81)=0,"",IF(B81="","Enter date",IF(OR(B81&lt;$AC$2,B81&gt;$AC$3),"Date not in April",IF(D81="","Pick project",IF(ISNA(MATCH(D81,ProjNames,0)),"Project not in list",IF(G81="","Add task description",IF(H81="","Pick NTIME or P6",IF(N(I81)&lt;=0,"Enter hours",IF(AND(AllowOT&lt;&gt;"Yes",SUMIF($B$7:$B$256,B81,$I$7:$I$256)&gt;INDEX($O$58:$O$87,DAY(B81))),"Day over "&amp;INDEX($O$58:$O$87,DAY(B81))&amp;" h","✓")))))))))</f>
        <v/>
      </c>
      <c r="K81" s="1"/>
      <c r="L81" s="35" t="n">
        <v>46136</v>
      </c>
      <c r="M81" s="36" t="str">
        <f aca="false">TEXT(L81,"ddd")</f>
        <v>Fri</v>
      </c>
      <c r="N81" s="37" t="s">
        <v>93</v>
      </c>
      <c r="O81" s="37" t="n">
        <f aca="false">AvailHours</f>
        <v>8</v>
      </c>
      <c r="P81" s="24" t="n">
        <f aca="false">SUMIFS($I$7:$I$256,$B$7:$B$256,L81,$H$7:$H$256,"NTIME")</f>
        <v>0</v>
      </c>
      <c r="Q81" s="24" t="n">
        <f aca="false">SUMIFS($I$7:$I$256,$B$7:$B$256,L81,$H$7:$H$256,"P6")</f>
        <v>0</v>
      </c>
      <c r="R81" s="24" t="n">
        <f aca="false">IF(N81="Overhead only",O81,IF(AND(N81="Working",P81+Q81&gt;0),MAX(0,O81-P81-Q81),0))</f>
        <v>0</v>
      </c>
      <c r="S81" s="24" t="n">
        <f aca="false">IF(OR(N81="Working",N81="Overhead only"),MAX(0,P81+Q81-O81),0)</f>
        <v>0</v>
      </c>
      <c r="T81" s="24" t="n">
        <f aca="false">P81+Q81+R81</f>
        <v>0</v>
      </c>
      <c r="U81" s="24" t="str">
        <f aca="true">IF(N81="Working",IF(P81+Q81=0,IF(L81&lt;=TODAY(),"Not logged",""),IF(P81+Q81&gt;O81,IF(AllowOT="Yes","Overtime","Over "&amp;O81&amp;" h!"),"✓")),IF(N81="Overhead only","✓ Overhead day",IF(P81+Q81&gt;0,"Entries on "&amp;LOWER(N81)&amp;" day",N81)))</f>
        <v>Not logged</v>
      </c>
      <c r="V81" s="1"/>
      <c r="W81" s="1" t="str">
        <f aca="false">IF(Projects!B79="","",Projects!B79)</f>
        <v/>
      </c>
      <c r="X81" s="1" t="n">
        <f aca="false">IF(W81="",0,SUMIFS($I$7:$I$256,$D$7:$D$256,W81,$H$7:$H$256,"NTIME"))</f>
        <v>0</v>
      </c>
      <c r="Y81" s="1" t="n">
        <f aca="false">IF(W81="",0,SUMIFS($I$7:$I$256,$D$7:$D$256,W81,$H$7:$H$256,"P6"))</f>
        <v>0</v>
      </c>
      <c r="Z81" s="1" t="n">
        <f aca="false">X81+Y81</f>
        <v>0</v>
      </c>
      <c r="AA81" s="1" t="n">
        <f aca="false">IF(Z81&gt;0,Z81+(201-75)/10^6,0)</f>
        <v>0</v>
      </c>
      <c r="AB81" s="1"/>
      <c r="AC81" s="1"/>
      <c r="AD81" s="1"/>
      <c r="AE81" s="1"/>
      <c r="AF81" s="1"/>
      <c r="AG81" s="1"/>
      <c r="AH81" s="1"/>
    </row>
    <row r="82" customFormat="false" ht="15" hidden="false" customHeight="false" outlineLevel="0" collapsed="false">
      <c r="A82" s="1"/>
      <c r="B82" s="10"/>
      <c r="C82" s="31" t="str">
        <f aca="false">IF(B82="","",TEXT(B82,"ddd"))</f>
        <v/>
      </c>
      <c r="D82" s="11"/>
      <c r="E82" s="8" t="str">
        <f aca="false">IF(D82="","",IFERROR(INDEX(ProjNumbers,MATCH(D82,ProjNames,0)),""))</f>
        <v/>
      </c>
      <c r="F82" s="8" t="str">
        <f aca="false">IF(D82="","",IFERROR(INDEX(ProjCodes,MATCH(D82,ProjNames,0)),""))</f>
        <v/>
      </c>
      <c r="G82" s="32"/>
      <c r="H82" s="11"/>
      <c r="I82" s="33"/>
      <c r="J82" s="8" t="str">
        <f aca="false">IF(COUNTA(B82,D82,G82,H82,I82)=0,"",IF(B82="","Enter date",IF(OR(B82&lt;$AC$2,B82&gt;$AC$3),"Date not in April",IF(D82="","Pick project",IF(ISNA(MATCH(D82,ProjNames,0)),"Project not in list",IF(G82="","Add task description",IF(H82="","Pick NTIME or P6",IF(N(I82)&lt;=0,"Enter hours",IF(AND(AllowOT&lt;&gt;"Yes",SUMIF($B$7:$B$256,B82,$I$7:$I$256)&gt;INDEX($O$58:$O$87,DAY(B82))),"Day over "&amp;INDEX($O$58:$O$87,DAY(B82))&amp;" h","✓")))))))))</f>
        <v/>
      </c>
      <c r="K82" s="1"/>
      <c r="L82" s="35" t="n">
        <v>46137</v>
      </c>
      <c r="M82" s="36" t="str">
        <f aca="false">TEXT(L82,"ddd")</f>
        <v>Sat</v>
      </c>
      <c r="N82" s="37" t="s">
        <v>94</v>
      </c>
      <c r="O82" s="37" t="n">
        <f aca="false">AvailHours</f>
        <v>8</v>
      </c>
      <c r="P82" s="24" t="n">
        <f aca="false">SUMIFS($I$7:$I$256,$B$7:$B$256,L82,$H$7:$H$256,"NTIME")</f>
        <v>0</v>
      </c>
      <c r="Q82" s="24" t="n">
        <f aca="false">SUMIFS($I$7:$I$256,$B$7:$B$256,L82,$H$7:$H$256,"P6")</f>
        <v>0</v>
      </c>
      <c r="R82" s="24" t="n">
        <f aca="false">IF(N82="Overhead only",O82,IF(AND(N82="Working",P82+Q82&gt;0),MAX(0,O82-P82-Q82),0))</f>
        <v>0</v>
      </c>
      <c r="S82" s="24" t="n">
        <f aca="false">IF(OR(N82="Working",N82="Overhead only"),MAX(0,P82+Q82-O82),0)</f>
        <v>0</v>
      </c>
      <c r="T82" s="24" t="n">
        <f aca="false">P82+Q82+R82</f>
        <v>0</v>
      </c>
      <c r="U82" s="24" t="str">
        <f aca="true">IF(N82="Working",IF(P82+Q82=0,IF(L82&lt;=TODAY(),"Not logged",""),IF(P82+Q82&gt;O82,IF(AllowOT="Yes","Overtime","Over "&amp;O82&amp;" h!"),"✓")),IF(N82="Overhead only","✓ Overhead day",IF(P82+Q82&gt;0,"Entries on "&amp;LOWER(N82)&amp;" day",N82)))</f>
        <v>Weekend</v>
      </c>
      <c r="V82" s="1"/>
      <c r="W82" s="1" t="str">
        <f aca="false">IF(Projects!B80="","",Projects!B80)</f>
        <v/>
      </c>
      <c r="X82" s="1" t="n">
        <f aca="false">IF(W82="",0,SUMIFS($I$7:$I$256,$D$7:$D$256,W82,$H$7:$H$256,"NTIME"))</f>
        <v>0</v>
      </c>
      <c r="Y82" s="1" t="n">
        <f aca="false">IF(W82="",0,SUMIFS($I$7:$I$256,$D$7:$D$256,W82,$H$7:$H$256,"P6"))</f>
        <v>0</v>
      </c>
      <c r="Z82" s="1" t="n">
        <f aca="false">X82+Y82</f>
        <v>0</v>
      </c>
      <c r="AA82" s="1" t="n">
        <f aca="false">IF(Z82&gt;0,Z82+(201-76)/10^6,0)</f>
        <v>0</v>
      </c>
      <c r="AB82" s="1"/>
      <c r="AC82" s="1"/>
      <c r="AD82" s="1"/>
      <c r="AE82" s="1"/>
      <c r="AF82" s="1"/>
      <c r="AG82" s="1"/>
      <c r="AH82" s="1"/>
    </row>
    <row r="83" customFormat="false" ht="15" hidden="false" customHeight="false" outlineLevel="0" collapsed="false">
      <c r="A83" s="1"/>
      <c r="B83" s="10"/>
      <c r="C83" s="31" t="str">
        <f aca="false">IF(B83="","",TEXT(B83,"ddd"))</f>
        <v/>
      </c>
      <c r="D83" s="11"/>
      <c r="E83" s="8" t="str">
        <f aca="false">IF(D83="","",IFERROR(INDEX(ProjNumbers,MATCH(D83,ProjNames,0)),""))</f>
        <v/>
      </c>
      <c r="F83" s="8" t="str">
        <f aca="false">IF(D83="","",IFERROR(INDEX(ProjCodes,MATCH(D83,ProjNames,0)),""))</f>
        <v/>
      </c>
      <c r="G83" s="32"/>
      <c r="H83" s="11"/>
      <c r="I83" s="33"/>
      <c r="J83" s="8" t="str">
        <f aca="false">IF(COUNTA(B83,D83,G83,H83,I83)=0,"",IF(B83="","Enter date",IF(OR(B83&lt;$AC$2,B83&gt;$AC$3),"Date not in April",IF(D83="","Pick project",IF(ISNA(MATCH(D83,ProjNames,0)),"Project not in list",IF(G83="","Add task description",IF(H83="","Pick NTIME or P6",IF(N(I83)&lt;=0,"Enter hours",IF(AND(AllowOT&lt;&gt;"Yes",SUMIF($B$7:$B$256,B83,$I$7:$I$256)&gt;INDEX($O$58:$O$87,DAY(B83))),"Day over "&amp;INDEX($O$58:$O$87,DAY(B83))&amp;" h","✓")))))))))</f>
        <v/>
      </c>
      <c r="K83" s="1"/>
      <c r="L83" s="35" t="n">
        <v>46138</v>
      </c>
      <c r="M83" s="36" t="str">
        <f aca="false">TEXT(L83,"ddd")</f>
        <v>Sun</v>
      </c>
      <c r="N83" s="37" t="s">
        <v>94</v>
      </c>
      <c r="O83" s="37" t="n">
        <f aca="false">AvailHours</f>
        <v>8</v>
      </c>
      <c r="P83" s="24" t="n">
        <f aca="false">SUMIFS($I$7:$I$256,$B$7:$B$256,L83,$H$7:$H$256,"NTIME")</f>
        <v>0</v>
      </c>
      <c r="Q83" s="24" t="n">
        <f aca="false">SUMIFS($I$7:$I$256,$B$7:$B$256,L83,$H$7:$H$256,"P6")</f>
        <v>0</v>
      </c>
      <c r="R83" s="24" t="n">
        <f aca="false">IF(N83="Overhead only",O83,IF(AND(N83="Working",P83+Q83&gt;0),MAX(0,O83-P83-Q83),0))</f>
        <v>0</v>
      </c>
      <c r="S83" s="24" t="n">
        <f aca="false">IF(OR(N83="Working",N83="Overhead only"),MAX(0,P83+Q83-O83),0)</f>
        <v>0</v>
      </c>
      <c r="T83" s="24" t="n">
        <f aca="false">P83+Q83+R83</f>
        <v>0</v>
      </c>
      <c r="U83" s="24" t="str">
        <f aca="true">IF(N83="Working",IF(P83+Q83=0,IF(L83&lt;=TODAY(),"Not logged",""),IF(P83+Q83&gt;O83,IF(AllowOT="Yes","Overtime","Over "&amp;O83&amp;" h!"),"✓")),IF(N83="Overhead only","✓ Overhead day",IF(P83+Q83&gt;0,"Entries on "&amp;LOWER(N83)&amp;" day",N83)))</f>
        <v>Weekend</v>
      </c>
      <c r="V83" s="1"/>
      <c r="W83" s="1" t="str">
        <f aca="false">IF(Projects!B81="","",Projects!B81)</f>
        <v/>
      </c>
      <c r="X83" s="1" t="n">
        <f aca="false">IF(W83="",0,SUMIFS($I$7:$I$256,$D$7:$D$256,W83,$H$7:$H$256,"NTIME"))</f>
        <v>0</v>
      </c>
      <c r="Y83" s="1" t="n">
        <f aca="false">IF(W83="",0,SUMIFS($I$7:$I$256,$D$7:$D$256,W83,$H$7:$H$256,"P6"))</f>
        <v>0</v>
      </c>
      <c r="Z83" s="1" t="n">
        <f aca="false">X83+Y83</f>
        <v>0</v>
      </c>
      <c r="AA83" s="1" t="n">
        <f aca="false">IF(Z83&gt;0,Z83+(201-77)/10^6,0)</f>
        <v>0</v>
      </c>
      <c r="AB83" s="1"/>
      <c r="AC83" s="1"/>
      <c r="AD83" s="1"/>
      <c r="AE83" s="1"/>
      <c r="AF83" s="1"/>
      <c r="AG83" s="1"/>
      <c r="AH83" s="1"/>
    </row>
    <row r="84" customFormat="false" ht="15" hidden="false" customHeight="false" outlineLevel="0" collapsed="false">
      <c r="A84" s="1"/>
      <c r="B84" s="10"/>
      <c r="C84" s="31" t="str">
        <f aca="false">IF(B84="","",TEXT(B84,"ddd"))</f>
        <v/>
      </c>
      <c r="D84" s="11"/>
      <c r="E84" s="8" t="str">
        <f aca="false">IF(D84="","",IFERROR(INDEX(ProjNumbers,MATCH(D84,ProjNames,0)),""))</f>
        <v/>
      </c>
      <c r="F84" s="8" t="str">
        <f aca="false">IF(D84="","",IFERROR(INDEX(ProjCodes,MATCH(D84,ProjNames,0)),""))</f>
        <v/>
      </c>
      <c r="G84" s="32"/>
      <c r="H84" s="11"/>
      <c r="I84" s="33"/>
      <c r="J84" s="8" t="str">
        <f aca="false">IF(COUNTA(B84,D84,G84,H84,I84)=0,"",IF(B84="","Enter date",IF(OR(B84&lt;$AC$2,B84&gt;$AC$3),"Date not in April",IF(D84="","Pick project",IF(ISNA(MATCH(D84,ProjNames,0)),"Project not in list",IF(G84="","Add task description",IF(H84="","Pick NTIME or P6",IF(N(I84)&lt;=0,"Enter hours",IF(AND(AllowOT&lt;&gt;"Yes",SUMIF($B$7:$B$256,B84,$I$7:$I$256)&gt;INDEX($O$58:$O$87,DAY(B84))),"Day over "&amp;INDEX($O$58:$O$87,DAY(B84))&amp;" h","✓")))))))))</f>
        <v/>
      </c>
      <c r="K84" s="1"/>
      <c r="L84" s="35" t="n">
        <v>46139</v>
      </c>
      <c r="M84" s="36" t="str">
        <f aca="false">TEXT(L84,"ddd")</f>
        <v>Mon</v>
      </c>
      <c r="N84" s="37" t="s">
        <v>93</v>
      </c>
      <c r="O84" s="37" t="n">
        <f aca="false">AvailHours</f>
        <v>8</v>
      </c>
      <c r="P84" s="24" t="n">
        <f aca="false">SUMIFS($I$7:$I$256,$B$7:$B$256,L84,$H$7:$H$256,"NTIME")</f>
        <v>0</v>
      </c>
      <c r="Q84" s="24" t="n">
        <f aca="false">SUMIFS($I$7:$I$256,$B$7:$B$256,L84,$H$7:$H$256,"P6")</f>
        <v>0</v>
      </c>
      <c r="R84" s="24" t="n">
        <f aca="false">IF(N84="Overhead only",O84,IF(AND(N84="Working",P84+Q84&gt;0),MAX(0,O84-P84-Q84),0))</f>
        <v>0</v>
      </c>
      <c r="S84" s="24" t="n">
        <f aca="false">IF(OR(N84="Working",N84="Overhead only"),MAX(0,P84+Q84-O84),0)</f>
        <v>0</v>
      </c>
      <c r="T84" s="24" t="n">
        <f aca="false">P84+Q84+R84</f>
        <v>0</v>
      </c>
      <c r="U84" s="24" t="str">
        <f aca="true">IF(N84="Working",IF(P84+Q84=0,IF(L84&lt;=TODAY(),"Not logged",""),IF(P84+Q84&gt;O84,IF(AllowOT="Yes","Overtime","Over "&amp;O84&amp;" h!"),"✓")),IF(N84="Overhead only","✓ Overhead day",IF(P84+Q84&gt;0,"Entries on "&amp;LOWER(N84)&amp;" day",N84)))</f>
        <v>Not logged</v>
      </c>
      <c r="V84" s="1"/>
      <c r="W84" s="1" t="str">
        <f aca="false">IF(Projects!B82="","",Projects!B82)</f>
        <v/>
      </c>
      <c r="X84" s="1" t="n">
        <f aca="false">IF(W84="",0,SUMIFS($I$7:$I$256,$D$7:$D$256,W84,$H$7:$H$256,"NTIME"))</f>
        <v>0</v>
      </c>
      <c r="Y84" s="1" t="n">
        <f aca="false">IF(W84="",0,SUMIFS($I$7:$I$256,$D$7:$D$256,W84,$H$7:$H$256,"P6"))</f>
        <v>0</v>
      </c>
      <c r="Z84" s="1" t="n">
        <f aca="false">X84+Y84</f>
        <v>0</v>
      </c>
      <c r="AA84" s="1" t="n">
        <f aca="false">IF(Z84&gt;0,Z84+(201-78)/10^6,0)</f>
        <v>0</v>
      </c>
      <c r="AB84" s="1"/>
      <c r="AC84" s="1"/>
      <c r="AD84" s="1"/>
      <c r="AE84" s="1"/>
      <c r="AF84" s="1"/>
      <c r="AG84" s="1"/>
      <c r="AH84" s="1"/>
    </row>
    <row r="85" customFormat="false" ht="15" hidden="false" customHeight="false" outlineLevel="0" collapsed="false">
      <c r="A85" s="1"/>
      <c r="B85" s="10"/>
      <c r="C85" s="31" t="str">
        <f aca="false">IF(B85="","",TEXT(B85,"ddd"))</f>
        <v/>
      </c>
      <c r="D85" s="11"/>
      <c r="E85" s="8" t="str">
        <f aca="false">IF(D85="","",IFERROR(INDEX(ProjNumbers,MATCH(D85,ProjNames,0)),""))</f>
        <v/>
      </c>
      <c r="F85" s="8" t="str">
        <f aca="false">IF(D85="","",IFERROR(INDEX(ProjCodes,MATCH(D85,ProjNames,0)),""))</f>
        <v/>
      </c>
      <c r="G85" s="32"/>
      <c r="H85" s="11"/>
      <c r="I85" s="33"/>
      <c r="J85" s="8" t="str">
        <f aca="false">IF(COUNTA(B85,D85,G85,H85,I85)=0,"",IF(B85="","Enter date",IF(OR(B85&lt;$AC$2,B85&gt;$AC$3),"Date not in April",IF(D85="","Pick project",IF(ISNA(MATCH(D85,ProjNames,0)),"Project not in list",IF(G85="","Add task description",IF(H85="","Pick NTIME or P6",IF(N(I85)&lt;=0,"Enter hours",IF(AND(AllowOT&lt;&gt;"Yes",SUMIF($B$7:$B$256,B85,$I$7:$I$256)&gt;INDEX($O$58:$O$87,DAY(B85))),"Day over "&amp;INDEX($O$58:$O$87,DAY(B85))&amp;" h","✓")))))))))</f>
        <v/>
      </c>
      <c r="K85" s="1"/>
      <c r="L85" s="35" t="n">
        <v>46140</v>
      </c>
      <c r="M85" s="36" t="str">
        <f aca="false">TEXT(L85,"ddd")</f>
        <v>Tue</v>
      </c>
      <c r="N85" s="37" t="s">
        <v>93</v>
      </c>
      <c r="O85" s="37" t="n">
        <f aca="false">AvailHours</f>
        <v>8</v>
      </c>
      <c r="P85" s="24" t="n">
        <f aca="false">SUMIFS($I$7:$I$256,$B$7:$B$256,L85,$H$7:$H$256,"NTIME")</f>
        <v>0</v>
      </c>
      <c r="Q85" s="24" t="n">
        <f aca="false">SUMIFS($I$7:$I$256,$B$7:$B$256,L85,$H$7:$H$256,"P6")</f>
        <v>0</v>
      </c>
      <c r="R85" s="24" t="n">
        <f aca="false">IF(N85="Overhead only",O85,IF(AND(N85="Working",P85+Q85&gt;0),MAX(0,O85-P85-Q85),0))</f>
        <v>0</v>
      </c>
      <c r="S85" s="24" t="n">
        <f aca="false">IF(OR(N85="Working",N85="Overhead only"),MAX(0,P85+Q85-O85),0)</f>
        <v>0</v>
      </c>
      <c r="T85" s="24" t="n">
        <f aca="false">P85+Q85+R85</f>
        <v>0</v>
      </c>
      <c r="U85" s="24" t="str">
        <f aca="true">IF(N85="Working",IF(P85+Q85=0,IF(L85&lt;=TODAY(),"Not logged",""),IF(P85+Q85&gt;O85,IF(AllowOT="Yes","Overtime","Over "&amp;O85&amp;" h!"),"✓")),IF(N85="Overhead only","✓ Overhead day",IF(P85+Q85&gt;0,"Entries on "&amp;LOWER(N85)&amp;" day",N85)))</f>
        <v>Not logged</v>
      </c>
      <c r="V85" s="1"/>
      <c r="W85" s="1" t="str">
        <f aca="false">IF(Projects!B83="","",Projects!B83)</f>
        <v/>
      </c>
      <c r="X85" s="1" t="n">
        <f aca="false">IF(W85="",0,SUMIFS($I$7:$I$256,$D$7:$D$256,W85,$H$7:$H$256,"NTIME"))</f>
        <v>0</v>
      </c>
      <c r="Y85" s="1" t="n">
        <f aca="false">IF(W85="",0,SUMIFS($I$7:$I$256,$D$7:$D$256,W85,$H$7:$H$256,"P6"))</f>
        <v>0</v>
      </c>
      <c r="Z85" s="1" t="n">
        <f aca="false">X85+Y85</f>
        <v>0</v>
      </c>
      <c r="AA85" s="1" t="n">
        <f aca="false">IF(Z85&gt;0,Z85+(201-79)/10^6,0)</f>
        <v>0</v>
      </c>
      <c r="AB85" s="1"/>
      <c r="AC85" s="1"/>
      <c r="AD85" s="1"/>
      <c r="AE85" s="1"/>
      <c r="AF85" s="1"/>
      <c r="AG85" s="1"/>
      <c r="AH85" s="1"/>
    </row>
    <row r="86" customFormat="false" ht="15" hidden="false" customHeight="false" outlineLevel="0" collapsed="false">
      <c r="A86" s="1"/>
      <c r="B86" s="10"/>
      <c r="C86" s="31" t="str">
        <f aca="false">IF(B86="","",TEXT(B86,"ddd"))</f>
        <v/>
      </c>
      <c r="D86" s="11"/>
      <c r="E86" s="8" t="str">
        <f aca="false">IF(D86="","",IFERROR(INDEX(ProjNumbers,MATCH(D86,ProjNames,0)),""))</f>
        <v/>
      </c>
      <c r="F86" s="8" t="str">
        <f aca="false">IF(D86="","",IFERROR(INDEX(ProjCodes,MATCH(D86,ProjNames,0)),""))</f>
        <v/>
      </c>
      <c r="G86" s="32"/>
      <c r="H86" s="11"/>
      <c r="I86" s="33"/>
      <c r="J86" s="8" t="str">
        <f aca="false">IF(COUNTA(B86,D86,G86,H86,I86)=0,"",IF(B86="","Enter date",IF(OR(B86&lt;$AC$2,B86&gt;$AC$3),"Date not in April",IF(D86="","Pick project",IF(ISNA(MATCH(D86,ProjNames,0)),"Project not in list",IF(G86="","Add task description",IF(H86="","Pick NTIME or P6",IF(N(I86)&lt;=0,"Enter hours",IF(AND(AllowOT&lt;&gt;"Yes",SUMIF($B$7:$B$256,B86,$I$7:$I$256)&gt;INDEX($O$58:$O$87,DAY(B86))),"Day over "&amp;INDEX($O$58:$O$87,DAY(B86))&amp;" h","✓")))))))))</f>
        <v/>
      </c>
      <c r="K86" s="1"/>
      <c r="L86" s="35" t="n">
        <v>46141</v>
      </c>
      <c r="M86" s="36" t="str">
        <f aca="false">TEXT(L86,"ddd")</f>
        <v>Wed</v>
      </c>
      <c r="N86" s="37" t="s">
        <v>93</v>
      </c>
      <c r="O86" s="37" t="n">
        <f aca="false">AvailHours</f>
        <v>8</v>
      </c>
      <c r="P86" s="24" t="n">
        <f aca="false">SUMIFS($I$7:$I$256,$B$7:$B$256,L86,$H$7:$H$256,"NTIME")</f>
        <v>0</v>
      </c>
      <c r="Q86" s="24" t="n">
        <f aca="false">SUMIFS($I$7:$I$256,$B$7:$B$256,L86,$H$7:$H$256,"P6")</f>
        <v>0</v>
      </c>
      <c r="R86" s="24" t="n">
        <f aca="false">IF(N86="Overhead only",O86,IF(AND(N86="Working",P86+Q86&gt;0),MAX(0,O86-P86-Q86),0))</f>
        <v>0</v>
      </c>
      <c r="S86" s="24" t="n">
        <f aca="false">IF(OR(N86="Working",N86="Overhead only"),MAX(0,P86+Q86-O86),0)</f>
        <v>0</v>
      </c>
      <c r="T86" s="24" t="n">
        <f aca="false">P86+Q86+R86</f>
        <v>0</v>
      </c>
      <c r="U86" s="24" t="str">
        <f aca="true">IF(N86="Working",IF(P86+Q86=0,IF(L86&lt;=TODAY(),"Not logged",""),IF(P86+Q86&gt;O86,IF(AllowOT="Yes","Overtime","Over "&amp;O86&amp;" h!"),"✓")),IF(N86="Overhead only","✓ Overhead day",IF(P86+Q86&gt;0,"Entries on "&amp;LOWER(N86)&amp;" day",N86)))</f>
        <v>Not logged</v>
      </c>
      <c r="V86" s="1"/>
      <c r="W86" s="1" t="str">
        <f aca="false">IF(Projects!B84="","",Projects!B84)</f>
        <v/>
      </c>
      <c r="X86" s="1" t="n">
        <f aca="false">IF(W86="",0,SUMIFS($I$7:$I$256,$D$7:$D$256,W86,$H$7:$H$256,"NTIME"))</f>
        <v>0</v>
      </c>
      <c r="Y86" s="1" t="n">
        <f aca="false">IF(W86="",0,SUMIFS($I$7:$I$256,$D$7:$D$256,W86,$H$7:$H$256,"P6"))</f>
        <v>0</v>
      </c>
      <c r="Z86" s="1" t="n">
        <f aca="false">X86+Y86</f>
        <v>0</v>
      </c>
      <c r="AA86" s="1" t="n">
        <f aca="false">IF(Z86&gt;0,Z86+(201-80)/10^6,0)</f>
        <v>0</v>
      </c>
      <c r="AB86" s="1"/>
      <c r="AC86" s="1"/>
      <c r="AD86" s="1"/>
      <c r="AE86" s="1"/>
      <c r="AF86" s="1"/>
      <c r="AG86" s="1"/>
      <c r="AH86" s="1"/>
    </row>
    <row r="87" customFormat="false" ht="15" hidden="false" customHeight="false" outlineLevel="0" collapsed="false">
      <c r="A87" s="1"/>
      <c r="B87" s="10"/>
      <c r="C87" s="31" t="str">
        <f aca="false">IF(B87="","",TEXT(B87,"ddd"))</f>
        <v/>
      </c>
      <c r="D87" s="11"/>
      <c r="E87" s="8" t="str">
        <f aca="false">IF(D87="","",IFERROR(INDEX(ProjNumbers,MATCH(D87,ProjNames,0)),""))</f>
        <v/>
      </c>
      <c r="F87" s="8" t="str">
        <f aca="false">IF(D87="","",IFERROR(INDEX(ProjCodes,MATCH(D87,ProjNames,0)),""))</f>
        <v/>
      </c>
      <c r="G87" s="32"/>
      <c r="H87" s="11"/>
      <c r="I87" s="33"/>
      <c r="J87" s="8" t="str">
        <f aca="false">IF(COUNTA(B87,D87,G87,H87,I87)=0,"",IF(B87="","Enter date",IF(OR(B87&lt;$AC$2,B87&gt;$AC$3),"Date not in April",IF(D87="","Pick project",IF(ISNA(MATCH(D87,ProjNames,0)),"Project not in list",IF(G87="","Add task description",IF(H87="","Pick NTIME or P6",IF(N(I87)&lt;=0,"Enter hours",IF(AND(AllowOT&lt;&gt;"Yes",SUMIF($B$7:$B$256,B87,$I$7:$I$256)&gt;INDEX($O$58:$O$87,DAY(B87))),"Day over "&amp;INDEX($O$58:$O$87,DAY(B87))&amp;" h","✓")))))))))</f>
        <v/>
      </c>
      <c r="K87" s="1"/>
      <c r="L87" s="35" t="n">
        <v>46142</v>
      </c>
      <c r="M87" s="36" t="str">
        <f aca="false">TEXT(L87,"ddd")</f>
        <v>Thu</v>
      </c>
      <c r="N87" s="37" t="s">
        <v>93</v>
      </c>
      <c r="O87" s="37" t="n">
        <f aca="false">AvailHours</f>
        <v>8</v>
      </c>
      <c r="P87" s="24" t="n">
        <f aca="false">SUMIFS($I$7:$I$256,$B$7:$B$256,L87,$H$7:$H$256,"NTIME")</f>
        <v>0</v>
      </c>
      <c r="Q87" s="24" t="n">
        <f aca="false">SUMIFS($I$7:$I$256,$B$7:$B$256,L87,$H$7:$H$256,"P6")</f>
        <v>0</v>
      </c>
      <c r="R87" s="24" t="n">
        <f aca="false">IF(N87="Overhead only",O87,IF(AND(N87="Working",P87+Q87&gt;0),MAX(0,O87-P87-Q87),0))</f>
        <v>0</v>
      </c>
      <c r="S87" s="24" t="n">
        <f aca="false">IF(OR(N87="Working",N87="Overhead only"),MAX(0,P87+Q87-O87),0)</f>
        <v>0</v>
      </c>
      <c r="T87" s="24" t="n">
        <f aca="false">P87+Q87+R87</f>
        <v>0</v>
      </c>
      <c r="U87" s="24" t="str">
        <f aca="true">IF(N87="Working",IF(P87+Q87=0,IF(L87&lt;=TODAY(),"Not logged",""),IF(P87+Q87&gt;O87,IF(AllowOT="Yes","Overtime","Over "&amp;O87&amp;" h!"),"✓")),IF(N87="Overhead only","✓ Overhead day",IF(P87+Q87&gt;0,"Entries on "&amp;LOWER(N87)&amp;" day",N87)))</f>
        <v>Not logged</v>
      </c>
      <c r="V87" s="1"/>
      <c r="W87" s="1" t="str">
        <f aca="false">IF(Projects!B85="","",Projects!B85)</f>
        <v/>
      </c>
      <c r="X87" s="1" t="n">
        <f aca="false">IF(W87="",0,SUMIFS($I$7:$I$256,$D$7:$D$256,W87,$H$7:$H$256,"NTIME"))</f>
        <v>0</v>
      </c>
      <c r="Y87" s="1" t="n">
        <f aca="false">IF(W87="",0,SUMIFS($I$7:$I$256,$D$7:$D$256,W87,$H$7:$H$256,"P6"))</f>
        <v>0</v>
      </c>
      <c r="Z87" s="1" t="n">
        <f aca="false">X87+Y87</f>
        <v>0</v>
      </c>
      <c r="AA87" s="1" t="n">
        <f aca="false">IF(Z87&gt;0,Z87+(201-81)/10^6,0)</f>
        <v>0</v>
      </c>
      <c r="AB87" s="1"/>
      <c r="AC87" s="1"/>
      <c r="AD87" s="1"/>
      <c r="AE87" s="1"/>
      <c r="AF87" s="1"/>
      <c r="AG87" s="1"/>
      <c r="AH87" s="1"/>
    </row>
    <row r="88" customFormat="false" ht="15" hidden="false" customHeight="false" outlineLevel="0" collapsed="false">
      <c r="A88" s="1"/>
      <c r="B88" s="10"/>
      <c r="C88" s="31" t="str">
        <f aca="false">IF(B88="","",TEXT(B88,"ddd"))</f>
        <v/>
      </c>
      <c r="D88" s="11"/>
      <c r="E88" s="8" t="str">
        <f aca="false">IF(D88="","",IFERROR(INDEX(ProjNumbers,MATCH(D88,ProjNames,0)),""))</f>
        <v/>
      </c>
      <c r="F88" s="8" t="str">
        <f aca="false">IF(D88="","",IFERROR(INDEX(ProjCodes,MATCH(D88,ProjNames,0)),""))</f>
        <v/>
      </c>
      <c r="G88" s="32"/>
      <c r="H88" s="11"/>
      <c r="I88" s="33"/>
      <c r="J88" s="8" t="str">
        <f aca="false">IF(COUNTA(B88,D88,G88,H88,I88)=0,"",IF(B88="","Enter date",IF(OR(B88&lt;$AC$2,B88&gt;$AC$3),"Date not in April",IF(D88="","Pick project",IF(ISNA(MATCH(D88,ProjNames,0)),"Project not in list",IF(G88="","Add task description",IF(H88="","Pick NTIME or P6",IF(N(I88)&lt;=0,"Enter hours",IF(AND(AllowOT&lt;&gt;"Yes",SUMIF($B$7:$B$256,B88,$I$7:$I$256)&gt;INDEX($O$58:$O$87,DAY(B88))),"Day over "&amp;INDEX($O$58:$O$87,DAY(B88))&amp;" h","✓")))))))))</f>
        <v/>
      </c>
      <c r="K88" s="1"/>
      <c r="L88" s="27" t="s">
        <v>84</v>
      </c>
      <c r="M88" s="27"/>
      <c r="N88" s="27"/>
      <c r="O88" s="27"/>
      <c r="P88" s="27" t="n">
        <f aca="false">SUM(P58:P87)</f>
        <v>0</v>
      </c>
      <c r="Q88" s="27" t="n">
        <f aca="false">SUM(Q58:Q87)</f>
        <v>0</v>
      </c>
      <c r="R88" s="27" t="n">
        <f aca="false">SUM(R58:R87)</f>
        <v>0</v>
      </c>
      <c r="S88" s="27" t="n">
        <f aca="false">SUM(S58:S87)</f>
        <v>0</v>
      </c>
      <c r="T88" s="27" t="n">
        <f aca="false">SUM(T58:T87)</f>
        <v>0</v>
      </c>
      <c r="U88" s="27"/>
      <c r="V88" s="1"/>
      <c r="W88" s="1" t="str">
        <f aca="false">IF(Projects!B86="","",Projects!B86)</f>
        <v/>
      </c>
      <c r="X88" s="1" t="n">
        <f aca="false">IF(W88="",0,SUMIFS($I$7:$I$256,$D$7:$D$256,W88,$H$7:$H$256,"NTIME"))</f>
        <v>0</v>
      </c>
      <c r="Y88" s="1" t="n">
        <f aca="false">IF(W88="",0,SUMIFS($I$7:$I$256,$D$7:$D$256,W88,$H$7:$H$256,"P6"))</f>
        <v>0</v>
      </c>
      <c r="Z88" s="1" t="n">
        <f aca="false">X88+Y88</f>
        <v>0</v>
      </c>
      <c r="AA88" s="1" t="n">
        <f aca="false">IF(Z88&gt;0,Z88+(201-82)/10^6,0)</f>
        <v>0</v>
      </c>
      <c r="AB88" s="1"/>
      <c r="AC88" s="1"/>
      <c r="AD88" s="1"/>
      <c r="AE88" s="1"/>
      <c r="AF88" s="1"/>
      <c r="AG88" s="1"/>
      <c r="AH88" s="1"/>
    </row>
    <row r="89" customFormat="false" ht="15" hidden="false" customHeight="false" outlineLevel="0" collapsed="false">
      <c r="A89" s="1"/>
      <c r="B89" s="10"/>
      <c r="C89" s="31" t="str">
        <f aca="false">IF(B89="","",TEXT(B89,"ddd"))</f>
        <v/>
      </c>
      <c r="D89" s="11"/>
      <c r="E89" s="8" t="str">
        <f aca="false">IF(D89="","",IFERROR(INDEX(ProjNumbers,MATCH(D89,ProjNames,0)),""))</f>
        <v/>
      </c>
      <c r="F89" s="8" t="str">
        <f aca="false">IF(D89="","",IFERROR(INDEX(ProjCodes,MATCH(D89,ProjNames,0)),""))</f>
        <v/>
      </c>
      <c r="G89" s="32"/>
      <c r="H89" s="11"/>
      <c r="I89" s="33"/>
      <c r="J89" s="8" t="str">
        <f aca="false">IF(COUNTA(B89,D89,G89,H89,I89)=0,"",IF(B89="","Enter date",IF(OR(B89&lt;$AC$2,B89&gt;$AC$3),"Date not in April",IF(D89="","Pick project",IF(ISNA(MATCH(D89,ProjNames,0)),"Project not in list",IF(G89="","Add task description",IF(H89="","Pick NTIME or P6",IF(N(I89)&lt;=0,"Enter hours",IF(AND(AllowOT&lt;&gt;"Yes",SUMIF($B$7:$B$256,B89,$I$7:$I$256)&gt;INDEX($O$58:$O$87,DAY(B89))),"Day over "&amp;INDEX($O$58:$O$87,DAY(B89))&amp;" h","✓")))))))))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 t="str">
        <f aca="false">IF(Projects!B87="","",Projects!B87)</f>
        <v/>
      </c>
      <c r="X89" s="1" t="n">
        <f aca="false">IF(W89="",0,SUMIFS($I$7:$I$256,$D$7:$D$256,W89,$H$7:$H$256,"NTIME"))</f>
        <v>0</v>
      </c>
      <c r="Y89" s="1" t="n">
        <f aca="false">IF(W89="",0,SUMIFS($I$7:$I$256,$D$7:$D$256,W89,$H$7:$H$256,"P6"))</f>
        <v>0</v>
      </c>
      <c r="Z89" s="1" t="n">
        <f aca="false">X89+Y89</f>
        <v>0</v>
      </c>
      <c r="AA89" s="1" t="n">
        <f aca="false">IF(Z89&gt;0,Z89+(201-83)/10^6,0)</f>
        <v>0</v>
      </c>
      <c r="AB89" s="1"/>
      <c r="AC89" s="1"/>
      <c r="AD89" s="1"/>
      <c r="AE89" s="1"/>
      <c r="AF89" s="1"/>
      <c r="AG89" s="1"/>
      <c r="AH89" s="1"/>
    </row>
    <row r="90" customFormat="false" ht="15" hidden="false" customHeight="false" outlineLevel="0" collapsed="false">
      <c r="A90" s="1"/>
      <c r="B90" s="10"/>
      <c r="C90" s="31" t="str">
        <f aca="false">IF(B90="","",TEXT(B90,"ddd"))</f>
        <v/>
      </c>
      <c r="D90" s="11"/>
      <c r="E90" s="8" t="str">
        <f aca="false">IF(D90="","",IFERROR(INDEX(ProjNumbers,MATCH(D90,ProjNames,0)),""))</f>
        <v/>
      </c>
      <c r="F90" s="8" t="str">
        <f aca="false">IF(D90="","",IFERROR(INDEX(ProjCodes,MATCH(D90,ProjNames,0)),""))</f>
        <v/>
      </c>
      <c r="G90" s="32"/>
      <c r="H90" s="11"/>
      <c r="I90" s="33"/>
      <c r="J90" s="8" t="str">
        <f aca="false">IF(COUNTA(B90,D90,G90,H90,I90)=0,"",IF(B90="","Enter date",IF(OR(B90&lt;$AC$2,B90&gt;$AC$3),"Date not in April",IF(D90="","Pick project",IF(ISNA(MATCH(D90,ProjNames,0)),"Project not in list",IF(G90="","Add task description",IF(H90="","Pick NTIME or P6",IF(N(I90)&lt;=0,"Enter hours",IF(AND(AllowOT&lt;&gt;"Yes",SUMIF($B$7:$B$256,B90,$I$7:$I$256)&gt;INDEX($O$58:$O$87,DAY(B90))),"Day over "&amp;INDEX($O$58:$O$87,DAY(B90))&amp;" h","✓")))))))))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tr">
        <f aca="false">IF(Projects!B88="","",Projects!B88)</f>
        <v/>
      </c>
      <c r="X90" s="1" t="n">
        <f aca="false">IF(W90="",0,SUMIFS($I$7:$I$256,$D$7:$D$256,W90,$H$7:$H$256,"NTIME"))</f>
        <v>0</v>
      </c>
      <c r="Y90" s="1" t="n">
        <f aca="false">IF(W90="",0,SUMIFS($I$7:$I$256,$D$7:$D$256,W90,$H$7:$H$256,"P6"))</f>
        <v>0</v>
      </c>
      <c r="Z90" s="1" t="n">
        <f aca="false">X90+Y90</f>
        <v>0</v>
      </c>
      <c r="AA90" s="1" t="n">
        <f aca="false">IF(Z90&gt;0,Z90+(201-84)/10^6,0)</f>
        <v>0</v>
      </c>
      <c r="AB90" s="1"/>
      <c r="AC90" s="1"/>
      <c r="AD90" s="1"/>
      <c r="AE90" s="1"/>
      <c r="AF90" s="1"/>
      <c r="AG90" s="1"/>
      <c r="AH90" s="1"/>
    </row>
    <row r="91" customFormat="false" ht="15" hidden="false" customHeight="false" outlineLevel="0" collapsed="false">
      <c r="A91" s="1"/>
      <c r="B91" s="10"/>
      <c r="C91" s="31" t="str">
        <f aca="false">IF(B91="","",TEXT(B91,"ddd"))</f>
        <v/>
      </c>
      <c r="D91" s="11"/>
      <c r="E91" s="8" t="str">
        <f aca="false">IF(D91="","",IFERROR(INDEX(ProjNumbers,MATCH(D91,ProjNames,0)),""))</f>
        <v/>
      </c>
      <c r="F91" s="8" t="str">
        <f aca="false">IF(D91="","",IFERROR(INDEX(ProjCodes,MATCH(D91,ProjNames,0)),""))</f>
        <v/>
      </c>
      <c r="G91" s="32"/>
      <c r="H91" s="11"/>
      <c r="I91" s="33"/>
      <c r="J91" s="8" t="str">
        <f aca="false">IF(COUNTA(B91,D91,G91,H91,I91)=0,"",IF(B91="","Enter date",IF(OR(B91&lt;$AC$2,B91&gt;$AC$3),"Date not in April",IF(D91="","Pick project",IF(ISNA(MATCH(D91,ProjNames,0)),"Project not in list",IF(G91="","Add task description",IF(H91="","Pick NTIME or P6",IF(N(I91)&lt;=0,"Enter hours",IF(AND(AllowOT&lt;&gt;"Yes",SUMIF($B$7:$B$256,B91,$I$7:$I$256)&gt;INDEX($O$58:$O$87,DAY(B91))),"Day over "&amp;INDEX($O$58:$O$87,DAY(B91))&amp;" h","✓")))))))))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tr">
        <f aca="false">IF(Projects!B89="","",Projects!B89)</f>
        <v/>
      </c>
      <c r="X91" s="1" t="n">
        <f aca="false">IF(W91="",0,SUMIFS($I$7:$I$256,$D$7:$D$256,W91,$H$7:$H$256,"NTIME"))</f>
        <v>0</v>
      </c>
      <c r="Y91" s="1" t="n">
        <f aca="false">IF(W91="",0,SUMIFS($I$7:$I$256,$D$7:$D$256,W91,$H$7:$H$256,"P6"))</f>
        <v>0</v>
      </c>
      <c r="Z91" s="1" t="n">
        <f aca="false">X91+Y91</f>
        <v>0</v>
      </c>
      <c r="AA91" s="1" t="n">
        <f aca="false">IF(Z91&gt;0,Z91+(201-85)/10^6,0)</f>
        <v>0</v>
      </c>
      <c r="AB91" s="1"/>
      <c r="AC91" s="1"/>
      <c r="AD91" s="1"/>
      <c r="AE91" s="1"/>
      <c r="AF91" s="1"/>
      <c r="AG91" s="1"/>
      <c r="AH91" s="1"/>
    </row>
    <row r="92" customFormat="false" ht="15" hidden="false" customHeight="false" outlineLevel="0" collapsed="false">
      <c r="A92" s="1"/>
      <c r="B92" s="10"/>
      <c r="C92" s="31" t="str">
        <f aca="false">IF(B92="","",TEXT(B92,"ddd"))</f>
        <v/>
      </c>
      <c r="D92" s="11"/>
      <c r="E92" s="8" t="str">
        <f aca="false">IF(D92="","",IFERROR(INDEX(ProjNumbers,MATCH(D92,ProjNames,0)),""))</f>
        <v/>
      </c>
      <c r="F92" s="8" t="str">
        <f aca="false">IF(D92="","",IFERROR(INDEX(ProjCodes,MATCH(D92,ProjNames,0)),""))</f>
        <v/>
      </c>
      <c r="G92" s="32"/>
      <c r="H92" s="11"/>
      <c r="I92" s="33"/>
      <c r="J92" s="8" t="str">
        <f aca="false">IF(COUNTA(B92,D92,G92,H92,I92)=0,"",IF(B92="","Enter date",IF(OR(B92&lt;$AC$2,B92&gt;$AC$3),"Date not in April",IF(D92="","Pick project",IF(ISNA(MATCH(D92,ProjNames,0)),"Project not in list",IF(G92="","Add task description",IF(H92="","Pick NTIME or P6",IF(N(I92)&lt;=0,"Enter hours",IF(AND(AllowOT&lt;&gt;"Yes",SUMIF($B$7:$B$256,B92,$I$7:$I$256)&gt;INDEX($O$58:$O$87,DAY(B92))),"Day over "&amp;INDEX($O$58:$O$87,DAY(B92))&amp;" h","✓")))))))))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tr">
        <f aca="false">IF(Projects!B90="","",Projects!B90)</f>
        <v/>
      </c>
      <c r="X92" s="1" t="n">
        <f aca="false">IF(W92="",0,SUMIFS($I$7:$I$256,$D$7:$D$256,W92,$H$7:$H$256,"NTIME"))</f>
        <v>0</v>
      </c>
      <c r="Y92" s="1" t="n">
        <f aca="false">IF(W92="",0,SUMIFS($I$7:$I$256,$D$7:$D$256,W92,$H$7:$H$256,"P6"))</f>
        <v>0</v>
      </c>
      <c r="Z92" s="1" t="n">
        <f aca="false">X92+Y92</f>
        <v>0</v>
      </c>
      <c r="AA92" s="1" t="n">
        <f aca="false">IF(Z92&gt;0,Z92+(201-86)/10^6,0)</f>
        <v>0</v>
      </c>
      <c r="AB92" s="1"/>
      <c r="AC92" s="1"/>
      <c r="AD92" s="1"/>
      <c r="AE92" s="1"/>
      <c r="AF92" s="1"/>
      <c r="AG92" s="1"/>
      <c r="AH92" s="1"/>
    </row>
    <row r="93" customFormat="false" ht="15" hidden="false" customHeight="false" outlineLevel="0" collapsed="false">
      <c r="A93" s="1"/>
      <c r="B93" s="10"/>
      <c r="C93" s="31" t="str">
        <f aca="false">IF(B93="","",TEXT(B93,"ddd"))</f>
        <v/>
      </c>
      <c r="D93" s="11"/>
      <c r="E93" s="8" t="str">
        <f aca="false">IF(D93="","",IFERROR(INDEX(ProjNumbers,MATCH(D93,ProjNames,0)),""))</f>
        <v/>
      </c>
      <c r="F93" s="8" t="str">
        <f aca="false">IF(D93="","",IFERROR(INDEX(ProjCodes,MATCH(D93,ProjNames,0)),""))</f>
        <v/>
      </c>
      <c r="G93" s="32"/>
      <c r="H93" s="11"/>
      <c r="I93" s="33"/>
      <c r="J93" s="8" t="str">
        <f aca="false">IF(COUNTA(B93,D93,G93,H93,I93)=0,"",IF(B93="","Enter date",IF(OR(B93&lt;$AC$2,B93&gt;$AC$3),"Date not in April",IF(D93="","Pick project",IF(ISNA(MATCH(D93,ProjNames,0)),"Project not in list",IF(G93="","Add task description",IF(H93="","Pick NTIME or P6",IF(N(I93)&lt;=0,"Enter hours",IF(AND(AllowOT&lt;&gt;"Yes",SUMIF($B$7:$B$256,B93,$I$7:$I$256)&gt;INDEX($O$58:$O$87,DAY(B93))),"Day over "&amp;INDEX($O$58:$O$87,DAY(B93))&amp;" h","✓")))))))))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tr">
        <f aca="false">IF(Projects!B91="","",Projects!B91)</f>
        <v/>
      </c>
      <c r="X93" s="1" t="n">
        <f aca="false">IF(W93="",0,SUMIFS($I$7:$I$256,$D$7:$D$256,W93,$H$7:$H$256,"NTIME"))</f>
        <v>0</v>
      </c>
      <c r="Y93" s="1" t="n">
        <f aca="false">IF(W93="",0,SUMIFS($I$7:$I$256,$D$7:$D$256,W93,$H$7:$H$256,"P6"))</f>
        <v>0</v>
      </c>
      <c r="Z93" s="1" t="n">
        <f aca="false">X93+Y93</f>
        <v>0</v>
      </c>
      <c r="AA93" s="1" t="n">
        <f aca="false">IF(Z93&gt;0,Z93+(201-87)/10^6,0)</f>
        <v>0</v>
      </c>
      <c r="AB93" s="1"/>
      <c r="AC93" s="1"/>
      <c r="AD93" s="1"/>
      <c r="AE93" s="1"/>
      <c r="AF93" s="1"/>
      <c r="AG93" s="1"/>
      <c r="AH93" s="1"/>
    </row>
    <row r="94" customFormat="false" ht="15" hidden="false" customHeight="false" outlineLevel="0" collapsed="false">
      <c r="A94" s="1"/>
      <c r="B94" s="10"/>
      <c r="C94" s="31" t="str">
        <f aca="false">IF(B94="","",TEXT(B94,"ddd"))</f>
        <v/>
      </c>
      <c r="D94" s="11"/>
      <c r="E94" s="8" t="str">
        <f aca="false">IF(D94="","",IFERROR(INDEX(ProjNumbers,MATCH(D94,ProjNames,0)),""))</f>
        <v/>
      </c>
      <c r="F94" s="8" t="str">
        <f aca="false">IF(D94="","",IFERROR(INDEX(ProjCodes,MATCH(D94,ProjNames,0)),""))</f>
        <v/>
      </c>
      <c r="G94" s="32"/>
      <c r="H94" s="11"/>
      <c r="I94" s="33"/>
      <c r="J94" s="8" t="str">
        <f aca="false">IF(COUNTA(B94,D94,G94,H94,I94)=0,"",IF(B94="","Enter date",IF(OR(B94&lt;$AC$2,B94&gt;$AC$3),"Date not in April",IF(D94="","Pick project",IF(ISNA(MATCH(D94,ProjNames,0)),"Project not in list",IF(G94="","Add task description",IF(H94="","Pick NTIME or P6",IF(N(I94)&lt;=0,"Enter hours",IF(AND(AllowOT&lt;&gt;"Yes",SUMIF($B$7:$B$256,B94,$I$7:$I$256)&gt;INDEX($O$58:$O$87,DAY(B94))),"Day over "&amp;INDEX($O$58:$O$87,DAY(B94))&amp;" h","✓")))))))))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tr">
        <f aca="false">IF(Projects!B92="","",Projects!B92)</f>
        <v/>
      </c>
      <c r="X94" s="1" t="n">
        <f aca="false">IF(W94="",0,SUMIFS($I$7:$I$256,$D$7:$D$256,W94,$H$7:$H$256,"NTIME"))</f>
        <v>0</v>
      </c>
      <c r="Y94" s="1" t="n">
        <f aca="false">IF(W94="",0,SUMIFS($I$7:$I$256,$D$7:$D$256,W94,$H$7:$H$256,"P6"))</f>
        <v>0</v>
      </c>
      <c r="Z94" s="1" t="n">
        <f aca="false">X94+Y94</f>
        <v>0</v>
      </c>
      <c r="AA94" s="1" t="n">
        <f aca="false">IF(Z94&gt;0,Z94+(201-88)/10^6,0)</f>
        <v>0</v>
      </c>
      <c r="AB94" s="1"/>
      <c r="AC94" s="1"/>
      <c r="AD94" s="1"/>
      <c r="AE94" s="1"/>
      <c r="AF94" s="1"/>
      <c r="AG94" s="1"/>
      <c r="AH94" s="1"/>
    </row>
    <row r="95" customFormat="false" ht="15" hidden="false" customHeight="false" outlineLevel="0" collapsed="false">
      <c r="A95" s="1"/>
      <c r="B95" s="10"/>
      <c r="C95" s="31" t="str">
        <f aca="false">IF(B95="","",TEXT(B95,"ddd"))</f>
        <v/>
      </c>
      <c r="D95" s="11"/>
      <c r="E95" s="8" t="str">
        <f aca="false">IF(D95="","",IFERROR(INDEX(ProjNumbers,MATCH(D95,ProjNames,0)),""))</f>
        <v/>
      </c>
      <c r="F95" s="8" t="str">
        <f aca="false">IF(D95="","",IFERROR(INDEX(ProjCodes,MATCH(D95,ProjNames,0)),""))</f>
        <v/>
      </c>
      <c r="G95" s="32"/>
      <c r="H95" s="11"/>
      <c r="I95" s="33"/>
      <c r="J95" s="8" t="str">
        <f aca="false">IF(COUNTA(B95,D95,G95,H95,I95)=0,"",IF(B95="","Enter date",IF(OR(B95&lt;$AC$2,B95&gt;$AC$3),"Date not in April",IF(D95="","Pick project",IF(ISNA(MATCH(D95,ProjNames,0)),"Project not in list",IF(G95="","Add task description",IF(H95="","Pick NTIME or P6",IF(N(I95)&lt;=0,"Enter hours",IF(AND(AllowOT&lt;&gt;"Yes",SUMIF($B$7:$B$256,B95,$I$7:$I$256)&gt;INDEX($O$58:$O$87,DAY(B95))),"Day over "&amp;INDEX($O$58:$O$87,DAY(B95))&amp;" h","✓")))))))))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tr">
        <f aca="false">IF(Projects!B93="","",Projects!B93)</f>
        <v/>
      </c>
      <c r="X95" s="1" t="n">
        <f aca="false">IF(W95="",0,SUMIFS($I$7:$I$256,$D$7:$D$256,W95,$H$7:$H$256,"NTIME"))</f>
        <v>0</v>
      </c>
      <c r="Y95" s="1" t="n">
        <f aca="false">IF(W95="",0,SUMIFS($I$7:$I$256,$D$7:$D$256,W95,$H$7:$H$256,"P6"))</f>
        <v>0</v>
      </c>
      <c r="Z95" s="1" t="n">
        <f aca="false">X95+Y95</f>
        <v>0</v>
      </c>
      <c r="AA95" s="1" t="n">
        <f aca="false">IF(Z95&gt;0,Z95+(201-89)/10^6,0)</f>
        <v>0</v>
      </c>
      <c r="AB95" s="1"/>
      <c r="AC95" s="1"/>
      <c r="AD95" s="1"/>
      <c r="AE95" s="1"/>
      <c r="AF95" s="1"/>
      <c r="AG95" s="1"/>
      <c r="AH95" s="1"/>
    </row>
    <row r="96" customFormat="false" ht="15" hidden="false" customHeight="false" outlineLevel="0" collapsed="false">
      <c r="A96" s="1"/>
      <c r="B96" s="10"/>
      <c r="C96" s="31" t="str">
        <f aca="false">IF(B96="","",TEXT(B96,"ddd"))</f>
        <v/>
      </c>
      <c r="D96" s="11"/>
      <c r="E96" s="8" t="str">
        <f aca="false">IF(D96="","",IFERROR(INDEX(ProjNumbers,MATCH(D96,ProjNames,0)),""))</f>
        <v/>
      </c>
      <c r="F96" s="8" t="str">
        <f aca="false">IF(D96="","",IFERROR(INDEX(ProjCodes,MATCH(D96,ProjNames,0)),""))</f>
        <v/>
      </c>
      <c r="G96" s="32"/>
      <c r="H96" s="11"/>
      <c r="I96" s="33"/>
      <c r="J96" s="8" t="str">
        <f aca="false">IF(COUNTA(B96,D96,G96,H96,I96)=0,"",IF(B96="","Enter date",IF(OR(B96&lt;$AC$2,B96&gt;$AC$3),"Date not in April",IF(D96="","Pick project",IF(ISNA(MATCH(D96,ProjNames,0)),"Project not in list",IF(G96="","Add task description",IF(H96="","Pick NTIME or P6",IF(N(I96)&lt;=0,"Enter hours",IF(AND(AllowOT&lt;&gt;"Yes",SUMIF($B$7:$B$256,B96,$I$7:$I$256)&gt;INDEX($O$58:$O$87,DAY(B96))),"Day over "&amp;INDEX($O$58:$O$87,DAY(B96))&amp;" h","✓")))))))))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tr">
        <f aca="false">IF(Projects!B94="","",Projects!B94)</f>
        <v/>
      </c>
      <c r="X96" s="1" t="n">
        <f aca="false">IF(W96="",0,SUMIFS($I$7:$I$256,$D$7:$D$256,W96,$H$7:$H$256,"NTIME"))</f>
        <v>0</v>
      </c>
      <c r="Y96" s="1" t="n">
        <f aca="false">IF(W96="",0,SUMIFS($I$7:$I$256,$D$7:$D$256,W96,$H$7:$H$256,"P6"))</f>
        <v>0</v>
      </c>
      <c r="Z96" s="1" t="n">
        <f aca="false">X96+Y96</f>
        <v>0</v>
      </c>
      <c r="AA96" s="1" t="n">
        <f aca="false">IF(Z96&gt;0,Z96+(201-90)/10^6,0)</f>
        <v>0</v>
      </c>
      <c r="AB96" s="1"/>
      <c r="AC96" s="1"/>
      <c r="AD96" s="1"/>
      <c r="AE96" s="1"/>
      <c r="AF96" s="1"/>
      <c r="AG96" s="1"/>
      <c r="AH96" s="1"/>
    </row>
    <row r="97" customFormat="false" ht="15" hidden="false" customHeight="false" outlineLevel="0" collapsed="false">
      <c r="A97" s="1"/>
      <c r="B97" s="10"/>
      <c r="C97" s="31" t="str">
        <f aca="false">IF(B97="","",TEXT(B97,"ddd"))</f>
        <v/>
      </c>
      <c r="D97" s="11"/>
      <c r="E97" s="8" t="str">
        <f aca="false">IF(D97="","",IFERROR(INDEX(ProjNumbers,MATCH(D97,ProjNames,0)),""))</f>
        <v/>
      </c>
      <c r="F97" s="8" t="str">
        <f aca="false">IF(D97="","",IFERROR(INDEX(ProjCodes,MATCH(D97,ProjNames,0)),""))</f>
        <v/>
      </c>
      <c r="G97" s="32"/>
      <c r="H97" s="11"/>
      <c r="I97" s="33"/>
      <c r="J97" s="8" t="str">
        <f aca="false">IF(COUNTA(B97,D97,G97,H97,I97)=0,"",IF(B97="","Enter date",IF(OR(B97&lt;$AC$2,B97&gt;$AC$3),"Date not in April",IF(D97="","Pick project",IF(ISNA(MATCH(D97,ProjNames,0)),"Project not in list",IF(G97="","Add task description",IF(H97="","Pick NTIME or P6",IF(N(I97)&lt;=0,"Enter hours",IF(AND(AllowOT&lt;&gt;"Yes",SUMIF($B$7:$B$256,B97,$I$7:$I$256)&gt;INDEX($O$58:$O$87,DAY(B97))),"Day over "&amp;INDEX($O$58:$O$87,DAY(B97))&amp;" h","✓")))))))))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tr">
        <f aca="false">IF(Projects!B95="","",Projects!B95)</f>
        <v/>
      </c>
      <c r="X97" s="1" t="n">
        <f aca="false">IF(W97="",0,SUMIFS($I$7:$I$256,$D$7:$D$256,W97,$H$7:$H$256,"NTIME"))</f>
        <v>0</v>
      </c>
      <c r="Y97" s="1" t="n">
        <f aca="false">IF(W97="",0,SUMIFS($I$7:$I$256,$D$7:$D$256,W97,$H$7:$H$256,"P6"))</f>
        <v>0</v>
      </c>
      <c r="Z97" s="1" t="n">
        <f aca="false">X97+Y97</f>
        <v>0</v>
      </c>
      <c r="AA97" s="1" t="n">
        <f aca="false">IF(Z97&gt;0,Z97+(201-91)/10^6,0)</f>
        <v>0</v>
      </c>
      <c r="AB97" s="1"/>
      <c r="AC97" s="1"/>
      <c r="AD97" s="1"/>
      <c r="AE97" s="1"/>
      <c r="AF97" s="1"/>
      <c r="AG97" s="1"/>
      <c r="AH97" s="1"/>
    </row>
    <row r="98" customFormat="false" ht="15" hidden="false" customHeight="false" outlineLevel="0" collapsed="false">
      <c r="A98" s="1"/>
      <c r="B98" s="10"/>
      <c r="C98" s="31" t="str">
        <f aca="false">IF(B98="","",TEXT(B98,"ddd"))</f>
        <v/>
      </c>
      <c r="D98" s="11"/>
      <c r="E98" s="8" t="str">
        <f aca="false">IF(D98="","",IFERROR(INDEX(ProjNumbers,MATCH(D98,ProjNames,0)),""))</f>
        <v/>
      </c>
      <c r="F98" s="8" t="str">
        <f aca="false">IF(D98="","",IFERROR(INDEX(ProjCodes,MATCH(D98,ProjNames,0)),""))</f>
        <v/>
      </c>
      <c r="G98" s="32"/>
      <c r="H98" s="11"/>
      <c r="I98" s="33"/>
      <c r="J98" s="8" t="str">
        <f aca="false">IF(COUNTA(B98,D98,G98,H98,I98)=0,"",IF(B98="","Enter date",IF(OR(B98&lt;$AC$2,B98&gt;$AC$3),"Date not in April",IF(D98="","Pick project",IF(ISNA(MATCH(D98,ProjNames,0)),"Project not in list",IF(G98="","Add task description",IF(H98="","Pick NTIME or P6",IF(N(I98)&lt;=0,"Enter hours",IF(AND(AllowOT&lt;&gt;"Yes",SUMIF($B$7:$B$256,B98,$I$7:$I$256)&gt;INDEX($O$58:$O$87,DAY(B98))),"Day over "&amp;INDEX($O$58:$O$87,DAY(B98))&amp;" h","✓")))))))))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tr">
        <f aca="false">IF(Projects!B96="","",Projects!B96)</f>
        <v/>
      </c>
      <c r="X98" s="1" t="n">
        <f aca="false">IF(W98="",0,SUMIFS($I$7:$I$256,$D$7:$D$256,W98,$H$7:$H$256,"NTIME"))</f>
        <v>0</v>
      </c>
      <c r="Y98" s="1" t="n">
        <f aca="false">IF(W98="",0,SUMIFS($I$7:$I$256,$D$7:$D$256,W98,$H$7:$H$256,"P6"))</f>
        <v>0</v>
      </c>
      <c r="Z98" s="1" t="n">
        <f aca="false">X98+Y98</f>
        <v>0</v>
      </c>
      <c r="AA98" s="1" t="n">
        <f aca="false">IF(Z98&gt;0,Z98+(201-92)/10^6,0)</f>
        <v>0</v>
      </c>
      <c r="AB98" s="1"/>
      <c r="AC98" s="1"/>
      <c r="AD98" s="1"/>
      <c r="AE98" s="1"/>
      <c r="AF98" s="1"/>
      <c r="AG98" s="1"/>
      <c r="AH98" s="1"/>
    </row>
    <row r="99" customFormat="false" ht="15" hidden="false" customHeight="false" outlineLevel="0" collapsed="false">
      <c r="A99" s="1"/>
      <c r="B99" s="10"/>
      <c r="C99" s="31" t="str">
        <f aca="false">IF(B99="","",TEXT(B99,"ddd"))</f>
        <v/>
      </c>
      <c r="D99" s="11"/>
      <c r="E99" s="8" t="str">
        <f aca="false">IF(D99="","",IFERROR(INDEX(ProjNumbers,MATCH(D99,ProjNames,0)),""))</f>
        <v/>
      </c>
      <c r="F99" s="8" t="str">
        <f aca="false">IF(D99="","",IFERROR(INDEX(ProjCodes,MATCH(D99,ProjNames,0)),""))</f>
        <v/>
      </c>
      <c r="G99" s="32"/>
      <c r="H99" s="11"/>
      <c r="I99" s="33"/>
      <c r="J99" s="8" t="str">
        <f aca="false">IF(COUNTA(B99,D99,G99,H99,I99)=0,"",IF(B99="","Enter date",IF(OR(B99&lt;$AC$2,B99&gt;$AC$3),"Date not in April",IF(D99="","Pick project",IF(ISNA(MATCH(D99,ProjNames,0)),"Project not in list",IF(G99="","Add task description",IF(H99="","Pick NTIME or P6",IF(N(I99)&lt;=0,"Enter hours",IF(AND(AllowOT&lt;&gt;"Yes",SUMIF($B$7:$B$256,B99,$I$7:$I$256)&gt;INDEX($O$58:$O$87,DAY(B99))),"Day over "&amp;INDEX($O$58:$O$87,DAY(B99))&amp;" h","✓")))))))))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tr">
        <f aca="false">IF(Projects!B97="","",Projects!B97)</f>
        <v/>
      </c>
      <c r="X99" s="1" t="n">
        <f aca="false">IF(W99="",0,SUMIFS($I$7:$I$256,$D$7:$D$256,W99,$H$7:$H$256,"NTIME"))</f>
        <v>0</v>
      </c>
      <c r="Y99" s="1" t="n">
        <f aca="false">IF(W99="",0,SUMIFS($I$7:$I$256,$D$7:$D$256,W99,$H$7:$H$256,"P6"))</f>
        <v>0</v>
      </c>
      <c r="Z99" s="1" t="n">
        <f aca="false">X99+Y99</f>
        <v>0</v>
      </c>
      <c r="AA99" s="1" t="n">
        <f aca="false">IF(Z99&gt;0,Z99+(201-93)/10^6,0)</f>
        <v>0</v>
      </c>
      <c r="AB99" s="1"/>
      <c r="AC99" s="1"/>
      <c r="AD99" s="1"/>
      <c r="AE99" s="1"/>
      <c r="AF99" s="1"/>
      <c r="AG99" s="1"/>
      <c r="AH99" s="1"/>
    </row>
    <row r="100" customFormat="false" ht="15" hidden="false" customHeight="false" outlineLevel="0" collapsed="false">
      <c r="A100" s="1"/>
      <c r="B100" s="10"/>
      <c r="C100" s="31" t="str">
        <f aca="false">IF(B100="","",TEXT(B100,"ddd"))</f>
        <v/>
      </c>
      <c r="D100" s="11"/>
      <c r="E100" s="8" t="str">
        <f aca="false">IF(D100="","",IFERROR(INDEX(ProjNumbers,MATCH(D100,ProjNames,0)),""))</f>
        <v/>
      </c>
      <c r="F100" s="8" t="str">
        <f aca="false">IF(D100="","",IFERROR(INDEX(ProjCodes,MATCH(D100,ProjNames,0)),""))</f>
        <v/>
      </c>
      <c r="G100" s="32"/>
      <c r="H100" s="11"/>
      <c r="I100" s="33"/>
      <c r="J100" s="8" t="str">
        <f aca="false">IF(COUNTA(B100,D100,G100,H100,I100)=0,"",IF(B100="","Enter date",IF(OR(B100&lt;$AC$2,B100&gt;$AC$3),"Date not in April",IF(D100="","Pick project",IF(ISNA(MATCH(D100,ProjNames,0)),"Project not in list",IF(G100="","Add task description",IF(H100="","Pick NTIME or P6",IF(N(I100)&lt;=0,"Enter hours",IF(AND(AllowOT&lt;&gt;"Yes",SUMIF($B$7:$B$256,B100,$I$7:$I$256)&gt;INDEX($O$58:$O$87,DAY(B100))),"Day over "&amp;INDEX($O$58:$O$87,DAY(B100))&amp;" h","✓")))))))))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tr">
        <f aca="false">IF(Projects!B98="","",Projects!B98)</f>
        <v/>
      </c>
      <c r="X100" s="1" t="n">
        <f aca="false">IF(W100="",0,SUMIFS($I$7:$I$256,$D$7:$D$256,W100,$H$7:$H$256,"NTIME"))</f>
        <v>0</v>
      </c>
      <c r="Y100" s="1" t="n">
        <f aca="false">IF(W100="",0,SUMIFS($I$7:$I$256,$D$7:$D$256,W100,$H$7:$H$256,"P6"))</f>
        <v>0</v>
      </c>
      <c r="Z100" s="1" t="n">
        <f aca="false">X100+Y100</f>
        <v>0</v>
      </c>
      <c r="AA100" s="1" t="n">
        <f aca="false">IF(Z100&gt;0,Z100+(201-94)/10^6,0)</f>
        <v>0</v>
      </c>
      <c r="AB100" s="1"/>
      <c r="AC100" s="1"/>
      <c r="AD100" s="1"/>
      <c r="AE100" s="1"/>
      <c r="AF100" s="1"/>
      <c r="AG100" s="1"/>
      <c r="AH100" s="1"/>
    </row>
    <row r="101" customFormat="false" ht="15" hidden="false" customHeight="false" outlineLevel="0" collapsed="false">
      <c r="A101" s="1"/>
      <c r="B101" s="10"/>
      <c r="C101" s="31" t="str">
        <f aca="false">IF(B101="","",TEXT(B101,"ddd"))</f>
        <v/>
      </c>
      <c r="D101" s="11"/>
      <c r="E101" s="8" t="str">
        <f aca="false">IF(D101="","",IFERROR(INDEX(ProjNumbers,MATCH(D101,ProjNames,0)),""))</f>
        <v/>
      </c>
      <c r="F101" s="8" t="str">
        <f aca="false">IF(D101="","",IFERROR(INDEX(ProjCodes,MATCH(D101,ProjNames,0)),""))</f>
        <v/>
      </c>
      <c r="G101" s="32"/>
      <c r="H101" s="11"/>
      <c r="I101" s="33"/>
      <c r="J101" s="8" t="str">
        <f aca="false">IF(COUNTA(B101,D101,G101,H101,I101)=0,"",IF(B101="","Enter date",IF(OR(B101&lt;$AC$2,B101&gt;$AC$3),"Date not in April",IF(D101="","Pick project",IF(ISNA(MATCH(D101,ProjNames,0)),"Project not in list",IF(G101="","Add task description",IF(H101="","Pick NTIME or P6",IF(N(I101)&lt;=0,"Enter hours",IF(AND(AllowOT&lt;&gt;"Yes",SUMIF($B$7:$B$256,B101,$I$7:$I$256)&gt;INDEX($O$58:$O$87,DAY(B101))),"Day over "&amp;INDEX($O$58:$O$87,DAY(B101))&amp;" h","✓")))))))))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aca="false">IF(Projects!B99="","",Projects!B99)</f>
        <v/>
      </c>
      <c r="X101" s="1" t="n">
        <f aca="false">IF(W101="",0,SUMIFS($I$7:$I$256,$D$7:$D$256,W101,$H$7:$H$256,"NTIME"))</f>
        <v>0</v>
      </c>
      <c r="Y101" s="1" t="n">
        <f aca="false">IF(W101="",0,SUMIFS($I$7:$I$256,$D$7:$D$256,W101,$H$7:$H$256,"P6"))</f>
        <v>0</v>
      </c>
      <c r="Z101" s="1" t="n">
        <f aca="false">X101+Y101</f>
        <v>0</v>
      </c>
      <c r="AA101" s="1" t="n">
        <f aca="false">IF(Z101&gt;0,Z101+(201-95)/10^6,0)</f>
        <v>0</v>
      </c>
      <c r="AB101" s="1"/>
      <c r="AC101" s="1"/>
      <c r="AD101" s="1"/>
      <c r="AE101" s="1"/>
      <c r="AF101" s="1"/>
      <c r="AG101" s="1"/>
      <c r="AH101" s="1"/>
    </row>
    <row r="102" customFormat="false" ht="15" hidden="false" customHeight="false" outlineLevel="0" collapsed="false">
      <c r="A102" s="1"/>
      <c r="B102" s="10"/>
      <c r="C102" s="31" t="str">
        <f aca="false">IF(B102="","",TEXT(B102,"ddd"))</f>
        <v/>
      </c>
      <c r="D102" s="11"/>
      <c r="E102" s="8" t="str">
        <f aca="false">IF(D102="","",IFERROR(INDEX(ProjNumbers,MATCH(D102,ProjNames,0)),""))</f>
        <v/>
      </c>
      <c r="F102" s="8" t="str">
        <f aca="false">IF(D102="","",IFERROR(INDEX(ProjCodes,MATCH(D102,ProjNames,0)),""))</f>
        <v/>
      </c>
      <c r="G102" s="32"/>
      <c r="H102" s="11"/>
      <c r="I102" s="33"/>
      <c r="J102" s="8" t="str">
        <f aca="false">IF(COUNTA(B102,D102,G102,H102,I102)=0,"",IF(B102="","Enter date",IF(OR(B102&lt;$AC$2,B102&gt;$AC$3),"Date not in April",IF(D102="","Pick project",IF(ISNA(MATCH(D102,ProjNames,0)),"Project not in list",IF(G102="","Add task description",IF(H102="","Pick NTIME or P6",IF(N(I102)&lt;=0,"Enter hours",IF(AND(AllowOT&lt;&gt;"Yes",SUMIF($B$7:$B$256,B102,$I$7:$I$256)&gt;INDEX($O$58:$O$87,DAY(B102))),"Day over "&amp;INDEX($O$58:$O$87,DAY(B102))&amp;" h","✓")))))))))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tr">
        <f aca="false">IF(Projects!B100="","",Projects!B100)</f>
        <v/>
      </c>
      <c r="X102" s="1" t="n">
        <f aca="false">IF(W102="",0,SUMIFS($I$7:$I$256,$D$7:$D$256,W102,$H$7:$H$256,"NTIME"))</f>
        <v>0</v>
      </c>
      <c r="Y102" s="1" t="n">
        <f aca="false">IF(W102="",0,SUMIFS($I$7:$I$256,$D$7:$D$256,W102,$H$7:$H$256,"P6"))</f>
        <v>0</v>
      </c>
      <c r="Z102" s="1" t="n">
        <f aca="false">X102+Y102</f>
        <v>0</v>
      </c>
      <c r="AA102" s="1" t="n">
        <f aca="false">IF(Z102&gt;0,Z102+(201-96)/10^6,0)</f>
        <v>0</v>
      </c>
      <c r="AB102" s="1"/>
      <c r="AC102" s="1"/>
      <c r="AD102" s="1"/>
      <c r="AE102" s="1"/>
      <c r="AF102" s="1"/>
      <c r="AG102" s="1"/>
      <c r="AH102" s="1"/>
    </row>
    <row r="103" customFormat="false" ht="15" hidden="false" customHeight="false" outlineLevel="0" collapsed="false">
      <c r="A103" s="1"/>
      <c r="B103" s="10"/>
      <c r="C103" s="31" t="str">
        <f aca="false">IF(B103="","",TEXT(B103,"ddd"))</f>
        <v/>
      </c>
      <c r="D103" s="11"/>
      <c r="E103" s="8" t="str">
        <f aca="false">IF(D103="","",IFERROR(INDEX(ProjNumbers,MATCH(D103,ProjNames,0)),""))</f>
        <v/>
      </c>
      <c r="F103" s="8" t="str">
        <f aca="false">IF(D103="","",IFERROR(INDEX(ProjCodes,MATCH(D103,ProjNames,0)),""))</f>
        <v/>
      </c>
      <c r="G103" s="32"/>
      <c r="H103" s="11"/>
      <c r="I103" s="33"/>
      <c r="J103" s="8" t="str">
        <f aca="false">IF(COUNTA(B103,D103,G103,H103,I103)=0,"",IF(B103="","Enter date",IF(OR(B103&lt;$AC$2,B103&gt;$AC$3),"Date not in April",IF(D103="","Pick project",IF(ISNA(MATCH(D103,ProjNames,0)),"Project not in list",IF(G103="","Add task description",IF(H103="","Pick NTIME or P6",IF(N(I103)&lt;=0,"Enter hours",IF(AND(AllowOT&lt;&gt;"Yes",SUMIF($B$7:$B$256,B103,$I$7:$I$256)&gt;INDEX($O$58:$O$87,DAY(B103))),"Day over "&amp;INDEX($O$58:$O$87,DAY(B103))&amp;" h","✓")))))))))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tr">
        <f aca="false">IF(Projects!B101="","",Projects!B101)</f>
        <v/>
      </c>
      <c r="X103" s="1" t="n">
        <f aca="false">IF(W103="",0,SUMIFS($I$7:$I$256,$D$7:$D$256,W103,$H$7:$H$256,"NTIME"))</f>
        <v>0</v>
      </c>
      <c r="Y103" s="1" t="n">
        <f aca="false">IF(W103="",0,SUMIFS($I$7:$I$256,$D$7:$D$256,W103,$H$7:$H$256,"P6"))</f>
        <v>0</v>
      </c>
      <c r="Z103" s="1" t="n">
        <f aca="false">X103+Y103</f>
        <v>0</v>
      </c>
      <c r="AA103" s="1" t="n">
        <f aca="false">IF(Z103&gt;0,Z103+(201-97)/10^6,0)</f>
        <v>0</v>
      </c>
      <c r="AB103" s="1"/>
      <c r="AC103" s="1"/>
      <c r="AD103" s="1"/>
      <c r="AE103" s="1"/>
      <c r="AF103" s="1"/>
      <c r="AG103" s="1"/>
      <c r="AH103" s="1"/>
    </row>
    <row r="104" customFormat="false" ht="15" hidden="false" customHeight="false" outlineLevel="0" collapsed="false">
      <c r="A104" s="1"/>
      <c r="B104" s="10"/>
      <c r="C104" s="31" t="str">
        <f aca="false">IF(B104="","",TEXT(B104,"ddd"))</f>
        <v/>
      </c>
      <c r="D104" s="11"/>
      <c r="E104" s="8" t="str">
        <f aca="false">IF(D104="","",IFERROR(INDEX(ProjNumbers,MATCH(D104,ProjNames,0)),""))</f>
        <v/>
      </c>
      <c r="F104" s="8" t="str">
        <f aca="false">IF(D104="","",IFERROR(INDEX(ProjCodes,MATCH(D104,ProjNames,0)),""))</f>
        <v/>
      </c>
      <c r="G104" s="32"/>
      <c r="H104" s="11"/>
      <c r="I104" s="33"/>
      <c r="J104" s="8" t="str">
        <f aca="false">IF(COUNTA(B104,D104,G104,H104,I104)=0,"",IF(B104="","Enter date",IF(OR(B104&lt;$AC$2,B104&gt;$AC$3),"Date not in April",IF(D104="","Pick project",IF(ISNA(MATCH(D104,ProjNames,0)),"Project not in list",IF(G104="","Add task description",IF(H104="","Pick NTIME or P6",IF(N(I104)&lt;=0,"Enter hours",IF(AND(AllowOT&lt;&gt;"Yes",SUMIF($B$7:$B$256,B104,$I$7:$I$256)&gt;INDEX($O$58:$O$87,DAY(B104))),"Day over "&amp;INDEX($O$58:$O$87,DAY(B104))&amp;" h","✓")))))))))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tr">
        <f aca="false">IF(Projects!B102="","",Projects!B102)</f>
        <v/>
      </c>
      <c r="X104" s="1" t="n">
        <f aca="false">IF(W104="",0,SUMIFS($I$7:$I$256,$D$7:$D$256,W104,$H$7:$H$256,"NTIME"))</f>
        <v>0</v>
      </c>
      <c r="Y104" s="1" t="n">
        <f aca="false">IF(W104="",0,SUMIFS($I$7:$I$256,$D$7:$D$256,W104,$H$7:$H$256,"P6"))</f>
        <v>0</v>
      </c>
      <c r="Z104" s="1" t="n">
        <f aca="false">X104+Y104</f>
        <v>0</v>
      </c>
      <c r="AA104" s="1" t="n">
        <f aca="false">IF(Z104&gt;0,Z104+(201-98)/10^6,0)</f>
        <v>0</v>
      </c>
      <c r="AB104" s="1"/>
      <c r="AC104" s="1"/>
      <c r="AD104" s="1"/>
      <c r="AE104" s="1"/>
      <c r="AF104" s="1"/>
      <c r="AG104" s="1"/>
      <c r="AH104" s="1"/>
    </row>
    <row r="105" customFormat="false" ht="15" hidden="false" customHeight="false" outlineLevel="0" collapsed="false">
      <c r="A105" s="1"/>
      <c r="B105" s="10"/>
      <c r="C105" s="31" t="str">
        <f aca="false">IF(B105="","",TEXT(B105,"ddd"))</f>
        <v/>
      </c>
      <c r="D105" s="11"/>
      <c r="E105" s="8" t="str">
        <f aca="false">IF(D105="","",IFERROR(INDEX(ProjNumbers,MATCH(D105,ProjNames,0)),""))</f>
        <v/>
      </c>
      <c r="F105" s="8" t="str">
        <f aca="false">IF(D105="","",IFERROR(INDEX(ProjCodes,MATCH(D105,ProjNames,0)),""))</f>
        <v/>
      </c>
      <c r="G105" s="32"/>
      <c r="H105" s="11"/>
      <c r="I105" s="33"/>
      <c r="J105" s="8" t="str">
        <f aca="false">IF(COUNTA(B105,D105,G105,H105,I105)=0,"",IF(B105="","Enter date",IF(OR(B105&lt;$AC$2,B105&gt;$AC$3),"Date not in April",IF(D105="","Pick project",IF(ISNA(MATCH(D105,ProjNames,0)),"Project not in list",IF(G105="","Add task description",IF(H105="","Pick NTIME or P6",IF(N(I105)&lt;=0,"Enter hours",IF(AND(AllowOT&lt;&gt;"Yes",SUMIF($B$7:$B$256,B105,$I$7:$I$256)&gt;INDEX($O$58:$O$87,DAY(B105))),"Day over "&amp;INDEX($O$58:$O$87,DAY(B105))&amp;" h","✓")))))))))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tr">
        <f aca="false">IF(Projects!B103="","",Projects!B103)</f>
        <v/>
      </c>
      <c r="X105" s="1" t="n">
        <f aca="false">IF(W105="",0,SUMIFS($I$7:$I$256,$D$7:$D$256,W105,$H$7:$H$256,"NTIME"))</f>
        <v>0</v>
      </c>
      <c r="Y105" s="1" t="n">
        <f aca="false">IF(W105="",0,SUMIFS($I$7:$I$256,$D$7:$D$256,W105,$H$7:$H$256,"P6"))</f>
        <v>0</v>
      </c>
      <c r="Z105" s="1" t="n">
        <f aca="false">X105+Y105</f>
        <v>0</v>
      </c>
      <c r="AA105" s="1" t="n">
        <f aca="false">IF(Z105&gt;0,Z105+(201-99)/10^6,0)</f>
        <v>0</v>
      </c>
      <c r="AB105" s="1"/>
      <c r="AC105" s="1"/>
      <c r="AD105" s="1"/>
      <c r="AE105" s="1"/>
      <c r="AF105" s="1"/>
      <c r="AG105" s="1"/>
      <c r="AH105" s="1"/>
    </row>
    <row r="106" customFormat="false" ht="15" hidden="false" customHeight="false" outlineLevel="0" collapsed="false">
      <c r="A106" s="1"/>
      <c r="B106" s="10"/>
      <c r="C106" s="31" t="str">
        <f aca="false">IF(B106="","",TEXT(B106,"ddd"))</f>
        <v/>
      </c>
      <c r="D106" s="11"/>
      <c r="E106" s="8" t="str">
        <f aca="false">IF(D106="","",IFERROR(INDEX(ProjNumbers,MATCH(D106,ProjNames,0)),""))</f>
        <v/>
      </c>
      <c r="F106" s="8" t="str">
        <f aca="false">IF(D106="","",IFERROR(INDEX(ProjCodes,MATCH(D106,ProjNames,0)),""))</f>
        <v/>
      </c>
      <c r="G106" s="32"/>
      <c r="H106" s="11"/>
      <c r="I106" s="33"/>
      <c r="J106" s="8" t="str">
        <f aca="false">IF(COUNTA(B106,D106,G106,H106,I106)=0,"",IF(B106="","Enter date",IF(OR(B106&lt;$AC$2,B106&gt;$AC$3),"Date not in April",IF(D106="","Pick project",IF(ISNA(MATCH(D106,ProjNames,0)),"Project not in list",IF(G106="","Add task description",IF(H106="","Pick NTIME or P6",IF(N(I106)&lt;=0,"Enter hours",IF(AND(AllowOT&lt;&gt;"Yes",SUMIF($B$7:$B$256,B106,$I$7:$I$256)&gt;INDEX($O$58:$O$87,DAY(B106))),"Day over "&amp;INDEX($O$58:$O$87,DAY(B106))&amp;" h","✓")))))))))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tr">
        <f aca="false">IF(Projects!B104="","",Projects!B104)</f>
        <v/>
      </c>
      <c r="X106" s="1" t="n">
        <f aca="false">IF(W106="",0,SUMIFS($I$7:$I$256,$D$7:$D$256,W106,$H$7:$H$256,"NTIME"))</f>
        <v>0</v>
      </c>
      <c r="Y106" s="1" t="n">
        <f aca="false">IF(W106="",0,SUMIFS($I$7:$I$256,$D$7:$D$256,W106,$H$7:$H$256,"P6"))</f>
        <v>0</v>
      </c>
      <c r="Z106" s="1" t="n">
        <f aca="false">X106+Y106</f>
        <v>0</v>
      </c>
      <c r="AA106" s="1" t="n">
        <f aca="false">IF(Z106&gt;0,Z106+(201-100)/10^6,0)</f>
        <v>0</v>
      </c>
      <c r="AB106" s="1"/>
      <c r="AC106" s="1"/>
      <c r="AD106" s="1"/>
      <c r="AE106" s="1"/>
      <c r="AF106" s="1"/>
      <c r="AG106" s="1"/>
      <c r="AH106" s="1"/>
    </row>
    <row r="107" customFormat="false" ht="15" hidden="false" customHeight="false" outlineLevel="0" collapsed="false">
      <c r="A107" s="1"/>
      <c r="B107" s="10"/>
      <c r="C107" s="31" t="str">
        <f aca="false">IF(B107="","",TEXT(B107,"ddd"))</f>
        <v/>
      </c>
      <c r="D107" s="11"/>
      <c r="E107" s="8" t="str">
        <f aca="false">IF(D107="","",IFERROR(INDEX(ProjNumbers,MATCH(D107,ProjNames,0)),""))</f>
        <v/>
      </c>
      <c r="F107" s="8" t="str">
        <f aca="false">IF(D107="","",IFERROR(INDEX(ProjCodes,MATCH(D107,ProjNames,0)),""))</f>
        <v/>
      </c>
      <c r="G107" s="32"/>
      <c r="H107" s="11"/>
      <c r="I107" s="33"/>
      <c r="J107" s="8" t="str">
        <f aca="false">IF(COUNTA(B107,D107,G107,H107,I107)=0,"",IF(B107="","Enter date",IF(OR(B107&lt;$AC$2,B107&gt;$AC$3),"Date not in April",IF(D107="","Pick project",IF(ISNA(MATCH(D107,ProjNames,0)),"Project not in list",IF(G107="","Add task description",IF(H107="","Pick NTIME or P6",IF(N(I107)&lt;=0,"Enter hours",IF(AND(AllowOT&lt;&gt;"Yes",SUMIF($B$7:$B$256,B107,$I$7:$I$256)&gt;INDEX($O$58:$O$87,DAY(B107))),"Day over "&amp;INDEX($O$58:$O$87,DAY(B107))&amp;" h","✓")))))))))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tr">
        <f aca="false">IF(Projects!B105="","",Projects!B105)</f>
        <v/>
      </c>
      <c r="X107" s="1" t="n">
        <f aca="false">IF(W107="",0,SUMIFS($I$7:$I$256,$D$7:$D$256,W107,$H$7:$H$256,"NTIME"))</f>
        <v>0</v>
      </c>
      <c r="Y107" s="1" t="n">
        <f aca="false">IF(W107="",0,SUMIFS($I$7:$I$256,$D$7:$D$256,W107,$H$7:$H$256,"P6"))</f>
        <v>0</v>
      </c>
      <c r="Z107" s="1" t="n">
        <f aca="false">X107+Y107</f>
        <v>0</v>
      </c>
      <c r="AA107" s="1" t="n">
        <f aca="false">IF(Z107&gt;0,Z107+(201-101)/10^6,0)</f>
        <v>0</v>
      </c>
      <c r="AB107" s="1"/>
      <c r="AC107" s="1"/>
      <c r="AD107" s="1"/>
      <c r="AE107" s="1"/>
      <c r="AF107" s="1"/>
      <c r="AG107" s="1"/>
      <c r="AH107" s="1"/>
    </row>
    <row r="108" customFormat="false" ht="15" hidden="false" customHeight="false" outlineLevel="0" collapsed="false">
      <c r="A108" s="1"/>
      <c r="B108" s="10"/>
      <c r="C108" s="31" t="str">
        <f aca="false">IF(B108="","",TEXT(B108,"ddd"))</f>
        <v/>
      </c>
      <c r="D108" s="11"/>
      <c r="E108" s="8" t="str">
        <f aca="false">IF(D108="","",IFERROR(INDEX(ProjNumbers,MATCH(D108,ProjNames,0)),""))</f>
        <v/>
      </c>
      <c r="F108" s="8" t="str">
        <f aca="false">IF(D108="","",IFERROR(INDEX(ProjCodes,MATCH(D108,ProjNames,0)),""))</f>
        <v/>
      </c>
      <c r="G108" s="32"/>
      <c r="H108" s="11"/>
      <c r="I108" s="33"/>
      <c r="J108" s="8" t="str">
        <f aca="false">IF(COUNTA(B108,D108,G108,H108,I108)=0,"",IF(B108="","Enter date",IF(OR(B108&lt;$AC$2,B108&gt;$AC$3),"Date not in April",IF(D108="","Pick project",IF(ISNA(MATCH(D108,ProjNames,0)),"Project not in list",IF(G108="","Add task description",IF(H108="","Pick NTIME or P6",IF(N(I108)&lt;=0,"Enter hours",IF(AND(AllowOT&lt;&gt;"Yes",SUMIF($B$7:$B$256,B108,$I$7:$I$256)&gt;INDEX($O$58:$O$87,DAY(B108))),"Day over "&amp;INDEX($O$58:$O$87,DAY(B108))&amp;" h","✓")))))))))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aca="false">IF(Projects!B106="","",Projects!B106)</f>
        <v/>
      </c>
      <c r="X108" s="1" t="n">
        <f aca="false">IF(W108="",0,SUMIFS($I$7:$I$256,$D$7:$D$256,W108,$H$7:$H$256,"NTIME"))</f>
        <v>0</v>
      </c>
      <c r="Y108" s="1" t="n">
        <f aca="false">IF(W108="",0,SUMIFS($I$7:$I$256,$D$7:$D$256,W108,$H$7:$H$256,"P6"))</f>
        <v>0</v>
      </c>
      <c r="Z108" s="1" t="n">
        <f aca="false">X108+Y108</f>
        <v>0</v>
      </c>
      <c r="AA108" s="1" t="n">
        <f aca="false">IF(Z108&gt;0,Z108+(201-102)/10^6,0)</f>
        <v>0</v>
      </c>
      <c r="AB108" s="1"/>
      <c r="AC108" s="1"/>
      <c r="AD108" s="1"/>
      <c r="AE108" s="1"/>
      <c r="AF108" s="1"/>
      <c r="AG108" s="1"/>
      <c r="AH108" s="1"/>
    </row>
    <row r="109" customFormat="false" ht="15" hidden="false" customHeight="false" outlineLevel="0" collapsed="false">
      <c r="A109" s="1"/>
      <c r="B109" s="10"/>
      <c r="C109" s="31" t="str">
        <f aca="false">IF(B109="","",TEXT(B109,"ddd"))</f>
        <v/>
      </c>
      <c r="D109" s="11"/>
      <c r="E109" s="8" t="str">
        <f aca="false">IF(D109="","",IFERROR(INDEX(ProjNumbers,MATCH(D109,ProjNames,0)),""))</f>
        <v/>
      </c>
      <c r="F109" s="8" t="str">
        <f aca="false">IF(D109="","",IFERROR(INDEX(ProjCodes,MATCH(D109,ProjNames,0)),""))</f>
        <v/>
      </c>
      <c r="G109" s="32"/>
      <c r="H109" s="11"/>
      <c r="I109" s="33"/>
      <c r="J109" s="8" t="str">
        <f aca="false">IF(COUNTA(B109,D109,G109,H109,I109)=0,"",IF(B109="","Enter date",IF(OR(B109&lt;$AC$2,B109&gt;$AC$3),"Date not in April",IF(D109="","Pick project",IF(ISNA(MATCH(D109,ProjNames,0)),"Project not in list",IF(G109="","Add task description",IF(H109="","Pick NTIME or P6",IF(N(I109)&lt;=0,"Enter hours",IF(AND(AllowOT&lt;&gt;"Yes",SUMIF($B$7:$B$256,B109,$I$7:$I$256)&gt;INDEX($O$58:$O$87,DAY(B109))),"Day over "&amp;INDEX($O$58:$O$87,DAY(B109))&amp;" h","✓")))))))))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tr">
        <f aca="false">IF(Projects!B107="","",Projects!B107)</f>
        <v/>
      </c>
      <c r="X109" s="1" t="n">
        <f aca="false">IF(W109="",0,SUMIFS($I$7:$I$256,$D$7:$D$256,W109,$H$7:$H$256,"NTIME"))</f>
        <v>0</v>
      </c>
      <c r="Y109" s="1" t="n">
        <f aca="false">IF(W109="",0,SUMIFS($I$7:$I$256,$D$7:$D$256,W109,$H$7:$H$256,"P6"))</f>
        <v>0</v>
      </c>
      <c r="Z109" s="1" t="n">
        <f aca="false">X109+Y109</f>
        <v>0</v>
      </c>
      <c r="AA109" s="1" t="n">
        <f aca="false">IF(Z109&gt;0,Z109+(201-103)/10^6,0)</f>
        <v>0</v>
      </c>
      <c r="AB109" s="1"/>
      <c r="AC109" s="1"/>
      <c r="AD109" s="1"/>
      <c r="AE109" s="1"/>
      <c r="AF109" s="1"/>
      <c r="AG109" s="1"/>
      <c r="AH109" s="1"/>
    </row>
    <row r="110" customFormat="false" ht="15" hidden="false" customHeight="false" outlineLevel="0" collapsed="false">
      <c r="A110" s="1"/>
      <c r="B110" s="10"/>
      <c r="C110" s="31" t="str">
        <f aca="false">IF(B110="","",TEXT(B110,"ddd"))</f>
        <v/>
      </c>
      <c r="D110" s="11"/>
      <c r="E110" s="8" t="str">
        <f aca="false">IF(D110="","",IFERROR(INDEX(ProjNumbers,MATCH(D110,ProjNames,0)),""))</f>
        <v/>
      </c>
      <c r="F110" s="8" t="str">
        <f aca="false">IF(D110="","",IFERROR(INDEX(ProjCodes,MATCH(D110,ProjNames,0)),""))</f>
        <v/>
      </c>
      <c r="G110" s="32"/>
      <c r="H110" s="11"/>
      <c r="I110" s="33"/>
      <c r="J110" s="8" t="str">
        <f aca="false">IF(COUNTA(B110,D110,G110,H110,I110)=0,"",IF(B110="","Enter date",IF(OR(B110&lt;$AC$2,B110&gt;$AC$3),"Date not in April",IF(D110="","Pick project",IF(ISNA(MATCH(D110,ProjNames,0)),"Project not in list",IF(G110="","Add task description",IF(H110="","Pick NTIME or P6",IF(N(I110)&lt;=0,"Enter hours",IF(AND(AllowOT&lt;&gt;"Yes",SUMIF($B$7:$B$256,B110,$I$7:$I$256)&gt;INDEX($O$58:$O$87,DAY(B110))),"Day over "&amp;INDEX($O$58:$O$87,DAY(B110))&amp;" h","✓")))))))))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tr">
        <f aca="false">IF(Projects!B108="","",Projects!B108)</f>
        <v/>
      </c>
      <c r="X110" s="1" t="n">
        <f aca="false">IF(W110="",0,SUMIFS($I$7:$I$256,$D$7:$D$256,W110,$H$7:$H$256,"NTIME"))</f>
        <v>0</v>
      </c>
      <c r="Y110" s="1" t="n">
        <f aca="false">IF(W110="",0,SUMIFS($I$7:$I$256,$D$7:$D$256,W110,$H$7:$H$256,"P6"))</f>
        <v>0</v>
      </c>
      <c r="Z110" s="1" t="n">
        <f aca="false">X110+Y110</f>
        <v>0</v>
      </c>
      <c r="AA110" s="1" t="n">
        <f aca="false">IF(Z110&gt;0,Z110+(201-104)/10^6,0)</f>
        <v>0</v>
      </c>
      <c r="AB110" s="1"/>
      <c r="AC110" s="1"/>
      <c r="AD110" s="1"/>
      <c r="AE110" s="1"/>
      <c r="AF110" s="1"/>
      <c r="AG110" s="1"/>
      <c r="AH110" s="1"/>
    </row>
    <row r="111" customFormat="false" ht="15" hidden="false" customHeight="false" outlineLevel="0" collapsed="false">
      <c r="A111" s="1"/>
      <c r="B111" s="10"/>
      <c r="C111" s="31" t="str">
        <f aca="false">IF(B111="","",TEXT(B111,"ddd"))</f>
        <v/>
      </c>
      <c r="D111" s="11"/>
      <c r="E111" s="8" t="str">
        <f aca="false">IF(D111="","",IFERROR(INDEX(ProjNumbers,MATCH(D111,ProjNames,0)),""))</f>
        <v/>
      </c>
      <c r="F111" s="8" t="str">
        <f aca="false">IF(D111="","",IFERROR(INDEX(ProjCodes,MATCH(D111,ProjNames,0)),""))</f>
        <v/>
      </c>
      <c r="G111" s="32"/>
      <c r="H111" s="11"/>
      <c r="I111" s="33"/>
      <c r="J111" s="8" t="str">
        <f aca="false">IF(COUNTA(B111,D111,G111,H111,I111)=0,"",IF(B111="","Enter date",IF(OR(B111&lt;$AC$2,B111&gt;$AC$3),"Date not in April",IF(D111="","Pick project",IF(ISNA(MATCH(D111,ProjNames,0)),"Project not in list",IF(G111="","Add task description",IF(H111="","Pick NTIME or P6",IF(N(I111)&lt;=0,"Enter hours",IF(AND(AllowOT&lt;&gt;"Yes",SUMIF($B$7:$B$256,B111,$I$7:$I$256)&gt;INDEX($O$58:$O$87,DAY(B111))),"Day over "&amp;INDEX($O$58:$O$87,DAY(B111))&amp;" h","✓")))))))))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tr">
        <f aca="false">IF(Projects!B109="","",Projects!B109)</f>
        <v/>
      </c>
      <c r="X111" s="1" t="n">
        <f aca="false">IF(W111="",0,SUMIFS($I$7:$I$256,$D$7:$D$256,W111,$H$7:$H$256,"NTIME"))</f>
        <v>0</v>
      </c>
      <c r="Y111" s="1" t="n">
        <f aca="false">IF(W111="",0,SUMIFS($I$7:$I$256,$D$7:$D$256,W111,$H$7:$H$256,"P6"))</f>
        <v>0</v>
      </c>
      <c r="Z111" s="1" t="n">
        <f aca="false">X111+Y111</f>
        <v>0</v>
      </c>
      <c r="AA111" s="1" t="n">
        <f aca="false">IF(Z111&gt;0,Z111+(201-105)/10^6,0)</f>
        <v>0</v>
      </c>
      <c r="AB111" s="1"/>
      <c r="AC111" s="1"/>
      <c r="AD111" s="1"/>
      <c r="AE111" s="1"/>
      <c r="AF111" s="1"/>
      <c r="AG111" s="1"/>
      <c r="AH111" s="1"/>
    </row>
    <row r="112" customFormat="false" ht="15" hidden="false" customHeight="false" outlineLevel="0" collapsed="false">
      <c r="A112" s="1"/>
      <c r="B112" s="10"/>
      <c r="C112" s="31" t="str">
        <f aca="false">IF(B112="","",TEXT(B112,"ddd"))</f>
        <v/>
      </c>
      <c r="D112" s="11"/>
      <c r="E112" s="8" t="str">
        <f aca="false">IF(D112="","",IFERROR(INDEX(ProjNumbers,MATCH(D112,ProjNames,0)),""))</f>
        <v/>
      </c>
      <c r="F112" s="8" t="str">
        <f aca="false">IF(D112="","",IFERROR(INDEX(ProjCodes,MATCH(D112,ProjNames,0)),""))</f>
        <v/>
      </c>
      <c r="G112" s="32"/>
      <c r="H112" s="11"/>
      <c r="I112" s="33"/>
      <c r="J112" s="8" t="str">
        <f aca="false">IF(COUNTA(B112,D112,G112,H112,I112)=0,"",IF(B112="","Enter date",IF(OR(B112&lt;$AC$2,B112&gt;$AC$3),"Date not in April",IF(D112="","Pick project",IF(ISNA(MATCH(D112,ProjNames,0)),"Project not in list",IF(G112="","Add task description",IF(H112="","Pick NTIME or P6",IF(N(I112)&lt;=0,"Enter hours",IF(AND(AllowOT&lt;&gt;"Yes",SUMIF($B$7:$B$256,B112,$I$7:$I$256)&gt;INDEX($O$58:$O$87,DAY(B112))),"Day over "&amp;INDEX($O$58:$O$87,DAY(B112))&amp;" h","✓")))))))))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tr">
        <f aca="false">IF(Projects!B110="","",Projects!B110)</f>
        <v/>
      </c>
      <c r="X112" s="1" t="n">
        <f aca="false">IF(W112="",0,SUMIFS($I$7:$I$256,$D$7:$D$256,W112,$H$7:$H$256,"NTIME"))</f>
        <v>0</v>
      </c>
      <c r="Y112" s="1" t="n">
        <f aca="false">IF(W112="",0,SUMIFS($I$7:$I$256,$D$7:$D$256,W112,$H$7:$H$256,"P6"))</f>
        <v>0</v>
      </c>
      <c r="Z112" s="1" t="n">
        <f aca="false">X112+Y112</f>
        <v>0</v>
      </c>
      <c r="AA112" s="1" t="n">
        <f aca="false">IF(Z112&gt;0,Z112+(201-106)/10^6,0)</f>
        <v>0</v>
      </c>
      <c r="AB112" s="1"/>
      <c r="AC112" s="1"/>
      <c r="AD112" s="1"/>
      <c r="AE112" s="1"/>
      <c r="AF112" s="1"/>
      <c r="AG112" s="1"/>
      <c r="AH112" s="1"/>
    </row>
    <row r="113" customFormat="false" ht="15" hidden="false" customHeight="false" outlineLevel="0" collapsed="false">
      <c r="A113" s="1"/>
      <c r="B113" s="10"/>
      <c r="C113" s="31" t="str">
        <f aca="false">IF(B113="","",TEXT(B113,"ddd"))</f>
        <v/>
      </c>
      <c r="D113" s="11"/>
      <c r="E113" s="8" t="str">
        <f aca="false">IF(D113="","",IFERROR(INDEX(ProjNumbers,MATCH(D113,ProjNames,0)),""))</f>
        <v/>
      </c>
      <c r="F113" s="8" t="str">
        <f aca="false">IF(D113="","",IFERROR(INDEX(ProjCodes,MATCH(D113,ProjNames,0)),""))</f>
        <v/>
      </c>
      <c r="G113" s="32"/>
      <c r="H113" s="11"/>
      <c r="I113" s="33"/>
      <c r="J113" s="8" t="str">
        <f aca="false">IF(COUNTA(B113,D113,G113,H113,I113)=0,"",IF(B113="","Enter date",IF(OR(B113&lt;$AC$2,B113&gt;$AC$3),"Date not in April",IF(D113="","Pick project",IF(ISNA(MATCH(D113,ProjNames,0)),"Project not in list",IF(G113="","Add task description",IF(H113="","Pick NTIME or P6",IF(N(I113)&lt;=0,"Enter hours",IF(AND(AllowOT&lt;&gt;"Yes",SUMIF($B$7:$B$256,B113,$I$7:$I$256)&gt;INDEX($O$58:$O$87,DAY(B113))),"Day over "&amp;INDEX($O$58:$O$87,DAY(B113))&amp;" h","✓")))))))))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tr">
        <f aca="false">IF(Projects!B111="","",Projects!B111)</f>
        <v/>
      </c>
      <c r="X113" s="1" t="n">
        <f aca="false">IF(W113="",0,SUMIFS($I$7:$I$256,$D$7:$D$256,W113,$H$7:$H$256,"NTIME"))</f>
        <v>0</v>
      </c>
      <c r="Y113" s="1" t="n">
        <f aca="false">IF(W113="",0,SUMIFS($I$7:$I$256,$D$7:$D$256,W113,$H$7:$H$256,"P6"))</f>
        <v>0</v>
      </c>
      <c r="Z113" s="1" t="n">
        <f aca="false">X113+Y113</f>
        <v>0</v>
      </c>
      <c r="AA113" s="1" t="n">
        <f aca="false">IF(Z113&gt;0,Z113+(201-107)/10^6,0)</f>
        <v>0</v>
      </c>
      <c r="AB113" s="1"/>
      <c r="AC113" s="1"/>
      <c r="AD113" s="1"/>
      <c r="AE113" s="1"/>
      <c r="AF113" s="1"/>
      <c r="AG113" s="1"/>
      <c r="AH113" s="1"/>
    </row>
    <row r="114" customFormat="false" ht="15" hidden="false" customHeight="false" outlineLevel="0" collapsed="false">
      <c r="A114" s="1"/>
      <c r="B114" s="10"/>
      <c r="C114" s="31" t="str">
        <f aca="false">IF(B114="","",TEXT(B114,"ddd"))</f>
        <v/>
      </c>
      <c r="D114" s="11"/>
      <c r="E114" s="8" t="str">
        <f aca="false">IF(D114="","",IFERROR(INDEX(ProjNumbers,MATCH(D114,ProjNames,0)),""))</f>
        <v/>
      </c>
      <c r="F114" s="8" t="str">
        <f aca="false">IF(D114="","",IFERROR(INDEX(ProjCodes,MATCH(D114,ProjNames,0)),""))</f>
        <v/>
      </c>
      <c r="G114" s="32"/>
      <c r="H114" s="11"/>
      <c r="I114" s="33"/>
      <c r="J114" s="8" t="str">
        <f aca="false">IF(COUNTA(B114,D114,G114,H114,I114)=0,"",IF(B114="","Enter date",IF(OR(B114&lt;$AC$2,B114&gt;$AC$3),"Date not in April",IF(D114="","Pick project",IF(ISNA(MATCH(D114,ProjNames,0)),"Project not in list",IF(G114="","Add task description",IF(H114="","Pick NTIME or P6",IF(N(I114)&lt;=0,"Enter hours",IF(AND(AllowOT&lt;&gt;"Yes",SUMIF($B$7:$B$256,B114,$I$7:$I$256)&gt;INDEX($O$58:$O$87,DAY(B114))),"Day over "&amp;INDEX($O$58:$O$87,DAY(B114))&amp;" h","✓")))))))))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tr">
        <f aca="false">IF(Projects!B112="","",Projects!B112)</f>
        <v/>
      </c>
      <c r="X114" s="1" t="n">
        <f aca="false">IF(W114="",0,SUMIFS($I$7:$I$256,$D$7:$D$256,W114,$H$7:$H$256,"NTIME"))</f>
        <v>0</v>
      </c>
      <c r="Y114" s="1" t="n">
        <f aca="false">IF(W114="",0,SUMIFS($I$7:$I$256,$D$7:$D$256,W114,$H$7:$H$256,"P6"))</f>
        <v>0</v>
      </c>
      <c r="Z114" s="1" t="n">
        <f aca="false">X114+Y114</f>
        <v>0</v>
      </c>
      <c r="AA114" s="1" t="n">
        <f aca="false">IF(Z114&gt;0,Z114+(201-108)/10^6,0)</f>
        <v>0</v>
      </c>
      <c r="AB114" s="1"/>
      <c r="AC114" s="1"/>
      <c r="AD114" s="1"/>
      <c r="AE114" s="1"/>
      <c r="AF114" s="1"/>
      <c r="AG114" s="1"/>
      <c r="AH114" s="1"/>
    </row>
    <row r="115" customFormat="false" ht="15" hidden="false" customHeight="false" outlineLevel="0" collapsed="false">
      <c r="A115" s="1"/>
      <c r="B115" s="10"/>
      <c r="C115" s="31" t="str">
        <f aca="false">IF(B115="","",TEXT(B115,"ddd"))</f>
        <v/>
      </c>
      <c r="D115" s="11"/>
      <c r="E115" s="8" t="str">
        <f aca="false">IF(D115="","",IFERROR(INDEX(ProjNumbers,MATCH(D115,ProjNames,0)),""))</f>
        <v/>
      </c>
      <c r="F115" s="8" t="str">
        <f aca="false">IF(D115="","",IFERROR(INDEX(ProjCodes,MATCH(D115,ProjNames,0)),""))</f>
        <v/>
      </c>
      <c r="G115" s="32"/>
      <c r="H115" s="11"/>
      <c r="I115" s="33"/>
      <c r="J115" s="8" t="str">
        <f aca="false">IF(COUNTA(B115,D115,G115,H115,I115)=0,"",IF(B115="","Enter date",IF(OR(B115&lt;$AC$2,B115&gt;$AC$3),"Date not in April",IF(D115="","Pick project",IF(ISNA(MATCH(D115,ProjNames,0)),"Project not in list",IF(G115="","Add task description",IF(H115="","Pick NTIME or P6",IF(N(I115)&lt;=0,"Enter hours",IF(AND(AllowOT&lt;&gt;"Yes",SUMIF($B$7:$B$256,B115,$I$7:$I$256)&gt;INDEX($O$58:$O$87,DAY(B115))),"Day over "&amp;INDEX($O$58:$O$87,DAY(B115))&amp;" h","✓")))))))))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tr">
        <f aca="false">IF(Projects!B113="","",Projects!B113)</f>
        <v/>
      </c>
      <c r="X115" s="1" t="n">
        <f aca="false">IF(W115="",0,SUMIFS($I$7:$I$256,$D$7:$D$256,W115,$H$7:$H$256,"NTIME"))</f>
        <v>0</v>
      </c>
      <c r="Y115" s="1" t="n">
        <f aca="false">IF(W115="",0,SUMIFS($I$7:$I$256,$D$7:$D$256,W115,$H$7:$H$256,"P6"))</f>
        <v>0</v>
      </c>
      <c r="Z115" s="1" t="n">
        <f aca="false">X115+Y115</f>
        <v>0</v>
      </c>
      <c r="AA115" s="1" t="n">
        <f aca="false">IF(Z115&gt;0,Z115+(201-109)/10^6,0)</f>
        <v>0</v>
      </c>
      <c r="AB115" s="1"/>
      <c r="AC115" s="1"/>
      <c r="AD115" s="1"/>
      <c r="AE115" s="1"/>
      <c r="AF115" s="1"/>
      <c r="AG115" s="1"/>
      <c r="AH115" s="1"/>
    </row>
    <row r="116" customFormat="false" ht="15" hidden="false" customHeight="false" outlineLevel="0" collapsed="false">
      <c r="A116" s="1"/>
      <c r="B116" s="10"/>
      <c r="C116" s="31" t="str">
        <f aca="false">IF(B116="","",TEXT(B116,"ddd"))</f>
        <v/>
      </c>
      <c r="D116" s="11"/>
      <c r="E116" s="8" t="str">
        <f aca="false">IF(D116="","",IFERROR(INDEX(ProjNumbers,MATCH(D116,ProjNames,0)),""))</f>
        <v/>
      </c>
      <c r="F116" s="8" t="str">
        <f aca="false">IF(D116="","",IFERROR(INDEX(ProjCodes,MATCH(D116,ProjNames,0)),""))</f>
        <v/>
      </c>
      <c r="G116" s="32"/>
      <c r="H116" s="11"/>
      <c r="I116" s="33"/>
      <c r="J116" s="8" t="str">
        <f aca="false">IF(COUNTA(B116,D116,G116,H116,I116)=0,"",IF(B116="","Enter date",IF(OR(B116&lt;$AC$2,B116&gt;$AC$3),"Date not in April",IF(D116="","Pick project",IF(ISNA(MATCH(D116,ProjNames,0)),"Project not in list",IF(G116="","Add task description",IF(H116="","Pick NTIME or P6",IF(N(I116)&lt;=0,"Enter hours",IF(AND(AllowOT&lt;&gt;"Yes",SUMIF($B$7:$B$256,B116,$I$7:$I$256)&gt;INDEX($O$58:$O$87,DAY(B116))),"Day over "&amp;INDEX($O$58:$O$87,DAY(B116))&amp;" h","✓")))))))))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tr">
        <f aca="false">IF(Projects!B114="","",Projects!B114)</f>
        <v/>
      </c>
      <c r="X116" s="1" t="n">
        <f aca="false">IF(W116="",0,SUMIFS($I$7:$I$256,$D$7:$D$256,W116,$H$7:$H$256,"NTIME"))</f>
        <v>0</v>
      </c>
      <c r="Y116" s="1" t="n">
        <f aca="false">IF(W116="",0,SUMIFS($I$7:$I$256,$D$7:$D$256,W116,$H$7:$H$256,"P6"))</f>
        <v>0</v>
      </c>
      <c r="Z116" s="1" t="n">
        <f aca="false">X116+Y116</f>
        <v>0</v>
      </c>
      <c r="AA116" s="1" t="n">
        <f aca="false">IF(Z116&gt;0,Z116+(201-110)/10^6,0)</f>
        <v>0</v>
      </c>
      <c r="AB116" s="1"/>
      <c r="AC116" s="1"/>
      <c r="AD116" s="1"/>
      <c r="AE116" s="1"/>
      <c r="AF116" s="1"/>
      <c r="AG116" s="1"/>
      <c r="AH116" s="1"/>
    </row>
    <row r="117" customFormat="false" ht="15" hidden="false" customHeight="false" outlineLevel="0" collapsed="false">
      <c r="A117" s="1"/>
      <c r="B117" s="10"/>
      <c r="C117" s="31" t="str">
        <f aca="false">IF(B117="","",TEXT(B117,"ddd"))</f>
        <v/>
      </c>
      <c r="D117" s="11"/>
      <c r="E117" s="8" t="str">
        <f aca="false">IF(D117="","",IFERROR(INDEX(ProjNumbers,MATCH(D117,ProjNames,0)),""))</f>
        <v/>
      </c>
      <c r="F117" s="8" t="str">
        <f aca="false">IF(D117="","",IFERROR(INDEX(ProjCodes,MATCH(D117,ProjNames,0)),""))</f>
        <v/>
      </c>
      <c r="G117" s="32"/>
      <c r="H117" s="11"/>
      <c r="I117" s="33"/>
      <c r="J117" s="8" t="str">
        <f aca="false">IF(COUNTA(B117,D117,G117,H117,I117)=0,"",IF(B117="","Enter date",IF(OR(B117&lt;$AC$2,B117&gt;$AC$3),"Date not in April",IF(D117="","Pick project",IF(ISNA(MATCH(D117,ProjNames,0)),"Project not in list",IF(G117="","Add task description",IF(H117="","Pick NTIME or P6",IF(N(I117)&lt;=0,"Enter hours",IF(AND(AllowOT&lt;&gt;"Yes",SUMIF($B$7:$B$256,B117,$I$7:$I$256)&gt;INDEX($O$58:$O$87,DAY(B117))),"Day over "&amp;INDEX($O$58:$O$87,DAY(B117))&amp;" h","✓")))))))))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tr">
        <f aca="false">IF(Projects!B115="","",Projects!B115)</f>
        <v/>
      </c>
      <c r="X117" s="1" t="n">
        <f aca="false">IF(W117="",0,SUMIFS($I$7:$I$256,$D$7:$D$256,W117,$H$7:$H$256,"NTIME"))</f>
        <v>0</v>
      </c>
      <c r="Y117" s="1" t="n">
        <f aca="false">IF(W117="",0,SUMIFS($I$7:$I$256,$D$7:$D$256,W117,$H$7:$H$256,"P6"))</f>
        <v>0</v>
      </c>
      <c r="Z117" s="1" t="n">
        <f aca="false">X117+Y117</f>
        <v>0</v>
      </c>
      <c r="AA117" s="1" t="n">
        <f aca="false">IF(Z117&gt;0,Z117+(201-111)/10^6,0)</f>
        <v>0</v>
      </c>
      <c r="AB117" s="1"/>
      <c r="AC117" s="1"/>
      <c r="AD117" s="1"/>
      <c r="AE117" s="1"/>
      <c r="AF117" s="1"/>
      <c r="AG117" s="1"/>
      <c r="AH117" s="1"/>
    </row>
    <row r="118" customFormat="false" ht="15" hidden="false" customHeight="false" outlineLevel="0" collapsed="false">
      <c r="A118" s="1"/>
      <c r="B118" s="10"/>
      <c r="C118" s="31" t="str">
        <f aca="false">IF(B118="","",TEXT(B118,"ddd"))</f>
        <v/>
      </c>
      <c r="D118" s="11"/>
      <c r="E118" s="8" t="str">
        <f aca="false">IF(D118="","",IFERROR(INDEX(ProjNumbers,MATCH(D118,ProjNames,0)),""))</f>
        <v/>
      </c>
      <c r="F118" s="8" t="str">
        <f aca="false">IF(D118="","",IFERROR(INDEX(ProjCodes,MATCH(D118,ProjNames,0)),""))</f>
        <v/>
      </c>
      <c r="G118" s="32"/>
      <c r="H118" s="11"/>
      <c r="I118" s="33"/>
      <c r="J118" s="8" t="str">
        <f aca="false">IF(COUNTA(B118,D118,G118,H118,I118)=0,"",IF(B118="","Enter date",IF(OR(B118&lt;$AC$2,B118&gt;$AC$3),"Date not in April",IF(D118="","Pick project",IF(ISNA(MATCH(D118,ProjNames,0)),"Project not in list",IF(G118="","Add task description",IF(H118="","Pick NTIME or P6",IF(N(I118)&lt;=0,"Enter hours",IF(AND(AllowOT&lt;&gt;"Yes",SUMIF($B$7:$B$256,B118,$I$7:$I$256)&gt;INDEX($O$58:$O$87,DAY(B118))),"Day over "&amp;INDEX($O$58:$O$87,DAY(B118))&amp;" h","✓")))))))))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tr">
        <f aca="false">IF(Projects!B116="","",Projects!B116)</f>
        <v/>
      </c>
      <c r="X118" s="1" t="n">
        <f aca="false">IF(W118="",0,SUMIFS($I$7:$I$256,$D$7:$D$256,W118,$H$7:$H$256,"NTIME"))</f>
        <v>0</v>
      </c>
      <c r="Y118" s="1" t="n">
        <f aca="false">IF(W118="",0,SUMIFS($I$7:$I$256,$D$7:$D$256,W118,$H$7:$H$256,"P6"))</f>
        <v>0</v>
      </c>
      <c r="Z118" s="1" t="n">
        <f aca="false">X118+Y118</f>
        <v>0</v>
      </c>
      <c r="AA118" s="1" t="n">
        <f aca="false">IF(Z118&gt;0,Z118+(201-112)/10^6,0)</f>
        <v>0</v>
      </c>
      <c r="AB118" s="1"/>
      <c r="AC118" s="1"/>
      <c r="AD118" s="1"/>
      <c r="AE118" s="1"/>
      <c r="AF118" s="1"/>
      <c r="AG118" s="1"/>
      <c r="AH118" s="1"/>
    </row>
    <row r="119" customFormat="false" ht="15" hidden="false" customHeight="false" outlineLevel="0" collapsed="false">
      <c r="A119" s="1"/>
      <c r="B119" s="10"/>
      <c r="C119" s="31" t="str">
        <f aca="false">IF(B119="","",TEXT(B119,"ddd"))</f>
        <v/>
      </c>
      <c r="D119" s="11"/>
      <c r="E119" s="8" t="str">
        <f aca="false">IF(D119="","",IFERROR(INDEX(ProjNumbers,MATCH(D119,ProjNames,0)),""))</f>
        <v/>
      </c>
      <c r="F119" s="8" t="str">
        <f aca="false">IF(D119="","",IFERROR(INDEX(ProjCodes,MATCH(D119,ProjNames,0)),""))</f>
        <v/>
      </c>
      <c r="G119" s="32"/>
      <c r="H119" s="11"/>
      <c r="I119" s="33"/>
      <c r="J119" s="8" t="str">
        <f aca="false">IF(COUNTA(B119,D119,G119,H119,I119)=0,"",IF(B119="","Enter date",IF(OR(B119&lt;$AC$2,B119&gt;$AC$3),"Date not in April",IF(D119="","Pick project",IF(ISNA(MATCH(D119,ProjNames,0)),"Project not in list",IF(G119="","Add task description",IF(H119="","Pick NTIME or P6",IF(N(I119)&lt;=0,"Enter hours",IF(AND(AllowOT&lt;&gt;"Yes",SUMIF($B$7:$B$256,B119,$I$7:$I$256)&gt;INDEX($O$58:$O$87,DAY(B119))),"Day over "&amp;INDEX($O$58:$O$87,DAY(B119))&amp;" h","✓")))))))))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 aca="false">IF(Projects!B117="","",Projects!B117)</f>
        <v/>
      </c>
      <c r="X119" s="1" t="n">
        <f aca="false">IF(W119="",0,SUMIFS($I$7:$I$256,$D$7:$D$256,W119,$H$7:$H$256,"NTIME"))</f>
        <v>0</v>
      </c>
      <c r="Y119" s="1" t="n">
        <f aca="false">IF(W119="",0,SUMIFS($I$7:$I$256,$D$7:$D$256,W119,$H$7:$H$256,"P6"))</f>
        <v>0</v>
      </c>
      <c r="Z119" s="1" t="n">
        <f aca="false">X119+Y119</f>
        <v>0</v>
      </c>
      <c r="AA119" s="1" t="n">
        <f aca="false">IF(Z119&gt;0,Z119+(201-113)/10^6,0)</f>
        <v>0</v>
      </c>
      <c r="AB119" s="1"/>
      <c r="AC119" s="1"/>
      <c r="AD119" s="1"/>
      <c r="AE119" s="1"/>
      <c r="AF119" s="1"/>
      <c r="AG119" s="1"/>
      <c r="AH119" s="1"/>
    </row>
    <row r="120" customFormat="false" ht="15" hidden="false" customHeight="false" outlineLevel="0" collapsed="false">
      <c r="A120" s="1"/>
      <c r="B120" s="10"/>
      <c r="C120" s="31" t="str">
        <f aca="false">IF(B120="","",TEXT(B120,"ddd"))</f>
        <v/>
      </c>
      <c r="D120" s="11"/>
      <c r="E120" s="8" t="str">
        <f aca="false">IF(D120="","",IFERROR(INDEX(ProjNumbers,MATCH(D120,ProjNames,0)),""))</f>
        <v/>
      </c>
      <c r="F120" s="8" t="str">
        <f aca="false">IF(D120="","",IFERROR(INDEX(ProjCodes,MATCH(D120,ProjNames,0)),""))</f>
        <v/>
      </c>
      <c r="G120" s="32"/>
      <c r="H120" s="11"/>
      <c r="I120" s="33"/>
      <c r="J120" s="8" t="str">
        <f aca="false">IF(COUNTA(B120,D120,G120,H120,I120)=0,"",IF(B120="","Enter date",IF(OR(B120&lt;$AC$2,B120&gt;$AC$3),"Date not in April",IF(D120="","Pick project",IF(ISNA(MATCH(D120,ProjNames,0)),"Project not in list",IF(G120="","Add task description",IF(H120="","Pick NTIME or P6",IF(N(I120)&lt;=0,"Enter hours",IF(AND(AllowOT&lt;&gt;"Yes",SUMIF($B$7:$B$256,B120,$I$7:$I$256)&gt;INDEX($O$58:$O$87,DAY(B120))),"Day over "&amp;INDEX($O$58:$O$87,DAY(B120))&amp;" h","✓")))))))))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tr">
        <f aca="false">IF(Projects!B118="","",Projects!B118)</f>
        <v/>
      </c>
      <c r="X120" s="1" t="n">
        <f aca="false">IF(W120="",0,SUMIFS($I$7:$I$256,$D$7:$D$256,W120,$H$7:$H$256,"NTIME"))</f>
        <v>0</v>
      </c>
      <c r="Y120" s="1" t="n">
        <f aca="false">IF(W120="",0,SUMIFS($I$7:$I$256,$D$7:$D$256,W120,$H$7:$H$256,"P6"))</f>
        <v>0</v>
      </c>
      <c r="Z120" s="1" t="n">
        <f aca="false">X120+Y120</f>
        <v>0</v>
      </c>
      <c r="AA120" s="1" t="n">
        <f aca="false">IF(Z120&gt;0,Z120+(201-114)/10^6,0)</f>
        <v>0</v>
      </c>
      <c r="AB120" s="1"/>
      <c r="AC120" s="1"/>
      <c r="AD120" s="1"/>
      <c r="AE120" s="1"/>
      <c r="AF120" s="1"/>
      <c r="AG120" s="1"/>
      <c r="AH120" s="1"/>
    </row>
    <row r="121" customFormat="false" ht="15" hidden="false" customHeight="false" outlineLevel="0" collapsed="false">
      <c r="A121" s="1"/>
      <c r="B121" s="10"/>
      <c r="C121" s="31" t="str">
        <f aca="false">IF(B121="","",TEXT(B121,"ddd"))</f>
        <v/>
      </c>
      <c r="D121" s="11"/>
      <c r="E121" s="8" t="str">
        <f aca="false">IF(D121="","",IFERROR(INDEX(ProjNumbers,MATCH(D121,ProjNames,0)),""))</f>
        <v/>
      </c>
      <c r="F121" s="8" t="str">
        <f aca="false">IF(D121="","",IFERROR(INDEX(ProjCodes,MATCH(D121,ProjNames,0)),""))</f>
        <v/>
      </c>
      <c r="G121" s="32"/>
      <c r="H121" s="11"/>
      <c r="I121" s="33"/>
      <c r="J121" s="8" t="str">
        <f aca="false">IF(COUNTA(B121,D121,G121,H121,I121)=0,"",IF(B121="","Enter date",IF(OR(B121&lt;$AC$2,B121&gt;$AC$3),"Date not in April",IF(D121="","Pick project",IF(ISNA(MATCH(D121,ProjNames,0)),"Project not in list",IF(G121="","Add task description",IF(H121="","Pick NTIME or P6",IF(N(I121)&lt;=0,"Enter hours",IF(AND(AllowOT&lt;&gt;"Yes",SUMIF($B$7:$B$256,B121,$I$7:$I$256)&gt;INDEX($O$58:$O$87,DAY(B121))),"Day over "&amp;INDEX($O$58:$O$87,DAY(B121))&amp;" h","✓")))))))))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tr">
        <f aca="false">IF(Projects!B119="","",Projects!B119)</f>
        <v/>
      </c>
      <c r="X121" s="1" t="n">
        <f aca="false">IF(W121="",0,SUMIFS($I$7:$I$256,$D$7:$D$256,W121,$H$7:$H$256,"NTIME"))</f>
        <v>0</v>
      </c>
      <c r="Y121" s="1" t="n">
        <f aca="false">IF(W121="",0,SUMIFS($I$7:$I$256,$D$7:$D$256,W121,$H$7:$H$256,"P6"))</f>
        <v>0</v>
      </c>
      <c r="Z121" s="1" t="n">
        <f aca="false">X121+Y121</f>
        <v>0</v>
      </c>
      <c r="AA121" s="1" t="n">
        <f aca="false">IF(Z121&gt;0,Z121+(201-115)/10^6,0)</f>
        <v>0</v>
      </c>
      <c r="AB121" s="1"/>
      <c r="AC121" s="1"/>
      <c r="AD121" s="1"/>
      <c r="AE121" s="1"/>
      <c r="AF121" s="1"/>
      <c r="AG121" s="1"/>
      <c r="AH121" s="1"/>
    </row>
    <row r="122" customFormat="false" ht="15" hidden="false" customHeight="false" outlineLevel="0" collapsed="false">
      <c r="A122" s="1"/>
      <c r="B122" s="10"/>
      <c r="C122" s="31" t="str">
        <f aca="false">IF(B122="","",TEXT(B122,"ddd"))</f>
        <v/>
      </c>
      <c r="D122" s="11"/>
      <c r="E122" s="8" t="str">
        <f aca="false">IF(D122="","",IFERROR(INDEX(ProjNumbers,MATCH(D122,ProjNames,0)),""))</f>
        <v/>
      </c>
      <c r="F122" s="8" t="str">
        <f aca="false">IF(D122="","",IFERROR(INDEX(ProjCodes,MATCH(D122,ProjNames,0)),""))</f>
        <v/>
      </c>
      <c r="G122" s="32"/>
      <c r="H122" s="11"/>
      <c r="I122" s="33"/>
      <c r="J122" s="8" t="str">
        <f aca="false">IF(COUNTA(B122,D122,G122,H122,I122)=0,"",IF(B122="","Enter date",IF(OR(B122&lt;$AC$2,B122&gt;$AC$3),"Date not in April",IF(D122="","Pick project",IF(ISNA(MATCH(D122,ProjNames,0)),"Project not in list",IF(G122="","Add task description",IF(H122="","Pick NTIME or P6",IF(N(I122)&lt;=0,"Enter hours",IF(AND(AllowOT&lt;&gt;"Yes",SUMIF($B$7:$B$256,B122,$I$7:$I$256)&gt;INDEX($O$58:$O$87,DAY(B122))),"Day over "&amp;INDEX($O$58:$O$87,DAY(B122))&amp;" h","✓")))))))))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tr">
        <f aca="false">IF(Projects!B120="","",Projects!B120)</f>
        <v/>
      </c>
      <c r="X122" s="1" t="n">
        <f aca="false">IF(W122="",0,SUMIFS($I$7:$I$256,$D$7:$D$256,W122,$H$7:$H$256,"NTIME"))</f>
        <v>0</v>
      </c>
      <c r="Y122" s="1" t="n">
        <f aca="false">IF(W122="",0,SUMIFS($I$7:$I$256,$D$7:$D$256,W122,$H$7:$H$256,"P6"))</f>
        <v>0</v>
      </c>
      <c r="Z122" s="1" t="n">
        <f aca="false">X122+Y122</f>
        <v>0</v>
      </c>
      <c r="AA122" s="1" t="n">
        <f aca="false">IF(Z122&gt;0,Z122+(201-116)/10^6,0)</f>
        <v>0</v>
      </c>
      <c r="AB122" s="1"/>
      <c r="AC122" s="1"/>
      <c r="AD122" s="1"/>
      <c r="AE122" s="1"/>
      <c r="AF122" s="1"/>
      <c r="AG122" s="1"/>
      <c r="AH122" s="1"/>
    </row>
    <row r="123" customFormat="false" ht="15" hidden="false" customHeight="false" outlineLevel="0" collapsed="false">
      <c r="A123" s="1"/>
      <c r="B123" s="10"/>
      <c r="C123" s="31" t="str">
        <f aca="false">IF(B123="","",TEXT(B123,"ddd"))</f>
        <v/>
      </c>
      <c r="D123" s="11"/>
      <c r="E123" s="8" t="str">
        <f aca="false">IF(D123="","",IFERROR(INDEX(ProjNumbers,MATCH(D123,ProjNames,0)),""))</f>
        <v/>
      </c>
      <c r="F123" s="8" t="str">
        <f aca="false">IF(D123="","",IFERROR(INDEX(ProjCodes,MATCH(D123,ProjNames,0)),""))</f>
        <v/>
      </c>
      <c r="G123" s="32"/>
      <c r="H123" s="11"/>
      <c r="I123" s="33"/>
      <c r="J123" s="8" t="str">
        <f aca="false">IF(COUNTA(B123,D123,G123,H123,I123)=0,"",IF(B123="","Enter date",IF(OR(B123&lt;$AC$2,B123&gt;$AC$3),"Date not in April",IF(D123="","Pick project",IF(ISNA(MATCH(D123,ProjNames,0)),"Project not in list",IF(G123="","Add task description",IF(H123="","Pick NTIME or P6",IF(N(I123)&lt;=0,"Enter hours",IF(AND(AllowOT&lt;&gt;"Yes",SUMIF($B$7:$B$256,B123,$I$7:$I$256)&gt;INDEX($O$58:$O$87,DAY(B123))),"Day over "&amp;INDEX($O$58:$O$87,DAY(B123))&amp;" h","✓")))))))))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tr">
        <f aca="false">IF(Projects!B121="","",Projects!B121)</f>
        <v/>
      </c>
      <c r="X123" s="1" t="n">
        <f aca="false">IF(W123="",0,SUMIFS($I$7:$I$256,$D$7:$D$256,W123,$H$7:$H$256,"NTIME"))</f>
        <v>0</v>
      </c>
      <c r="Y123" s="1" t="n">
        <f aca="false">IF(W123="",0,SUMIFS($I$7:$I$256,$D$7:$D$256,W123,$H$7:$H$256,"P6"))</f>
        <v>0</v>
      </c>
      <c r="Z123" s="1" t="n">
        <f aca="false">X123+Y123</f>
        <v>0</v>
      </c>
      <c r="AA123" s="1" t="n">
        <f aca="false">IF(Z123&gt;0,Z123+(201-117)/10^6,0)</f>
        <v>0</v>
      </c>
      <c r="AB123" s="1"/>
      <c r="AC123" s="1"/>
      <c r="AD123" s="1"/>
      <c r="AE123" s="1"/>
      <c r="AF123" s="1"/>
      <c r="AG123" s="1"/>
      <c r="AH123" s="1"/>
    </row>
    <row r="124" customFormat="false" ht="15" hidden="false" customHeight="false" outlineLevel="0" collapsed="false">
      <c r="A124" s="1"/>
      <c r="B124" s="10"/>
      <c r="C124" s="31" t="str">
        <f aca="false">IF(B124="","",TEXT(B124,"ddd"))</f>
        <v/>
      </c>
      <c r="D124" s="11"/>
      <c r="E124" s="8" t="str">
        <f aca="false">IF(D124="","",IFERROR(INDEX(ProjNumbers,MATCH(D124,ProjNames,0)),""))</f>
        <v/>
      </c>
      <c r="F124" s="8" t="str">
        <f aca="false">IF(D124="","",IFERROR(INDEX(ProjCodes,MATCH(D124,ProjNames,0)),""))</f>
        <v/>
      </c>
      <c r="G124" s="32"/>
      <c r="H124" s="11"/>
      <c r="I124" s="33"/>
      <c r="J124" s="8" t="str">
        <f aca="false">IF(COUNTA(B124,D124,G124,H124,I124)=0,"",IF(B124="","Enter date",IF(OR(B124&lt;$AC$2,B124&gt;$AC$3),"Date not in April",IF(D124="","Pick project",IF(ISNA(MATCH(D124,ProjNames,0)),"Project not in list",IF(G124="","Add task description",IF(H124="","Pick NTIME or P6",IF(N(I124)&lt;=0,"Enter hours",IF(AND(AllowOT&lt;&gt;"Yes",SUMIF($B$7:$B$256,B124,$I$7:$I$256)&gt;INDEX($O$58:$O$87,DAY(B124))),"Day over "&amp;INDEX($O$58:$O$87,DAY(B124))&amp;" h","✓")))))))))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tr">
        <f aca="false">IF(Projects!B122="","",Projects!B122)</f>
        <v/>
      </c>
      <c r="X124" s="1" t="n">
        <f aca="false">IF(W124="",0,SUMIFS($I$7:$I$256,$D$7:$D$256,W124,$H$7:$H$256,"NTIME"))</f>
        <v>0</v>
      </c>
      <c r="Y124" s="1" t="n">
        <f aca="false">IF(W124="",0,SUMIFS($I$7:$I$256,$D$7:$D$256,W124,$H$7:$H$256,"P6"))</f>
        <v>0</v>
      </c>
      <c r="Z124" s="1" t="n">
        <f aca="false">X124+Y124</f>
        <v>0</v>
      </c>
      <c r="AA124" s="1" t="n">
        <f aca="false">IF(Z124&gt;0,Z124+(201-118)/10^6,0)</f>
        <v>0</v>
      </c>
      <c r="AB124" s="1"/>
      <c r="AC124" s="1"/>
      <c r="AD124" s="1"/>
      <c r="AE124" s="1"/>
      <c r="AF124" s="1"/>
      <c r="AG124" s="1"/>
      <c r="AH124" s="1"/>
    </row>
    <row r="125" customFormat="false" ht="15" hidden="false" customHeight="false" outlineLevel="0" collapsed="false">
      <c r="A125" s="1"/>
      <c r="B125" s="10"/>
      <c r="C125" s="31" t="str">
        <f aca="false">IF(B125="","",TEXT(B125,"ddd"))</f>
        <v/>
      </c>
      <c r="D125" s="11"/>
      <c r="E125" s="8" t="str">
        <f aca="false">IF(D125="","",IFERROR(INDEX(ProjNumbers,MATCH(D125,ProjNames,0)),""))</f>
        <v/>
      </c>
      <c r="F125" s="8" t="str">
        <f aca="false">IF(D125="","",IFERROR(INDEX(ProjCodes,MATCH(D125,ProjNames,0)),""))</f>
        <v/>
      </c>
      <c r="G125" s="32"/>
      <c r="H125" s="11"/>
      <c r="I125" s="33"/>
      <c r="J125" s="8" t="str">
        <f aca="false">IF(COUNTA(B125,D125,G125,H125,I125)=0,"",IF(B125="","Enter date",IF(OR(B125&lt;$AC$2,B125&gt;$AC$3),"Date not in April",IF(D125="","Pick project",IF(ISNA(MATCH(D125,ProjNames,0)),"Project not in list",IF(G125="","Add task description",IF(H125="","Pick NTIME or P6",IF(N(I125)&lt;=0,"Enter hours",IF(AND(AllowOT&lt;&gt;"Yes",SUMIF($B$7:$B$256,B125,$I$7:$I$256)&gt;INDEX($O$58:$O$87,DAY(B125))),"Day over "&amp;INDEX($O$58:$O$87,DAY(B125))&amp;" h","✓")))))))))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tr">
        <f aca="false">IF(Projects!B123="","",Projects!B123)</f>
        <v/>
      </c>
      <c r="X125" s="1" t="n">
        <f aca="false">IF(W125="",0,SUMIFS($I$7:$I$256,$D$7:$D$256,W125,$H$7:$H$256,"NTIME"))</f>
        <v>0</v>
      </c>
      <c r="Y125" s="1" t="n">
        <f aca="false">IF(W125="",0,SUMIFS($I$7:$I$256,$D$7:$D$256,W125,$H$7:$H$256,"P6"))</f>
        <v>0</v>
      </c>
      <c r="Z125" s="1" t="n">
        <f aca="false">X125+Y125</f>
        <v>0</v>
      </c>
      <c r="AA125" s="1" t="n">
        <f aca="false">IF(Z125&gt;0,Z125+(201-119)/10^6,0)</f>
        <v>0</v>
      </c>
      <c r="AB125" s="1"/>
      <c r="AC125" s="1"/>
      <c r="AD125" s="1"/>
      <c r="AE125" s="1"/>
      <c r="AF125" s="1"/>
      <c r="AG125" s="1"/>
      <c r="AH125" s="1"/>
    </row>
    <row r="126" customFormat="false" ht="15" hidden="false" customHeight="false" outlineLevel="0" collapsed="false">
      <c r="A126" s="1"/>
      <c r="B126" s="10"/>
      <c r="C126" s="31" t="str">
        <f aca="false">IF(B126="","",TEXT(B126,"ddd"))</f>
        <v/>
      </c>
      <c r="D126" s="11"/>
      <c r="E126" s="8" t="str">
        <f aca="false">IF(D126="","",IFERROR(INDEX(ProjNumbers,MATCH(D126,ProjNames,0)),""))</f>
        <v/>
      </c>
      <c r="F126" s="8" t="str">
        <f aca="false">IF(D126="","",IFERROR(INDEX(ProjCodes,MATCH(D126,ProjNames,0)),""))</f>
        <v/>
      </c>
      <c r="G126" s="32"/>
      <c r="H126" s="11"/>
      <c r="I126" s="33"/>
      <c r="J126" s="8" t="str">
        <f aca="false">IF(COUNTA(B126,D126,G126,H126,I126)=0,"",IF(B126="","Enter date",IF(OR(B126&lt;$AC$2,B126&gt;$AC$3),"Date not in April",IF(D126="","Pick project",IF(ISNA(MATCH(D126,ProjNames,0)),"Project not in list",IF(G126="","Add task description",IF(H126="","Pick NTIME or P6",IF(N(I126)&lt;=0,"Enter hours",IF(AND(AllowOT&lt;&gt;"Yes",SUMIF($B$7:$B$256,B126,$I$7:$I$256)&gt;INDEX($O$58:$O$87,DAY(B126))),"Day over "&amp;INDEX($O$58:$O$87,DAY(B126))&amp;" h","✓")))))))))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tr">
        <f aca="false">IF(Projects!B124="","",Projects!B124)</f>
        <v/>
      </c>
      <c r="X126" s="1" t="n">
        <f aca="false">IF(W126="",0,SUMIFS($I$7:$I$256,$D$7:$D$256,W126,$H$7:$H$256,"NTIME"))</f>
        <v>0</v>
      </c>
      <c r="Y126" s="1" t="n">
        <f aca="false">IF(W126="",0,SUMIFS($I$7:$I$256,$D$7:$D$256,W126,$H$7:$H$256,"P6"))</f>
        <v>0</v>
      </c>
      <c r="Z126" s="1" t="n">
        <f aca="false">X126+Y126</f>
        <v>0</v>
      </c>
      <c r="AA126" s="1" t="n">
        <f aca="false">IF(Z126&gt;0,Z126+(201-120)/10^6,0)</f>
        <v>0</v>
      </c>
      <c r="AB126" s="1"/>
      <c r="AC126" s="1"/>
      <c r="AD126" s="1"/>
      <c r="AE126" s="1"/>
      <c r="AF126" s="1"/>
      <c r="AG126" s="1"/>
      <c r="AH126" s="1"/>
    </row>
    <row r="127" customFormat="false" ht="15" hidden="false" customHeight="false" outlineLevel="0" collapsed="false">
      <c r="A127" s="1"/>
      <c r="B127" s="10"/>
      <c r="C127" s="31" t="str">
        <f aca="false">IF(B127="","",TEXT(B127,"ddd"))</f>
        <v/>
      </c>
      <c r="D127" s="11"/>
      <c r="E127" s="8" t="str">
        <f aca="false">IF(D127="","",IFERROR(INDEX(ProjNumbers,MATCH(D127,ProjNames,0)),""))</f>
        <v/>
      </c>
      <c r="F127" s="8" t="str">
        <f aca="false">IF(D127="","",IFERROR(INDEX(ProjCodes,MATCH(D127,ProjNames,0)),""))</f>
        <v/>
      </c>
      <c r="G127" s="32"/>
      <c r="H127" s="11"/>
      <c r="I127" s="33"/>
      <c r="J127" s="8" t="str">
        <f aca="false">IF(COUNTA(B127,D127,G127,H127,I127)=0,"",IF(B127="","Enter date",IF(OR(B127&lt;$AC$2,B127&gt;$AC$3),"Date not in April",IF(D127="","Pick project",IF(ISNA(MATCH(D127,ProjNames,0)),"Project not in list",IF(G127="","Add task description",IF(H127="","Pick NTIME or P6",IF(N(I127)&lt;=0,"Enter hours",IF(AND(AllowOT&lt;&gt;"Yes",SUMIF($B$7:$B$256,B127,$I$7:$I$256)&gt;INDEX($O$58:$O$87,DAY(B127))),"Day over "&amp;INDEX($O$58:$O$87,DAY(B127))&amp;" h","✓")))))))))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tr">
        <f aca="false">IF(Projects!B125="","",Projects!B125)</f>
        <v/>
      </c>
      <c r="X127" s="1" t="n">
        <f aca="false">IF(W127="",0,SUMIFS($I$7:$I$256,$D$7:$D$256,W127,$H$7:$H$256,"NTIME"))</f>
        <v>0</v>
      </c>
      <c r="Y127" s="1" t="n">
        <f aca="false">IF(W127="",0,SUMIFS($I$7:$I$256,$D$7:$D$256,W127,$H$7:$H$256,"P6"))</f>
        <v>0</v>
      </c>
      <c r="Z127" s="1" t="n">
        <f aca="false">X127+Y127</f>
        <v>0</v>
      </c>
      <c r="AA127" s="1" t="n">
        <f aca="false">IF(Z127&gt;0,Z127+(201-121)/10^6,0)</f>
        <v>0</v>
      </c>
      <c r="AB127" s="1"/>
      <c r="AC127" s="1"/>
      <c r="AD127" s="1"/>
      <c r="AE127" s="1"/>
      <c r="AF127" s="1"/>
      <c r="AG127" s="1"/>
      <c r="AH127" s="1"/>
    </row>
    <row r="128" customFormat="false" ht="15" hidden="false" customHeight="false" outlineLevel="0" collapsed="false">
      <c r="A128" s="1"/>
      <c r="B128" s="10"/>
      <c r="C128" s="31" t="str">
        <f aca="false">IF(B128="","",TEXT(B128,"ddd"))</f>
        <v/>
      </c>
      <c r="D128" s="11"/>
      <c r="E128" s="8" t="str">
        <f aca="false">IF(D128="","",IFERROR(INDEX(ProjNumbers,MATCH(D128,ProjNames,0)),""))</f>
        <v/>
      </c>
      <c r="F128" s="8" t="str">
        <f aca="false">IF(D128="","",IFERROR(INDEX(ProjCodes,MATCH(D128,ProjNames,0)),""))</f>
        <v/>
      </c>
      <c r="G128" s="32"/>
      <c r="H128" s="11"/>
      <c r="I128" s="33"/>
      <c r="J128" s="8" t="str">
        <f aca="false">IF(COUNTA(B128,D128,G128,H128,I128)=0,"",IF(B128="","Enter date",IF(OR(B128&lt;$AC$2,B128&gt;$AC$3),"Date not in April",IF(D128="","Pick project",IF(ISNA(MATCH(D128,ProjNames,0)),"Project not in list",IF(G128="","Add task description",IF(H128="","Pick NTIME or P6",IF(N(I128)&lt;=0,"Enter hours",IF(AND(AllowOT&lt;&gt;"Yes",SUMIF($B$7:$B$256,B128,$I$7:$I$256)&gt;INDEX($O$58:$O$87,DAY(B128))),"Day over "&amp;INDEX($O$58:$O$87,DAY(B128))&amp;" h","✓")))))))))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tr">
        <f aca="false">IF(Projects!B126="","",Projects!B126)</f>
        <v/>
      </c>
      <c r="X128" s="1" t="n">
        <f aca="false">IF(W128="",0,SUMIFS($I$7:$I$256,$D$7:$D$256,W128,$H$7:$H$256,"NTIME"))</f>
        <v>0</v>
      </c>
      <c r="Y128" s="1" t="n">
        <f aca="false">IF(W128="",0,SUMIFS($I$7:$I$256,$D$7:$D$256,W128,$H$7:$H$256,"P6"))</f>
        <v>0</v>
      </c>
      <c r="Z128" s="1" t="n">
        <f aca="false">X128+Y128</f>
        <v>0</v>
      </c>
      <c r="AA128" s="1" t="n">
        <f aca="false">IF(Z128&gt;0,Z128+(201-122)/10^6,0)</f>
        <v>0</v>
      </c>
      <c r="AB128" s="1"/>
      <c r="AC128" s="1"/>
      <c r="AD128" s="1"/>
      <c r="AE128" s="1"/>
      <c r="AF128" s="1"/>
      <c r="AG128" s="1"/>
      <c r="AH128" s="1"/>
    </row>
    <row r="129" customFormat="false" ht="15" hidden="false" customHeight="false" outlineLevel="0" collapsed="false">
      <c r="A129" s="1"/>
      <c r="B129" s="10"/>
      <c r="C129" s="31" t="str">
        <f aca="false">IF(B129="","",TEXT(B129,"ddd"))</f>
        <v/>
      </c>
      <c r="D129" s="11"/>
      <c r="E129" s="8" t="str">
        <f aca="false">IF(D129="","",IFERROR(INDEX(ProjNumbers,MATCH(D129,ProjNames,0)),""))</f>
        <v/>
      </c>
      <c r="F129" s="8" t="str">
        <f aca="false">IF(D129="","",IFERROR(INDEX(ProjCodes,MATCH(D129,ProjNames,0)),""))</f>
        <v/>
      </c>
      <c r="G129" s="32"/>
      <c r="H129" s="11"/>
      <c r="I129" s="33"/>
      <c r="J129" s="8" t="str">
        <f aca="false">IF(COUNTA(B129,D129,G129,H129,I129)=0,"",IF(B129="","Enter date",IF(OR(B129&lt;$AC$2,B129&gt;$AC$3),"Date not in April",IF(D129="","Pick project",IF(ISNA(MATCH(D129,ProjNames,0)),"Project not in list",IF(G129="","Add task description",IF(H129="","Pick NTIME or P6",IF(N(I129)&lt;=0,"Enter hours",IF(AND(AllowOT&lt;&gt;"Yes",SUMIF($B$7:$B$256,B129,$I$7:$I$256)&gt;INDEX($O$58:$O$87,DAY(B129))),"Day over "&amp;INDEX($O$58:$O$87,DAY(B129))&amp;" h","✓")))))))))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tr">
        <f aca="false">IF(Projects!B127="","",Projects!B127)</f>
        <v/>
      </c>
      <c r="X129" s="1" t="n">
        <f aca="false">IF(W129="",0,SUMIFS($I$7:$I$256,$D$7:$D$256,W129,$H$7:$H$256,"NTIME"))</f>
        <v>0</v>
      </c>
      <c r="Y129" s="1" t="n">
        <f aca="false">IF(W129="",0,SUMIFS($I$7:$I$256,$D$7:$D$256,W129,$H$7:$H$256,"P6"))</f>
        <v>0</v>
      </c>
      <c r="Z129" s="1" t="n">
        <f aca="false">X129+Y129</f>
        <v>0</v>
      </c>
      <c r="AA129" s="1" t="n">
        <f aca="false">IF(Z129&gt;0,Z129+(201-123)/10^6,0)</f>
        <v>0</v>
      </c>
      <c r="AB129" s="1"/>
      <c r="AC129" s="1"/>
      <c r="AD129" s="1"/>
      <c r="AE129" s="1"/>
      <c r="AF129" s="1"/>
      <c r="AG129" s="1"/>
      <c r="AH129" s="1"/>
    </row>
    <row r="130" customFormat="false" ht="15" hidden="false" customHeight="false" outlineLevel="0" collapsed="false">
      <c r="A130" s="1"/>
      <c r="B130" s="10"/>
      <c r="C130" s="31" t="str">
        <f aca="false">IF(B130="","",TEXT(B130,"ddd"))</f>
        <v/>
      </c>
      <c r="D130" s="11"/>
      <c r="E130" s="8" t="str">
        <f aca="false">IF(D130="","",IFERROR(INDEX(ProjNumbers,MATCH(D130,ProjNames,0)),""))</f>
        <v/>
      </c>
      <c r="F130" s="8" t="str">
        <f aca="false">IF(D130="","",IFERROR(INDEX(ProjCodes,MATCH(D130,ProjNames,0)),""))</f>
        <v/>
      </c>
      <c r="G130" s="32"/>
      <c r="H130" s="11"/>
      <c r="I130" s="33"/>
      <c r="J130" s="8" t="str">
        <f aca="false">IF(COUNTA(B130,D130,G130,H130,I130)=0,"",IF(B130="","Enter date",IF(OR(B130&lt;$AC$2,B130&gt;$AC$3),"Date not in April",IF(D130="","Pick project",IF(ISNA(MATCH(D130,ProjNames,0)),"Project not in list",IF(G130="","Add task description",IF(H130="","Pick NTIME or P6",IF(N(I130)&lt;=0,"Enter hours",IF(AND(AllowOT&lt;&gt;"Yes",SUMIF($B$7:$B$256,B130,$I$7:$I$256)&gt;INDEX($O$58:$O$87,DAY(B130))),"Day over "&amp;INDEX($O$58:$O$87,DAY(B130))&amp;" h","✓")))))))))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tr">
        <f aca="false">IF(Projects!B128="","",Projects!B128)</f>
        <v/>
      </c>
      <c r="X130" s="1" t="n">
        <f aca="false">IF(W130="",0,SUMIFS($I$7:$I$256,$D$7:$D$256,W130,$H$7:$H$256,"NTIME"))</f>
        <v>0</v>
      </c>
      <c r="Y130" s="1" t="n">
        <f aca="false">IF(W130="",0,SUMIFS($I$7:$I$256,$D$7:$D$256,W130,$H$7:$H$256,"P6"))</f>
        <v>0</v>
      </c>
      <c r="Z130" s="1" t="n">
        <f aca="false">X130+Y130</f>
        <v>0</v>
      </c>
      <c r="AA130" s="1" t="n">
        <f aca="false">IF(Z130&gt;0,Z130+(201-124)/10^6,0)</f>
        <v>0</v>
      </c>
      <c r="AB130" s="1"/>
      <c r="AC130" s="1"/>
      <c r="AD130" s="1"/>
      <c r="AE130" s="1"/>
      <c r="AF130" s="1"/>
      <c r="AG130" s="1"/>
      <c r="AH130" s="1"/>
    </row>
    <row r="131" customFormat="false" ht="15" hidden="false" customHeight="false" outlineLevel="0" collapsed="false">
      <c r="A131" s="1"/>
      <c r="B131" s="10"/>
      <c r="C131" s="31" t="str">
        <f aca="false">IF(B131="","",TEXT(B131,"ddd"))</f>
        <v/>
      </c>
      <c r="D131" s="11"/>
      <c r="E131" s="8" t="str">
        <f aca="false">IF(D131="","",IFERROR(INDEX(ProjNumbers,MATCH(D131,ProjNames,0)),""))</f>
        <v/>
      </c>
      <c r="F131" s="8" t="str">
        <f aca="false">IF(D131="","",IFERROR(INDEX(ProjCodes,MATCH(D131,ProjNames,0)),""))</f>
        <v/>
      </c>
      <c r="G131" s="32"/>
      <c r="H131" s="11"/>
      <c r="I131" s="33"/>
      <c r="J131" s="8" t="str">
        <f aca="false">IF(COUNTA(B131,D131,G131,H131,I131)=0,"",IF(B131="","Enter date",IF(OR(B131&lt;$AC$2,B131&gt;$AC$3),"Date not in April",IF(D131="","Pick project",IF(ISNA(MATCH(D131,ProjNames,0)),"Project not in list",IF(G131="","Add task description",IF(H131="","Pick NTIME or P6",IF(N(I131)&lt;=0,"Enter hours",IF(AND(AllowOT&lt;&gt;"Yes",SUMIF($B$7:$B$256,B131,$I$7:$I$256)&gt;INDEX($O$58:$O$87,DAY(B131))),"Day over "&amp;INDEX($O$58:$O$87,DAY(B131))&amp;" h","✓")))))))))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tr">
        <f aca="false">IF(Projects!B129="","",Projects!B129)</f>
        <v/>
      </c>
      <c r="X131" s="1" t="n">
        <f aca="false">IF(W131="",0,SUMIFS($I$7:$I$256,$D$7:$D$256,W131,$H$7:$H$256,"NTIME"))</f>
        <v>0</v>
      </c>
      <c r="Y131" s="1" t="n">
        <f aca="false">IF(W131="",0,SUMIFS($I$7:$I$256,$D$7:$D$256,W131,$H$7:$H$256,"P6"))</f>
        <v>0</v>
      </c>
      <c r="Z131" s="1" t="n">
        <f aca="false">X131+Y131</f>
        <v>0</v>
      </c>
      <c r="AA131" s="1" t="n">
        <f aca="false">IF(Z131&gt;0,Z131+(201-125)/10^6,0)</f>
        <v>0</v>
      </c>
      <c r="AB131" s="1"/>
      <c r="AC131" s="1"/>
      <c r="AD131" s="1"/>
      <c r="AE131" s="1"/>
      <c r="AF131" s="1"/>
      <c r="AG131" s="1"/>
      <c r="AH131" s="1"/>
    </row>
    <row r="132" customFormat="false" ht="15" hidden="false" customHeight="false" outlineLevel="0" collapsed="false">
      <c r="A132" s="1"/>
      <c r="B132" s="10"/>
      <c r="C132" s="31" t="str">
        <f aca="false">IF(B132="","",TEXT(B132,"ddd"))</f>
        <v/>
      </c>
      <c r="D132" s="11"/>
      <c r="E132" s="8" t="str">
        <f aca="false">IF(D132="","",IFERROR(INDEX(ProjNumbers,MATCH(D132,ProjNames,0)),""))</f>
        <v/>
      </c>
      <c r="F132" s="8" t="str">
        <f aca="false">IF(D132="","",IFERROR(INDEX(ProjCodes,MATCH(D132,ProjNames,0)),""))</f>
        <v/>
      </c>
      <c r="G132" s="32"/>
      <c r="H132" s="11"/>
      <c r="I132" s="33"/>
      <c r="J132" s="8" t="str">
        <f aca="false">IF(COUNTA(B132,D132,G132,H132,I132)=0,"",IF(B132="","Enter date",IF(OR(B132&lt;$AC$2,B132&gt;$AC$3),"Date not in April",IF(D132="","Pick project",IF(ISNA(MATCH(D132,ProjNames,0)),"Project not in list",IF(G132="","Add task description",IF(H132="","Pick NTIME or P6",IF(N(I132)&lt;=0,"Enter hours",IF(AND(AllowOT&lt;&gt;"Yes",SUMIF($B$7:$B$256,B132,$I$7:$I$256)&gt;INDEX($O$58:$O$87,DAY(B132))),"Day over "&amp;INDEX($O$58:$O$87,DAY(B132))&amp;" h","✓")))))))))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tr">
        <f aca="false">IF(Projects!B130="","",Projects!B130)</f>
        <v/>
      </c>
      <c r="X132" s="1" t="n">
        <f aca="false">IF(W132="",0,SUMIFS($I$7:$I$256,$D$7:$D$256,W132,$H$7:$H$256,"NTIME"))</f>
        <v>0</v>
      </c>
      <c r="Y132" s="1" t="n">
        <f aca="false">IF(W132="",0,SUMIFS($I$7:$I$256,$D$7:$D$256,W132,$H$7:$H$256,"P6"))</f>
        <v>0</v>
      </c>
      <c r="Z132" s="1" t="n">
        <f aca="false">X132+Y132</f>
        <v>0</v>
      </c>
      <c r="AA132" s="1" t="n">
        <f aca="false">IF(Z132&gt;0,Z132+(201-126)/10^6,0)</f>
        <v>0</v>
      </c>
      <c r="AB132" s="1"/>
      <c r="AC132" s="1"/>
      <c r="AD132" s="1"/>
      <c r="AE132" s="1"/>
      <c r="AF132" s="1"/>
      <c r="AG132" s="1"/>
      <c r="AH132" s="1"/>
    </row>
    <row r="133" customFormat="false" ht="15" hidden="false" customHeight="false" outlineLevel="0" collapsed="false">
      <c r="A133" s="1"/>
      <c r="B133" s="10"/>
      <c r="C133" s="31" t="str">
        <f aca="false">IF(B133="","",TEXT(B133,"ddd"))</f>
        <v/>
      </c>
      <c r="D133" s="11"/>
      <c r="E133" s="8" t="str">
        <f aca="false">IF(D133="","",IFERROR(INDEX(ProjNumbers,MATCH(D133,ProjNames,0)),""))</f>
        <v/>
      </c>
      <c r="F133" s="8" t="str">
        <f aca="false">IF(D133="","",IFERROR(INDEX(ProjCodes,MATCH(D133,ProjNames,0)),""))</f>
        <v/>
      </c>
      <c r="G133" s="32"/>
      <c r="H133" s="11"/>
      <c r="I133" s="33"/>
      <c r="J133" s="8" t="str">
        <f aca="false">IF(COUNTA(B133,D133,G133,H133,I133)=0,"",IF(B133="","Enter date",IF(OR(B133&lt;$AC$2,B133&gt;$AC$3),"Date not in April",IF(D133="","Pick project",IF(ISNA(MATCH(D133,ProjNames,0)),"Project not in list",IF(G133="","Add task description",IF(H133="","Pick NTIME or P6",IF(N(I133)&lt;=0,"Enter hours",IF(AND(AllowOT&lt;&gt;"Yes",SUMIF($B$7:$B$256,B133,$I$7:$I$256)&gt;INDEX($O$58:$O$87,DAY(B133))),"Day over "&amp;INDEX($O$58:$O$87,DAY(B133))&amp;" h","✓")))))))))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tr">
        <f aca="false">IF(Projects!B131="","",Projects!B131)</f>
        <v/>
      </c>
      <c r="X133" s="1" t="n">
        <f aca="false">IF(W133="",0,SUMIFS($I$7:$I$256,$D$7:$D$256,W133,$H$7:$H$256,"NTIME"))</f>
        <v>0</v>
      </c>
      <c r="Y133" s="1" t="n">
        <f aca="false">IF(W133="",0,SUMIFS($I$7:$I$256,$D$7:$D$256,W133,$H$7:$H$256,"P6"))</f>
        <v>0</v>
      </c>
      <c r="Z133" s="1" t="n">
        <f aca="false">X133+Y133</f>
        <v>0</v>
      </c>
      <c r="AA133" s="1" t="n">
        <f aca="false">IF(Z133&gt;0,Z133+(201-127)/10^6,0)</f>
        <v>0</v>
      </c>
      <c r="AB133" s="1"/>
      <c r="AC133" s="1"/>
      <c r="AD133" s="1"/>
      <c r="AE133" s="1"/>
      <c r="AF133" s="1"/>
      <c r="AG133" s="1"/>
      <c r="AH133" s="1"/>
    </row>
    <row r="134" customFormat="false" ht="15" hidden="false" customHeight="false" outlineLevel="0" collapsed="false">
      <c r="A134" s="1"/>
      <c r="B134" s="10"/>
      <c r="C134" s="31" t="str">
        <f aca="false">IF(B134="","",TEXT(B134,"ddd"))</f>
        <v/>
      </c>
      <c r="D134" s="11"/>
      <c r="E134" s="8" t="str">
        <f aca="false">IF(D134="","",IFERROR(INDEX(ProjNumbers,MATCH(D134,ProjNames,0)),""))</f>
        <v/>
      </c>
      <c r="F134" s="8" t="str">
        <f aca="false">IF(D134="","",IFERROR(INDEX(ProjCodes,MATCH(D134,ProjNames,0)),""))</f>
        <v/>
      </c>
      <c r="G134" s="32"/>
      <c r="H134" s="11"/>
      <c r="I134" s="33"/>
      <c r="J134" s="8" t="str">
        <f aca="false">IF(COUNTA(B134,D134,G134,H134,I134)=0,"",IF(B134="","Enter date",IF(OR(B134&lt;$AC$2,B134&gt;$AC$3),"Date not in April",IF(D134="","Pick project",IF(ISNA(MATCH(D134,ProjNames,0)),"Project not in list",IF(G134="","Add task description",IF(H134="","Pick NTIME or P6",IF(N(I134)&lt;=0,"Enter hours",IF(AND(AllowOT&lt;&gt;"Yes",SUMIF($B$7:$B$256,B134,$I$7:$I$256)&gt;INDEX($O$58:$O$87,DAY(B134))),"Day over "&amp;INDEX($O$58:$O$87,DAY(B134))&amp;" h","✓")))))))))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tr">
        <f aca="false">IF(Projects!B132="","",Projects!B132)</f>
        <v/>
      </c>
      <c r="X134" s="1" t="n">
        <f aca="false">IF(W134="",0,SUMIFS($I$7:$I$256,$D$7:$D$256,W134,$H$7:$H$256,"NTIME"))</f>
        <v>0</v>
      </c>
      <c r="Y134" s="1" t="n">
        <f aca="false">IF(W134="",0,SUMIFS($I$7:$I$256,$D$7:$D$256,W134,$H$7:$H$256,"P6"))</f>
        <v>0</v>
      </c>
      <c r="Z134" s="1" t="n">
        <f aca="false">X134+Y134</f>
        <v>0</v>
      </c>
      <c r="AA134" s="1" t="n">
        <f aca="false">IF(Z134&gt;0,Z134+(201-128)/10^6,0)</f>
        <v>0</v>
      </c>
      <c r="AB134" s="1"/>
      <c r="AC134" s="1"/>
      <c r="AD134" s="1"/>
      <c r="AE134" s="1"/>
      <c r="AF134" s="1"/>
      <c r="AG134" s="1"/>
      <c r="AH134" s="1"/>
    </row>
    <row r="135" customFormat="false" ht="15" hidden="false" customHeight="false" outlineLevel="0" collapsed="false">
      <c r="A135" s="1"/>
      <c r="B135" s="10"/>
      <c r="C135" s="31" t="str">
        <f aca="false">IF(B135="","",TEXT(B135,"ddd"))</f>
        <v/>
      </c>
      <c r="D135" s="11"/>
      <c r="E135" s="8" t="str">
        <f aca="false">IF(D135="","",IFERROR(INDEX(ProjNumbers,MATCH(D135,ProjNames,0)),""))</f>
        <v/>
      </c>
      <c r="F135" s="8" t="str">
        <f aca="false">IF(D135="","",IFERROR(INDEX(ProjCodes,MATCH(D135,ProjNames,0)),""))</f>
        <v/>
      </c>
      <c r="G135" s="32"/>
      <c r="H135" s="11"/>
      <c r="I135" s="33"/>
      <c r="J135" s="8" t="str">
        <f aca="false">IF(COUNTA(B135,D135,G135,H135,I135)=0,"",IF(B135="","Enter date",IF(OR(B135&lt;$AC$2,B135&gt;$AC$3),"Date not in April",IF(D135="","Pick project",IF(ISNA(MATCH(D135,ProjNames,0)),"Project not in list",IF(G135="","Add task description",IF(H135="","Pick NTIME or P6",IF(N(I135)&lt;=0,"Enter hours",IF(AND(AllowOT&lt;&gt;"Yes",SUMIF($B$7:$B$256,B135,$I$7:$I$256)&gt;INDEX($O$58:$O$87,DAY(B135))),"Day over "&amp;INDEX($O$58:$O$87,DAY(B135))&amp;" h","✓")))))))))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tr">
        <f aca="false">IF(Projects!B133="","",Projects!B133)</f>
        <v/>
      </c>
      <c r="X135" s="1" t="n">
        <f aca="false">IF(W135="",0,SUMIFS($I$7:$I$256,$D$7:$D$256,W135,$H$7:$H$256,"NTIME"))</f>
        <v>0</v>
      </c>
      <c r="Y135" s="1" t="n">
        <f aca="false">IF(W135="",0,SUMIFS($I$7:$I$256,$D$7:$D$256,W135,$H$7:$H$256,"P6"))</f>
        <v>0</v>
      </c>
      <c r="Z135" s="1" t="n">
        <f aca="false">X135+Y135</f>
        <v>0</v>
      </c>
      <c r="AA135" s="1" t="n">
        <f aca="false">IF(Z135&gt;0,Z135+(201-129)/10^6,0)</f>
        <v>0</v>
      </c>
      <c r="AB135" s="1"/>
      <c r="AC135" s="1"/>
      <c r="AD135" s="1"/>
      <c r="AE135" s="1"/>
      <c r="AF135" s="1"/>
      <c r="AG135" s="1"/>
      <c r="AH135" s="1"/>
    </row>
    <row r="136" customFormat="false" ht="15" hidden="false" customHeight="false" outlineLevel="0" collapsed="false">
      <c r="A136" s="1"/>
      <c r="B136" s="10"/>
      <c r="C136" s="31" t="str">
        <f aca="false">IF(B136="","",TEXT(B136,"ddd"))</f>
        <v/>
      </c>
      <c r="D136" s="11"/>
      <c r="E136" s="8" t="str">
        <f aca="false">IF(D136="","",IFERROR(INDEX(ProjNumbers,MATCH(D136,ProjNames,0)),""))</f>
        <v/>
      </c>
      <c r="F136" s="8" t="str">
        <f aca="false">IF(D136="","",IFERROR(INDEX(ProjCodes,MATCH(D136,ProjNames,0)),""))</f>
        <v/>
      </c>
      <c r="G136" s="32"/>
      <c r="H136" s="11"/>
      <c r="I136" s="33"/>
      <c r="J136" s="8" t="str">
        <f aca="false">IF(COUNTA(B136,D136,G136,H136,I136)=0,"",IF(B136="","Enter date",IF(OR(B136&lt;$AC$2,B136&gt;$AC$3),"Date not in April",IF(D136="","Pick project",IF(ISNA(MATCH(D136,ProjNames,0)),"Project not in list",IF(G136="","Add task description",IF(H136="","Pick NTIME or P6",IF(N(I136)&lt;=0,"Enter hours",IF(AND(AllowOT&lt;&gt;"Yes",SUMIF($B$7:$B$256,B136,$I$7:$I$256)&gt;INDEX($O$58:$O$87,DAY(B136))),"Day over "&amp;INDEX($O$58:$O$87,DAY(B136))&amp;" h","✓")))))))))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tr">
        <f aca="false">IF(Projects!B134="","",Projects!B134)</f>
        <v/>
      </c>
      <c r="X136" s="1" t="n">
        <f aca="false">IF(W136="",0,SUMIFS($I$7:$I$256,$D$7:$D$256,W136,$H$7:$H$256,"NTIME"))</f>
        <v>0</v>
      </c>
      <c r="Y136" s="1" t="n">
        <f aca="false">IF(W136="",0,SUMIFS($I$7:$I$256,$D$7:$D$256,W136,$H$7:$H$256,"P6"))</f>
        <v>0</v>
      </c>
      <c r="Z136" s="1" t="n">
        <f aca="false">X136+Y136</f>
        <v>0</v>
      </c>
      <c r="AA136" s="1" t="n">
        <f aca="false">IF(Z136&gt;0,Z136+(201-130)/10^6,0)</f>
        <v>0</v>
      </c>
      <c r="AB136" s="1"/>
      <c r="AC136" s="1"/>
      <c r="AD136" s="1"/>
      <c r="AE136" s="1"/>
      <c r="AF136" s="1"/>
      <c r="AG136" s="1"/>
      <c r="AH136" s="1"/>
    </row>
    <row r="137" customFormat="false" ht="15" hidden="false" customHeight="false" outlineLevel="0" collapsed="false">
      <c r="A137" s="1"/>
      <c r="B137" s="10"/>
      <c r="C137" s="31" t="str">
        <f aca="false">IF(B137="","",TEXT(B137,"ddd"))</f>
        <v/>
      </c>
      <c r="D137" s="11"/>
      <c r="E137" s="8" t="str">
        <f aca="false">IF(D137="","",IFERROR(INDEX(ProjNumbers,MATCH(D137,ProjNames,0)),""))</f>
        <v/>
      </c>
      <c r="F137" s="8" t="str">
        <f aca="false">IF(D137="","",IFERROR(INDEX(ProjCodes,MATCH(D137,ProjNames,0)),""))</f>
        <v/>
      </c>
      <c r="G137" s="32"/>
      <c r="H137" s="11"/>
      <c r="I137" s="33"/>
      <c r="J137" s="8" t="str">
        <f aca="false">IF(COUNTA(B137,D137,G137,H137,I137)=0,"",IF(B137="","Enter date",IF(OR(B137&lt;$AC$2,B137&gt;$AC$3),"Date not in April",IF(D137="","Pick project",IF(ISNA(MATCH(D137,ProjNames,0)),"Project not in list",IF(G137="","Add task description",IF(H137="","Pick NTIME or P6",IF(N(I137)&lt;=0,"Enter hours",IF(AND(AllowOT&lt;&gt;"Yes",SUMIF($B$7:$B$256,B137,$I$7:$I$256)&gt;INDEX($O$58:$O$87,DAY(B137))),"Day over "&amp;INDEX($O$58:$O$87,DAY(B137))&amp;" h","✓")))))))))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tr">
        <f aca="false">IF(Projects!B135="","",Projects!B135)</f>
        <v/>
      </c>
      <c r="X137" s="1" t="n">
        <f aca="false">IF(W137="",0,SUMIFS($I$7:$I$256,$D$7:$D$256,W137,$H$7:$H$256,"NTIME"))</f>
        <v>0</v>
      </c>
      <c r="Y137" s="1" t="n">
        <f aca="false">IF(W137="",0,SUMIFS($I$7:$I$256,$D$7:$D$256,W137,$H$7:$H$256,"P6"))</f>
        <v>0</v>
      </c>
      <c r="Z137" s="1" t="n">
        <f aca="false">X137+Y137</f>
        <v>0</v>
      </c>
      <c r="AA137" s="1" t="n">
        <f aca="false">IF(Z137&gt;0,Z137+(201-131)/10^6,0)</f>
        <v>0</v>
      </c>
      <c r="AB137" s="1"/>
      <c r="AC137" s="1"/>
      <c r="AD137" s="1"/>
      <c r="AE137" s="1"/>
      <c r="AF137" s="1"/>
      <c r="AG137" s="1"/>
      <c r="AH137" s="1"/>
    </row>
    <row r="138" customFormat="false" ht="15" hidden="false" customHeight="false" outlineLevel="0" collapsed="false">
      <c r="A138" s="1"/>
      <c r="B138" s="10"/>
      <c r="C138" s="31" t="str">
        <f aca="false">IF(B138="","",TEXT(B138,"ddd"))</f>
        <v/>
      </c>
      <c r="D138" s="11"/>
      <c r="E138" s="8" t="str">
        <f aca="false">IF(D138="","",IFERROR(INDEX(ProjNumbers,MATCH(D138,ProjNames,0)),""))</f>
        <v/>
      </c>
      <c r="F138" s="8" t="str">
        <f aca="false">IF(D138="","",IFERROR(INDEX(ProjCodes,MATCH(D138,ProjNames,0)),""))</f>
        <v/>
      </c>
      <c r="G138" s="32"/>
      <c r="H138" s="11"/>
      <c r="I138" s="33"/>
      <c r="J138" s="8" t="str">
        <f aca="false">IF(COUNTA(B138,D138,G138,H138,I138)=0,"",IF(B138="","Enter date",IF(OR(B138&lt;$AC$2,B138&gt;$AC$3),"Date not in April",IF(D138="","Pick project",IF(ISNA(MATCH(D138,ProjNames,0)),"Project not in list",IF(G138="","Add task description",IF(H138="","Pick NTIME or P6",IF(N(I138)&lt;=0,"Enter hours",IF(AND(AllowOT&lt;&gt;"Yes",SUMIF($B$7:$B$256,B138,$I$7:$I$256)&gt;INDEX($O$58:$O$87,DAY(B138))),"Day over "&amp;INDEX($O$58:$O$87,DAY(B138))&amp;" h","✓")))))))))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tr">
        <f aca="false">IF(Projects!B136="","",Projects!B136)</f>
        <v/>
      </c>
      <c r="X138" s="1" t="n">
        <f aca="false">IF(W138="",0,SUMIFS($I$7:$I$256,$D$7:$D$256,W138,$H$7:$H$256,"NTIME"))</f>
        <v>0</v>
      </c>
      <c r="Y138" s="1" t="n">
        <f aca="false">IF(W138="",0,SUMIFS($I$7:$I$256,$D$7:$D$256,W138,$H$7:$H$256,"P6"))</f>
        <v>0</v>
      </c>
      <c r="Z138" s="1" t="n">
        <f aca="false">X138+Y138</f>
        <v>0</v>
      </c>
      <c r="AA138" s="1" t="n">
        <f aca="false">IF(Z138&gt;0,Z138+(201-132)/10^6,0)</f>
        <v>0</v>
      </c>
      <c r="AB138" s="1"/>
      <c r="AC138" s="1"/>
      <c r="AD138" s="1"/>
      <c r="AE138" s="1"/>
      <c r="AF138" s="1"/>
      <c r="AG138" s="1"/>
      <c r="AH138" s="1"/>
    </row>
    <row r="139" customFormat="false" ht="15" hidden="false" customHeight="false" outlineLevel="0" collapsed="false">
      <c r="A139" s="1"/>
      <c r="B139" s="10"/>
      <c r="C139" s="31" t="str">
        <f aca="false">IF(B139="","",TEXT(B139,"ddd"))</f>
        <v/>
      </c>
      <c r="D139" s="11"/>
      <c r="E139" s="8" t="str">
        <f aca="false">IF(D139="","",IFERROR(INDEX(ProjNumbers,MATCH(D139,ProjNames,0)),""))</f>
        <v/>
      </c>
      <c r="F139" s="8" t="str">
        <f aca="false">IF(D139="","",IFERROR(INDEX(ProjCodes,MATCH(D139,ProjNames,0)),""))</f>
        <v/>
      </c>
      <c r="G139" s="32"/>
      <c r="H139" s="11"/>
      <c r="I139" s="33"/>
      <c r="J139" s="8" t="str">
        <f aca="false">IF(COUNTA(B139,D139,G139,H139,I139)=0,"",IF(B139="","Enter date",IF(OR(B139&lt;$AC$2,B139&gt;$AC$3),"Date not in April",IF(D139="","Pick project",IF(ISNA(MATCH(D139,ProjNames,0)),"Project not in list",IF(G139="","Add task description",IF(H139="","Pick NTIME or P6",IF(N(I139)&lt;=0,"Enter hours",IF(AND(AllowOT&lt;&gt;"Yes",SUMIF($B$7:$B$256,B139,$I$7:$I$256)&gt;INDEX($O$58:$O$87,DAY(B139))),"Day over "&amp;INDEX($O$58:$O$87,DAY(B139))&amp;" h","✓")))))))))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tr">
        <f aca="false">IF(Projects!B137="","",Projects!B137)</f>
        <v/>
      </c>
      <c r="X139" s="1" t="n">
        <f aca="false">IF(W139="",0,SUMIFS($I$7:$I$256,$D$7:$D$256,W139,$H$7:$H$256,"NTIME"))</f>
        <v>0</v>
      </c>
      <c r="Y139" s="1" t="n">
        <f aca="false">IF(W139="",0,SUMIFS($I$7:$I$256,$D$7:$D$256,W139,$H$7:$H$256,"P6"))</f>
        <v>0</v>
      </c>
      <c r="Z139" s="1" t="n">
        <f aca="false">X139+Y139</f>
        <v>0</v>
      </c>
      <c r="AA139" s="1" t="n">
        <f aca="false">IF(Z139&gt;0,Z139+(201-133)/10^6,0)</f>
        <v>0</v>
      </c>
      <c r="AB139" s="1"/>
      <c r="AC139" s="1"/>
      <c r="AD139" s="1"/>
      <c r="AE139" s="1"/>
      <c r="AF139" s="1"/>
      <c r="AG139" s="1"/>
      <c r="AH139" s="1"/>
    </row>
    <row r="140" customFormat="false" ht="15" hidden="false" customHeight="false" outlineLevel="0" collapsed="false">
      <c r="A140" s="1"/>
      <c r="B140" s="10"/>
      <c r="C140" s="31" t="str">
        <f aca="false">IF(B140="","",TEXT(B140,"ddd"))</f>
        <v/>
      </c>
      <c r="D140" s="11"/>
      <c r="E140" s="8" t="str">
        <f aca="false">IF(D140="","",IFERROR(INDEX(ProjNumbers,MATCH(D140,ProjNames,0)),""))</f>
        <v/>
      </c>
      <c r="F140" s="8" t="str">
        <f aca="false">IF(D140="","",IFERROR(INDEX(ProjCodes,MATCH(D140,ProjNames,0)),""))</f>
        <v/>
      </c>
      <c r="G140" s="32"/>
      <c r="H140" s="11"/>
      <c r="I140" s="33"/>
      <c r="J140" s="8" t="str">
        <f aca="false">IF(COUNTA(B140,D140,G140,H140,I140)=0,"",IF(B140="","Enter date",IF(OR(B140&lt;$AC$2,B140&gt;$AC$3),"Date not in April",IF(D140="","Pick project",IF(ISNA(MATCH(D140,ProjNames,0)),"Project not in list",IF(G140="","Add task description",IF(H140="","Pick NTIME or P6",IF(N(I140)&lt;=0,"Enter hours",IF(AND(AllowOT&lt;&gt;"Yes",SUMIF($B$7:$B$256,B140,$I$7:$I$256)&gt;INDEX($O$58:$O$87,DAY(B140))),"Day over "&amp;INDEX($O$58:$O$87,DAY(B140))&amp;" h","✓")))))))))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tr">
        <f aca="false">IF(Projects!B138="","",Projects!B138)</f>
        <v/>
      </c>
      <c r="X140" s="1" t="n">
        <f aca="false">IF(W140="",0,SUMIFS($I$7:$I$256,$D$7:$D$256,W140,$H$7:$H$256,"NTIME"))</f>
        <v>0</v>
      </c>
      <c r="Y140" s="1" t="n">
        <f aca="false">IF(W140="",0,SUMIFS($I$7:$I$256,$D$7:$D$256,W140,$H$7:$H$256,"P6"))</f>
        <v>0</v>
      </c>
      <c r="Z140" s="1" t="n">
        <f aca="false">X140+Y140</f>
        <v>0</v>
      </c>
      <c r="AA140" s="1" t="n">
        <f aca="false">IF(Z140&gt;0,Z140+(201-134)/10^6,0)</f>
        <v>0</v>
      </c>
      <c r="AB140" s="1"/>
      <c r="AC140" s="1"/>
      <c r="AD140" s="1"/>
      <c r="AE140" s="1"/>
      <c r="AF140" s="1"/>
      <c r="AG140" s="1"/>
      <c r="AH140" s="1"/>
    </row>
    <row r="141" customFormat="false" ht="15" hidden="false" customHeight="false" outlineLevel="0" collapsed="false">
      <c r="A141" s="1"/>
      <c r="B141" s="10"/>
      <c r="C141" s="31" t="str">
        <f aca="false">IF(B141="","",TEXT(B141,"ddd"))</f>
        <v/>
      </c>
      <c r="D141" s="11"/>
      <c r="E141" s="8" t="str">
        <f aca="false">IF(D141="","",IFERROR(INDEX(ProjNumbers,MATCH(D141,ProjNames,0)),""))</f>
        <v/>
      </c>
      <c r="F141" s="8" t="str">
        <f aca="false">IF(D141="","",IFERROR(INDEX(ProjCodes,MATCH(D141,ProjNames,0)),""))</f>
        <v/>
      </c>
      <c r="G141" s="32"/>
      <c r="H141" s="11"/>
      <c r="I141" s="33"/>
      <c r="J141" s="8" t="str">
        <f aca="false">IF(COUNTA(B141,D141,G141,H141,I141)=0,"",IF(B141="","Enter date",IF(OR(B141&lt;$AC$2,B141&gt;$AC$3),"Date not in April",IF(D141="","Pick project",IF(ISNA(MATCH(D141,ProjNames,0)),"Project not in list",IF(G141="","Add task description",IF(H141="","Pick NTIME or P6",IF(N(I141)&lt;=0,"Enter hours",IF(AND(AllowOT&lt;&gt;"Yes",SUMIF($B$7:$B$256,B141,$I$7:$I$256)&gt;INDEX($O$58:$O$87,DAY(B141))),"Day over "&amp;INDEX($O$58:$O$87,DAY(B141))&amp;" h","✓")))))))))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tr">
        <f aca="false">IF(Projects!B139="","",Projects!B139)</f>
        <v/>
      </c>
      <c r="X141" s="1" t="n">
        <f aca="false">IF(W141="",0,SUMIFS($I$7:$I$256,$D$7:$D$256,W141,$H$7:$H$256,"NTIME"))</f>
        <v>0</v>
      </c>
      <c r="Y141" s="1" t="n">
        <f aca="false">IF(W141="",0,SUMIFS($I$7:$I$256,$D$7:$D$256,W141,$H$7:$H$256,"P6"))</f>
        <v>0</v>
      </c>
      <c r="Z141" s="1" t="n">
        <f aca="false">X141+Y141</f>
        <v>0</v>
      </c>
      <c r="AA141" s="1" t="n">
        <f aca="false">IF(Z141&gt;0,Z141+(201-135)/10^6,0)</f>
        <v>0</v>
      </c>
      <c r="AB141" s="1"/>
      <c r="AC141" s="1"/>
      <c r="AD141" s="1"/>
      <c r="AE141" s="1"/>
      <c r="AF141" s="1"/>
      <c r="AG141" s="1"/>
      <c r="AH141" s="1"/>
    </row>
    <row r="142" customFormat="false" ht="15" hidden="false" customHeight="false" outlineLevel="0" collapsed="false">
      <c r="A142" s="1"/>
      <c r="B142" s="10"/>
      <c r="C142" s="31" t="str">
        <f aca="false">IF(B142="","",TEXT(B142,"ddd"))</f>
        <v/>
      </c>
      <c r="D142" s="11"/>
      <c r="E142" s="8" t="str">
        <f aca="false">IF(D142="","",IFERROR(INDEX(ProjNumbers,MATCH(D142,ProjNames,0)),""))</f>
        <v/>
      </c>
      <c r="F142" s="8" t="str">
        <f aca="false">IF(D142="","",IFERROR(INDEX(ProjCodes,MATCH(D142,ProjNames,0)),""))</f>
        <v/>
      </c>
      <c r="G142" s="32"/>
      <c r="H142" s="11"/>
      <c r="I142" s="33"/>
      <c r="J142" s="8" t="str">
        <f aca="false">IF(COUNTA(B142,D142,G142,H142,I142)=0,"",IF(B142="","Enter date",IF(OR(B142&lt;$AC$2,B142&gt;$AC$3),"Date not in April",IF(D142="","Pick project",IF(ISNA(MATCH(D142,ProjNames,0)),"Project not in list",IF(G142="","Add task description",IF(H142="","Pick NTIME or P6",IF(N(I142)&lt;=0,"Enter hours",IF(AND(AllowOT&lt;&gt;"Yes",SUMIF($B$7:$B$256,B142,$I$7:$I$256)&gt;INDEX($O$58:$O$87,DAY(B142))),"Day over "&amp;INDEX($O$58:$O$87,DAY(B142))&amp;" h","✓")))))))))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tr">
        <f aca="false">IF(Projects!B140="","",Projects!B140)</f>
        <v/>
      </c>
      <c r="X142" s="1" t="n">
        <f aca="false">IF(W142="",0,SUMIFS($I$7:$I$256,$D$7:$D$256,W142,$H$7:$H$256,"NTIME"))</f>
        <v>0</v>
      </c>
      <c r="Y142" s="1" t="n">
        <f aca="false">IF(W142="",0,SUMIFS($I$7:$I$256,$D$7:$D$256,W142,$H$7:$H$256,"P6"))</f>
        <v>0</v>
      </c>
      <c r="Z142" s="1" t="n">
        <f aca="false">X142+Y142</f>
        <v>0</v>
      </c>
      <c r="AA142" s="1" t="n">
        <f aca="false">IF(Z142&gt;0,Z142+(201-136)/10^6,0)</f>
        <v>0</v>
      </c>
      <c r="AB142" s="1"/>
      <c r="AC142" s="1"/>
      <c r="AD142" s="1"/>
      <c r="AE142" s="1"/>
      <c r="AF142" s="1"/>
      <c r="AG142" s="1"/>
      <c r="AH142" s="1"/>
    </row>
    <row r="143" customFormat="false" ht="15" hidden="false" customHeight="false" outlineLevel="0" collapsed="false">
      <c r="A143" s="1"/>
      <c r="B143" s="10"/>
      <c r="C143" s="31" t="str">
        <f aca="false">IF(B143="","",TEXT(B143,"ddd"))</f>
        <v/>
      </c>
      <c r="D143" s="11"/>
      <c r="E143" s="8" t="str">
        <f aca="false">IF(D143="","",IFERROR(INDEX(ProjNumbers,MATCH(D143,ProjNames,0)),""))</f>
        <v/>
      </c>
      <c r="F143" s="8" t="str">
        <f aca="false">IF(D143="","",IFERROR(INDEX(ProjCodes,MATCH(D143,ProjNames,0)),""))</f>
        <v/>
      </c>
      <c r="G143" s="32"/>
      <c r="H143" s="11"/>
      <c r="I143" s="33"/>
      <c r="J143" s="8" t="str">
        <f aca="false">IF(COUNTA(B143,D143,G143,H143,I143)=0,"",IF(B143="","Enter date",IF(OR(B143&lt;$AC$2,B143&gt;$AC$3),"Date not in April",IF(D143="","Pick project",IF(ISNA(MATCH(D143,ProjNames,0)),"Project not in list",IF(G143="","Add task description",IF(H143="","Pick NTIME or P6",IF(N(I143)&lt;=0,"Enter hours",IF(AND(AllowOT&lt;&gt;"Yes",SUMIF($B$7:$B$256,B143,$I$7:$I$256)&gt;INDEX($O$58:$O$87,DAY(B143))),"Day over "&amp;INDEX($O$58:$O$87,DAY(B143))&amp;" h","✓")))))))))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tr">
        <f aca="false">IF(Projects!B141="","",Projects!B141)</f>
        <v/>
      </c>
      <c r="X143" s="1" t="n">
        <f aca="false">IF(W143="",0,SUMIFS($I$7:$I$256,$D$7:$D$256,W143,$H$7:$H$256,"NTIME"))</f>
        <v>0</v>
      </c>
      <c r="Y143" s="1" t="n">
        <f aca="false">IF(W143="",0,SUMIFS($I$7:$I$256,$D$7:$D$256,W143,$H$7:$H$256,"P6"))</f>
        <v>0</v>
      </c>
      <c r="Z143" s="1" t="n">
        <f aca="false">X143+Y143</f>
        <v>0</v>
      </c>
      <c r="AA143" s="1" t="n">
        <f aca="false">IF(Z143&gt;0,Z143+(201-137)/10^6,0)</f>
        <v>0</v>
      </c>
      <c r="AB143" s="1"/>
      <c r="AC143" s="1"/>
      <c r="AD143" s="1"/>
      <c r="AE143" s="1"/>
      <c r="AF143" s="1"/>
      <c r="AG143" s="1"/>
      <c r="AH143" s="1"/>
    </row>
    <row r="144" customFormat="false" ht="15" hidden="false" customHeight="false" outlineLevel="0" collapsed="false">
      <c r="A144" s="1"/>
      <c r="B144" s="10"/>
      <c r="C144" s="31" t="str">
        <f aca="false">IF(B144="","",TEXT(B144,"ddd"))</f>
        <v/>
      </c>
      <c r="D144" s="11"/>
      <c r="E144" s="8" t="str">
        <f aca="false">IF(D144="","",IFERROR(INDEX(ProjNumbers,MATCH(D144,ProjNames,0)),""))</f>
        <v/>
      </c>
      <c r="F144" s="8" t="str">
        <f aca="false">IF(D144="","",IFERROR(INDEX(ProjCodes,MATCH(D144,ProjNames,0)),""))</f>
        <v/>
      </c>
      <c r="G144" s="32"/>
      <c r="H144" s="11"/>
      <c r="I144" s="33"/>
      <c r="J144" s="8" t="str">
        <f aca="false">IF(COUNTA(B144,D144,G144,H144,I144)=0,"",IF(B144="","Enter date",IF(OR(B144&lt;$AC$2,B144&gt;$AC$3),"Date not in April",IF(D144="","Pick project",IF(ISNA(MATCH(D144,ProjNames,0)),"Project not in list",IF(G144="","Add task description",IF(H144="","Pick NTIME or P6",IF(N(I144)&lt;=0,"Enter hours",IF(AND(AllowOT&lt;&gt;"Yes",SUMIF($B$7:$B$256,B144,$I$7:$I$256)&gt;INDEX($O$58:$O$87,DAY(B144))),"Day over "&amp;INDEX($O$58:$O$87,DAY(B144))&amp;" h","✓")))))))))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tr">
        <f aca="false">IF(Projects!B142="","",Projects!B142)</f>
        <v/>
      </c>
      <c r="X144" s="1" t="n">
        <f aca="false">IF(W144="",0,SUMIFS($I$7:$I$256,$D$7:$D$256,W144,$H$7:$H$256,"NTIME"))</f>
        <v>0</v>
      </c>
      <c r="Y144" s="1" t="n">
        <f aca="false">IF(W144="",0,SUMIFS($I$7:$I$256,$D$7:$D$256,W144,$H$7:$H$256,"P6"))</f>
        <v>0</v>
      </c>
      <c r="Z144" s="1" t="n">
        <f aca="false">X144+Y144</f>
        <v>0</v>
      </c>
      <c r="AA144" s="1" t="n">
        <f aca="false">IF(Z144&gt;0,Z144+(201-138)/10^6,0)</f>
        <v>0</v>
      </c>
      <c r="AB144" s="1"/>
      <c r="AC144" s="1"/>
      <c r="AD144" s="1"/>
      <c r="AE144" s="1"/>
      <c r="AF144" s="1"/>
      <c r="AG144" s="1"/>
      <c r="AH144" s="1"/>
    </row>
    <row r="145" customFormat="false" ht="15" hidden="false" customHeight="false" outlineLevel="0" collapsed="false">
      <c r="A145" s="1"/>
      <c r="B145" s="10"/>
      <c r="C145" s="31" t="str">
        <f aca="false">IF(B145="","",TEXT(B145,"ddd"))</f>
        <v/>
      </c>
      <c r="D145" s="11"/>
      <c r="E145" s="8" t="str">
        <f aca="false">IF(D145="","",IFERROR(INDEX(ProjNumbers,MATCH(D145,ProjNames,0)),""))</f>
        <v/>
      </c>
      <c r="F145" s="8" t="str">
        <f aca="false">IF(D145="","",IFERROR(INDEX(ProjCodes,MATCH(D145,ProjNames,0)),""))</f>
        <v/>
      </c>
      <c r="G145" s="32"/>
      <c r="H145" s="11"/>
      <c r="I145" s="33"/>
      <c r="J145" s="8" t="str">
        <f aca="false">IF(COUNTA(B145,D145,G145,H145,I145)=0,"",IF(B145="","Enter date",IF(OR(B145&lt;$AC$2,B145&gt;$AC$3),"Date not in April",IF(D145="","Pick project",IF(ISNA(MATCH(D145,ProjNames,0)),"Project not in list",IF(G145="","Add task description",IF(H145="","Pick NTIME or P6",IF(N(I145)&lt;=0,"Enter hours",IF(AND(AllowOT&lt;&gt;"Yes",SUMIF($B$7:$B$256,B145,$I$7:$I$256)&gt;INDEX($O$58:$O$87,DAY(B145))),"Day over "&amp;INDEX($O$58:$O$87,DAY(B145))&amp;" h","✓")))))))))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tr">
        <f aca="false">IF(Projects!B143="","",Projects!B143)</f>
        <v/>
      </c>
      <c r="X145" s="1" t="n">
        <f aca="false">IF(W145="",0,SUMIFS($I$7:$I$256,$D$7:$D$256,W145,$H$7:$H$256,"NTIME"))</f>
        <v>0</v>
      </c>
      <c r="Y145" s="1" t="n">
        <f aca="false">IF(W145="",0,SUMIFS($I$7:$I$256,$D$7:$D$256,W145,$H$7:$H$256,"P6"))</f>
        <v>0</v>
      </c>
      <c r="Z145" s="1" t="n">
        <f aca="false">X145+Y145</f>
        <v>0</v>
      </c>
      <c r="AA145" s="1" t="n">
        <f aca="false">IF(Z145&gt;0,Z145+(201-139)/10^6,0)</f>
        <v>0</v>
      </c>
      <c r="AB145" s="1"/>
      <c r="AC145" s="1"/>
      <c r="AD145" s="1"/>
      <c r="AE145" s="1"/>
      <c r="AF145" s="1"/>
      <c r="AG145" s="1"/>
      <c r="AH145" s="1"/>
    </row>
    <row r="146" customFormat="false" ht="15" hidden="false" customHeight="false" outlineLevel="0" collapsed="false">
      <c r="A146" s="1"/>
      <c r="B146" s="10"/>
      <c r="C146" s="31" t="str">
        <f aca="false">IF(B146="","",TEXT(B146,"ddd"))</f>
        <v/>
      </c>
      <c r="D146" s="11"/>
      <c r="E146" s="8" t="str">
        <f aca="false">IF(D146="","",IFERROR(INDEX(ProjNumbers,MATCH(D146,ProjNames,0)),""))</f>
        <v/>
      </c>
      <c r="F146" s="8" t="str">
        <f aca="false">IF(D146="","",IFERROR(INDEX(ProjCodes,MATCH(D146,ProjNames,0)),""))</f>
        <v/>
      </c>
      <c r="G146" s="32"/>
      <c r="H146" s="11"/>
      <c r="I146" s="33"/>
      <c r="J146" s="8" t="str">
        <f aca="false">IF(COUNTA(B146,D146,G146,H146,I146)=0,"",IF(B146="","Enter date",IF(OR(B146&lt;$AC$2,B146&gt;$AC$3),"Date not in April",IF(D146="","Pick project",IF(ISNA(MATCH(D146,ProjNames,0)),"Project not in list",IF(G146="","Add task description",IF(H146="","Pick NTIME or P6",IF(N(I146)&lt;=0,"Enter hours",IF(AND(AllowOT&lt;&gt;"Yes",SUMIF($B$7:$B$256,B146,$I$7:$I$256)&gt;INDEX($O$58:$O$87,DAY(B146))),"Day over "&amp;INDEX($O$58:$O$87,DAY(B146))&amp;" h","✓")))))))))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tr">
        <f aca="false">IF(Projects!B144="","",Projects!B144)</f>
        <v/>
      </c>
      <c r="X146" s="1" t="n">
        <f aca="false">IF(W146="",0,SUMIFS($I$7:$I$256,$D$7:$D$256,W146,$H$7:$H$256,"NTIME"))</f>
        <v>0</v>
      </c>
      <c r="Y146" s="1" t="n">
        <f aca="false">IF(W146="",0,SUMIFS($I$7:$I$256,$D$7:$D$256,W146,$H$7:$H$256,"P6"))</f>
        <v>0</v>
      </c>
      <c r="Z146" s="1" t="n">
        <f aca="false">X146+Y146</f>
        <v>0</v>
      </c>
      <c r="AA146" s="1" t="n">
        <f aca="false">IF(Z146&gt;0,Z146+(201-140)/10^6,0)</f>
        <v>0</v>
      </c>
      <c r="AB146" s="1"/>
      <c r="AC146" s="1"/>
      <c r="AD146" s="1"/>
      <c r="AE146" s="1"/>
      <c r="AF146" s="1"/>
      <c r="AG146" s="1"/>
      <c r="AH146" s="1"/>
    </row>
    <row r="147" customFormat="false" ht="15" hidden="false" customHeight="false" outlineLevel="0" collapsed="false">
      <c r="A147" s="1"/>
      <c r="B147" s="10"/>
      <c r="C147" s="31" t="str">
        <f aca="false">IF(B147="","",TEXT(B147,"ddd"))</f>
        <v/>
      </c>
      <c r="D147" s="11"/>
      <c r="E147" s="8" t="str">
        <f aca="false">IF(D147="","",IFERROR(INDEX(ProjNumbers,MATCH(D147,ProjNames,0)),""))</f>
        <v/>
      </c>
      <c r="F147" s="8" t="str">
        <f aca="false">IF(D147="","",IFERROR(INDEX(ProjCodes,MATCH(D147,ProjNames,0)),""))</f>
        <v/>
      </c>
      <c r="G147" s="32"/>
      <c r="H147" s="11"/>
      <c r="I147" s="33"/>
      <c r="J147" s="8" t="str">
        <f aca="false">IF(COUNTA(B147,D147,G147,H147,I147)=0,"",IF(B147="","Enter date",IF(OR(B147&lt;$AC$2,B147&gt;$AC$3),"Date not in April",IF(D147="","Pick project",IF(ISNA(MATCH(D147,ProjNames,0)),"Project not in list",IF(G147="","Add task description",IF(H147="","Pick NTIME or P6",IF(N(I147)&lt;=0,"Enter hours",IF(AND(AllowOT&lt;&gt;"Yes",SUMIF($B$7:$B$256,B147,$I$7:$I$256)&gt;INDEX($O$58:$O$87,DAY(B147))),"Day over "&amp;INDEX($O$58:$O$87,DAY(B147))&amp;" h","✓")))))))))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tr">
        <f aca="false">IF(Projects!B145="","",Projects!B145)</f>
        <v/>
      </c>
      <c r="X147" s="1" t="n">
        <f aca="false">IF(W147="",0,SUMIFS($I$7:$I$256,$D$7:$D$256,W147,$H$7:$H$256,"NTIME"))</f>
        <v>0</v>
      </c>
      <c r="Y147" s="1" t="n">
        <f aca="false">IF(W147="",0,SUMIFS($I$7:$I$256,$D$7:$D$256,W147,$H$7:$H$256,"P6"))</f>
        <v>0</v>
      </c>
      <c r="Z147" s="1" t="n">
        <f aca="false">X147+Y147</f>
        <v>0</v>
      </c>
      <c r="AA147" s="1" t="n">
        <f aca="false">IF(Z147&gt;0,Z147+(201-141)/10^6,0)</f>
        <v>0</v>
      </c>
      <c r="AB147" s="1"/>
      <c r="AC147" s="1"/>
      <c r="AD147" s="1"/>
      <c r="AE147" s="1"/>
      <c r="AF147" s="1"/>
      <c r="AG147" s="1"/>
      <c r="AH147" s="1"/>
    </row>
    <row r="148" customFormat="false" ht="15" hidden="false" customHeight="false" outlineLevel="0" collapsed="false">
      <c r="A148" s="1"/>
      <c r="B148" s="10"/>
      <c r="C148" s="31" t="str">
        <f aca="false">IF(B148="","",TEXT(B148,"ddd"))</f>
        <v/>
      </c>
      <c r="D148" s="11"/>
      <c r="E148" s="8" t="str">
        <f aca="false">IF(D148="","",IFERROR(INDEX(ProjNumbers,MATCH(D148,ProjNames,0)),""))</f>
        <v/>
      </c>
      <c r="F148" s="8" t="str">
        <f aca="false">IF(D148="","",IFERROR(INDEX(ProjCodes,MATCH(D148,ProjNames,0)),""))</f>
        <v/>
      </c>
      <c r="G148" s="32"/>
      <c r="H148" s="11"/>
      <c r="I148" s="33"/>
      <c r="J148" s="8" t="str">
        <f aca="false">IF(COUNTA(B148,D148,G148,H148,I148)=0,"",IF(B148="","Enter date",IF(OR(B148&lt;$AC$2,B148&gt;$AC$3),"Date not in April",IF(D148="","Pick project",IF(ISNA(MATCH(D148,ProjNames,0)),"Project not in list",IF(G148="","Add task description",IF(H148="","Pick NTIME or P6",IF(N(I148)&lt;=0,"Enter hours",IF(AND(AllowOT&lt;&gt;"Yes",SUMIF($B$7:$B$256,B148,$I$7:$I$256)&gt;INDEX($O$58:$O$87,DAY(B148))),"Day over "&amp;INDEX($O$58:$O$87,DAY(B148))&amp;" h","✓")))))))))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tr">
        <f aca="false">IF(Projects!B146="","",Projects!B146)</f>
        <v/>
      </c>
      <c r="X148" s="1" t="n">
        <f aca="false">IF(W148="",0,SUMIFS($I$7:$I$256,$D$7:$D$256,W148,$H$7:$H$256,"NTIME"))</f>
        <v>0</v>
      </c>
      <c r="Y148" s="1" t="n">
        <f aca="false">IF(W148="",0,SUMIFS($I$7:$I$256,$D$7:$D$256,W148,$H$7:$H$256,"P6"))</f>
        <v>0</v>
      </c>
      <c r="Z148" s="1" t="n">
        <f aca="false">X148+Y148</f>
        <v>0</v>
      </c>
      <c r="AA148" s="1" t="n">
        <f aca="false">IF(Z148&gt;0,Z148+(201-142)/10^6,0)</f>
        <v>0</v>
      </c>
      <c r="AB148" s="1"/>
      <c r="AC148" s="1"/>
      <c r="AD148" s="1"/>
      <c r="AE148" s="1"/>
      <c r="AF148" s="1"/>
      <c r="AG148" s="1"/>
      <c r="AH148" s="1"/>
    </row>
    <row r="149" customFormat="false" ht="15" hidden="false" customHeight="false" outlineLevel="0" collapsed="false">
      <c r="A149" s="1"/>
      <c r="B149" s="10"/>
      <c r="C149" s="31" t="str">
        <f aca="false">IF(B149="","",TEXT(B149,"ddd"))</f>
        <v/>
      </c>
      <c r="D149" s="11"/>
      <c r="E149" s="8" t="str">
        <f aca="false">IF(D149="","",IFERROR(INDEX(ProjNumbers,MATCH(D149,ProjNames,0)),""))</f>
        <v/>
      </c>
      <c r="F149" s="8" t="str">
        <f aca="false">IF(D149="","",IFERROR(INDEX(ProjCodes,MATCH(D149,ProjNames,0)),""))</f>
        <v/>
      </c>
      <c r="G149" s="32"/>
      <c r="H149" s="11"/>
      <c r="I149" s="33"/>
      <c r="J149" s="8" t="str">
        <f aca="false">IF(COUNTA(B149,D149,G149,H149,I149)=0,"",IF(B149="","Enter date",IF(OR(B149&lt;$AC$2,B149&gt;$AC$3),"Date not in April",IF(D149="","Pick project",IF(ISNA(MATCH(D149,ProjNames,0)),"Project not in list",IF(G149="","Add task description",IF(H149="","Pick NTIME or P6",IF(N(I149)&lt;=0,"Enter hours",IF(AND(AllowOT&lt;&gt;"Yes",SUMIF($B$7:$B$256,B149,$I$7:$I$256)&gt;INDEX($O$58:$O$87,DAY(B149))),"Day over "&amp;INDEX($O$58:$O$87,DAY(B149))&amp;" h","✓")))))))))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tr">
        <f aca="false">IF(Projects!B147="","",Projects!B147)</f>
        <v/>
      </c>
      <c r="X149" s="1" t="n">
        <f aca="false">IF(W149="",0,SUMIFS($I$7:$I$256,$D$7:$D$256,W149,$H$7:$H$256,"NTIME"))</f>
        <v>0</v>
      </c>
      <c r="Y149" s="1" t="n">
        <f aca="false">IF(W149="",0,SUMIFS($I$7:$I$256,$D$7:$D$256,W149,$H$7:$H$256,"P6"))</f>
        <v>0</v>
      </c>
      <c r="Z149" s="1" t="n">
        <f aca="false">X149+Y149</f>
        <v>0</v>
      </c>
      <c r="AA149" s="1" t="n">
        <f aca="false">IF(Z149&gt;0,Z149+(201-143)/10^6,0)</f>
        <v>0</v>
      </c>
      <c r="AB149" s="1"/>
      <c r="AC149" s="1"/>
      <c r="AD149" s="1"/>
      <c r="AE149" s="1"/>
      <c r="AF149" s="1"/>
      <c r="AG149" s="1"/>
      <c r="AH149" s="1"/>
    </row>
    <row r="150" customFormat="false" ht="15" hidden="false" customHeight="false" outlineLevel="0" collapsed="false">
      <c r="A150" s="1"/>
      <c r="B150" s="10"/>
      <c r="C150" s="31" t="str">
        <f aca="false">IF(B150="","",TEXT(B150,"ddd"))</f>
        <v/>
      </c>
      <c r="D150" s="11"/>
      <c r="E150" s="8" t="str">
        <f aca="false">IF(D150="","",IFERROR(INDEX(ProjNumbers,MATCH(D150,ProjNames,0)),""))</f>
        <v/>
      </c>
      <c r="F150" s="8" t="str">
        <f aca="false">IF(D150="","",IFERROR(INDEX(ProjCodes,MATCH(D150,ProjNames,0)),""))</f>
        <v/>
      </c>
      <c r="G150" s="32"/>
      <c r="H150" s="11"/>
      <c r="I150" s="33"/>
      <c r="J150" s="8" t="str">
        <f aca="false">IF(COUNTA(B150,D150,G150,H150,I150)=0,"",IF(B150="","Enter date",IF(OR(B150&lt;$AC$2,B150&gt;$AC$3),"Date not in April",IF(D150="","Pick project",IF(ISNA(MATCH(D150,ProjNames,0)),"Project not in list",IF(G150="","Add task description",IF(H150="","Pick NTIME or P6",IF(N(I150)&lt;=0,"Enter hours",IF(AND(AllowOT&lt;&gt;"Yes",SUMIF($B$7:$B$256,B150,$I$7:$I$256)&gt;INDEX($O$58:$O$87,DAY(B150))),"Day over "&amp;INDEX($O$58:$O$87,DAY(B150))&amp;" h","✓")))))))))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tr">
        <f aca="false">IF(Projects!B148="","",Projects!B148)</f>
        <v/>
      </c>
      <c r="X150" s="1" t="n">
        <f aca="false">IF(W150="",0,SUMIFS($I$7:$I$256,$D$7:$D$256,W150,$H$7:$H$256,"NTIME"))</f>
        <v>0</v>
      </c>
      <c r="Y150" s="1" t="n">
        <f aca="false">IF(W150="",0,SUMIFS($I$7:$I$256,$D$7:$D$256,W150,$H$7:$H$256,"P6"))</f>
        <v>0</v>
      </c>
      <c r="Z150" s="1" t="n">
        <f aca="false">X150+Y150</f>
        <v>0</v>
      </c>
      <c r="AA150" s="1" t="n">
        <f aca="false">IF(Z150&gt;0,Z150+(201-144)/10^6,0)</f>
        <v>0</v>
      </c>
      <c r="AB150" s="1"/>
      <c r="AC150" s="1"/>
      <c r="AD150" s="1"/>
      <c r="AE150" s="1"/>
      <c r="AF150" s="1"/>
      <c r="AG150" s="1"/>
      <c r="AH150" s="1"/>
    </row>
    <row r="151" customFormat="false" ht="15" hidden="false" customHeight="false" outlineLevel="0" collapsed="false">
      <c r="A151" s="1"/>
      <c r="B151" s="10"/>
      <c r="C151" s="31" t="str">
        <f aca="false">IF(B151="","",TEXT(B151,"ddd"))</f>
        <v/>
      </c>
      <c r="D151" s="11"/>
      <c r="E151" s="8" t="str">
        <f aca="false">IF(D151="","",IFERROR(INDEX(ProjNumbers,MATCH(D151,ProjNames,0)),""))</f>
        <v/>
      </c>
      <c r="F151" s="8" t="str">
        <f aca="false">IF(D151="","",IFERROR(INDEX(ProjCodes,MATCH(D151,ProjNames,0)),""))</f>
        <v/>
      </c>
      <c r="G151" s="32"/>
      <c r="H151" s="11"/>
      <c r="I151" s="33"/>
      <c r="J151" s="8" t="str">
        <f aca="false">IF(COUNTA(B151,D151,G151,H151,I151)=0,"",IF(B151="","Enter date",IF(OR(B151&lt;$AC$2,B151&gt;$AC$3),"Date not in April",IF(D151="","Pick project",IF(ISNA(MATCH(D151,ProjNames,0)),"Project not in list",IF(G151="","Add task description",IF(H151="","Pick NTIME or P6",IF(N(I151)&lt;=0,"Enter hours",IF(AND(AllowOT&lt;&gt;"Yes",SUMIF($B$7:$B$256,B151,$I$7:$I$256)&gt;INDEX($O$58:$O$87,DAY(B151))),"Day over "&amp;INDEX($O$58:$O$87,DAY(B151))&amp;" h","✓")))))))))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tr">
        <f aca="false">IF(Projects!B149="","",Projects!B149)</f>
        <v/>
      </c>
      <c r="X151" s="1" t="n">
        <f aca="false">IF(W151="",0,SUMIFS($I$7:$I$256,$D$7:$D$256,W151,$H$7:$H$256,"NTIME"))</f>
        <v>0</v>
      </c>
      <c r="Y151" s="1" t="n">
        <f aca="false">IF(W151="",0,SUMIFS($I$7:$I$256,$D$7:$D$256,W151,$H$7:$H$256,"P6"))</f>
        <v>0</v>
      </c>
      <c r="Z151" s="1" t="n">
        <f aca="false">X151+Y151</f>
        <v>0</v>
      </c>
      <c r="AA151" s="1" t="n">
        <f aca="false">IF(Z151&gt;0,Z151+(201-145)/10^6,0)</f>
        <v>0</v>
      </c>
      <c r="AB151" s="1"/>
      <c r="AC151" s="1"/>
      <c r="AD151" s="1"/>
      <c r="AE151" s="1"/>
      <c r="AF151" s="1"/>
      <c r="AG151" s="1"/>
      <c r="AH151" s="1"/>
    </row>
    <row r="152" customFormat="false" ht="15" hidden="false" customHeight="false" outlineLevel="0" collapsed="false">
      <c r="A152" s="1"/>
      <c r="B152" s="10"/>
      <c r="C152" s="31" t="str">
        <f aca="false">IF(B152="","",TEXT(B152,"ddd"))</f>
        <v/>
      </c>
      <c r="D152" s="11"/>
      <c r="E152" s="8" t="str">
        <f aca="false">IF(D152="","",IFERROR(INDEX(ProjNumbers,MATCH(D152,ProjNames,0)),""))</f>
        <v/>
      </c>
      <c r="F152" s="8" t="str">
        <f aca="false">IF(D152="","",IFERROR(INDEX(ProjCodes,MATCH(D152,ProjNames,0)),""))</f>
        <v/>
      </c>
      <c r="G152" s="32"/>
      <c r="H152" s="11"/>
      <c r="I152" s="33"/>
      <c r="J152" s="8" t="str">
        <f aca="false">IF(COUNTA(B152,D152,G152,H152,I152)=0,"",IF(B152="","Enter date",IF(OR(B152&lt;$AC$2,B152&gt;$AC$3),"Date not in April",IF(D152="","Pick project",IF(ISNA(MATCH(D152,ProjNames,0)),"Project not in list",IF(G152="","Add task description",IF(H152="","Pick NTIME or P6",IF(N(I152)&lt;=0,"Enter hours",IF(AND(AllowOT&lt;&gt;"Yes",SUMIF($B$7:$B$256,B152,$I$7:$I$256)&gt;INDEX($O$58:$O$87,DAY(B152))),"Day over "&amp;INDEX($O$58:$O$87,DAY(B152))&amp;" h","✓")))))))))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tr">
        <f aca="false">IF(Projects!B150="","",Projects!B150)</f>
        <v/>
      </c>
      <c r="X152" s="1" t="n">
        <f aca="false">IF(W152="",0,SUMIFS($I$7:$I$256,$D$7:$D$256,W152,$H$7:$H$256,"NTIME"))</f>
        <v>0</v>
      </c>
      <c r="Y152" s="1" t="n">
        <f aca="false">IF(W152="",0,SUMIFS($I$7:$I$256,$D$7:$D$256,W152,$H$7:$H$256,"P6"))</f>
        <v>0</v>
      </c>
      <c r="Z152" s="1" t="n">
        <f aca="false">X152+Y152</f>
        <v>0</v>
      </c>
      <c r="AA152" s="1" t="n">
        <f aca="false">IF(Z152&gt;0,Z152+(201-146)/10^6,0)</f>
        <v>0</v>
      </c>
      <c r="AB152" s="1"/>
      <c r="AC152" s="1"/>
      <c r="AD152" s="1"/>
      <c r="AE152" s="1"/>
      <c r="AF152" s="1"/>
      <c r="AG152" s="1"/>
      <c r="AH152" s="1"/>
    </row>
    <row r="153" customFormat="false" ht="15" hidden="false" customHeight="false" outlineLevel="0" collapsed="false">
      <c r="A153" s="1"/>
      <c r="B153" s="10"/>
      <c r="C153" s="31" t="str">
        <f aca="false">IF(B153="","",TEXT(B153,"ddd"))</f>
        <v/>
      </c>
      <c r="D153" s="11"/>
      <c r="E153" s="8" t="str">
        <f aca="false">IF(D153="","",IFERROR(INDEX(ProjNumbers,MATCH(D153,ProjNames,0)),""))</f>
        <v/>
      </c>
      <c r="F153" s="8" t="str">
        <f aca="false">IF(D153="","",IFERROR(INDEX(ProjCodes,MATCH(D153,ProjNames,0)),""))</f>
        <v/>
      </c>
      <c r="G153" s="32"/>
      <c r="H153" s="11"/>
      <c r="I153" s="33"/>
      <c r="J153" s="8" t="str">
        <f aca="false">IF(COUNTA(B153,D153,G153,H153,I153)=0,"",IF(B153="","Enter date",IF(OR(B153&lt;$AC$2,B153&gt;$AC$3),"Date not in April",IF(D153="","Pick project",IF(ISNA(MATCH(D153,ProjNames,0)),"Project not in list",IF(G153="","Add task description",IF(H153="","Pick NTIME or P6",IF(N(I153)&lt;=0,"Enter hours",IF(AND(AllowOT&lt;&gt;"Yes",SUMIF($B$7:$B$256,B153,$I$7:$I$256)&gt;INDEX($O$58:$O$87,DAY(B153))),"Day over "&amp;INDEX($O$58:$O$87,DAY(B153))&amp;" h","✓")))))))))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tr">
        <f aca="false">IF(Projects!B151="","",Projects!B151)</f>
        <v/>
      </c>
      <c r="X153" s="1" t="n">
        <f aca="false">IF(W153="",0,SUMIFS($I$7:$I$256,$D$7:$D$256,W153,$H$7:$H$256,"NTIME"))</f>
        <v>0</v>
      </c>
      <c r="Y153" s="1" t="n">
        <f aca="false">IF(W153="",0,SUMIFS($I$7:$I$256,$D$7:$D$256,W153,$H$7:$H$256,"P6"))</f>
        <v>0</v>
      </c>
      <c r="Z153" s="1" t="n">
        <f aca="false">X153+Y153</f>
        <v>0</v>
      </c>
      <c r="AA153" s="1" t="n">
        <f aca="false">IF(Z153&gt;0,Z153+(201-147)/10^6,0)</f>
        <v>0</v>
      </c>
      <c r="AB153" s="1"/>
      <c r="AC153" s="1"/>
      <c r="AD153" s="1"/>
      <c r="AE153" s="1"/>
      <c r="AF153" s="1"/>
      <c r="AG153" s="1"/>
      <c r="AH153" s="1"/>
    </row>
    <row r="154" customFormat="false" ht="15" hidden="false" customHeight="false" outlineLevel="0" collapsed="false">
      <c r="A154" s="1"/>
      <c r="B154" s="10"/>
      <c r="C154" s="31" t="str">
        <f aca="false">IF(B154="","",TEXT(B154,"ddd"))</f>
        <v/>
      </c>
      <c r="D154" s="11"/>
      <c r="E154" s="8" t="str">
        <f aca="false">IF(D154="","",IFERROR(INDEX(ProjNumbers,MATCH(D154,ProjNames,0)),""))</f>
        <v/>
      </c>
      <c r="F154" s="8" t="str">
        <f aca="false">IF(D154="","",IFERROR(INDEX(ProjCodes,MATCH(D154,ProjNames,0)),""))</f>
        <v/>
      </c>
      <c r="G154" s="32"/>
      <c r="H154" s="11"/>
      <c r="I154" s="33"/>
      <c r="J154" s="8" t="str">
        <f aca="false">IF(COUNTA(B154,D154,G154,H154,I154)=0,"",IF(B154="","Enter date",IF(OR(B154&lt;$AC$2,B154&gt;$AC$3),"Date not in April",IF(D154="","Pick project",IF(ISNA(MATCH(D154,ProjNames,0)),"Project not in list",IF(G154="","Add task description",IF(H154="","Pick NTIME or P6",IF(N(I154)&lt;=0,"Enter hours",IF(AND(AllowOT&lt;&gt;"Yes",SUMIF($B$7:$B$256,B154,$I$7:$I$256)&gt;INDEX($O$58:$O$87,DAY(B154))),"Day over "&amp;INDEX($O$58:$O$87,DAY(B154))&amp;" h","✓")))))))))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tr">
        <f aca="false">IF(Projects!B152="","",Projects!B152)</f>
        <v/>
      </c>
      <c r="X154" s="1" t="n">
        <f aca="false">IF(W154="",0,SUMIFS($I$7:$I$256,$D$7:$D$256,W154,$H$7:$H$256,"NTIME"))</f>
        <v>0</v>
      </c>
      <c r="Y154" s="1" t="n">
        <f aca="false">IF(W154="",0,SUMIFS($I$7:$I$256,$D$7:$D$256,W154,$H$7:$H$256,"P6"))</f>
        <v>0</v>
      </c>
      <c r="Z154" s="1" t="n">
        <f aca="false">X154+Y154</f>
        <v>0</v>
      </c>
      <c r="AA154" s="1" t="n">
        <f aca="false">IF(Z154&gt;0,Z154+(201-148)/10^6,0)</f>
        <v>0</v>
      </c>
      <c r="AB154" s="1"/>
      <c r="AC154" s="1"/>
      <c r="AD154" s="1"/>
      <c r="AE154" s="1"/>
      <c r="AF154" s="1"/>
      <c r="AG154" s="1"/>
      <c r="AH154" s="1"/>
    </row>
    <row r="155" customFormat="false" ht="15" hidden="false" customHeight="false" outlineLevel="0" collapsed="false">
      <c r="A155" s="1"/>
      <c r="B155" s="10"/>
      <c r="C155" s="31" t="str">
        <f aca="false">IF(B155="","",TEXT(B155,"ddd"))</f>
        <v/>
      </c>
      <c r="D155" s="11"/>
      <c r="E155" s="8" t="str">
        <f aca="false">IF(D155="","",IFERROR(INDEX(ProjNumbers,MATCH(D155,ProjNames,0)),""))</f>
        <v/>
      </c>
      <c r="F155" s="8" t="str">
        <f aca="false">IF(D155="","",IFERROR(INDEX(ProjCodes,MATCH(D155,ProjNames,0)),""))</f>
        <v/>
      </c>
      <c r="G155" s="32"/>
      <c r="H155" s="11"/>
      <c r="I155" s="33"/>
      <c r="J155" s="8" t="str">
        <f aca="false">IF(COUNTA(B155,D155,G155,H155,I155)=0,"",IF(B155="","Enter date",IF(OR(B155&lt;$AC$2,B155&gt;$AC$3),"Date not in April",IF(D155="","Pick project",IF(ISNA(MATCH(D155,ProjNames,0)),"Project not in list",IF(G155="","Add task description",IF(H155="","Pick NTIME or P6",IF(N(I155)&lt;=0,"Enter hours",IF(AND(AllowOT&lt;&gt;"Yes",SUMIF($B$7:$B$256,B155,$I$7:$I$256)&gt;INDEX($O$58:$O$87,DAY(B155))),"Day over "&amp;INDEX($O$58:$O$87,DAY(B155))&amp;" h","✓")))))))))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tr">
        <f aca="false">IF(Projects!B153="","",Projects!B153)</f>
        <v/>
      </c>
      <c r="X155" s="1" t="n">
        <f aca="false">IF(W155="",0,SUMIFS($I$7:$I$256,$D$7:$D$256,W155,$H$7:$H$256,"NTIME"))</f>
        <v>0</v>
      </c>
      <c r="Y155" s="1" t="n">
        <f aca="false">IF(W155="",0,SUMIFS($I$7:$I$256,$D$7:$D$256,W155,$H$7:$H$256,"P6"))</f>
        <v>0</v>
      </c>
      <c r="Z155" s="1" t="n">
        <f aca="false">X155+Y155</f>
        <v>0</v>
      </c>
      <c r="AA155" s="1" t="n">
        <f aca="false">IF(Z155&gt;0,Z155+(201-149)/10^6,0)</f>
        <v>0</v>
      </c>
      <c r="AB155" s="1"/>
      <c r="AC155" s="1"/>
      <c r="AD155" s="1"/>
      <c r="AE155" s="1"/>
      <c r="AF155" s="1"/>
      <c r="AG155" s="1"/>
      <c r="AH155" s="1"/>
    </row>
    <row r="156" customFormat="false" ht="15" hidden="false" customHeight="false" outlineLevel="0" collapsed="false">
      <c r="A156" s="1"/>
      <c r="B156" s="10"/>
      <c r="C156" s="31" t="str">
        <f aca="false">IF(B156="","",TEXT(B156,"ddd"))</f>
        <v/>
      </c>
      <c r="D156" s="11"/>
      <c r="E156" s="8" t="str">
        <f aca="false">IF(D156="","",IFERROR(INDEX(ProjNumbers,MATCH(D156,ProjNames,0)),""))</f>
        <v/>
      </c>
      <c r="F156" s="8" t="str">
        <f aca="false">IF(D156="","",IFERROR(INDEX(ProjCodes,MATCH(D156,ProjNames,0)),""))</f>
        <v/>
      </c>
      <c r="G156" s="32"/>
      <c r="H156" s="11"/>
      <c r="I156" s="33"/>
      <c r="J156" s="8" t="str">
        <f aca="false">IF(COUNTA(B156,D156,G156,H156,I156)=0,"",IF(B156="","Enter date",IF(OR(B156&lt;$AC$2,B156&gt;$AC$3),"Date not in April",IF(D156="","Pick project",IF(ISNA(MATCH(D156,ProjNames,0)),"Project not in list",IF(G156="","Add task description",IF(H156="","Pick NTIME or P6",IF(N(I156)&lt;=0,"Enter hours",IF(AND(AllowOT&lt;&gt;"Yes",SUMIF($B$7:$B$256,B156,$I$7:$I$256)&gt;INDEX($O$58:$O$87,DAY(B156))),"Day over "&amp;INDEX($O$58:$O$87,DAY(B156))&amp;" h","✓")))))))))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tr">
        <f aca="false">IF(Projects!B154="","",Projects!B154)</f>
        <v/>
      </c>
      <c r="X156" s="1" t="n">
        <f aca="false">IF(W156="",0,SUMIFS($I$7:$I$256,$D$7:$D$256,W156,$H$7:$H$256,"NTIME"))</f>
        <v>0</v>
      </c>
      <c r="Y156" s="1" t="n">
        <f aca="false">IF(W156="",0,SUMIFS($I$7:$I$256,$D$7:$D$256,W156,$H$7:$H$256,"P6"))</f>
        <v>0</v>
      </c>
      <c r="Z156" s="1" t="n">
        <f aca="false">X156+Y156</f>
        <v>0</v>
      </c>
      <c r="AA156" s="1" t="n">
        <f aca="false">IF(Z156&gt;0,Z156+(201-150)/10^6,0)</f>
        <v>0</v>
      </c>
      <c r="AB156" s="1"/>
      <c r="AC156" s="1"/>
      <c r="AD156" s="1"/>
      <c r="AE156" s="1"/>
      <c r="AF156" s="1"/>
      <c r="AG156" s="1"/>
      <c r="AH156" s="1"/>
    </row>
    <row r="157" customFormat="false" ht="15" hidden="false" customHeight="false" outlineLevel="0" collapsed="false">
      <c r="A157" s="1"/>
      <c r="B157" s="10"/>
      <c r="C157" s="31" t="str">
        <f aca="false">IF(B157="","",TEXT(B157,"ddd"))</f>
        <v/>
      </c>
      <c r="D157" s="11"/>
      <c r="E157" s="8" t="str">
        <f aca="false">IF(D157="","",IFERROR(INDEX(ProjNumbers,MATCH(D157,ProjNames,0)),""))</f>
        <v/>
      </c>
      <c r="F157" s="8" t="str">
        <f aca="false">IF(D157="","",IFERROR(INDEX(ProjCodes,MATCH(D157,ProjNames,0)),""))</f>
        <v/>
      </c>
      <c r="G157" s="32"/>
      <c r="H157" s="11"/>
      <c r="I157" s="33"/>
      <c r="J157" s="8" t="str">
        <f aca="false">IF(COUNTA(B157,D157,G157,H157,I157)=0,"",IF(B157="","Enter date",IF(OR(B157&lt;$AC$2,B157&gt;$AC$3),"Date not in April",IF(D157="","Pick project",IF(ISNA(MATCH(D157,ProjNames,0)),"Project not in list",IF(G157="","Add task description",IF(H157="","Pick NTIME or P6",IF(N(I157)&lt;=0,"Enter hours",IF(AND(AllowOT&lt;&gt;"Yes",SUMIF($B$7:$B$256,B157,$I$7:$I$256)&gt;INDEX($O$58:$O$87,DAY(B157))),"Day over "&amp;INDEX($O$58:$O$87,DAY(B157))&amp;" h","✓")))))))))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tr">
        <f aca="false">IF(Projects!B155="","",Projects!B155)</f>
        <v/>
      </c>
      <c r="X157" s="1" t="n">
        <f aca="false">IF(W157="",0,SUMIFS($I$7:$I$256,$D$7:$D$256,W157,$H$7:$H$256,"NTIME"))</f>
        <v>0</v>
      </c>
      <c r="Y157" s="1" t="n">
        <f aca="false">IF(W157="",0,SUMIFS($I$7:$I$256,$D$7:$D$256,W157,$H$7:$H$256,"P6"))</f>
        <v>0</v>
      </c>
      <c r="Z157" s="1" t="n">
        <f aca="false">X157+Y157</f>
        <v>0</v>
      </c>
      <c r="AA157" s="1" t="n">
        <f aca="false">IF(Z157&gt;0,Z157+(201-151)/10^6,0)</f>
        <v>0</v>
      </c>
      <c r="AB157" s="1"/>
      <c r="AC157" s="1"/>
      <c r="AD157" s="1"/>
      <c r="AE157" s="1"/>
      <c r="AF157" s="1"/>
      <c r="AG157" s="1"/>
      <c r="AH157" s="1"/>
    </row>
    <row r="158" customFormat="false" ht="15" hidden="false" customHeight="false" outlineLevel="0" collapsed="false">
      <c r="A158" s="1"/>
      <c r="B158" s="10"/>
      <c r="C158" s="31" t="str">
        <f aca="false">IF(B158="","",TEXT(B158,"ddd"))</f>
        <v/>
      </c>
      <c r="D158" s="11"/>
      <c r="E158" s="8" t="str">
        <f aca="false">IF(D158="","",IFERROR(INDEX(ProjNumbers,MATCH(D158,ProjNames,0)),""))</f>
        <v/>
      </c>
      <c r="F158" s="8" t="str">
        <f aca="false">IF(D158="","",IFERROR(INDEX(ProjCodes,MATCH(D158,ProjNames,0)),""))</f>
        <v/>
      </c>
      <c r="G158" s="32"/>
      <c r="H158" s="11"/>
      <c r="I158" s="33"/>
      <c r="J158" s="8" t="str">
        <f aca="false">IF(COUNTA(B158,D158,G158,H158,I158)=0,"",IF(B158="","Enter date",IF(OR(B158&lt;$AC$2,B158&gt;$AC$3),"Date not in April",IF(D158="","Pick project",IF(ISNA(MATCH(D158,ProjNames,0)),"Project not in list",IF(G158="","Add task description",IF(H158="","Pick NTIME or P6",IF(N(I158)&lt;=0,"Enter hours",IF(AND(AllowOT&lt;&gt;"Yes",SUMIF($B$7:$B$256,B158,$I$7:$I$256)&gt;INDEX($O$58:$O$87,DAY(B158))),"Day over "&amp;INDEX($O$58:$O$87,DAY(B158))&amp;" h","✓")))))))))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tr">
        <f aca="false">IF(Projects!B156="","",Projects!B156)</f>
        <v/>
      </c>
      <c r="X158" s="1" t="n">
        <f aca="false">IF(W158="",0,SUMIFS($I$7:$I$256,$D$7:$D$256,W158,$H$7:$H$256,"NTIME"))</f>
        <v>0</v>
      </c>
      <c r="Y158" s="1" t="n">
        <f aca="false">IF(W158="",0,SUMIFS($I$7:$I$256,$D$7:$D$256,W158,$H$7:$H$256,"P6"))</f>
        <v>0</v>
      </c>
      <c r="Z158" s="1" t="n">
        <f aca="false">X158+Y158</f>
        <v>0</v>
      </c>
      <c r="AA158" s="1" t="n">
        <f aca="false">IF(Z158&gt;0,Z158+(201-152)/10^6,0)</f>
        <v>0</v>
      </c>
      <c r="AB158" s="1"/>
      <c r="AC158" s="1"/>
      <c r="AD158" s="1"/>
      <c r="AE158" s="1"/>
      <c r="AF158" s="1"/>
      <c r="AG158" s="1"/>
      <c r="AH158" s="1"/>
    </row>
    <row r="159" customFormat="false" ht="15" hidden="false" customHeight="false" outlineLevel="0" collapsed="false">
      <c r="A159" s="1"/>
      <c r="B159" s="10"/>
      <c r="C159" s="31" t="str">
        <f aca="false">IF(B159="","",TEXT(B159,"ddd"))</f>
        <v/>
      </c>
      <c r="D159" s="11"/>
      <c r="E159" s="8" t="str">
        <f aca="false">IF(D159="","",IFERROR(INDEX(ProjNumbers,MATCH(D159,ProjNames,0)),""))</f>
        <v/>
      </c>
      <c r="F159" s="8" t="str">
        <f aca="false">IF(D159="","",IFERROR(INDEX(ProjCodes,MATCH(D159,ProjNames,0)),""))</f>
        <v/>
      </c>
      <c r="G159" s="32"/>
      <c r="H159" s="11"/>
      <c r="I159" s="33"/>
      <c r="J159" s="8" t="str">
        <f aca="false">IF(COUNTA(B159,D159,G159,H159,I159)=0,"",IF(B159="","Enter date",IF(OR(B159&lt;$AC$2,B159&gt;$AC$3),"Date not in April",IF(D159="","Pick project",IF(ISNA(MATCH(D159,ProjNames,0)),"Project not in list",IF(G159="","Add task description",IF(H159="","Pick NTIME or P6",IF(N(I159)&lt;=0,"Enter hours",IF(AND(AllowOT&lt;&gt;"Yes",SUMIF($B$7:$B$256,B159,$I$7:$I$256)&gt;INDEX($O$58:$O$87,DAY(B159))),"Day over "&amp;INDEX($O$58:$O$87,DAY(B159))&amp;" h","✓")))))))))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tr">
        <f aca="false">IF(Projects!B157="","",Projects!B157)</f>
        <v/>
      </c>
      <c r="X159" s="1" t="n">
        <f aca="false">IF(W159="",0,SUMIFS($I$7:$I$256,$D$7:$D$256,W159,$H$7:$H$256,"NTIME"))</f>
        <v>0</v>
      </c>
      <c r="Y159" s="1" t="n">
        <f aca="false">IF(W159="",0,SUMIFS($I$7:$I$256,$D$7:$D$256,W159,$H$7:$H$256,"P6"))</f>
        <v>0</v>
      </c>
      <c r="Z159" s="1" t="n">
        <f aca="false">X159+Y159</f>
        <v>0</v>
      </c>
      <c r="AA159" s="1" t="n">
        <f aca="false">IF(Z159&gt;0,Z159+(201-153)/10^6,0)</f>
        <v>0</v>
      </c>
      <c r="AB159" s="1"/>
      <c r="AC159" s="1"/>
      <c r="AD159" s="1"/>
      <c r="AE159" s="1"/>
      <c r="AF159" s="1"/>
      <c r="AG159" s="1"/>
      <c r="AH159" s="1"/>
    </row>
    <row r="160" customFormat="false" ht="15" hidden="false" customHeight="false" outlineLevel="0" collapsed="false">
      <c r="A160" s="1"/>
      <c r="B160" s="10"/>
      <c r="C160" s="31" t="str">
        <f aca="false">IF(B160="","",TEXT(B160,"ddd"))</f>
        <v/>
      </c>
      <c r="D160" s="11"/>
      <c r="E160" s="8" t="str">
        <f aca="false">IF(D160="","",IFERROR(INDEX(ProjNumbers,MATCH(D160,ProjNames,0)),""))</f>
        <v/>
      </c>
      <c r="F160" s="8" t="str">
        <f aca="false">IF(D160="","",IFERROR(INDEX(ProjCodes,MATCH(D160,ProjNames,0)),""))</f>
        <v/>
      </c>
      <c r="G160" s="32"/>
      <c r="H160" s="11"/>
      <c r="I160" s="33"/>
      <c r="J160" s="8" t="str">
        <f aca="false">IF(COUNTA(B160,D160,G160,H160,I160)=0,"",IF(B160="","Enter date",IF(OR(B160&lt;$AC$2,B160&gt;$AC$3),"Date not in April",IF(D160="","Pick project",IF(ISNA(MATCH(D160,ProjNames,0)),"Project not in list",IF(G160="","Add task description",IF(H160="","Pick NTIME or P6",IF(N(I160)&lt;=0,"Enter hours",IF(AND(AllowOT&lt;&gt;"Yes",SUMIF($B$7:$B$256,B160,$I$7:$I$256)&gt;INDEX($O$58:$O$87,DAY(B160))),"Day over "&amp;INDEX($O$58:$O$87,DAY(B160))&amp;" h","✓")))))))))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tr">
        <f aca="false">IF(Projects!B158="","",Projects!B158)</f>
        <v/>
      </c>
      <c r="X160" s="1" t="n">
        <f aca="false">IF(W160="",0,SUMIFS($I$7:$I$256,$D$7:$D$256,W160,$H$7:$H$256,"NTIME"))</f>
        <v>0</v>
      </c>
      <c r="Y160" s="1" t="n">
        <f aca="false">IF(W160="",0,SUMIFS($I$7:$I$256,$D$7:$D$256,W160,$H$7:$H$256,"P6"))</f>
        <v>0</v>
      </c>
      <c r="Z160" s="1" t="n">
        <f aca="false">X160+Y160</f>
        <v>0</v>
      </c>
      <c r="AA160" s="1" t="n">
        <f aca="false">IF(Z160&gt;0,Z160+(201-154)/10^6,0)</f>
        <v>0</v>
      </c>
      <c r="AB160" s="1"/>
      <c r="AC160" s="1"/>
      <c r="AD160" s="1"/>
      <c r="AE160" s="1"/>
      <c r="AF160" s="1"/>
      <c r="AG160" s="1"/>
      <c r="AH160" s="1"/>
    </row>
    <row r="161" customFormat="false" ht="15" hidden="false" customHeight="false" outlineLevel="0" collapsed="false">
      <c r="A161" s="1"/>
      <c r="B161" s="10"/>
      <c r="C161" s="31" t="str">
        <f aca="false">IF(B161="","",TEXT(B161,"ddd"))</f>
        <v/>
      </c>
      <c r="D161" s="11"/>
      <c r="E161" s="8" t="str">
        <f aca="false">IF(D161="","",IFERROR(INDEX(ProjNumbers,MATCH(D161,ProjNames,0)),""))</f>
        <v/>
      </c>
      <c r="F161" s="8" t="str">
        <f aca="false">IF(D161="","",IFERROR(INDEX(ProjCodes,MATCH(D161,ProjNames,0)),""))</f>
        <v/>
      </c>
      <c r="G161" s="32"/>
      <c r="H161" s="11"/>
      <c r="I161" s="33"/>
      <c r="J161" s="8" t="str">
        <f aca="false">IF(COUNTA(B161,D161,G161,H161,I161)=0,"",IF(B161="","Enter date",IF(OR(B161&lt;$AC$2,B161&gt;$AC$3),"Date not in April",IF(D161="","Pick project",IF(ISNA(MATCH(D161,ProjNames,0)),"Project not in list",IF(G161="","Add task description",IF(H161="","Pick NTIME or P6",IF(N(I161)&lt;=0,"Enter hours",IF(AND(AllowOT&lt;&gt;"Yes",SUMIF($B$7:$B$256,B161,$I$7:$I$256)&gt;INDEX($O$58:$O$87,DAY(B161))),"Day over "&amp;INDEX($O$58:$O$87,DAY(B161))&amp;" h","✓")))))))))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tr">
        <f aca="false">IF(Projects!B159="","",Projects!B159)</f>
        <v/>
      </c>
      <c r="X161" s="1" t="n">
        <f aca="false">IF(W161="",0,SUMIFS($I$7:$I$256,$D$7:$D$256,W161,$H$7:$H$256,"NTIME"))</f>
        <v>0</v>
      </c>
      <c r="Y161" s="1" t="n">
        <f aca="false">IF(W161="",0,SUMIFS($I$7:$I$256,$D$7:$D$256,W161,$H$7:$H$256,"P6"))</f>
        <v>0</v>
      </c>
      <c r="Z161" s="1" t="n">
        <f aca="false">X161+Y161</f>
        <v>0</v>
      </c>
      <c r="AA161" s="1" t="n">
        <f aca="false">IF(Z161&gt;0,Z161+(201-155)/10^6,0)</f>
        <v>0</v>
      </c>
      <c r="AB161" s="1"/>
      <c r="AC161" s="1"/>
      <c r="AD161" s="1"/>
      <c r="AE161" s="1"/>
      <c r="AF161" s="1"/>
      <c r="AG161" s="1"/>
      <c r="AH161" s="1"/>
    </row>
    <row r="162" customFormat="false" ht="15" hidden="false" customHeight="false" outlineLevel="0" collapsed="false">
      <c r="A162" s="1"/>
      <c r="B162" s="10"/>
      <c r="C162" s="31" t="str">
        <f aca="false">IF(B162="","",TEXT(B162,"ddd"))</f>
        <v/>
      </c>
      <c r="D162" s="11"/>
      <c r="E162" s="8" t="str">
        <f aca="false">IF(D162="","",IFERROR(INDEX(ProjNumbers,MATCH(D162,ProjNames,0)),""))</f>
        <v/>
      </c>
      <c r="F162" s="8" t="str">
        <f aca="false">IF(D162="","",IFERROR(INDEX(ProjCodes,MATCH(D162,ProjNames,0)),""))</f>
        <v/>
      </c>
      <c r="G162" s="32"/>
      <c r="H162" s="11"/>
      <c r="I162" s="33"/>
      <c r="J162" s="8" t="str">
        <f aca="false">IF(COUNTA(B162,D162,G162,H162,I162)=0,"",IF(B162="","Enter date",IF(OR(B162&lt;$AC$2,B162&gt;$AC$3),"Date not in April",IF(D162="","Pick project",IF(ISNA(MATCH(D162,ProjNames,0)),"Project not in list",IF(G162="","Add task description",IF(H162="","Pick NTIME or P6",IF(N(I162)&lt;=0,"Enter hours",IF(AND(AllowOT&lt;&gt;"Yes",SUMIF($B$7:$B$256,B162,$I$7:$I$256)&gt;INDEX($O$58:$O$87,DAY(B162))),"Day over "&amp;INDEX($O$58:$O$87,DAY(B162))&amp;" h","✓")))))))))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tr">
        <f aca="false">IF(Projects!B160="","",Projects!B160)</f>
        <v/>
      </c>
      <c r="X162" s="1" t="n">
        <f aca="false">IF(W162="",0,SUMIFS($I$7:$I$256,$D$7:$D$256,W162,$H$7:$H$256,"NTIME"))</f>
        <v>0</v>
      </c>
      <c r="Y162" s="1" t="n">
        <f aca="false">IF(W162="",0,SUMIFS($I$7:$I$256,$D$7:$D$256,W162,$H$7:$H$256,"P6"))</f>
        <v>0</v>
      </c>
      <c r="Z162" s="1" t="n">
        <f aca="false">X162+Y162</f>
        <v>0</v>
      </c>
      <c r="AA162" s="1" t="n">
        <f aca="false">IF(Z162&gt;0,Z162+(201-156)/10^6,0)</f>
        <v>0</v>
      </c>
      <c r="AB162" s="1"/>
      <c r="AC162" s="1"/>
      <c r="AD162" s="1"/>
      <c r="AE162" s="1"/>
      <c r="AF162" s="1"/>
      <c r="AG162" s="1"/>
      <c r="AH162" s="1"/>
    </row>
    <row r="163" customFormat="false" ht="15" hidden="false" customHeight="false" outlineLevel="0" collapsed="false">
      <c r="A163" s="1"/>
      <c r="B163" s="10"/>
      <c r="C163" s="31" t="str">
        <f aca="false">IF(B163="","",TEXT(B163,"ddd"))</f>
        <v/>
      </c>
      <c r="D163" s="11"/>
      <c r="E163" s="8" t="str">
        <f aca="false">IF(D163="","",IFERROR(INDEX(ProjNumbers,MATCH(D163,ProjNames,0)),""))</f>
        <v/>
      </c>
      <c r="F163" s="8" t="str">
        <f aca="false">IF(D163="","",IFERROR(INDEX(ProjCodes,MATCH(D163,ProjNames,0)),""))</f>
        <v/>
      </c>
      <c r="G163" s="32"/>
      <c r="H163" s="11"/>
      <c r="I163" s="33"/>
      <c r="J163" s="8" t="str">
        <f aca="false">IF(COUNTA(B163,D163,G163,H163,I163)=0,"",IF(B163="","Enter date",IF(OR(B163&lt;$AC$2,B163&gt;$AC$3),"Date not in April",IF(D163="","Pick project",IF(ISNA(MATCH(D163,ProjNames,0)),"Project not in list",IF(G163="","Add task description",IF(H163="","Pick NTIME or P6",IF(N(I163)&lt;=0,"Enter hours",IF(AND(AllowOT&lt;&gt;"Yes",SUMIF($B$7:$B$256,B163,$I$7:$I$256)&gt;INDEX($O$58:$O$87,DAY(B163))),"Day over "&amp;INDEX($O$58:$O$87,DAY(B163))&amp;" h","✓")))))))))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tr">
        <f aca="false">IF(Projects!B161="","",Projects!B161)</f>
        <v/>
      </c>
      <c r="X163" s="1" t="n">
        <f aca="false">IF(W163="",0,SUMIFS($I$7:$I$256,$D$7:$D$256,W163,$H$7:$H$256,"NTIME"))</f>
        <v>0</v>
      </c>
      <c r="Y163" s="1" t="n">
        <f aca="false">IF(W163="",0,SUMIFS($I$7:$I$256,$D$7:$D$256,W163,$H$7:$H$256,"P6"))</f>
        <v>0</v>
      </c>
      <c r="Z163" s="1" t="n">
        <f aca="false">X163+Y163</f>
        <v>0</v>
      </c>
      <c r="AA163" s="1" t="n">
        <f aca="false">IF(Z163&gt;0,Z163+(201-157)/10^6,0)</f>
        <v>0</v>
      </c>
      <c r="AB163" s="1"/>
      <c r="AC163" s="1"/>
      <c r="AD163" s="1"/>
      <c r="AE163" s="1"/>
      <c r="AF163" s="1"/>
      <c r="AG163" s="1"/>
      <c r="AH163" s="1"/>
    </row>
    <row r="164" customFormat="false" ht="15" hidden="false" customHeight="false" outlineLevel="0" collapsed="false">
      <c r="A164" s="1"/>
      <c r="B164" s="10"/>
      <c r="C164" s="31" t="str">
        <f aca="false">IF(B164="","",TEXT(B164,"ddd"))</f>
        <v/>
      </c>
      <c r="D164" s="11"/>
      <c r="E164" s="8" t="str">
        <f aca="false">IF(D164="","",IFERROR(INDEX(ProjNumbers,MATCH(D164,ProjNames,0)),""))</f>
        <v/>
      </c>
      <c r="F164" s="8" t="str">
        <f aca="false">IF(D164="","",IFERROR(INDEX(ProjCodes,MATCH(D164,ProjNames,0)),""))</f>
        <v/>
      </c>
      <c r="G164" s="32"/>
      <c r="H164" s="11"/>
      <c r="I164" s="33"/>
      <c r="J164" s="8" t="str">
        <f aca="false">IF(COUNTA(B164,D164,G164,H164,I164)=0,"",IF(B164="","Enter date",IF(OR(B164&lt;$AC$2,B164&gt;$AC$3),"Date not in April",IF(D164="","Pick project",IF(ISNA(MATCH(D164,ProjNames,0)),"Project not in list",IF(G164="","Add task description",IF(H164="","Pick NTIME or P6",IF(N(I164)&lt;=0,"Enter hours",IF(AND(AllowOT&lt;&gt;"Yes",SUMIF($B$7:$B$256,B164,$I$7:$I$256)&gt;INDEX($O$58:$O$87,DAY(B164))),"Day over "&amp;INDEX($O$58:$O$87,DAY(B164))&amp;" h","✓")))))))))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tr">
        <f aca="false">IF(Projects!B162="","",Projects!B162)</f>
        <v/>
      </c>
      <c r="X164" s="1" t="n">
        <f aca="false">IF(W164="",0,SUMIFS($I$7:$I$256,$D$7:$D$256,W164,$H$7:$H$256,"NTIME"))</f>
        <v>0</v>
      </c>
      <c r="Y164" s="1" t="n">
        <f aca="false">IF(W164="",0,SUMIFS($I$7:$I$256,$D$7:$D$256,W164,$H$7:$H$256,"P6"))</f>
        <v>0</v>
      </c>
      <c r="Z164" s="1" t="n">
        <f aca="false">X164+Y164</f>
        <v>0</v>
      </c>
      <c r="AA164" s="1" t="n">
        <f aca="false">IF(Z164&gt;0,Z164+(201-158)/10^6,0)</f>
        <v>0</v>
      </c>
      <c r="AB164" s="1"/>
      <c r="AC164" s="1"/>
      <c r="AD164" s="1"/>
      <c r="AE164" s="1"/>
      <c r="AF164" s="1"/>
      <c r="AG164" s="1"/>
      <c r="AH164" s="1"/>
    </row>
    <row r="165" customFormat="false" ht="15" hidden="false" customHeight="false" outlineLevel="0" collapsed="false">
      <c r="A165" s="1"/>
      <c r="B165" s="10"/>
      <c r="C165" s="31" t="str">
        <f aca="false">IF(B165="","",TEXT(B165,"ddd"))</f>
        <v/>
      </c>
      <c r="D165" s="11"/>
      <c r="E165" s="8" t="str">
        <f aca="false">IF(D165="","",IFERROR(INDEX(ProjNumbers,MATCH(D165,ProjNames,0)),""))</f>
        <v/>
      </c>
      <c r="F165" s="8" t="str">
        <f aca="false">IF(D165="","",IFERROR(INDEX(ProjCodes,MATCH(D165,ProjNames,0)),""))</f>
        <v/>
      </c>
      <c r="G165" s="32"/>
      <c r="H165" s="11"/>
      <c r="I165" s="33"/>
      <c r="J165" s="8" t="str">
        <f aca="false">IF(COUNTA(B165,D165,G165,H165,I165)=0,"",IF(B165="","Enter date",IF(OR(B165&lt;$AC$2,B165&gt;$AC$3),"Date not in April",IF(D165="","Pick project",IF(ISNA(MATCH(D165,ProjNames,0)),"Project not in list",IF(G165="","Add task description",IF(H165="","Pick NTIME or P6",IF(N(I165)&lt;=0,"Enter hours",IF(AND(AllowOT&lt;&gt;"Yes",SUMIF($B$7:$B$256,B165,$I$7:$I$256)&gt;INDEX($O$58:$O$87,DAY(B165))),"Day over "&amp;INDEX($O$58:$O$87,DAY(B165))&amp;" h","✓")))))))))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tr">
        <f aca="false">IF(Projects!B163="","",Projects!B163)</f>
        <v/>
      </c>
      <c r="X165" s="1" t="n">
        <f aca="false">IF(W165="",0,SUMIFS($I$7:$I$256,$D$7:$D$256,W165,$H$7:$H$256,"NTIME"))</f>
        <v>0</v>
      </c>
      <c r="Y165" s="1" t="n">
        <f aca="false">IF(W165="",0,SUMIFS($I$7:$I$256,$D$7:$D$256,W165,$H$7:$H$256,"P6"))</f>
        <v>0</v>
      </c>
      <c r="Z165" s="1" t="n">
        <f aca="false">X165+Y165</f>
        <v>0</v>
      </c>
      <c r="AA165" s="1" t="n">
        <f aca="false">IF(Z165&gt;0,Z165+(201-159)/10^6,0)</f>
        <v>0</v>
      </c>
      <c r="AB165" s="1"/>
      <c r="AC165" s="1"/>
      <c r="AD165" s="1"/>
      <c r="AE165" s="1"/>
      <c r="AF165" s="1"/>
      <c r="AG165" s="1"/>
      <c r="AH165" s="1"/>
    </row>
    <row r="166" customFormat="false" ht="15" hidden="false" customHeight="false" outlineLevel="0" collapsed="false">
      <c r="A166" s="1"/>
      <c r="B166" s="10"/>
      <c r="C166" s="31" t="str">
        <f aca="false">IF(B166="","",TEXT(B166,"ddd"))</f>
        <v/>
      </c>
      <c r="D166" s="11"/>
      <c r="E166" s="8" t="str">
        <f aca="false">IF(D166="","",IFERROR(INDEX(ProjNumbers,MATCH(D166,ProjNames,0)),""))</f>
        <v/>
      </c>
      <c r="F166" s="8" t="str">
        <f aca="false">IF(D166="","",IFERROR(INDEX(ProjCodes,MATCH(D166,ProjNames,0)),""))</f>
        <v/>
      </c>
      <c r="G166" s="32"/>
      <c r="H166" s="11"/>
      <c r="I166" s="33"/>
      <c r="J166" s="8" t="str">
        <f aca="false">IF(COUNTA(B166,D166,G166,H166,I166)=0,"",IF(B166="","Enter date",IF(OR(B166&lt;$AC$2,B166&gt;$AC$3),"Date not in April",IF(D166="","Pick project",IF(ISNA(MATCH(D166,ProjNames,0)),"Project not in list",IF(G166="","Add task description",IF(H166="","Pick NTIME or P6",IF(N(I166)&lt;=0,"Enter hours",IF(AND(AllowOT&lt;&gt;"Yes",SUMIF($B$7:$B$256,B166,$I$7:$I$256)&gt;INDEX($O$58:$O$87,DAY(B166))),"Day over "&amp;INDEX($O$58:$O$87,DAY(B166))&amp;" h","✓")))))))))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tr">
        <f aca="false">IF(Projects!B164="","",Projects!B164)</f>
        <v/>
      </c>
      <c r="X166" s="1" t="n">
        <f aca="false">IF(W166="",0,SUMIFS($I$7:$I$256,$D$7:$D$256,W166,$H$7:$H$256,"NTIME"))</f>
        <v>0</v>
      </c>
      <c r="Y166" s="1" t="n">
        <f aca="false">IF(W166="",0,SUMIFS($I$7:$I$256,$D$7:$D$256,W166,$H$7:$H$256,"P6"))</f>
        <v>0</v>
      </c>
      <c r="Z166" s="1" t="n">
        <f aca="false">X166+Y166</f>
        <v>0</v>
      </c>
      <c r="AA166" s="1" t="n">
        <f aca="false">IF(Z166&gt;0,Z166+(201-160)/10^6,0)</f>
        <v>0</v>
      </c>
      <c r="AB166" s="1"/>
      <c r="AC166" s="1"/>
      <c r="AD166" s="1"/>
      <c r="AE166" s="1"/>
      <c r="AF166" s="1"/>
      <c r="AG166" s="1"/>
      <c r="AH166" s="1"/>
    </row>
    <row r="167" customFormat="false" ht="15" hidden="false" customHeight="false" outlineLevel="0" collapsed="false">
      <c r="A167" s="1"/>
      <c r="B167" s="10"/>
      <c r="C167" s="31" t="str">
        <f aca="false">IF(B167="","",TEXT(B167,"ddd"))</f>
        <v/>
      </c>
      <c r="D167" s="11"/>
      <c r="E167" s="8" t="str">
        <f aca="false">IF(D167="","",IFERROR(INDEX(ProjNumbers,MATCH(D167,ProjNames,0)),""))</f>
        <v/>
      </c>
      <c r="F167" s="8" t="str">
        <f aca="false">IF(D167="","",IFERROR(INDEX(ProjCodes,MATCH(D167,ProjNames,0)),""))</f>
        <v/>
      </c>
      <c r="G167" s="32"/>
      <c r="H167" s="11"/>
      <c r="I167" s="33"/>
      <c r="J167" s="8" t="str">
        <f aca="false">IF(COUNTA(B167,D167,G167,H167,I167)=0,"",IF(B167="","Enter date",IF(OR(B167&lt;$AC$2,B167&gt;$AC$3),"Date not in April",IF(D167="","Pick project",IF(ISNA(MATCH(D167,ProjNames,0)),"Project not in list",IF(G167="","Add task description",IF(H167="","Pick NTIME or P6",IF(N(I167)&lt;=0,"Enter hours",IF(AND(AllowOT&lt;&gt;"Yes",SUMIF($B$7:$B$256,B167,$I$7:$I$256)&gt;INDEX($O$58:$O$87,DAY(B167))),"Day over "&amp;INDEX($O$58:$O$87,DAY(B167))&amp;" h","✓")))))))))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 aca="false">IF(Projects!B165="","",Projects!B165)</f>
        <v/>
      </c>
      <c r="X167" s="1" t="n">
        <f aca="false">IF(W167="",0,SUMIFS($I$7:$I$256,$D$7:$D$256,W167,$H$7:$H$256,"NTIME"))</f>
        <v>0</v>
      </c>
      <c r="Y167" s="1" t="n">
        <f aca="false">IF(W167="",0,SUMIFS($I$7:$I$256,$D$7:$D$256,W167,$H$7:$H$256,"P6"))</f>
        <v>0</v>
      </c>
      <c r="Z167" s="1" t="n">
        <f aca="false">X167+Y167</f>
        <v>0</v>
      </c>
      <c r="AA167" s="1" t="n">
        <f aca="false">IF(Z167&gt;0,Z167+(201-161)/10^6,0)</f>
        <v>0</v>
      </c>
      <c r="AB167" s="1"/>
      <c r="AC167" s="1"/>
      <c r="AD167" s="1"/>
      <c r="AE167" s="1"/>
      <c r="AF167" s="1"/>
      <c r="AG167" s="1"/>
      <c r="AH167" s="1"/>
    </row>
    <row r="168" customFormat="false" ht="15" hidden="false" customHeight="false" outlineLevel="0" collapsed="false">
      <c r="A168" s="1"/>
      <c r="B168" s="10"/>
      <c r="C168" s="31" t="str">
        <f aca="false">IF(B168="","",TEXT(B168,"ddd"))</f>
        <v/>
      </c>
      <c r="D168" s="11"/>
      <c r="E168" s="8" t="str">
        <f aca="false">IF(D168="","",IFERROR(INDEX(ProjNumbers,MATCH(D168,ProjNames,0)),""))</f>
        <v/>
      </c>
      <c r="F168" s="8" t="str">
        <f aca="false">IF(D168="","",IFERROR(INDEX(ProjCodes,MATCH(D168,ProjNames,0)),""))</f>
        <v/>
      </c>
      <c r="G168" s="32"/>
      <c r="H168" s="11"/>
      <c r="I168" s="33"/>
      <c r="J168" s="8" t="str">
        <f aca="false">IF(COUNTA(B168,D168,G168,H168,I168)=0,"",IF(B168="","Enter date",IF(OR(B168&lt;$AC$2,B168&gt;$AC$3),"Date not in April",IF(D168="","Pick project",IF(ISNA(MATCH(D168,ProjNames,0)),"Project not in list",IF(G168="","Add task description",IF(H168="","Pick NTIME or P6",IF(N(I168)&lt;=0,"Enter hours",IF(AND(AllowOT&lt;&gt;"Yes",SUMIF($B$7:$B$256,B168,$I$7:$I$256)&gt;INDEX($O$58:$O$87,DAY(B168))),"Day over "&amp;INDEX($O$58:$O$87,DAY(B168))&amp;" h","✓")))))))))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tr">
        <f aca="false">IF(Projects!B166="","",Projects!B166)</f>
        <v/>
      </c>
      <c r="X168" s="1" t="n">
        <f aca="false">IF(W168="",0,SUMIFS($I$7:$I$256,$D$7:$D$256,W168,$H$7:$H$256,"NTIME"))</f>
        <v>0</v>
      </c>
      <c r="Y168" s="1" t="n">
        <f aca="false">IF(W168="",0,SUMIFS($I$7:$I$256,$D$7:$D$256,W168,$H$7:$H$256,"P6"))</f>
        <v>0</v>
      </c>
      <c r="Z168" s="1" t="n">
        <f aca="false">X168+Y168</f>
        <v>0</v>
      </c>
      <c r="AA168" s="1" t="n">
        <f aca="false">IF(Z168&gt;0,Z168+(201-162)/10^6,0)</f>
        <v>0</v>
      </c>
      <c r="AB168" s="1"/>
      <c r="AC168" s="1"/>
      <c r="AD168" s="1"/>
      <c r="AE168" s="1"/>
      <c r="AF168" s="1"/>
      <c r="AG168" s="1"/>
      <c r="AH168" s="1"/>
    </row>
    <row r="169" customFormat="false" ht="15" hidden="false" customHeight="false" outlineLevel="0" collapsed="false">
      <c r="A169" s="1"/>
      <c r="B169" s="10"/>
      <c r="C169" s="31" t="str">
        <f aca="false">IF(B169="","",TEXT(B169,"ddd"))</f>
        <v/>
      </c>
      <c r="D169" s="11"/>
      <c r="E169" s="8" t="str">
        <f aca="false">IF(D169="","",IFERROR(INDEX(ProjNumbers,MATCH(D169,ProjNames,0)),""))</f>
        <v/>
      </c>
      <c r="F169" s="8" t="str">
        <f aca="false">IF(D169="","",IFERROR(INDEX(ProjCodes,MATCH(D169,ProjNames,0)),""))</f>
        <v/>
      </c>
      <c r="G169" s="32"/>
      <c r="H169" s="11"/>
      <c r="I169" s="33"/>
      <c r="J169" s="8" t="str">
        <f aca="false">IF(COUNTA(B169,D169,G169,H169,I169)=0,"",IF(B169="","Enter date",IF(OR(B169&lt;$AC$2,B169&gt;$AC$3),"Date not in April",IF(D169="","Pick project",IF(ISNA(MATCH(D169,ProjNames,0)),"Project not in list",IF(G169="","Add task description",IF(H169="","Pick NTIME or P6",IF(N(I169)&lt;=0,"Enter hours",IF(AND(AllowOT&lt;&gt;"Yes",SUMIF($B$7:$B$256,B169,$I$7:$I$256)&gt;INDEX($O$58:$O$87,DAY(B169))),"Day over "&amp;INDEX($O$58:$O$87,DAY(B169))&amp;" h","✓")))))))))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tr">
        <f aca="false">IF(Projects!B167="","",Projects!B167)</f>
        <v/>
      </c>
      <c r="X169" s="1" t="n">
        <f aca="false">IF(W169="",0,SUMIFS($I$7:$I$256,$D$7:$D$256,W169,$H$7:$H$256,"NTIME"))</f>
        <v>0</v>
      </c>
      <c r="Y169" s="1" t="n">
        <f aca="false">IF(W169="",0,SUMIFS($I$7:$I$256,$D$7:$D$256,W169,$H$7:$H$256,"P6"))</f>
        <v>0</v>
      </c>
      <c r="Z169" s="1" t="n">
        <f aca="false">X169+Y169</f>
        <v>0</v>
      </c>
      <c r="AA169" s="1" t="n">
        <f aca="false">IF(Z169&gt;0,Z169+(201-163)/10^6,0)</f>
        <v>0</v>
      </c>
      <c r="AB169" s="1"/>
      <c r="AC169" s="1"/>
      <c r="AD169" s="1"/>
      <c r="AE169" s="1"/>
      <c r="AF169" s="1"/>
      <c r="AG169" s="1"/>
      <c r="AH169" s="1"/>
    </row>
    <row r="170" customFormat="false" ht="15" hidden="false" customHeight="false" outlineLevel="0" collapsed="false">
      <c r="A170" s="1"/>
      <c r="B170" s="10"/>
      <c r="C170" s="31" t="str">
        <f aca="false">IF(B170="","",TEXT(B170,"ddd"))</f>
        <v/>
      </c>
      <c r="D170" s="11"/>
      <c r="E170" s="8" t="str">
        <f aca="false">IF(D170="","",IFERROR(INDEX(ProjNumbers,MATCH(D170,ProjNames,0)),""))</f>
        <v/>
      </c>
      <c r="F170" s="8" t="str">
        <f aca="false">IF(D170="","",IFERROR(INDEX(ProjCodes,MATCH(D170,ProjNames,0)),""))</f>
        <v/>
      </c>
      <c r="G170" s="32"/>
      <c r="H170" s="11"/>
      <c r="I170" s="33"/>
      <c r="J170" s="8" t="str">
        <f aca="false">IF(COUNTA(B170,D170,G170,H170,I170)=0,"",IF(B170="","Enter date",IF(OR(B170&lt;$AC$2,B170&gt;$AC$3),"Date not in April",IF(D170="","Pick project",IF(ISNA(MATCH(D170,ProjNames,0)),"Project not in list",IF(G170="","Add task description",IF(H170="","Pick NTIME or P6",IF(N(I170)&lt;=0,"Enter hours",IF(AND(AllowOT&lt;&gt;"Yes",SUMIF($B$7:$B$256,B170,$I$7:$I$256)&gt;INDEX($O$58:$O$87,DAY(B170))),"Day over "&amp;INDEX($O$58:$O$87,DAY(B170))&amp;" h","✓")))))))))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tr">
        <f aca="false">IF(Projects!B168="","",Projects!B168)</f>
        <v/>
      </c>
      <c r="X170" s="1" t="n">
        <f aca="false">IF(W170="",0,SUMIFS($I$7:$I$256,$D$7:$D$256,W170,$H$7:$H$256,"NTIME"))</f>
        <v>0</v>
      </c>
      <c r="Y170" s="1" t="n">
        <f aca="false">IF(W170="",0,SUMIFS($I$7:$I$256,$D$7:$D$256,W170,$H$7:$H$256,"P6"))</f>
        <v>0</v>
      </c>
      <c r="Z170" s="1" t="n">
        <f aca="false">X170+Y170</f>
        <v>0</v>
      </c>
      <c r="AA170" s="1" t="n">
        <f aca="false">IF(Z170&gt;0,Z170+(201-164)/10^6,0)</f>
        <v>0</v>
      </c>
      <c r="AB170" s="1"/>
      <c r="AC170" s="1"/>
      <c r="AD170" s="1"/>
      <c r="AE170" s="1"/>
      <c r="AF170" s="1"/>
      <c r="AG170" s="1"/>
      <c r="AH170" s="1"/>
    </row>
    <row r="171" customFormat="false" ht="15" hidden="false" customHeight="false" outlineLevel="0" collapsed="false">
      <c r="A171" s="1"/>
      <c r="B171" s="10"/>
      <c r="C171" s="31" t="str">
        <f aca="false">IF(B171="","",TEXT(B171,"ddd"))</f>
        <v/>
      </c>
      <c r="D171" s="11"/>
      <c r="E171" s="8" t="str">
        <f aca="false">IF(D171="","",IFERROR(INDEX(ProjNumbers,MATCH(D171,ProjNames,0)),""))</f>
        <v/>
      </c>
      <c r="F171" s="8" t="str">
        <f aca="false">IF(D171="","",IFERROR(INDEX(ProjCodes,MATCH(D171,ProjNames,0)),""))</f>
        <v/>
      </c>
      <c r="G171" s="32"/>
      <c r="H171" s="11"/>
      <c r="I171" s="33"/>
      <c r="J171" s="8" t="str">
        <f aca="false">IF(COUNTA(B171,D171,G171,H171,I171)=0,"",IF(B171="","Enter date",IF(OR(B171&lt;$AC$2,B171&gt;$AC$3),"Date not in April",IF(D171="","Pick project",IF(ISNA(MATCH(D171,ProjNames,0)),"Project not in list",IF(G171="","Add task description",IF(H171="","Pick NTIME or P6",IF(N(I171)&lt;=0,"Enter hours",IF(AND(AllowOT&lt;&gt;"Yes",SUMIF($B$7:$B$256,B171,$I$7:$I$256)&gt;INDEX($O$58:$O$87,DAY(B171))),"Day over "&amp;INDEX($O$58:$O$87,DAY(B171))&amp;" h","✓")))))))))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tr">
        <f aca="false">IF(Projects!B169="","",Projects!B169)</f>
        <v/>
      </c>
      <c r="X171" s="1" t="n">
        <f aca="false">IF(W171="",0,SUMIFS($I$7:$I$256,$D$7:$D$256,W171,$H$7:$H$256,"NTIME"))</f>
        <v>0</v>
      </c>
      <c r="Y171" s="1" t="n">
        <f aca="false">IF(W171="",0,SUMIFS($I$7:$I$256,$D$7:$D$256,W171,$H$7:$H$256,"P6"))</f>
        <v>0</v>
      </c>
      <c r="Z171" s="1" t="n">
        <f aca="false">X171+Y171</f>
        <v>0</v>
      </c>
      <c r="AA171" s="1" t="n">
        <f aca="false">IF(Z171&gt;0,Z171+(201-165)/10^6,0)</f>
        <v>0</v>
      </c>
      <c r="AB171" s="1"/>
      <c r="AC171" s="1"/>
      <c r="AD171" s="1"/>
      <c r="AE171" s="1"/>
      <c r="AF171" s="1"/>
      <c r="AG171" s="1"/>
      <c r="AH171" s="1"/>
    </row>
    <row r="172" customFormat="false" ht="15" hidden="false" customHeight="false" outlineLevel="0" collapsed="false">
      <c r="A172" s="1"/>
      <c r="B172" s="10"/>
      <c r="C172" s="31" t="str">
        <f aca="false">IF(B172="","",TEXT(B172,"ddd"))</f>
        <v/>
      </c>
      <c r="D172" s="11"/>
      <c r="E172" s="8" t="str">
        <f aca="false">IF(D172="","",IFERROR(INDEX(ProjNumbers,MATCH(D172,ProjNames,0)),""))</f>
        <v/>
      </c>
      <c r="F172" s="8" t="str">
        <f aca="false">IF(D172="","",IFERROR(INDEX(ProjCodes,MATCH(D172,ProjNames,0)),""))</f>
        <v/>
      </c>
      <c r="G172" s="32"/>
      <c r="H172" s="11"/>
      <c r="I172" s="33"/>
      <c r="J172" s="8" t="str">
        <f aca="false">IF(COUNTA(B172,D172,G172,H172,I172)=0,"",IF(B172="","Enter date",IF(OR(B172&lt;$AC$2,B172&gt;$AC$3),"Date not in April",IF(D172="","Pick project",IF(ISNA(MATCH(D172,ProjNames,0)),"Project not in list",IF(G172="","Add task description",IF(H172="","Pick NTIME or P6",IF(N(I172)&lt;=0,"Enter hours",IF(AND(AllowOT&lt;&gt;"Yes",SUMIF($B$7:$B$256,B172,$I$7:$I$256)&gt;INDEX($O$58:$O$87,DAY(B172))),"Day over "&amp;INDEX($O$58:$O$87,DAY(B172))&amp;" h","✓")))))))))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tr">
        <f aca="false">IF(Projects!B170="","",Projects!B170)</f>
        <v/>
      </c>
      <c r="X172" s="1" t="n">
        <f aca="false">IF(W172="",0,SUMIFS($I$7:$I$256,$D$7:$D$256,W172,$H$7:$H$256,"NTIME"))</f>
        <v>0</v>
      </c>
      <c r="Y172" s="1" t="n">
        <f aca="false">IF(W172="",0,SUMIFS($I$7:$I$256,$D$7:$D$256,W172,$H$7:$H$256,"P6"))</f>
        <v>0</v>
      </c>
      <c r="Z172" s="1" t="n">
        <f aca="false">X172+Y172</f>
        <v>0</v>
      </c>
      <c r="AA172" s="1" t="n">
        <f aca="false">IF(Z172&gt;0,Z172+(201-166)/10^6,0)</f>
        <v>0</v>
      </c>
      <c r="AB172" s="1"/>
      <c r="AC172" s="1"/>
      <c r="AD172" s="1"/>
      <c r="AE172" s="1"/>
      <c r="AF172" s="1"/>
      <c r="AG172" s="1"/>
      <c r="AH172" s="1"/>
    </row>
    <row r="173" customFormat="false" ht="15" hidden="false" customHeight="false" outlineLevel="0" collapsed="false">
      <c r="A173" s="1"/>
      <c r="B173" s="10"/>
      <c r="C173" s="31" t="str">
        <f aca="false">IF(B173="","",TEXT(B173,"ddd"))</f>
        <v/>
      </c>
      <c r="D173" s="11"/>
      <c r="E173" s="8" t="str">
        <f aca="false">IF(D173="","",IFERROR(INDEX(ProjNumbers,MATCH(D173,ProjNames,0)),""))</f>
        <v/>
      </c>
      <c r="F173" s="8" t="str">
        <f aca="false">IF(D173="","",IFERROR(INDEX(ProjCodes,MATCH(D173,ProjNames,0)),""))</f>
        <v/>
      </c>
      <c r="G173" s="32"/>
      <c r="H173" s="11"/>
      <c r="I173" s="33"/>
      <c r="J173" s="8" t="str">
        <f aca="false">IF(COUNTA(B173,D173,G173,H173,I173)=0,"",IF(B173="","Enter date",IF(OR(B173&lt;$AC$2,B173&gt;$AC$3),"Date not in April",IF(D173="","Pick project",IF(ISNA(MATCH(D173,ProjNames,0)),"Project not in list",IF(G173="","Add task description",IF(H173="","Pick NTIME or P6",IF(N(I173)&lt;=0,"Enter hours",IF(AND(AllowOT&lt;&gt;"Yes",SUMIF($B$7:$B$256,B173,$I$7:$I$256)&gt;INDEX($O$58:$O$87,DAY(B173))),"Day over "&amp;INDEX($O$58:$O$87,DAY(B173))&amp;" h","✓")))))))))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tr">
        <f aca="false">IF(Projects!B171="","",Projects!B171)</f>
        <v/>
      </c>
      <c r="X173" s="1" t="n">
        <f aca="false">IF(W173="",0,SUMIFS($I$7:$I$256,$D$7:$D$256,W173,$H$7:$H$256,"NTIME"))</f>
        <v>0</v>
      </c>
      <c r="Y173" s="1" t="n">
        <f aca="false">IF(W173="",0,SUMIFS($I$7:$I$256,$D$7:$D$256,W173,$H$7:$H$256,"P6"))</f>
        <v>0</v>
      </c>
      <c r="Z173" s="1" t="n">
        <f aca="false">X173+Y173</f>
        <v>0</v>
      </c>
      <c r="AA173" s="1" t="n">
        <f aca="false">IF(Z173&gt;0,Z173+(201-167)/10^6,0)</f>
        <v>0</v>
      </c>
      <c r="AB173" s="1"/>
      <c r="AC173" s="1"/>
      <c r="AD173" s="1"/>
      <c r="AE173" s="1"/>
      <c r="AF173" s="1"/>
      <c r="AG173" s="1"/>
      <c r="AH173" s="1"/>
    </row>
    <row r="174" customFormat="false" ht="15" hidden="false" customHeight="false" outlineLevel="0" collapsed="false">
      <c r="A174" s="1"/>
      <c r="B174" s="10"/>
      <c r="C174" s="31" t="str">
        <f aca="false">IF(B174="","",TEXT(B174,"ddd"))</f>
        <v/>
      </c>
      <c r="D174" s="11"/>
      <c r="E174" s="8" t="str">
        <f aca="false">IF(D174="","",IFERROR(INDEX(ProjNumbers,MATCH(D174,ProjNames,0)),""))</f>
        <v/>
      </c>
      <c r="F174" s="8" t="str">
        <f aca="false">IF(D174="","",IFERROR(INDEX(ProjCodes,MATCH(D174,ProjNames,0)),""))</f>
        <v/>
      </c>
      <c r="G174" s="32"/>
      <c r="H174" s="11"/>
      <c r="I174" s="33"/>
      <c r="J174" s="8" t="str">
        <f aca="false">IF(COUNTA(B174,D174,G174,H174,I174)=0,"",IF(B174="","Enter date",IF(OR(B174&lt;$AC$2,B174&gt;$AC$3),"Date not in April",IF(D174="","Pick project",IF(ISNA(MATCH(D174,ProjNames,0)),"Project not in list",IF(G174="","Add task description",IF(H174="","Pick NTIME or P6",IF(N(I174)&lt;=0,"Enter hours",IF(AND(AllowOT&lt;&gt;"Yes",SUMIF($B$7:$B$256,B174,$I$7:$I$256)&gt;INDEX($O$58:$O$87,DAY(B174))),"Day over "&amp;INDEX($O$58:$O$87,DAY(B174))&amp;" h","✓")))))))))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tr">
        <f aca="false">IF(Projects!B172="","",Projects!B172)</f>
        <v/>
      </c>
      <c r="X174" s="1" t="n">
        <f aca="false">IF(W174="",0,SUMIFS($I$7:$I$256,$D$7:$D$256,W174,$H$7:$H$256,"NTIME"))</f>
        <v>0</v>
      </c>
      <c r="Y174" s="1" t="n">
        <f aca="false">IF(W174="",0,SUMIFS($I$7:$I$256,$D$7:$D$256,W174,$H$7:$H$256,"P6"))</f>
        <v>0</v>
      </c>
      <c r="Z174" s="1" t="n">
        <f aca="false">X174+Y174</f>
        <v>0</v>
      </c>
      <c r="AA174" s="1" t="n">
        <f aca="false">IF(Z174&gt;0,Z174+(201-168)/10^6,0)</f>
        <v>0</v>
      </c>
      <c r="AB174" s="1"/>
      <c r="AC174" s="1"/>
      <c r="AD174" s="1"/>
      <c r="AE174" s="1"/>
      <c r="AF174" s="1"/>
      <c r="AG174" s="1"/>
      <c r="AH174" s="1"/>
    </row>
    <row r="175" customFormat="false" ht="15" hidden="false" customHeight="false" outlineLevel="0" collapsed="false">
      <c r="A175" s="1"/>
      <c r="B175" s="10"/>
      <c r="C175" s="31" t="str">
        <f aca="false">IF(B175="","",TEXT(B175,"ddd"))</f>
        <v/>
      </c>
      <c r="D175" s="11"/>
      <c r="E175" s="8" t="str">
        <f aca="false">IF(D175="","",IFERROR(INDEX(ProjNumbers,MATCH(D175,ProjNames,0)),""))</f>
        <v/>
      </c>
      <c r="F175" s="8" t="str">
        <f aca="false">IF(D175="","",IFERROR(INDEX(ProjCodes,MATCH(D175,ProjNames,0)),""))</f>
        <v/>
      </c>
      <c r="G175" s="32"/>
      <c r="H175" s="11"/>
      <c r="I175" s="33"/>
      <c r="J175" s="8" t="str">
        <f aca="false">IF(COUNTA(B175,D175,G175,H175,I175)=0,"",IF(B175="","Enter date",IF(OR(B175&lt;$AC$2,B175&gt;$AC$3),"Date not in April",IF(D175="","Pick project",IF(ISNA(MATCH(D175,ProjNames,0)),"Project not in list",IF(G175="","Add task description",IF(H175="","Pick NTIME or P6",IF(N(I175)&lt;=0,"Enter hours",IF(AND(AllowOT&lt;&gt;"Yes",SUMIF($B$7:$B$256,B175,$I$7:$I$256)&gt;INDEX($O$58:$O$87,DAY(B175))),"Day over "&amp;INDEX($O$58:$O$87,DAY(B175))&amp;" h","✓")))))))))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tr">
        <f aca="false">IF(Projects!B173="","",Projects!B173)</f>
        <v/>
      </c>
      <c r="X175" s="1" t="n">
        <f aca="false">IF(W175="",0,SUMIFS($I$7:$I$256,$D$7:$D$256,W175,$H$7:$H$256,"NTIME"))</f>
        <v>0</v>
      </c>
      <c r="Y175" s="1" t="n">
        <f aca="false">IF(W175="",0,SUMIFS($I$7:$I$256,$D$7:$D$256,W175,$H$7:$H$256,"P6"))</f>
        <v>0</v>
      </c>
      <c r="Z175" s="1" t="n">
        <f aca="false">X175+Y175</f>
        <v>0</v>
      </c>
      <c r="AA175" s="1" t="n">
        <f aca="false">IF(Z175&gt;0,Z175+(201-169)/10^6,0)</f>
        <v>0</v>
      </c>
      <c r="AB175" s="1"/>
      <c r="AC175" s="1"/>
      <c r="AD175" s="1"/>
      <c r="AE175" s="1"/>
      <c r="AF175" s="1"/>
      <c r="AG175" s="1"/>
      <c r="AH175" s="1"/>
    </row>
    <row r="176" customFormat="false" ht="15" hidden="false" customHeight="false" outlineLevel="0" collapsed="false">
      <c r="A176" s="1"/>
      <c r="B176" s="10"/>
      <c r="C176" s="31" t="str">
        <f aca="false">IF(B176="","",TEXT(B176,"ddd"))</f>
        <v/>
      </c>
      <c r="D176" s="11"/>
      <c r="E176" s="8" t="str">
        <f aca="false">IF(D176="","",IFERROR(INDEX(ProjNumbers,MATCH(D176,ProjNames,0)),""))</f>
        <v/>
      </c>
      <c r="F176" s="8" t="str">
        <f aca="false">IF(D176="","",IFERROR(INDEX(ProjCodes,MATCH(D176,ProjNames,0)),""))</f>
        <v/>
      </c>
      <c r="G176" s="32"/>
      <c r="H176" s="11"/>
      <c r="I176" s="33"/>
      <c r="J176" s="8" t="str">
        <f aca="false">IF(COUNTA(B176,D176,G176,H176,I176)=0,"",IF(B176="","Enter date",IF(OR(B176&lt;$AC$2,B176&gt;$AC$3),"Date not in April",IF(D176="","Pick project",IF(ISNA(MATCH(D176,ProjNames,0)),"Project not in list",IF(G176="","Add task description",IF(H176="","Pick NTIME or P6",IF(N(I176)&lt;=0,"Enter hours",IF(AND(AllowOT&lt;&gt;"Yes",SUMIF($B$7:$B$256,B176,$I$7:$I$256)&gt;INDEX($O$58:$O$87,DAY(B176))),"Day over "&amp;INDEX($O$58:$O$87,DAY(B176))&amp;" h","✓")))))))))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tr">
        <f aca="false">IF(Projects!B174="","",Projects!B174)</f>
        <v/>
      </c>
      <c r="X176" s="1" t="n">
        <f aca="false">IF(W176="",0,SUMIFS($I$7:$I$256,$D$7:$D$256,W176,$H$7:$H$256,"NTIME"))</f>
        <v>0</v>
      </c>
      <c r="Y176" s="1" t="n">
        <f aca="false">IF(W176="",0,SUMIFS($I$7:$I$256,$D$7:$D$256,W176,$H$7:$H$256,"P6"))</f>
        <v>0</v>
      </c>
      <c r="Z176" s="1" t="n">
        <f aca="false">X176+Y176</f>
        <v>0</v>
      </c>
      <c r="AA176" s="1" t="n">
        <f aca="false">IF(Z176&gt;0,Z176+(201-170)/10^6,0)</f>
        <v>0</v>
      </c>
      <c r="AB176" s="1"/>
      <c r="AC176" s="1"/>
      <c r="AD176" s="1"/>
      <c r="AE176" s="1"/>
      <c r="AF176" s="1"/>
      <c r="AG176" s="1"/>
      <c r="AH176" s="1"/>
    </row>
    <row r="177" customFormat="false" ht="15" hidden="false" customHeight="false" outlineLevel="0" collapsed="false">
      <c r="A177" s="1"/>
      <c r="B177" s="10"/>
      <c r="C177" s="31" t="str">
        <f aca="false">IF(B177="","",TEXT(B177,"ddd"))</f>
        <v/>
      </c>
      <c r="D177" s="11"/>
      <c r="E177" s="8" t="str">
        <f aca="false">IF(D177="","",IFERROR(INDEX(ProjNumbers,MATCH(D177,ProjNames,0)),""))</f>
        <v/>
      </c>
      <c r="F177" s="8" t="str">
        <f aca="false">IF(D177="","",IFERROR(INDEX(ProjCodes,MATCH(D177,ProjNames,0)),""))</f>
        <v/>
      </c>
      <c r="G177" s="32"/>
      <c r="H177" s="11"/>
      <c r="I177" s="33"/>
      <c r="J177" s="8" t="str">
        <f aca="false">IF(COUNTA(B177,D177,G177,H177,I177)=0,"",IF(B177="","Enter date",IF(OR(B177&lt;$AC$2,B177&gt;$AC$3),"Date not in April",IF(D177="","Pick project",IF(ISNA(MATCH(D177,ProjNames,0)),"Project not in list",IF(G177="","Add task description",IF(H177="","Pick NTIME or P6",IF(N(I177)&lt;=0,"Enter hours",IF(AND(AllowOT&lt;&gt;"Yes",SUMIF($B$7:$B$256,B177,$I$7:$I$256)&gt;INDEX($O$58:$O$87,DAY(B177))),"Day over "&amp;INDEX($O$58:$O$87,DAY(B177))&amp;" h","✓")))))))))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tr">
        <f aca="false">IF(Projects!B175="","",Projects!B175)</f>
        <v/>
      </c>
      <c r="X177" s="1" t="n">
        <f aca="false">IF(W177="",0,SUMIFS($I$7:$I$256,$D$7:$D$256,W177,$H$7:$H$256,"NTIME"))</f>
        <v>0</v>
      </c>
      <c r="Y177" s="1" t="n">
        <f aca="false">IF(W177="",0,SUMIFS($I$7:$I$256,$D$7:$D$256,W177,$H$7:$H$256,"P6"))</f>
        <v>0</v>
      </c>
      <c r="Z177" s="1" t="n">
        <f aca="false">X177+Y177</f>
        <v>0</v>
      </c>
      <c r="AA177" s="1" t="n">
        <f aca="false">IF(Z177&gt;0,Z177+(201-171)/10^6,0)</f>
        <v>0</v>
      </c>
      <c r="AB177" s="1"/>
      <c r="AC177" s="1"/>
      <c r="AD177" s="1"/>
      <c r="AE177" s="1"/>
      <c r="AF177" s="1"/>
      <c r="AG177" s="1"/>
      <c r="AH177" s="1"/>
    </row>
    <row r="178" customFormat="false" ht="15" hidden="false" customHeight="false" outlineLevel="0" collapsed="false">
      <c r="A178" s="1"/>
      <c r="B178" s="10"/>
      <c r="C178" s="31" t="str">
        <f aca="false">IF(B178="","",TEXT(B178,"ddd"))</f>
        <v/>
      </c>
      <c r="D178" s="11"/>
      <c r="E178" s="8" t="str">
        <f aca="false">IF(D178="","",IFERROR(INDEX(ProjNumbers,MATCH(D178,ProjNames,0)),""))</f>
        <v/>
      </c>
      <c r="F178" s="8" t="str">
        <f aca="false">IF(D178="","",IFERROR(INDEX(ProjCodes,MATCH(D178,ProjNames,0)),""))</f>
        <v/>
      </c>
      <c r="G178" s="32"/>
      <c r="H178" s="11"/>
      <c r="I178" s="33"/>
      <c r="J178" s="8" t="str">
        <f aca="false">IF(COUNTA(B178,D178,G178,H178,I178)=0,"",IF(B178="","Enter date",IF(OR(B178&lt;$AC$2,B178&gt;$AC$3),"Date not in April",IF(D178="","Pick project",IF(ISNA(MATCH(D178,ProjNames,0)),"Project not in list",IF(G178="","Add task description",IF(H178="","Pick NTIME or P6",IF(N(I178)&lt;=0,"Enter hours",IF(AND(AllowOT&lt;&gt;"Yes",SUMIF($B$7:$B$256,B178,$I$7:$I$256)&gt;INDEX($O$58:$O$87,DAY(B178))),"Day over "&amp;INDEX($O$58:$O$87,DAY(B178))&amp;" h","✓")))))))))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tr">
        <f aca="false">IF(Projects!B176="","",Projects!B176)</f>
        <v/>
      </c>
      <c r="X178" s="1" t="n">
        <f aca="false">IF(W178="",0,SUMIFS($I$7:$I$256,$D$7:$D$256,W178,$H$7:$H$256,"NTIME"))</f>
        <v>0</v>
      </c>
      <c r="Y178" s="1" t="n">
        <f aca="false">IF(W178="",0,SUMIFS($I$7:$I$256,$D$7:$D$256,W178,$H$7:$H$256,"P6"))</f>
        <v>0</v>
      </c>
      <c r="Z178" s="1" t="n">
        <f aca="false">X178+Y178</f>
        <v>0</v>
      </c>
      <c r="AA178" s="1" t="n">
        <f aca="false">IF(Z178&gt;0,Z178+(201-172)/10^6,0)</f>
        <v>0</v>
      </c>
      <c r="AB178" s="1"/>
      <c r="AC178" s="1"/>
      <c r="AD178" s="1"/>
      <c r="AE178" s="1"/>
      <c r="AF178" s="1"/>
      <c r="AG178" s="1"/>
      <c r="AH178" s="1"/>
    </row>
    <row r="179" customFormat="false" ht="15" hidden="false" customHeight="false" outlineLevel="0" collapsed="false">
      <c r="A179" s="1"/>
      <c r="B179" s="10"/>
      <c r="C179" s="31" t="str">
        <f aca="false">IF(B179="","",TEXT(B179,"ddd"))</f>
        <v/>
      </c>
      <c r="D179" s="11"/>
      <c r="E179" s="8" t="str">
        <f aca="false">IF(D179="","",IFERROR(INDEX(ProjNumbers,MATCH(D179,ProjNames,0)),""))</f>
        <v/>
      </c>
      <c r="F179" s="8" t="str">
        <f aca="false">IF(D179="","",IFERROR(INDEX(ProjCodes,MATCH(D179,ProjNames,0)),""))</f>
        <v/>
      </c>
      <c r="G179" s="32"/>
      <c r="H179" s="11"/>
      <c r="I179" s="33"/>
      <c r="J179" s="8" t="str">
        <f aca="false">IF(COUNTA(B179,D179,G179,H179,I179)=0,"",IF(B179="","Enter date",IF(OR(B179&lt;$AC$2,B179&gt;$AC$3),"Date not in April",IF(D179="","Pick project",IF(ISNA(MATCH(D179,ProjNames,0)),"Project not in list",IF(G179="","Add task description",IF(H179="","Pick NTIME or P6",IF(N(I179)&lt;=0,"Enter hours",IF(AND(AllowOT&lt;&gt;"Yes",SUMIF($B$7:$B$256,B179,$I$7:$I$256)&gt;INDEX($O$58:$O$87,DAY(B179))),"Day over "&amp;INDEX($O$58:$O$87,DAY(B179))&amp;" h","✓")))))))))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tr">
        <f aca="false">IF(Projects!B177="","",Projects!B177)</f>
        <v/>
      </c>
      <c r="X179" s="1" t="n">
        <f aca="false">IF(W179="",0,SUMIFS($I$7:$I$256,$D$7:$D$256,W179,$H$7:$H$256,"NTIME"))</f>
        <v>0</v>
      </c>
      <c r="Y179" s="1" t="n">
        <f aca="false">IF(W179="",0,SUMIFS($I$7:$I$256,$D$7:$D$256,W179,$H$7:$H$256,"P6"))</f>
        <v>0</v>
      </c>
      <c r="Z179" s="1" t="n">
        <f aca="false">X179+Y179</f>
        <v>0</v>
      </c>
      <c r="AA179" s="1" t="n">
        <f aca="false">IF(Z179&gt;0,Z179+(201-173)/10^6,0)</f>
        <v>0</v>
      </c>
      <c r="AB179" s="1"/>
      <c r="AC179" s="1"/>
      <c r="AD179" s="1"/>
      <c r="AE179" s="1"/>
      <c r="AF179" s="1"/>
      <c r="AG179" s="1"/>
      <c r="AH179" s="1"/>
    </row>
    <row r="180" customFormat="false" ht="15" hidden="false" customHeight="false" outlineLevel="0" collapsed="false">
      <c r="A180" s="1"/>
      <c r="B180" s="10"/>
      <c r="C180" s="31" t="str">
        <f aca="false">IF(B180="","",TEXT(B180,"ddd"))</f>
        <v/>
      </c>
      <c r="D180" s="11"/>
      <c r="E180" s="8" t="str">
        <f aca="false">IF(D180="","",IFERROR(INDEX(ProjNumbers,MATCH(D180,ProjNames,0)),""))</f>
        <v/>
      </c>
      <c r="F180" s="8" t="str">
        <f aca="false">IF(D180="","",IFERROR(INDEX(ProjCodes,MATCH(D180,ProjNames,0)),""))</f>
        <v/>
      </c>
      <c r="G180" s="32"/>
      <c r="H180" s="11"/>
      <c r="I180" s="33"/>
      <c r="J180" s="8" t="str">
        <f aca="false">IF(COUNTA(B180,D180,G180,H180,I180)=0,"",IF(B180="","Enter date",IF(OR(B180&lt;$AC$2,B180&gt;$AC$3),"Date not in April",IF(D180="","Pick project",IF(ISNA(MATCH(D180,ProjNames,0)),"Project not in list",IF(G180="","Add task description",IF(H180="","Pick NTIME or P6",IF(N(I180)&lt;=0,"Enter hours",IF(AND(AllowOT&lt;&gt;"Yes",SUMIF($B$7:$B$256,B180,$I$7:$I$256)&gt;INDEX($O$58:$O$87,DAY(B180))),"Day over "&amp;INDEX($O$58:$O$87,DAY(B180))&amp;" h","✓")))))))))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tr">
        <f aca="false">IF(Projects!B178="","",Projects!B178)</f>
        <v/>
      </c>
      <c r="X180" s="1" t="n">
        <f aca="false">IF(W180="",0,SUMIFS($I$7:$I$256,$D$7:$D$256,W180,$H$7:$H$256,"NTIME"))</f>
        <v>0</v>
      </c>
      <c r="Y180" s="1" t="n">
        <f aca="false">IF(W180="",0,SUMIFS($I$7:$I$256,$D$7:$D$256,W180,$H$7:$H$256,"P6"))</f>
        <v>0</v>
      </c>
      <c r="Z180" s="1" t="n">
        <f aca="false">X180+Y180</f>
        <v>0</v>
      </c>
      <c r="AA180" s="1" t="n">
        <f aca="false">IF(Z180&gt;0,Z180+(201-174)/10^6,0)</f>
        <v>0</v>
      </c>
      <c r="AB180" s="1"/>
      <c r="AC180" s="1"/>
      <c r="AD180" s="1"/>
      <c r="AE180" s="1"/>
      <c r="AF180" s="1"/>
      <c r="AG180" s="1"/>
      <c r="AH180" s="1"/>
    </row>
    <row r="181" customFormat="false" ht="15" hidden="false" customHeight="false" outlineLevel="0" collapsed="false">
      <c r="A181" s="1"/>
      <c r="B181" s="10"/>
      <c r="C181" s="31" t="str">
        <f aca="false">IF(B181="","",TEXT(B181,"ddd"))</f>
        <v/>
      </c>
      <c r="D181" s="11"/>
      <c r="E181" s="8" t="str">
        <f aca="false">IF(D181="","",IFERROR(INDEX(ProjNumbers,MATCH(D181,ProjNames,0)),""))</f>
        <v/>
      </c>
      <c r="F181" s="8" t="str">
        <f aca="false">IF(D181="","",IFERROR(INDEX(ProjCodes,MATCH(D181,ProjNames,0)),""))</f>
        <v/>
      </c>
      <c r="G181" s="32"/>
      <c r="H181" s="11"/>
      <c r="I181" s="33"/>
      <c r="J181" s="8" t="str">
        <f aca="false">IF(COUNTA(B181,D181,G181,H181,I181)=0,"",IF(B181="","Enter date",IF(OR(B181&lt;$AC$2,B181&gt;$AC$3),"Date not in April",IF(D181="","Pick project",IF(ISNA(MATCH(D181,ProjNames,0)),"Project not in list",IF(G181="","Add task description",IF(H181="","Pick NTIME or P6",IF(N(I181)&lt;=0,"Enter hours",IF(AND(AllowOT&lt;&gt;"Yes",SUMIF($B$7:$B$256,B181,$I$7:$I$256)&gt;INDEX($O$58:$O$87,DAY(B181))),"Day over "&amp;INDEX($O$58:$O$87,DAY(B181))&amp;" h","✓")))))))))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tr">
        <f aca="false">IF(Projects!B179="","",Projects!B179)</f>
        <v/>
      </c>
      <c r="X181" s="1" t="n">
        <f aca="false">IF(W181="",0,SUMIFS($I$7:$I$256,$D$7:$D$256,W181,$H$7:$H$256,"NTIME"))</f>
        <v>0</v>
      </c>
      <c r="Y181" s="1" t="n">
        <f aca="false">IF(W181="",0,SUMIFS($I$7:$I$256,$D$7:$D$256,W181,$H$7:$H$256,"P6"))</f>
        <v>0</v>
      </c>
      <c r="Z181" s="1" t="n">
        <f aca="false">X181+Y181</f>
        <v>0</v>
      </c>
      <c r="AA181" s="1" t="n">
        <f aca="false">IF(Z181&gt;0,Z181+(201-175)/10^6,0)</f>
        <v>0</v>
      </c>
      <c r="AB181" s="1"/>
      <c r="AC181" s="1"/>
      <c r="AD181" s="1"/>
      <c r="AE181" s="1"/>
      <c r="AF181" s="1"/>
      <c r="AG181" s="1"/>
      <c r="AH181" s="1"/>
    </row>
    <row r="182" customFormat="false" ht="15" hidden="false" customHeight="false" outlineLevel="0" collapsed="false">
      <c r="A182" s="1"/>
      <c r="B182" s="10"/>
      <c r="C182" s="31" t="str">
        <f aca="false">IF(B182="","",TEXT(B182,"ddd"))</f>
        <v/>
      </c>
      <c r="D182" s="11"/>
      <c r="E182" s="8" t="str">
        <f aca="false">IF(D182="","",IFERROR(INDEX(ProjNumbers,MATCH(D182,ProjNames,0)),""))</f>
        <v/>
      </c>
      <c r="F182" s="8" t="str">
        <f aca="false">IF(D182="","",IFERROR(INDEX(ProjCodes,MATCH(D182,ProjNames,0)),""))</f>
        <v/>
      </c>
      <c r="G182" s="32"/>
      <c r="H182" s="11"/>
      <c r="I182" s="33"/>
      <c r="J182" s="8" t="str">
        <f aca="false">IF(COUNTA(B182,D182,G182,H182,I182)=0,"",IF(B182="","Enter date",IF(OR(B182&lt;$AC$2,B182&gt;$AC$3),"Date not in April",IF(D182="","Pick project",IF(ISNA(MATCH(D182,ProjNames,0)),"Project not in list",IF(G182="","Add task description",IF(H182="","Pick NTIME or P6",IF(N(I182)&lt;=0,"Enter hours",IF(AND(AllowOT&lt;&gt;"Yes",SUMIF($B$7:$B$256,B182,$I$7:$I$256)&gt;INDEX($O$58:$O$87,DAY(B182))),"Day over "&amp;INDEX($O$58:$O$87,DAY(B182))&amp;" h","✓")))))))))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tr">
        <f aca="false">IF(Projects!B180="","",Projects!B180)</f>
        <v/>
      </c>
      <c r="X182" s="1" t="n">
        <f aca="false">IF(W182="",0,SUMIFS($I$7:$I$256,$D$7:$D$256,W182,$H$7:$H$256,"NTIME"))</f>
        <v>0</v>
      </c>
      <c r="Y182" s="1" t="n">
        <f aca="false">IF(W182="",0,SUMIFS($I$7:$I$256,$D$7:$D$256,W182,$H$7:$H$256,"P6"))</f>
        <v>0</v>
      </c>
      <c r="Z182" s="1" t="n">
        <f aca="false">X182+Y182</f>
        <v>0</v>
      </c>
      <c r="AA182" s="1" t="n">
        <f aca="false">IF(Z182&gt;0,Z182+(201-176)/10^6,0)</f>
        <v>0</v>
      </c>
      <c r="AB182" s="1"/>
      <c r="AC182" s="1"/>
      <c r="AD182" s="1"/>
      <c r="AE182" s="1"/>
      <c r="AF182" s="1"/>
      <c r="AG182" s="1"/>
      <c r="AH182" s="1"/>
    </row>
    <row r="183" customFormat="false" ht="15" hidden="false" customHeight="false" outlineLevel="0" collapsed="false">
      <c r="A183" s="1"/>
      <c r="B183" s="10"/>
      <c r="C183" s="31" t="str">
        <f aca="false">IF(B183="","",TEXT(B183,"ddd"))</f>
        <v/>
      </c>
      <c r="D183" s="11"/>
      <c r="E183" s="8" t="str">
        <f aca="false">IF(D183="","",IFERROR(INDEX(ProjNumbers,MATCH(D183,ProjNames,0)),""))</f>
        <v/>
      </c>
      <c r="F183" s="8" t="str">
        <f aca="false">IF(D183="","",IFERROR(INDEX(ProjCodes,MATCH(D183,ProjNames,0)),""))</f>
        <v/>
      </c>
      <c r="G183" s="32"/>
      <c r="H183" s="11"/>
      <c r="I183" s="33"/>
      <c r="J183" s="8" t="str">
        <f aca="false">IF(COUNTA(B183,D183,G183,H183,I183)=0,"",IF(B183="","Enter date",IF(OR(B183&lt;$AC$2,B183&gt;$AC$3),"Date not in April",IF(D183="","Pick project",IF(ISNA(MATCH(D183,ProjNames,0)),"Project not in list",IF(G183="","Add task description",IF(H183="","Pick NTIME or P6",IF(N(I183)&lt;=0,"Enter hours",IF(AND(AllowOT&lt;&gt;"Yes",SUMIF($B$7:$B$256,B183,$I$7:$I$256)&gt;INDEX($O$58:$O$87,DAY(B183))),"Day over "&amp;INDEX($O$58:$O$87,DAY(B183))&amp;" h","✓")))))))))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tr">
        <f aca="false">IF(Projects!B181="","",Projects!B181)</f>
        <v/>
      </c>
      <c r="X183" s="1" t="n">
        <f aca="false">IF(W183="",0,SUMIFS($I$7:$I$256,$D$7:$D$256,W183,$H$7:$H$256,"NTIME"))</f>
        <v>0</v>
      </c>
      <c r="Y183" s="1" t="n">
        <f aca="false">IF(W183="",0,SUMIFS($I$7:$I$256,$D$7:$D$256,W183,$H$7:$H$256,"P6"))</f>
        <v>0</v>
      </c>
      <c r="Z183" s="1" t="n">
        <f aca="false">X183+Y183</f>
        <v>0</v>
      </c>
      <c r="AA183" s="1" t="n">
        <f aca="false">IF(Z183&gt;0,Z183+(201-177)/10^6,0)</f>
        <v>0</v>
      </c>
      <c r="AB183" s="1"/>
      <c r="AC183" s="1"/>
      <c r="AD183" s="1"/>
      <c r="AE183" s="1"/>
      <c r="AF183" s="1"/>
      <c r="AG183" s="1"/>
      <c r="AH183" s="1"/>
    </row>
    <row r="184" customFormat="false" ht="15" hidden="false" customHeight="false" outlineLevel="0" collapsed="false">
      <c r="A184" s="1"/>
      <c r="B184" s="10"/>
      <c r="C184" s="31" t="str">
        <f aca="false">IF(B184="","",TEXT(B184,"ddd"))</f>
        <v/>
      </c>
      <c r="D184" s="11"/>
      <c r="E184" s="8" t="str">
        <f aca="false">IF(D184="","",IFERROR(INDEX(ProjNumbers,MATCH(D184,ProjNames,0)),""))</f>
        <v/>
      </c>
      <c r="F184" s="8" t="str">
        <f aca="false">IF(D184="","",IFERROR(INDEX(ProjCodes,MATCH(D184,ProjNames,0)),""))</f>
        <v/>
      </c>
      <c r="G184" s="32"/>
      <c r="H184" s="11"/>
      <c r="I184" s="33"/>
      <c r="J184" s="8" t="str">
        <f aca="false">IF(COUNTA(B184,D184,G184,H184,I184)=0,"",IF(B184="","Enter date",IF(OR(B184&lt;$AC$2,B184&gt;$AC$3),"Date not in April",IF(D184="","Pick project",IF(ISNA(MATCH(D184,ProjNames,0)),"Project not in list",IF(G184="","Add task description",IF(H184="","Pick NTIME or P6",IF(N(I184)&lt;=0,"Enter hours",IF(AND(AllowOT&lt;&gt;"Yes",SUMIF($B$7:$B$256,B184,$I$7:$I$256)&gt;INDEX($O$58:$O$87,DAY(B184))),"Day over "&amp;INDEX($O$58:$O$87,DAY(B184))&amp;" h","✓")))))))))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tr">
        <f aca="false">IF(Projects!B182="","",Projects!B182)</f>
        <v/>
      </c>
      <c r="X184" s="1" t="n">
        <f aca="false">IF(W184="",0,SUMIFS($I$7:$I$256,$D$7:$D$256,W184,$H$7:$H$256,"NTIME"))</f>
        <v>0</v>
      </c>
      <c r="Y184" s="1" t="n">
        <f aca="false">IF(W184="",0,SUMIFS($I$7:$I$256,$D$7:$D$256,W184,$H$7:$H$256,"P6"))</f>
        <v>0</v>
      </c>
      <c r="Z184" s="1" t="n">
        <f aca="false">X184+Y184</f>
        <v>0</v>
      </c>
      <c r="AA184" s="1" t="n">
        <f aca="false">IF(Z184&gt;0,Z184+(201-178)/10^6,0)</f>
        <v>0</v>
      </c>
      <c r="AB184" s="1"/>
      <c r="AC184" s="1"/>
      <c r="AD184" s="1"/>
      <c r="AE184" s="1"/>
      <c r="AF184" s="1"/>
      <c r="AG184" s="1"/>
      <c r="AH184" s="1"/>
    </row>
    <row r="185" customFormat="false" ht="15" hidden="false" customHeight="false" outlineLevel="0" collapsed="false">
      <c r="A185" s="1"/>
      <c r="B185" s="10"/>
      <c r="C185" s="31" t="str">
        <f aca="false">IF(B185="","",TEXT(B185,"ddd"))</f>
        <v/>
      </c>
      <c r="D185" s="11"/>
      <c r="E185" s="8" t="str">
        <f aca="false">IF(D185="","",IFERROR(INDEX(ProjNumbers,MATCH(D185,ProjNames,0)),""))</f>
        <v/>
      </c>
      <c r="F185" s="8" t="str">
        <f aca="false">IF(D185="","",IFERROR(INDEX(ProjCodes,MATCH(D185,ProjNames,0)),""))</f>
        <v/>
      </c>
      <c r="G185" s="32"/>
      <c r="H185" s="11"/>
      <c r="I185" s="33"/>
      <c r="J185" s="8" t="str">
        <f aca="false">IF(COUNTA(B185,D185,G185,H185,I185)=0,"",IF(B185="","Enter date",IF(OR(B185&lt;$AC$2,B185&gt;$AC$3),"Date not in April",IF(D185="","Pick project",IF(ISNA(MATCH(D185,ProjNames,0)),"Project not in list",IF(G185="","Add task description",IF(H185="","Pick NTIME or P6",IF(N(I185)&lt;=0,"Enter hours",IF(AND(AllowOT&lt;&gt;"Yes",SUMIF($B$7:$B$256,B185,$I$7:$I$256)&gt;INDEX($O$58:$O$87,DAY(B185))),"Day over "&amp;INDEX($O$58:$O$87,DAY(B185))&amp;" h","✓")))))))))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tr">
        <f aca="false">IF(Projects!B183="","",Projects!B183)</f>
        <v/>
      </c>
      <c r="X185" s="1" t="n">
        <f aca="false">IF(W185="",0,SUMIFS($I$7:$I$256,$D$7:$D$256,W185,$H$7:$H$256,"NTIME"))</f>
        <v>0</v>
      </c>
      <c r="Y185" s="1" t="n">
        <f aca="false">IF(W185="",0,SUMIFS($I$7:$I$256,$D$7:$D$256,W185,$H$7:$H$256,"P6"))</f>
        <v>0</v>
      </c>
      <c r="Z185" s="1" t="n">
        <f aca="false">X185+Y185</f>
        <v>0</v>
      </c>
      <c r="AA185" s="1" t="n">
        <f aca="false">IF(Z185&gt;0,Z185+(201-179)/10^6,0)</f>
        <v>0</v>
      </c>
      <c r="AB185" s="1"/>
      <c r="AC185" s="1"/>
      <c r="AD185" s="1"/>
      <c r="AE185" s="1"/>
      <c r="AF185" s="1"/>
      <c r="AG185" s="1"/>
      <c r="AH185" s="1"/>
    </row>
    <row r="186" customFormat="false" ht="15" hidden="false" customHeight="false" outlineLevel="0" collapsed="false">
      <c r="A186" s="1"/>
      <c r="B186" s="10"/>
      <c r="C186" s="31" t="str">
        <f aca="false">IF(B186="","",TEXT(B186,"ddd"))</f>
        <v/>
      </c>
      <c r="D186" s="11"/>
      <c r="E186" s="8" t="str">
        <f aca="false">IF(D186="","",IFERROR(INDEX(ProjNumbers,MATCH(D186,ProjNames,0)),""))</f>
        <v/>
      </c>
      <c r="F186" s="8" t="str">
        <f aca="false">IF(D186="","",IFERROR(INDEX(ProjCodes,MATCH(D186,ProjNames,0)),""))</f>
        <v/>
      </c>
      <c r="G186" s="32"/>
      <c r="H186" s="11"/>
      <c r="I186" s="33"/>
      <c r="J186" s="8" t="str">
        <f aca="false">IF(COUNTA(B186,D186,G186,H186,I186)=0,"",IF(B186="","Enter date",IF(OR(B186&lt;$AC$2,B186&gt;$AC$3),"Date not in April",IF(D186="","Pick project",IF(ISNA(MATCH(D186,ProjNames,0)),"Project not in list",IF(G186="","Add task description",IF(H186="","Pick NTIME or P6",IF(N(I186)&lt;=0,"Enter hours",IF(AND(AllowOT&lt;&gt;"Yes",SUMIF($B$7:$B$256,B186,$I$7:$I$256)&gt;INDEX($O$58:$O$87,DAY(B186))),"Day over "&amp;INDEX($O$58:$O$87,DAY(B186))&amp;" h","✓")))))))))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tr">
        <f aca="false">IF(Projects!B184="","",Projects!B184)</f>
        <v/>
      </c>
      <c r="X186" s="1" t="n">
        <f aca="false">IF(W186="",0,SUMIFS($I$7:$I$256,$D$7:$D$256,W186,$H$7:$H$256,"NTIME"))</f>
        <v>0</v>
      </c>
      <c r="Y186" s="1" t="n">
        <f aca="false">IF(W186="",0,SUMIFS($I$7:$I$256,$D$7:$D$256,W186,$H$7:$H$256,"P6"))</f>
        <v>0</v>
      </c>
      <c r="Z186" s="1" t="n">
        <f aca="false">X186+Y186</f>
        <v>0</v>
      </c>
      <c r="AA186" s="1" t="n">
        <f aca="false">IF(Z186&gt;0,Z186+(201-180)/10^6,0)</f>
        <v>0</v>
      </c>
      <c r="AB186" s="1"/>
      <c r="AC186" s="1"/>
      <c r="AD186" s="1"/>
      <c r="AE186" s="1"/>
      <c r="AF186" s="1"/>
      <c r="AG186" s="1"/>
      <c r="AH186" s="1"/>
    </row>
    <row r="187" customFormat="false" ht="15" hidden="false" customHeight="false" outlineLevel="0" collapsed="false">
      <c r="A187" s="1"/>
      <c r="B187" s="10"/>
      <c r="C187" s="31" t="str">
        <f aca="false">IF(B187="","",TEXT(B187,"ddd"))</f>
        <v/>
      </c>
      <c r="D187" s="11"/>
      <c r="E187" s="8" t="str">
        <f aca="false">IF(D187="","",IFERROR(INDEX(ProjNumbers,MATCH(D187,ProjNames,0)),""))</f>
        <v/>
      </c>
      <c r="F187" s="8" t="str">
        <f aca="false">IF(D187="","",IFERROR(INDEX(ProjCodes,MATCH(D187,ProjNames,0)),""))</f>
        <v/>
      </c>
      <c r="G187" s="32"/>
      <c r="H187" s="11"/>
      <c r="I187" s="33"/>
      <c r="J187" s="8" t="str">
        <f aca="false">IF(COUNTA(B187,D187,G187,H187,I187)=0,"",IF(B187="","Enter date",IF(OR(B187&lt;$AC$2,B187&gt;$AC$3),"Date not in April",IF(D187="","Pick project",IF(ISNA(MATCH(D187,ProjNames,0)),"Project not in list",IF(G187="","Add task description",IF(H187="","Pick NTIME or P6",IF(N(I187)&lt;=0,"Enter hours",IF(AND(AllowOT&lt;&gt;"Yes",SUMIF($B$7:$B$256,B187,$I$7:$I$256)&gt;INDEX($O$58:$O$87,DAY(B187))),"Day over "&amp;INDEX($O$58:$O$87,DAY(B187))&amp;" h","✓")))))))))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tr">
        <f aca="false">IF(Projects!B185="","",Projects!B185)</f>
        <v/>
      </c>
      <c r="X187" s="1" t="n">
        <f aca="false">IF(W187="",0,SUMIFS($I$7:$I$256,$D$7:$D$256,W187,$H$7:$H$256,"NTIME"))</f>
        <v>0</v>
      </c>
      <c r="Y187" s="1" t="n">
        <f aca="false">IF(W187="",0,SUMIFS($I$7:$I$256,$D$7:$D$256,W187,$H$7:$H$256,"P6"))</f>
        <v>0</v>
      </c>
      <c r="Z187" s="1" t="n">
        <f aca="false">X187+Y187</f>
        <v>0</v>
      </c>
      <c r="AA187" s="1" t="n">
        <f aca="false">IF(Z187&gt;0,Z187+(201-181)/10^6,0)</f>
        <v>0</v>
      </c>
      <c r="AB187" s="1"/>
      <c r="AC187" s="1"/>
      <c r="AD187" s="1"/>
      <c r="AE187" s="1"/>
      <c r="AF187" s="1"/>
      <c r="AG187" s="1"/>
      <c r="AH187" s="1"/>
    </row>
    <row r="188" customFormat="false" ht="15" hidden="false" customHeight="false" outlineLevel="0" collapsed="false">
      <c r="A188" s="1"/>
      <c r="B188" s="10"/>
      <c r="C188" s="31" t="str">
        <f aca="false">IF(B188="","",TEXT(B188,"ddd"))</f>
        <v/>
      </c>
      <c r="D188" s="11"/>
      <c r="E188" s="8" t="str">
        <f aca="false">IF(D188="","",IFERROR(INDEX(ProjNumbers,MATCH(D188,ProjNames,0)),""))</f>
        <v/>
      </c>
      <c r="F188" s="8" t="str">
        <f aca="false">IF(D188="","",IFERROR(INDEX(ProjCodes,MATCH(D188,ProjNames,0)),""))</f>
        <v/>
      </c>
      <c r="G188" s="32"/>
      <c r="H188" s="11"/>
      <c r="I188" s="33"/>
      <c r="J188" s="8" t="str">
        <f aca="false">IF(COUNTA(B188,D188,G188,H188,I188)=0,"",IF(B188="","Enter date",IF(OR(B188&lt;$AC$2,B188&gt;$AC$3),"Date not in April",IF(D188="","Pick project",IF(ISNA(MATCH(D188,ProjNames,0)),"Project not in list",IF(G188="","Add task description",IF(H188="","Pick NTIME or P6",IF(N(I188)&lt;=0,"Enter hours",IF(AND(AllowOT&lt;&gt;"Yes",SUMIF($B$7:$B$256,B188,$I$7:$I$256)&gt;INDEX($O$58:$O$87,DAY(B188))),"Day over "&amp;INDEX($O$58:$O$87,DAY(B188))&amp;" h","✓")))))))))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tr">
        <f aca="false">IF(Projects!B186="","",Projects!B186)</f>
        <v/>
      </c>
      <c r="X188" s="1" t="n">
        <f aca="false">IF(W188="",0,SUMIFS($I$7:$I$256,$D$7:$D$256,W188,$H$7:$H$256,"NTIME"))</f>
        <v>0</v>
      </c>
      <c r="Y188" s="1" t="n">
        <f aca="false">IF(W188="",0,SUMIFS($I$7:$I$256,$D$7:$D$256,W188,$H$7:$H$256,"P6"))</f>
        <v>0</v>
      </c>
      <c r="Z188" s="1" t="n">
        <f aca="false">X188+Y188</f>
        <v>0</v>
      </c>
      <c r="AA188" s="1" t="n">
        <f aca="false">IF(Z188&gt;0,Z188+(201-182)/10^6,0)</f>
        <v>0</v>
      </c>
      <c r="AB188" s="1"/>
      <c r="AC188" s="1"/>
      <c r="AD188" s="1"/>
      <c r="AE188" s="1"/>
      <c r="AF188" s="1"/>
      <c r="AG188" s="1"/>
      <c r="AH188" s="1"/>
    </row>
    <row r="189" customFormat="false" ht="15" hidden="false" customHeight="false" outlineLevel="0" collapsed="false">
      <c r="A189" s="1"/>
      <c r="B189" s="10"/>
      <c r="C189" s="31" t="str">
        <f aca="false">IF(B189="","",TEXT(B189,"ddd"))</f>
        <v/>
      </c>
      <c r="D189" s="11"/>
      <c r="E189" s="8" t="str">
        <f aca="false">IF(D189="","",IFERROR(INDEX(ProjNumbers,MATCH(D189,ProjNames,0)),""))</f>
        <v/>
      </c>
      <c r="F189" s="8" t="str">
        <f aca="false">IF(D189="","",IFERROR(INDEX(ProjCodes,MATCH(D189,ProjNames,0)),""))</f>
        <v/>
      </c>
      <c r="G189" s="32"/>
      <c r="H189" s="11"/>
      <c r="I189" s="33"/>
      <c r="J189" s="8" t="str">
        <f aca="false">IF(COUNTA(B189,D189,G189,H189,I189)=0,"",IF(B189="","Enter date",IF(OR(B189&lt;$AC$2,B189&gt;$AC$3),"Date not in April",IF(D189="","Pick project",IF(ISNA(MATCH(D189,ProjNames,0)),"Project not in list",IF(G189="","Add task description",IF(H189="","Pick NTIME or P6",IF(N(I189)&lt;=0,"Enter hours",IF(AND(AllowOT&lt;&gt;"Yes",SUMIF($B$7:$B$256,B189,$I$7:$I$256)&gt;INDEX($O$58:$O$87,DAY(B189))),"Day over "&amp;INDEX($O$58:$O$87,DAY(B189))&amp;" h","✓")))))))))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tr">
        <f aca="false">IF(Projects!B187="","",Projects!B187)</f>
        <v/>
      </c>
      <c r="X189" s="1" t="n">
        <f aca="false">IF(W189="",0,SUMIFS($I$7:$I$256,$D$7:$D$256,W189,$H$7:$H$256,"NTIME"))</f>
        <v>0</v>
      </c>
      <c r="Y189" s="1" t="n">
        <f aca="false">IF(W189="",0,SUMIFS($I$7:$I$256,$D$7:$D$256,W189,$H$7:$H$256,"P6"))</f>
        <v>0</v>
      </c>
      <c r="Z189" s="1" t="n">
        <f aca="false">X189+Y189</f>
        <v>0</v>
      </c>
      <c r="AA189" s="1" t="n">
        <f aca="false">IF(Z189&gt;0,Z189+(201-183)/10^6,0)</f>
        <v>0</v>
      </c>
      <c r="AB189" s="1"/>
      <c r="AC189" s="1"/>
      <c r="AD189" s="1"/>
      <c r="AE189" s="1"/>
      <c r="AF189" s="1"/>
      <c r="AG189" s="1"/>
      <c r="AH189" s="1"/>
    </row>
    <row r="190" customFormat="false" ht="15" hidden="false" customHeight="false" outlineLevel="0" collapsed="false">
      <c r="A190" s="1"/>
      <c r="B190" s="10"/>
      <c r="C190" s="31" t="str">
        <f aca="false">IF(B190="","",TEXT(B190,"ddd"))</f>
        <v/>
      </c>
      <c r="D190" s="11"/>
      <c r="E190" s="8" t="str">
        <f aca="false">IF(D190="","",IFERROR(INDEX(ProjNumbers,MATCH(D190,ProjNames,0)),""))</f>
        <v/>
      </c>
      <c r="F190" s="8" t="str">
        <f aca="false">IF(D190="","",IFERROR(INDEX(ProjCodes,MATCH(D190,ProjNames,0)),""))</f>
        <v/>
      </c>
      <c r="G190" s="32"/>
      <c r="H190" s="11"/>
      <c r="I190" s="33"/>
      <c r="J190" s="8" t="str">
        <f aca="false">IF(COUNTA(B190,D190,G190,H190,I190)=0,"",IF(B190="","Enter date",IF(OR(B190&lt;$AC$2,B190&gt;$AC$3),"Date not in April",IF(D190="","Pick project",IF(ISNA(MATCH(D190,ProjNames,0)),"Project not in list",IF(G190="","Add task description",IF(H190="","Pick NTIME or P6",IF(N(I190)&lt;=0,"Enter hours",IF(AND(AllowOT&lt;&gt;"Yes",SUMIF($B$7:$B$256,B190,$I$7:$I$256)&gt;INDEX($O$58:$O$87,DAY(B190))),"Day over "&amp;INDEX($O$58:$O$87,DAY(B190))&amp;" h","✓")))))))))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tr">
        <f aca="false">IF(Projects!B188="","",Projects!B188)</f>
        <v/>
      </c>
      <c r="X190" s="1" t="n">
        <f aca="false">IF(W190="",0,SUMIFS($I$7:$I$256,$D$7:$D$256,W190,$H$7:$H$256,"NTIME"))</f>
        <v>0</v>
      </c>
      <c r="Y190" s="1" t="n">
        <f aca="false">IF(W190="",0,SUMIFS($I$7:$I$256,$D$7:$D$256,W190,$H$7:$H$256,"P6"))</f>
        <v>0</v>
      </c>
      <c r="Z190" s="1" t="n">
        <f aca="false">X190+Y190</f>
        <v>0</v>
      </c>
      <c r="AA190" s="1" t="n">
        <f aca="false">IF(Z190&gt;0,Z190+(201-184)/10^6,0)</f>
        <v>0</v>
      </c>
      <c r="AB190" s="1"/>
      <c r="AC190" s="1"/>
      <c r="AD190" s="1"/>
      <c r="AE190" s="1"/>
      <c r="AF190" s="1"/>
      <c r="AG190" s="1"/>
      <c r="AH190" s="1"/>
    </row>
    <row r="191" customFormat="false" ht="15" hidden="false" customHeight="false" outlineLevel="0" collapsed="false">
      <c r="A191" s="1"/>
      <c r="B191" s="10"/>
      <c r="C191" s="31" t="str">
        <f aca="false">IF(B191="","",TEXT(B191,"ddd"))</f>
        <v/>
      </c>
      <c r="D191" s="11"/>
      <c r="E191" s="8" t="str">
        <f aca="false">IF(D191="","",IFERROR(INDEX(ProjNumbers,MATCH(D191,ProjNames,0)),""))</f>
        <v/>
      </c>
      <c r="F191" s="8" t="str">
        <f aca="false">IF(D191="","",IFERROR(INDEX(ProjCodes,MATCH(D191,ProjNames,0)),""))</f>
        <v/>
      </c>
      <c r="G191" s="32"/>
      <c r="H191" s="11"/>
      <c r="I191" s="33"/>
      <c r="J191" s="8" t="str">
        <f aca="false">IF(COUNTA(B191,D191,G191,H191,I191)=0,"",IF(B191="","Enter date",IF(OR(B191&lt;$AC$2,B191&gt;$AC$3),"Date not in April",IF(D191="","Pick project",IF(ISNA(MATCH(D191,ProjNames,0)),"Project not in list",IF(G191="","Add task description",IF(H191="","Pick NTIME or P6",IF(N(I191)&lt;=0,"Enter hours",IF(AND(AllowOT&lt;&gt;"Yes",SUMIF($B$7:$B$256,B191,$I$7:$I$256)&gt;INDEX($O$58:$O$87,DAY(B191))),"Day over "&amp;INDEX($O$58:$O$87,DAY(B191))&amp;" h","✓")))))))))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tr">
        <f aca="false">IF(Projects!B189="","",Projects!B189)</f>
        <v/>
      </c>
      <c r="X191" s="1" t="n">
        <f aca="false">IF(W191="",0,SUMIFS($I$7:$I$256,$D$7:$D$256,W191,$H$7:$H$256,"NTIME"))</f>
        <v>0</v>
      </c>
      <c r="Y191" s="1" t="n">
        <f aca="false">IF(W191="",0,SUMIFS($I$7:$I$256,$D$7:$D$256,W191,$H$7:$H$256,"P6"))</f>
        <v>0</v>
      </c>
      <c r="Z191" s="1" t="n">
        <f aca="false">X191+Y191</f>
        <v>0</v>
      </c>
      <c r="AA191" s="1" t="n">
        <f aca="false">IF(Z191&gt;0,Z191+(201-185)/10^6,0)</f>
        <v>0</v>
      </c>
      <c r="AB191" s="1"/>
      <c r="AC191" s="1"/>
      <c r="AD191" s="1"/>
      <c r="AE191" s="1"/>
      <c r="AF191" s="1"/>
      <c r="AG191" s="1"/>
      <c r="AH191" s="1"/>
    </row>
    <row r="192" customFormat="false" ht="15" hidden="false" customHeight="false" outlineLevel="0" collapsed="false">
      <c r="A192" s="1"/>
      <c r="B192" s="10"/>
      <c r="C192" s="31" t="str">
        <f aca="false">IF(B192="","",TEXT(B192,"ddd"))</f>
        <v/>
      </c>
      <c r="D192" s="11"/>
      <c r="E192" s="8" t="str">
        <f aca="false">IF(D192="","",IFERROR(INDEX(ProjNumbers,MATCH(D192,ProjNames,0)),""))</f>
        <v/>
      </c>
      <c r="F192" s="8" t="str">
        <f aca="false">IF(D192="","",IFERROR(INDEX(ProjCodes,MATCH(D192,ProjNames,0)),""))</f>
        <v/>
      </c>
      <c r="G192" s="32"/>
      <c r="H192" s="11"/>
      <c r="I192" s="33"/>
      <c r="J192" s="8" t="str">
        <f aca="false">IF(COUNTA(B192,D192,G192,H192,I192)=0,"",IF(B192="","Enter date",IF(OR(B192&lt;$AC$2,B192&gt;$AC$3),"Date not in April",IF(D192="","Pick project",IF(ISNA(MATCH(D192,ProjNames,0)),"Project not in list",IF(G192="","Add task description",IF(H192="","Pick NTIME or P6",IF(N(I192)&lt;=0,"Enter hours",IF(AND(AllowOT&lt;&gt;"Yes",SUMIF($B$7:$B$256,B192,$I$7:$I$256)&gt;INDEX($O$58:$O$87,DAY(B192))),"Day over "&amp;INDEX($O$58:$O$87,DAY(B192))&amp;" h","✓")))))))))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tr">
        <f aca="false">IF(Projects!B190="","",Projects!B190)</f>
        <v/>
      </c>
      <c r="X192" s="1" t="n">
        <f aca="false">IF(W192="",0,SUMIFS($I$7:$I$256,$D$7:$D$256,W192,$H$7:$H$256,"NTIME"))</f>
        <v>0</v>
      </c>
      <c r="Y192" s="1" t="n">
        <f aca="false">IF(W192="",0,SUMIFS($I$7:$I$256,$D$7:$D$256,W192,$H$7:$H$256,"P6"))</f>
        <v>0</v>
      </c>
      <c r="Z192" s="1" t="n">
        <f aca="false">X192+Y192</f>
        <v>0</v>
      </c>
      <c r="AA192" s="1" t="n">
        <f aca="false">IF(Z192&gt;0,Z192+(201-186)/10^6,0)</f>
        <v>0</v>
      </c>
      <c r="AB192" s="1"/>
      <c r="AC192" s="1"/>
      <c r="AD192" s="1"/>
      <c r="AE192" s="1"/>
      <c r="AF192" s="1"/>
      <c r="AG192" s="1"/>
      <c r="AH192" s="1"/>
    </row>
    <row r="193" customFormat="false" ht="15" hidden="false" customHeight="false" outlineLevel="0" collapsed="false">
      <c r="A193" s="1"/>
      <c r="B193" s="10"/>
      <c r="C193" s="31" t="str">
        <f aca="false">IF(B193="","",TEXT(B193,"ddd"))</f>
        <v/>
      </c>
      <c r="D193" s="11"/>
      <c r="E193" s="8" t="str">
        <f aca="false">IF(D193="","",IFERROR(INDEX(ProjNumbers,MATCH(D193,ProjNames,0)),""))</f>
        <v/>
      </c>
      <c r="F193" s="8" t="str">
        <f aca="false">IF(D193="","",IFERROR(INDEX(ProjCodes,MATCH(D193,ProjNames,0)),""))</f>
        <v/>
      </c>
      <c r="G193" s="32"/>
      <c r="H193" s="11"/>
      <c r="I193" s="33"/>
      <c r="J193" s="8" t="str">
        <f aca="false">IF(COUNTA(B193,D193,G193,H193,I193)=0,"",IF(B193="","Enter date",IF(OR(B193&lt;$AC$2,B193&gt;$AC$3),"Date not in April",IF(D193="","Pick project",IF(ISNA(MATCH(D193,ProjNames,0)),"Project not in list",IF(G193="","Add task description",IF(H193="","Pick NTIME or P6",IF(N(I193)&lt;=0,"Enter hours",IF(AND(AllowOT&lt;&gt;"Yes",SUMIF($B$7:$B$256,B193,$I$7:$I$256)&gt;INDEX($O$58:$O$87,DAY(B193))),"Day over "&amp;INDEX($O$58:$O$87,DAY(B193))&amp;" h","✓")))))))))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tr">
        <f aca="false">IF(Projects!B191="","",Projects!B191)</f>
        <v/>
      </c>
      <c r="X193" s="1" t="n">
        <f aca="false">IF(W193="",0,SUMIFS($I$7:$I$256,$D$7:$D$256,W193,$H$7:$H$256,"NTIME"))</f>
        <v>0</v>
      </c>
      <c r="Y193" s="1" t="n">
        <f aca="false">IF(W193="",0,SUMIFS($I$7:$I$256,$D$7:$D$256,W193,$H$7:$H$256,"P6"))</f>
        <v>0</v>
      </c>
      <c r="Z193" s="1" t="n">
        <f aca="false">X193+Y193</f>
        <v>0</v>
      </c>
      <c r="AA193" s="1" t="n">
        <f aca="false">IF(Z193&gt;0,Z193+(201-187)/10^6,0)</f>
        <v>0</v>
      </c>
      <c r="AB193" s="1"/>
      <c r="AC193" s="1"/>
      <c r="AD193" s="1"/>
      <c r="AE193" s="1"/>
      <c r="AF193" s="1"/>
      <c r="AG193" s="1"/>
      <c r="AH193" s="1"/>
    </row>
    <row r="194" customFormat="false" ht="15" hidden="false" customHeight="false" outlineLevel="0" collapsed="false">
      <c r="A194" s="1"/>
      <c r="B194" s="10"/>
      <c r="C194" s="31" t="str">
        <f aca="false">IF(B194="","",TEXT(B194,"ddd"))</f>
        <v/>
      </c>
      <c r="D194" s="11"/>
      <c r="E194" s="8" t="str">
        <f aca="false">IF(D194="","",IFERROR(INDEX(ProjNumbers,MATCH(D194,ProjNames,0)),""))</f>
        <v/>
      </c>
      <c r="F194" s="8" t="str">
        <f aca="false">IF(D194="","",IFERROR(INDEX(ProjCodes,MATCH(D194,ProjNames,0)),""))</f>
        <v/>
      </c>
      <c r="G194" s="32"/>
      <c r="H194" s="11"/>
      <c r="I194" s="33"/>
      <c r="J194" s="8" t="str">
        <f aca="false">IF(COUNTA(B194,D194,G194,H194,I194)=0,"",IF(B194="","Enter date",IF(OR(B194&lt;$AC$2,B194&gt;$AC$3),"Date not in April",IF(D194="","Pick project",IF(ISNA(MATCH(D194,ProjNames,0)),"Project not in list",IF(G194="","Add task description",IF(H194="","Pick NTIME or P6",IF(N(I194)&lt;=0,"Enter hours",IF(AND(AllowOT&lt;&gt;"Yes",SUMIF($B$7:$B$256,B194,$I$7:$I$256)&gt;INDEX($O$58:$O$87,DAY(B194))),"Day over "&amp;INDEX($O$58:$O$87,DAY(B194))&amp;" h","✓")))))))))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tr">
        <f aca="false">IF(Projects!B192="","",Projects!B192)</f>
        <v/>
      </c>
      <c r="X194" s="1" t="n">
        <f aca="false">IF(W194="",0,SUMIFS($I$7:$I$256,$D$7:$D$256,W194,$H$7:$H$256,"NTIME"))</f>
        <v>0</v>
      </c>
      <c r="Y194" s="1" t="n">
        <f aca="false">IF(W194="",0,SUMIFS($I$7:$I$256,$D$7:$D$256,W194,$H$7:$H$256,"P6"))</f>
        <v>0</v>
      </c>
      <c r="Z194" s="1" t="n">
        <f aca="false">X194+Y194</f>
        <v>0</v>
      </c>
      <c r="AA194" s="1" t="n">
        <f aca="false">IF(Z194&gt;0,Z194+(201-188)/10^6,0)</f>
        <v>0</v>
      </c>
      <c r="AB194" s="1"/>
      <c r="AC194" s="1"/>
      <c r="AD194" s="1"/>
      <c r="AE194" s="1"/>
      <c r="AF194" s="1"/>
      <c r="AG194" s="1"/>
      <c r="AH194" s="1"/>
    </row>
    <row r="195" customFormat="false" ht="15" hidden="false" customHeight="false" outlineLevel="0" collapsed="false">
      <c r="A195" s="1"/>
      <c r="B195" s="10"/>
      <c r="C195" s="31" t="str">
        <f aca="false">IF(B195="","",TEXT(B195,"ddd"))</f>
        <v/>
      </c>
      <c r="D195" s="11"/>
      <c r="E195" s="8" t="str">
        <f aca="false">IF(D195="","",IFERROR(INDEX(ProjNumbers,MATCH(D195,ProjNames,0)),""))</f>
        <v/>
      </c>
      <c r="F195" s="8" t="str">
        <f aca="false">IF(D195="","",IFERROR(INDEX(ProjCodes,MATCH(D195,ProjNames,0)),""))</f>
        <v/>
      </c>
      <c r="G195" s="32"/>
      <c r="H195" s="11"/>
      <c r="I195" s="33"/>
      <c r="J195" s="8" t="str">
        <f aca="false">IF(COUNTA(B195,D195,G195,H195,I195)=0,"",IF(B195="","Enter date",IF(OR(B195&lt;$AC$2,B195&gt;$AC$3),"Date not in April",IF(D195="","Pick project",IF(ISNA(MATCH(D195,ProjNames,0)),"Project not in list",IF(G195="","Add task description",IF(H195="","Pick NTIME or P6",IF(N(I195)&lt;=0,"Enter hours",IF(AND(AllowOT&lt;&gt;"Yes",SUMIF($B$7:$B$256,B195,$I$7:$I$256)&gt;INDEX($O$58:$O$87,DAY(B195))),"Day over "&amp;INDEX($O$58:$O$87,DAY(B195))&amp;" h","✓")))))))))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tr">
        <f aca="false">IF(Projects!B193="","",Projects!B193)</f>
        <v/>
      </c>
      <c r="X195" s="1" t="n">
        <f aca="false">IF(W195="",0,SUMIFS($I$7:$I$256,$D$7:$D$256,W195,$H$7:$H$256,"NTIME"))</f>
        <v>0</v>
      </c>
      <c r="Y195" s="1" t="n">
        <f aca="false">IF(W195="",0,SUMIFS($I$7:$I$256,$D$7:$D$256,W195,$H$7:$H$256,"P6"))</f>
        <v>0</v>
      </c>
      <c r="Z195" s="1" t="n">
        <f aca="false">X195+Y195</f>
        <v>0</v>
      </c>
      <c r="AA195" s="1" t="n">
        <f aca="false">IF(Z195&gt;0,Z195+(201-189)/10^6,0)</f>
        <v>0</v>
      </c>
      <c r="AB195" s="1"/>
      <c r="AC195" s="1"/>
      <c r="AD195" s="1"/>
      <c r="AE195" s="1"/>
      <c r="AF195" s="1"/>
      <c r="AG195" s="1"/>
      <c r="AH195" s="1"/>
    </row>
    <row r="196" customFormat="false" ht="15" hidden="false" customHeight="false" outlineLevel="0" collapsed="false">
      <c r="A196" s="1"/>
      <c r="B196" s="10"/>
      <c r="C196" s="31" t="str">
        <f aca="false">IF(B196="","",TEXT(B196,"ddd"))</f>
        <v/>
      </c>
      <c r="D196" s="11"/>
      <c r="E196" s="8" t="str">
        <f aca="false">IF(D196="","",IFERROR(INDEX(ProjNumbers,MATCH(D196,ProjNames,0)),""))</f>
        <v/>
      </c>
      <c r="F196" s="8" t="str">
        <f aca="false">IF(D196="","",IFERROR(INDEX(ProjCodes,MATCH(D196,ProjNames,0)),""))</f>
        <v/>
      </c>
      <c r="G196" s="32"/>
      <c r="H196" s="11"/>
      <c r="I196" s="33"/>
      <c r="J196" s="8" t="str">
        <f aca="false">IF(COUNTA(B196,D196,G196,H196,I196)=0,"",IF(B196="","Enter date",IF(OR(B196&lt;$AC$2,B196&gt;$AC$3),"Date not in April",IF(D196="","Pick project",IF(ISNA(MATCH(D196,ProjNames,0)),"Project not in list",IF(G196="","Add task description",IF(H196="","Pick NTIME or P6",IF(N(I196)&lt;=0,"Enter hours",IF(AND(AllowOT&lt;&gt;"Yes",SUMIF($B$7:$B$256,B196,$I$7:$I$256)&gt;INDEX($O$58:$O$87,DAY(B196))),"Day over "&amp;INDEX($O$58:$O$87,DAY(B196))&amp;" h","✓")))))))))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tr">
        <f aca="false">IF(Projects!B194="","",Projects!B194)</f>
        <v/>
      </c>
      <c r="X196" s="1" t="n">
        <f aca="false">IF(W196="",0,SUMIFS($I$7:$I$256,$D$7:$D$256,W196,$H$7:$H$256,"NTIME"))</f>
        <v>0</v>
      </c>
      <c r="Y196" s="1" t="n">
        <f aca="false">IF(W196="",0,SUMIFS($I$7:$I$256,$D$7:$D$256,W196,$H$7:$H$256,"P6"))</f>
        <v>0</v>
      </c>
      <c r="Z196" s="1" t="n">
        <f aca="false">X196+Y196</f>
        <v>0</v>
      </c>
      <c r="AA196" s="1" t="n">
        <f aca="false">IF(Z196&gt;0,Z196+(201-190)/10^6,0)</f>
        <v>0</v>
      </c>
      <c r="AB196" s="1"/>
      <c r="AC196" s="1"/>
      <c r="AD196" s="1"/>
      <c r="AE196" s="1"/>
      <c r="AF196" s="1"/>
      <c r="AG196" s="1"/>
      <c r="AH196" s="1"/>
    </row>
    <row r="197" customFormat="false" ht="15" hidden="false" customHeight="false" outlineLevel="0" collapsed="false">
      <c r="A197" s="1"/>
      <c r="B197" s="10"/>
      <c r="C197" s="31" t="str">
        <f aca="false">IF(B197="","",TEXT(B197,"ddd"))</f>
        <v/>
      </c>
      <c r="D197" s="11"/>
      <c r="E197" s="8" t="str">
        <f aca="false">IF(D197="","",IFERROR(INDEX(ProjNumbers,MATCH(D197,ProjNames,0)),""))</f>
        <v/>
      </c>
      <c r="F197" s="8" t="str">
        <f aca="false">IF(D197="","",IFERROR(INDEX(ProjCodes,MATCH(D197,ProjNames,0)),""))</f>
        <v/>
      </c>
      <c r="G197" s="32"/>
      <c r="H197" s="11"/>
      <c r="I197" s="33"/>
      <c r="J197" s="8" t="str">
        <f aca="false">IF(COUNTA(B197,D197,G197,H197,I197)=0,"",IF(B197="","Enter date",IF(OR(B197&lt;$AC$2,B197&gt;$AC$3),"Date not in April",IF(D197="","Pick project",IF(ISNA(MATCH(D197,ProjNames,0)),"Project not in list",IF(G197="","Add task description",IF(H197="","Pick NTIME or P6",IF(N(I197)&lt;=0,"Enter hours",IF(AND(AllowOT&lt;&gt;"Yes",SUMIF($B$7:$B$256,B197,$I$7:$I$256)&gt;INDEX($O$58:$O$87,DAY(B197))),"Day over "&amp;INDEX($O$58:$O$87,DAY(B197))&amp;" h","✓")))))))))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tr">
        <f aca="false">IF(Projects!B195="","",Projects!B195)</f>
        <v/>
      </c>
      <c r="X197" s="1" t="n">
        <f aca="false">IF(W197="",0,SUMIFS($I$7:$I$256,$D$7:$D$256,W197,$H$7:$H$256,"NTIME"))</f>
        <v>0</v>
      </c>
      <c r="Y197" s="1" t="n">
        <f aca="false">IF(W197="",0,SUMIFS($I$7:$I$256,$D$7:$D$256,W197,$H$7:$H$256,"P6"))</f>
        <v>0</v>
      </c>
      <c r="Z197" s="1" t="n">
        <f aca="false">X197+Y197</f>
        <v>0</v>
      </c>
      <c r="AA197" s="1" t="n">
        <f aca="false">IF(Z197&gt;0,Z197+(201-191)/10^6,0)</f>
        <v>0</v>
      </c>
      <c r="AB197" s="1"/>
      <c r="AC197" s="1"/>
      <c r="AD197" s="1"/>
      <c r="AE197" s="1"/>
      <c r="AF197" s="1"/>
      <c r="AG197" s="1"/>
      <c r="AH197" s="1"/>
    </row>
    <row r="198" customFormat="false" ht="15" hidden="false" customHeight="false" outlineLevel="0" collapsed="false">
      <c r="A198" s="1"/>
      <c r="B198" s="10"/>
      <c r="C198" s="31" t="str">
        <f aca="false">IF(B198="","",TEXT(B198,"ddd"))</f>
        <v/>
      </c>
      <c r="D198" s="11"/>
      <c r="E198" s="8" t="str">
        <f aca="false">IF(D198="","",IFERROR(INDEX(ProjNumbers,MATCH(D198,ProjNames,0)),""))</f>
        <v/>
      </c>
      <c r="F198" s="8" t="str">
        <f aca="false">IF(D198="","",IFERROR(INDEX(ProjCodes,MATCH(D198,ProjNames,0)),""))</f>
        <v/>
      </c>
      <c r="G198" s="32"/>
      <c r="H198" s="11"/>
      <c r="I198" s="33"/>
      <c r="J198" s="8" t="str">
        <f aca="false">IF(COUNTA(B198,D198,G198,H198,I198)=0,"",IF(B198="","Enter date",IF(OR(B198&lt;$AC$2,B198&gt;$AC$3),"Date not in April",IF(D198="","Pick project",IF(ISNA(MATCH(D198,ProjNames,0)),"Project not in list",IF(G198="","Add task description",IF(H198="","Pick NTIME or P6",IF(N(I198)&lt;=0,"Enter hours",IF(AND(AllowOT&lt;&gt;"Yes",SUMIF($B$7:$B$256,B198,$I$7:$I$256)&gt;INDEX($O$58:$O$87,DAY(B198))),"Day over "&amp;INDEX($O$58:$O$87,DAY(B198))&amp;" h","✓")))))))))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tr">
        <f aca="false">IF(Projects!B196="","",Projects!B196)</f>
        <v/>
      </c>
      <c r="X198" s="1" t="n">
        <f aca="false">IF(W198="",0,SUMIFS($I$7:$I$256,$D$7:$D$256,W198,$H$7:$H$256,"NTIME"))</f>
        <v>0</v>
      </c>
      <c r="Y198" s="1" t="n">
        <f aca="false">IF(W198="",0,SUMIFS($I$7:$I$256,$D$7:$D$256,W198,$H$7:$H$256,"P6"))</f>
        <v>0</v>
      </c>
      <c r="Z198" s="1" t="n">
        <f aca="false">X198+Y198</f>
        <v>0</v>
      </c>
      <c r="AA198" s="1" t="n">
        <f aca="false">IF(Z198&gt;0,Z198+(201-192)/10^6,0)</f>
        <v>0</v>
      </c>
      <c r="AB198" s="1"/>
      <c r="AC198" s="1"/>
      <c r="AD198" s="1"/>
      <c r="AE198" s="1"/>
      <c r="AF198" s="1"/>
      <c r="AG198" s="1"/>
      <c r="AH198" s="1"/>
    </row>
    <row r="199" customFormat="false" ht="15" hidden="false" customHeight="false" outlineLevel="0" collapsed="false">
      <c r="A199" s="1"/>
      <c r="B199" s="10"/>
      <c r="C199" s="31" t="str">
        <f aca="false">IF(B199="","",TEXT(B199,"ddd"))</f>
        <v/>
      </c>
      <c r="D199" s="11"/>
      <c r="E199" s="8" t="str">
        <f aca="false">IF(D199="","",IFERROR(INDEX(ProjNumbers,MATCH(D199,ProjNames,0)),""))</f>
        <v/>
      </c>
      <c r="F199" s="8" t="str">
        <f aca="false">IF(D199="","",IFERROR(INDEX(ProjCodes,MATCH(D199,ProjNames,0)),""))</f>
        <v/>
      </c>
      <c r="G199" s="32"/>
      <c r="H199" s="11"/>
      <c r="I199" s="33"/>
      <c r="J199" s="8" t="str">
        <f aca="false">IF(COUNTA(B199,D199,G199,H199,I199)=0,"",IF(B199="","Enter date",IF(OR(B199&lt;$AC$2,B199&gt;$AC$3),"Date not in April",IF(D199="","Pick project",IF(ISNA(MATCH(D199,ProjNames,0)),"Project not in list",IF(G199="","Add task description",IF(H199="","Pick NTIME or P6",IF(N(I199)&lt;=0,"Enter hours",IF(AND(AllowOT&lt;&gt;"Yes",SUMIF($B$7:$B$256,B199,$I$7:$I$256)&gt;INDEX($O$58:$O$87,DAY(B199))),"Day over "&amp;INDEX($O$58:$O$87,DAY(B199))&amp;" h","✓")))))))))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tr">
        <f aca="false">IF(Projects!B197="","",Projects!B197)</f>
        <v/>
      </c>
      <c r="X199" s="1" t="n">
        <f aca="false">IF(W199="",0,SUMIFS($I$7:$I$256,$D$7:$D$256,W199,$H$7:$H$256,"NTIME"))</f>
        <v>0</v>
      </c>
      <c r="Y199" s="1" t="n">
        <f aca="false">IF(W199="",0,SUMIFS($I$7:$I$256,$D$7:$D$256,W199,$H$7:$H$256,"P6"))</f>
        <v>0</v>
      </c>
      <c r="Z199" s="1" t="n">
        <f aca="false">X199+Y199</f>
        <v>0</v>
      </c>
      <c r="AA199" s="1" t="n">
        <f aca="false">IF(Z199&gt;0,Z199+(201-193)/10^6,0)</f>
        <v>0</v>
      </c>
      <c r="AB199" s="1"/>
      <c r="AC199" s="1"/>
      <c r="AD199" s="1"/>
      <c r="AE199" s="1"/>
      <c r="AF199" s="1"/>
      <c r="AG199" s="1"/>
      <c r="AH199" s="1"/>
    </row>
    <row r="200" customFormat="false" ht="15" hidden="false" customHeight="false" outlineLevel="0" collapsed="false">
      <c r="A200" s="1"/>
      <c r="B200" s="10"/>
      <c r="C200" s="31" t="str">
        <f aca="false">IF(B200="","",TEXT(B200,"ddd"))</f>
        <v/>
      </c>
      <c r="D200" s="11"/>
      <c r="E200" s="8" t="str">
        <f aca="false">IF(D200="","",IFERROR(INDEX(ProjNumbers,MATCH(D200,ProjNames,0)),""))</f>
        <v/>
      </c>
      <c r="F200" s="8" t="str">
        <f aca="false">IF(D200="","",IFERROR(INDEX(ProjCodes,MATCH(D200,ProjNames,0)),""))</f>
        <v/>
      </c>
      <c r="G200" s="32"/>
      <c r="H200" s="11"/>
      <c r="I200" s="33"/>
      <c r="J200" s="8" t="str">
        <f aca="false">IF(COUNTA(B200,D200,G200,H200,I200)=0,"",IF(B200="","Enter date",IF(OR(B200&lt;$AC$2,B200&gt;$AC$3),"Date not in April",IF(D200="","Pick project",IF(ISNA(MATCH(D200,ProjNames,0)),"Project not in list",IF(G200="","Add task description",IF(H200="","Pick NTIME or P6",IF(N(I200)&lt;=0,"Enter hours",IF(AND(AllowOT&lt;&gt;"Yes",SUMIF($B$7:$B$256,B200,$I$7:$I$256)&gt;INDEX($O$58:$O$87,DAY(B200))),"Day over "&amp;INDEX($O$58:$O$87,DAY(B200))&amp;" h","✓")))))))))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tr">
        <f aca="false">IF(Projects!B198="","",Projects!B198)</f>
        <v/>
      </c>
      <c r="X200" s="1" t="n">
        <f aca="false">IF(W200="",0,SUMIFS($I$7:$I$256,$D$7:$D$256,W200,$H$7:$H$256,"NTIME"))</f>
        <v>0</v>
      </c>
      <c r="Y200" s="1" t="n">
        <f aca="false">IF(W200="",0,SUMIFS($I$7:$I$256,$D$7:$D$256,W200,$H$7:$H$256,"P6"))</f>
        <v>0</v>
      </c>
      <c r="Z200" s="1" t="n">
        <f aca="false">X200+Y200</f>
        <v>0</v>
      </c>
      <c r="AA200" s="1" t="n">
        <f aca="false">IF(Z200&gt;0,Z200+(201-194)/10^6,0)</f>
        <v>0</v>
      </c>
      <c r="AB200" s="1"/>
      <c r="AC200" s="1"/>
      <c r="AD200" s="1"/>
      <c r="AE200" s="1"/>
      <c r="AF200" s="1"/>
      <c r="AG200" s="1"/>
      <c r="AH200" s="1"/>
    </row>
    <row r="201" customFormat="false" ht="15" hidden="false" customHeight="false" outlineLevel="0" collapsed="false">
      <c r="A201" s="1"/>
      <c r="B201" s="10"/>
      <c r="C201" s="31" t="str">
        <f aca="false">IF(B201="","",TEXT(B201,"ddd"))</f>
        <v/>
      </c>
      <c r="D201" s="11"/>
      <c r="E201" s="8" t="str">
        <f aca="false">IF(D201="","",IFERROR(INDEX(ProjNumbers,MATCH(D201,ProjNames,0)),""))</f>
        <v/>
      </c>
      <c r="F201" s="8" t="str">
        <f aca="false">IF(D201="","",IFERROR(INDEX(ProjCodes,MATCH(D201,ProjNames,0)),""))</f>
        <v/>
      </c>
      <c r="G201" s="32"/>
      <c r="H201" s="11"/>
      <c r="I201" s="33"/>
      <c r="J201" s="8" t="str">
        <f aca="false">IF(COUNTA(B201,D201,G201,H201,I201)=0,"",IF(B201="","Enter date",IF(OR(B201&lt;$AC$2,B201&gt;$AC$3),"Date not in April",IF(D201="","Pick project",IF(ISNA(MATCH(D201,ProjNames,0)),"Project not in list",IF(G201="","Add task description",IF(H201="","Pick NTIME or P6",IF(N(I201)&lt;=0,"Enter hours",IF(AND(AllowOT&lt;&gt;"Yes",SUMIF($B$7:$B$256,B201,$I$7:$I$256)&gt;INDEX($O$58:$O$87,DAY(B201))),"Day over "&amp;INDEX($O$58:$O$87,DAY(B201))&amp;" h","✓")))))))))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tr">
        <f aca="false">IF(Projects!B199="","",Projects!B199)</f>
        <v/>
      </c>
      <c r="X201" s="1" t="n">
        <f aca="false">IF(W201="",0,SUMIFS($I$7:$I$256,$D$7:$D$256,W201,$H$7:$H$256,"NTIME"))</f>
        <v>0</v>
      </c>
      <c r="Y201" s="1" t="n">
        <f aca="false">IF(W201="",0,SUMIFS($I$7:$I$256,$D$7:$D$256,W201,$H$7:$H$256,"P6"))</f>
        <v>0</v>
      </c>
      <c r="Z201" s="1" t="n">
        <f aca="false">X201+Y201</f>
        <v>0</v>
      </c>
      <c r="AA201" s="1" t="n">
        <f aca="false">IF(Z201&gt;0,Z201+(201-195)/10^6,0)</f>
        <v>0</v>
      </c>
      <c r="AB201" s="1"/>
      <c r="AC201" s="1"/>
      <c r="AD201" s="1"/>
      <c r="AE201" s="1"/>
      <c r="AF201" s="1"/>
      <c r="AG201" s="1"/>
      <c r="AH201" s="1"/>
    </row>
    <row r="202" customFormat="false" ht="15" hidden="false" customHeight="false" outlineLevel="0" collapsed="false">
      <c r="A202" s="1"/>
      <c r="B202" s="10"/>
      <c r="C202" s="31" t="str">
        <f aca="false">IF(B202="","",TEXT(B202,"ddd"))</f>
        <v/>
      </c>
      <c r="D202" s="11"/>
      <c r="E202" s="8" t="str">
        <f aca="false">IF(D202="","",IFERROR(INDEX(ProjNumbers,MATCH(D202,ProjNames,0)),""))</f>
        <v/>
      </c>
      <c r="F202" s="8" t="str">
        <f aca="false">IF(D202="","",IFERROR(INDEX(ProjCodes,MATCH(D202,ProjNames,0)),""))</f>
        <v/>
      </c>
      <c r="G202" s="32"/>
      <c r="H202" s="11"/>
      <c r="I202" s="33"/>
      <c r="J202" s="8" t="str">
        <f aca="false">IF(COUNTA(B202,D202,G202,H202,I202)=0,"",IF(B202="","Enter date",IF(OR(B202&lt;$AC$2,B202&gt;$AC$3),"Date not in April",IF(D202="","Pick project",IF(ISNA(MATCH(D202,ProjNames,0)),"Project not in list",IF(G202="","Add task description",IF(H202="","Pick NTIME or P6",IF(N(I202)&lt;=0,"Enter hours",IF(AND(AllowOT&lt;&gt;"Yes",SUMIF($B$7:$B$256,B202,$I$7:$I$256)&gt;INDEX($O$58:$O$87,DAY(B202))),"Day over "&amp;INDEX($O$58:$O$87,DAY(B202))&amp;" h","✓")))))))))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tr">
        <f aca="false">IF(Projects!B200="","",Projects!B200)</f>
        <v/>
      </c>
      <c r="X202" s="1" t="n">
        <f aca="false">IF(W202="",0,SUMIFS($I$7:$I$256,$D$7:$D$256,W202,$H$7:$H$256,"NTIME"))</f>
        <v>0</v>
      </c>
      <c r="Y202" s="1" t="n">
        <f aca="false">IF(W202="",0,SUMIFS($I$7:$I$256,$D$7:$D$256,W202,$H$7:$H$256,"P6"))</f>
        <v>0</v>
      </c>
      <c r="Z202" s="1" t="n">
        <f aca="false">X202+Y202</f>
        <v>0</v>
      </c>
      <c r="AA202" s="1" t="n">
        <f aca="false">IF(Z202&gt;0,Z202+(201-196)/10^6,0)</f>
        <v>0</v>
      </c>
      <c r="AB202" s="1"/>
      <c r="AC202" s="1"/>
      <c r="AD202" s="1"/>
      <c r="AE202" s="1"/>
      <c r="AF202" s="1"/>
      <c r="AG202" s="1"/>
      <c r="AH202" s="1"/>
    </row>
    <row r="203" customFormat="false" ht="15" hidden="false" customHeight="false" outlineLevel="0" collapsed="false">
      <c r="A203" s="1"/>
      <c r="B203" s="10"/>
      <c r="C203" s="31" t="str">
        <f aca="false">IF(B203="","",TEXT(B203,"ddd"))</f>
        <v/>
      </c>
      <c r="D203" s="11"/>
      <c r="E203" s="8" t="str">
        <f aca="false">IF(D203="","",IFERROR(INDEX(ProjNumbers,MATCH(D203,ProjNames,0)),""))</f>
        <v/>
      </c>
      <c r="F203" s="8" t="str">
        <f aca="false">IF(D203="","",IFERROR(INDEX(ProjCodes,MATCH(D203,ProjNames,0)),""))</f>
        <v/>
      </c>
      <c r="G203" s="32"/>
      <c r="H203" s="11"/>
      <c r="I203" s="33"/>
      <c r="J203" s="8" t="str">
        <f aca="false">IF(COUNTA(B203,D203,G203,H203,I203)=0,"",IF(B203="","Enter date",IF(OR(B203&lt;$AC$2,B203&gt;$AC$3),"Date not in April",IF(D203="","Pick project",IF(ISNA(MATCH(D203,ProjNames,0)),"Project not in list",IF(G203="","Add task description",IF(H203="","Pick NTIME or P6",IF(N(I203)&lt;=0,"Enter hours",IF(AND(AllowOT&lt;&gt;"Yes",SUMIF($B$7:$B$256,B203,$I$7:$I$256)&gt;INDEX($O$58:$O$87,DAY(B203))),"Day over "&amp;INDEX($O$58:$O$87,DAY(B203))&amp;" h","✓")))))))))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tr">
        <f aca="false">IF(Projects!B201="","",Projects!B201)</f>
        <v/>
      </c>
      <c r="X203" s="1" t="n">
        <f aca="false">IF(W203="",0,SUMIFS($I$7:$I$256,$D$7:$D$256,W203,$H$7:$H$256,"NTIME"))</f>
        <v>0</v>
      </c>
      <c r="Y203" s="1" t="n">
        <f aca="false">IF(W203="",0,SUMIFS($I$7:$I$256,$D$7:$D$256,W203,$H$7:$H$256,"P6"))</f>
        <v>0</v>
      </c>
      <c r="Z203" s="1" t="n">
        <f aca="false">X203+Y203</f>
        <v>0</v>
      </c>
      <c r="AA203" s="1" t="n">
        <f aca="false">IF(Z203&gt;0,Z203+(201-197)/10^6,0)</f>
        <v>0</v>
      </c>
      <c r="AB203" s="1"/>
      <c r="AC203" s="1"/>
      <c r="AD203" s="1"/>
      <c r="AE203" s="1"/>
      <c r="AF203" s="1"/>
      <c r="AG203" s="1"/>
      <c r="AH203" s="1"/>
    </row>
    <row r="204" customFormat="false" ht="15" hidden="false" customHeight="false" outlineLevel="0" collapsed="false">
      <c r="A204" s="1"/>
      <c r="B204" s="10"/>
      <c r="C204" s="31" t="str">
        <f aca="false">IF(B204="","",TEXT(B204,"ddd"))</f>
        <v/>
      </c>
      <c r="D204" s="11"/>
      <c r="E204" s="8" t="str">
        <f aca="false">IF(D204="","",IFERROR(INDEX(ProjNumbers,MATCH(D204,ProjNames,0)),""))</f>
        <v/>
      </c>
      <c r="F204" s="8" t="str">
        <f aca="false">IF(D204="","",IFERROR(INDEX(ProjCodes,MATCH(D204,ProjNames,0)),""))</f>
        <v/>
      </c>
      <c r="G204" s="32"/>
      <c r="H204" s="11"/>
      <c r="I204" s="33"/>
      <c r="J204" s="8" t="str">
        <f aca="false">IF(COUNTA(B204,D204,G204,H204,I204)=0,"",IF(B204="","Enter date",IF(OR(B204&lt;$AC$2,B204&gt;$AC$3),"Date not in April",IF(D204="","Pick project",IF(ISNA(MATCH(D204,ProjNames,0)),"Project not in list",IF(G204="","Add task description",IF(H204="","Pick NTIME or P6",IF(N(I204)&lt;=0,"Enter hours",IF(AND(AllowOT&lt;&gt;"Yes",SUMIF($B$7:$B$256,B204,$I$7:$I$256)&gt;INDEX($O$58:$O$87,DAY(B204))),"Day over "&amp;INDEX($O$58:$O$87,DAY(B204))&amp;" h","✓")))))))))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tr">
        <f aca="false">IF(Projects!B202="","",Projects!B202)</f>
        <v/>
      </c>
      <c r="X204" s="1" t="n">
        <f aca="false">IF(W204="",0,SUMIFS($I$7:$I$256,$D$7:$D$256,W204,$H$7:$H$256,"NTIME"))</f>
        <v>0</v>
      </c>
      <c r="Y204" s="1" t="n">
        <f aca="false">IF(W204="",0,SUMIFS($I$7:$I$256,$D$7:$D$256,W204,$H$7:$H$256,"P6"))</f>
        <v>0</v>
      </c>
      <c r="Z204" s="1" t="n">
        <f aca="false">X204+Y204</f>
        <v>0</v>
      </c>
      <c r="AA204" s="1" t="n">
        <f aca="false">IF(Z204&gt;0,Z204+(201-198)/10^6,0)</f>
        <v>0</v>
      </c>
      <c r="AB204" s="1"/>
      <c r="AC204" s="1"/>
      <c r="AD204" s="1"/>
      <c r="AE204" s="1"/>
      <c r="AF204" s="1"/>
      <c r="AG204" s="1"/>
      <c r="AH204" s="1"/>
    </row>
    <row r="205" customFormat="false" ht="15" hidden="false" customHeight="false" outlineLevel="0" collapsed="false">
      <c r="A205" s="1"/>
      <c r="B205" s="10"/>
      <c r="C205" s="31" t="str">
        <f aca="false">IF(B205="","",TEXT(B205,"ddd"))</f>
        <v/>
      </c>
      <c r="D205" s="11"/>
      <c r="E205" s="8" t="str">
        <f aca="false">IF(D205="","",IFERROR(INDEX(ProjNumbers,MATCH(D205,ProjNames,0)),""))</f>
        <v/>
      </c>
      <c r="F205" s="8" t="str">
        <f aca="false">IF(D205="","",IFERROR(INDEX(ProjCodes,MATCH(D205,ProjNames,0)),""))</f>
        <v/>
      </c>
      <c r="G205" s="32"/>
      <c r="H205" s="11"/>
      <c r="I205" s="33"/>
      <c r="J205" s="8" t="str">
        <f aca="false">IF(COUNTA(B205,D205,G205,H205,I205)=0,"",IF(B205="","Enter date",IF(OR(B205&lt;$AC$2,B205&gt;$AC$3),"Date not in April",IF(D205="","Pick project",IF(ISNA(MATCH(D205,ProjNames,0)),"Project not in list",IF(G205="","Add task description",IF(H205="","Pick NTIME or P6",IF(N(I205)&lt;=0,"Enter hours",IF(AND(AllowOT&lt;&gt;"Yes",SUMIF($B$7:$B$256,B205,$I$7:$I$256)&gt;INDEX($O$58:$O$87,DAY(B205))),"Day over "&amp;INDEX($O$58:$O$87,DAY(B205))&amp;" h","✓")))))))))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tr">
        <f aca="false">IF(Projects!B203="","",Projects!B203)</f>
        <v/>
      </c>
      <c r="X205" s="1" t="n">
        <f aca="false">IF(W205="",0,SUMIFS($I$7:$I$256,$D$7:$D$256,W205,$H$7:$H$256,"NTIME"))</f>
        <v>0</v>
      </c>
      <c r="Y205" s="1" t="n">
        <f aca="false">IF(W205="",0,SUMIFS($I$7:$I$256,$D$7:$D$256,W205,$H$7:$H$256,"P6"))</f>
        <v>0</v>
      </c>
      <c r="Z205" s="1" t="n">
        <f aca="false">X205+Y205</f>
        <v>0</v>
      </c>
      <c r="AA205" s="1" t="n">
        <f aca="false">IF(Z205&gt;0,Z205+(201-199)/10^6,0)</f>
        <v>0</v>
      </c>
      <c r="AB205" s="1"/>
      <c r="AC205" s="1"/>
      <c r="AD205" s="1"/>
      <c r="AE205" s="1"/>
      <c r="AF205" s="1"/>
      <c r="AG205" s="1"/>
      <c r="AH205" s="1"/>
    </row>
    <row r="206" customFormat="false" ht="15" hidden="false" customHeight="false" outlineLevel="0" collapsed="false">
      <c r="A206" s="1"/>
      <c r="B206" s="10"/>
      <c r="C206" s="31" t="str">
        <f aca="false">IF(B206="","",TEXT(B206,"ddd"))</f>
        <v/>
      </c>
      <c r="D206" s="11"/>
      <c r="E206" s="8" t="str">
        <f aca="false">IF(D206="","",IFERROR(INDEX(ProjNumbers,MATCH(D206,ProjNames,0)),""))</f>
        <v/>
      </c>
      <c r="F206" s="8" t="str">
        <f aca="false">IF(D206="","",IFERROR(INDEX(ProjCodes,MATCH(D206,ProjNames,0)),""))</f>
        <v/>
      </c>
      <c r="G206" s="32"/>
      <c r="H206" s="11"/>
      <c r="I206" s="33"/>
      <c r="J206" s="8" t="str">
        <f aca="false">IF(COUNTA(B206,D206,G206,H206,I206)=0,"",IF(B206="","Enter date",IF(OR(B206&lt;$AC$2,B206&gt;$AC$3),"Date not in April",IF(D206="","Pick project",IF(ISNA(MATCH(D206,ProjNames,0)),"Project not in list",IF(G206="","Add task description",IF(H206="","Pick NTIME or P6",IF(N(I206)&lt;=0,"Enter hours",IF(AND(AllowOT&lt;&gt;"Yes",SUMIF($B$7:$B$256,B206,$I$7:$I$256)&gt;INDEX($O$58:$O$87,DAY(B206))),"Day over "&amp;INDEX($O$58:$O$87,DAY(B206))&amp;" h","✓")))))))))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tr">
        <f aca="false">IF(Projects!B204="","",Projects!B204)</f>
        <v/>
      </c>
      <c r="X206" s="1" t="n">
        <f aca="false">IF(W206="",0,SUMIFS($I$7:$I$256,$D$7:$D$256,W206,$H$7:$H$256,"NTIME"))</f>
        <v>0</v>
      </c>
      <c r="Y206" s="1" t="n">
        <f aca="false">IF(W206="",0,SUMIFS($I$7:$I$256,$D$7:$D$256,W206,$H$7:$H$256,"P6"))</f>
        <v>0</v>
      </c>
      <c r="Z206" s="1" t="n">
        <f aca="false">X206+Y206</f>
        <v>0</v>
      </c>
      <c r="AA206" s="1" t="n">
        <f aca="false">IF(Z206&gt;0,Z206+(201-200)/10^6,0)</f>
        <v>0</v>
      </c>
      <c r="AB206" s="1"/>
      <c r="AC206" s="1"/>
      <c r="AD206" s="1"/>
      <c r="AE206" s="1"/>
      <c r="AF206" s="1"/>
      <c r="AG206" s="1"/>
      <c r="AH206" s="1"/>
    </row>
    <row r="207" customFormat="false" ht="15" hidden="false" customHeight="false" outlineLevel="0" collapsed="false">
      <c r="A207" s="1"/>
      <c r="B207" s="10"/>
      <c r="C207" s="31" t="str">
        <f aca="false">IF(B207="","",TEXT(B207,"ddd"))</f>
        <v/>
      </c>
      <c r="D207" s="11"/>
      <c r="E207" s="8" t="str">
        <f aca="false">IF(D207="","",IFERROR(INDEX(ProjNumbers,MATCH(D207,ProjNames,0)),""))</f>
        <v/>
      </c>
      <c r="F207" s="8" t="str">
        <f aca="false">IF(D207="","",IFERROR(INDEX(ProjCodes,MATCH(D207,ProjNames,0)),""))</f>
        <v/>
      </c>
      <c r="G207" s="32"/>
      <c r="H207" s="11"/>
      <c r="I207" s="33"/>
      <c r="J207" s="8" t="str">
        <f aca="false">IF(COUNTA(B207,D207,G207,H207,I207)=0,"",IF(B207="","Enter date",IF(OR(B207&lt;$AC$2,B207&gt;$AC$3),"Date not in April",IF(D207="","Pick project",IF(ISNA(MATCH(D207,ProjNames,0)),"Project not in list",IF(G207="","Add task description",IF(H207="","Pick NTIME or P6",IF(N(I207)&lt;=0,"Enter hours",IF(AND(AllowOT&lt;&gt;"Yes",SUMIF($B$7:$B$256,B207,$I$7:$I$256)&gt;INDEX($O$58:$O$87,DAY(B207))),"Day over "&amp;INDEX($O$58:$O$87,DAY(B207))&amp;" h","✓")))))))))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5" hidden="false" customHeight="false" outlineLevel="0" collapsed="false">
      <c r="A208" s="1"/>
      <c r="B208" s="10"/>
      <c r="C208" s="31" t="str">
        <f aca="false">IF(B208="","",TEXT(B208,"ddd"))</f>
        <v/>
      </c>
      <c r="D208" s="11"/>
      <c r="E208" s="8" t="str">
        <f aca="false">IF(D208="","",IFERROR(INDEX(ProjNumbers,MATCH(D208,ProjNames,0)),""))</f>
        <v/>
      </c>
      <c r="F208" s="8" t="str">
        <f aca="false">IF(D208="","",IFERROR(INDEX(ProjCodes,MATCH(D208,ProjNames,0)),""))</f>
        <v/>
      </c>
      <c r="G208" s="32"/>
      <c r="H208" s="11"/>
      <c r="I208" s="33"/>
      <c r="J208" s="8" t="str">
        <f aca="false">IF(COUNTA(B208,D208,G208,H208,I208)=0,"",IF(B208="","Enter date",IF(OR(B208&lt;$AC$2,B208&gt;$AC$3),"Date not in April",IF(D208="","Pick project",IF(ISNA(MATCH(D208,ProjNames,0)),"Project not in list",IF(G208="","Add task description",IF(H208="","Pick NTIME or P6",IF(N(I208)&lt;=0,"Enter hours",IF(AND(AllowOT&lt;&gt;"Yes",SUMIF($B$7:$B$256,B208,$I$7:$I$256)&gt;INDEX($O$58:$O$87,DAY(B208))),"Day over "&amp;INDEX($O$58:$O$87,DAY(B208))&amp;" h","✓")))))))))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5" hidden="false" customHeight="false" outlineLevel="0" collapsed="false">
      <c r="A209" s="1"/>
      <c r="B209" s="10"/>
      <c r="C209" s="31" t="str">
        <f aca="false">IF(B209="","",TEXT(B209,"ddd"))</f>
        <v/>
      </c>
      <c r="D209" s="11"/>
      <c r="E209" s="8" t="str">
        <f aca="false">IF(D209="","",IFERROR(INDEX(ProjNumbers,MATCH(D209,ProjNames,0)),""))</f>
        <v/>
      </c>
      <c r="F209" s="8" t="str">
        <f aca="false">IF(D209="","",IFERROR(INDEX(ProjCodes,MATCH(D209,ProjNames,0)),""))</f>
        <v/>
      </c>
      <c r="G209" s="32"/>
      <c r="H209" s="11"/>
      <c r="I209" s="33"/>
      <c r="J209" s="8" t="str">
        <f aca="false">IF(COUNTA(B209,D209,G209,H209,I209)=0,"",IF(B209="","Enter date",IF(OR(B209&lt;$AC$2,B209&gt;$AC$3),"Date not in April",IF(D209="","Pick project",IF(ISNA(MATCH(D209,ProjNames,0)),"Project not in list",IF(G209="","Add task description",IF(H209="","Pick NTIME or P6",IF(N(I209)&lt;=0,"Enter hours",IF(AND(AllowOT&lt;&gt;"Yes",SUMIF($B$7:$B$256,B209,$I$7:$I$256)&gt;INDEX($O$58:$O$87,DAY(B209))),"Day over "&amp;INDEX($O$58:$O$87,DAY(B209))&amp;" h","✓")))))))))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5" hidden="false" customHeight="false" outlineLevel="0" collapsed="false">
      <c r="A210" s="1"/>
      <c r="B210" s="10"/>
      <c r="C210" s="31" t="str">
        <f aca="false">IF(B210="","",TEXT(B210,"ddd"))</f>
        <v/>
      </c>
      <c r="D210" s="11"/>
      <c r="E210" s="8" t="str">
        <f aca="false">IF(D210="","",IFERROR(INDEX(ProjNumbers,MATCH(D210,ProjNames,0)),""))</f>
        <v/>
      </c>
      <c r="F210" s="8" t="str">
        <f aca="false">IF(D210="","",IFERROR(INDEX(ProjCodes,MATCH(D210,ProjNames,0)),""))</f>
        <v/>
      </c>
      <c r="G210" s="32"/>
      <c r="H210" s="11"/>
      <c r="I210" s="33"/>
      <c r="J210" s="8" t="str">
        <f aca="false">IF(COUNTA(B210,D210,G210,H210,I210)=0,"",IF(B210="","Enter date",IF(OR(B210&lt;$AC$2,B210&gt;$AC$3),"Date not in April",IF(D210="","Pick project",IF(ISNA(MATCH(D210,ProjNames,0)),"Project not in list",IF(G210="","Add task description",IF(H210="","Pick NTIME or P6",IF(N(I210)&lt;=0,"Enter hours",IF(AND(AllowOT&lt;&gt;"Yes",SUMIF($B$7:$B$256,B210,$I$7:$I$256)&gt;INDEX($O$58:$O$87,DAY(B210))),"Day over "&amp;INDEX($O$58:$O$87,DAY(B210))&amp;" h","✓")))))))))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5" hidden="false" customHeight="false" outlineLevel="0" collapsed="false">
      <c r="A211" s="1"/>
      <c r="B211" s="10"/>
      <c r="C211" s="31" t="str">
        <f aca="false">IF(B211="","",TEXT(B211,"ddd"))</f>
        <v/>
      </c>
      <c r="D211" s="11"/>
      <c r="E211" s="8" t="str">
        <f aca="false">IF(D211="","",IFERROR(INDEX(ProjNumbers,MATCH(D211,ProjNames,0)),""))</f>
        <v/>
      </c>
      <c r="F211" s="8" t="str">
        <f aca="false">IF(D211="","",IFERROR(INDEX(ProjCodes,MATCH(D211,ProjNames,0)),""))</f>
        <v/>
      </c>
      <c r="G211" s="32"/>
      <c r="H211" s="11"/>
      <c r="I211" s="33"/>
      <c r="J211" s="8" t="str">
        <f aca="false">IF(COUNTA(B211,D211,G211,H211,I211)=0,"",IF(B211="","Enter date",IF(OR(B211&lt;$AC$2,B211&gt;$AC$3),"Date not in April",IF(D211="","Pick project",IF(ISNA(MATCH(D211,ProjNames,0)),"Project not in list",IF(G211="","Add task description",IF(H211="","Pick NTIME or P6",IF(N(I211)&lt;=0,"Enter hours",IF(AND(AllowOT&lt;&gt;"Yes",SUMIF($B$7:$B$256,B211,$I$7:$I$256)&gt;INDEX($O$58:$O$87,DAY(B211))),"Day over "&amp;INDEX($O$58:$O$87,DAY(B211))&amp;" h","✓")))))))))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5" hidden="false" customHeight="false" outlineLevel="0" collapsed="false">
      <c r="A212" s="1"/>
      <c r="B212" s="10"/>
      <c r="C212" s="31" t="str">
        <f aca="false">IF(B212="","",TEXT(B212,"ddd"))</f>
        <v/>
      </c>
      <c r="D212" s="11"/>
      <c r="E212" s="8" t="str">
        <f aca="false">IF(D212="","",IFERROR(INDEX(ProjNumbers,MATCH(D212,ProjNames,0)),""))</f>
        <v/>
      </c>
      <c r="F212" s="8" t="str">
        <f aca="false">IF(D212="","",IFERROR(INDEX(ProjCodes,MATCH(D212,ProjNames,0)),""))</f>
        <v/>
      </c>
      <c r="G212" s="32"/>
      <c r="H212" s="11"/>
      <c r="I212" s="33"/>
      <c r="J212" s="8" t="str">
        <f aca="false">IF(COUNTA(B212,D212,G212,H212,I212)=0,"",IF(B212="","Enter date",IF(OR(B212&lt;$AC$2,B212&gt;$AC$3),"Date not in April",IF(D212="","Pick project",IF(ISNA(MATCH(D212,ProjNames,0)),"Project not in list",IF(G212="","Add task description",IF(H212="","Pick NTIME or P6",IF(N(I212)&lt;=0,"Enter hours",IF(AND(AllowOT&lt;&gt;"Yes",SUMIF($B$7:$B$256,B212,$I$7:$I$256)&gt;INDEX($O$58:$O$87,DAY(B212))),"Day over "&amp;INDEX($O$58:$O$87,DAY(B212))&amp;" h","✓")))))))))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5" hidden="false" customHeight="false" outlineLevel="0" collapsed="false">
      <c r="A213" s="1"/>
      <c r="B213" s="10"/>
      <c r="C213" s="31" t="str">
        <f aca="false">IF(B213="","",TEXT(B213,"ddd"))</f>
        <v/>
      </c>
      <c r="D213" s="11"/>
      <c r="E213" s="8" t="str">
        <f aca="false">IF(D213="","",IFERROR(INDEX(ProjNumbers,MATCH(D213,ProjNames,0)),""))</f>
        <v/>
      </c>
      <c r="F213" s="8" t="str">
        <f aca="false">IF(D213="","",IFERROR(INDEX(ProjCodes,MATCH(D213,ProjNames,0)),""))</f>
        <v/>
      </c>
      <c r="G213" s="32"/>
      <c r="H213" s="11"/>
      <c r="I213" s="33"/>
      <c r="J213" s="8" t="str">
        <f aca="false">IF(COUNTA(B213,D213,G213,H213,I213)=0,"",IF(B213="","Enter date",IF(OR(B213&lt;$AC$2,B213&gt;$AC$3),"Date not in April",IF(D213="","Pick project",IF(ISNA(MATCH(D213,ProjNames,0)),"Project not in list",IF(G213="","Add task description",IF(H213="","Pick NTIME or P6",IF(N(I213)&lt;=0,"Enter hours",IF(AND(AllowOT&lt;&gt;"Yes",SUMIF($B$7:$B$256,B213,$I$7:$I$256)&gt;INDEX($O$58:$O$87,DAY(B213))),"Day over "&amp;INDEX($O$58:$O$87,DAY(B213))&amp;" h","✓")))))))))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5" hidden="false" customHeight="false" outlineLevel="0" collapsed="false">
      <c r="A214" s="1"/>
      <c r="B214" s="10"/>
      <c r="C214" s="31" t="str">
        <f aca="false">IF(B214="","",TEXT(B214,"ddd"))</f>
        <v/>
      </c>
      <c r="D214" s="11"/>
      <c r="E214" s="8" t="str">
        <f aca="false">IF(D214="","",IFERROR(INDEX(ProjNumbers,MATCH(D214,ProjNames,0)),""))</f>
        <v/>
      </c>
      <c r="F214" s="8" t="str">
        <f aca="false">IF(D214="","",IFERROR(INDEX(ProjCodes,MATCH(D214,ProjNames,0)),""))</f>
        <v/>
      </c>
      <c r="G214" s="32"/>
      <c r="H214" s="11"/>
      <c r="I214" s="33"/>
      <c r="J214" s="8" t="str">
        <f aca="false">IF(COUNTA(B214,D214,G214,H214,I214)=0,"",IF(B214="","Enter date",IF(OR(B214&lt;$AC$2,B214&gt;$AC$3),"Date not in April",IF(D214="","Pick project",IF(ISNA(MATCH(D214,ProjNames,0)),"Project not in list",IF(G214="","Add task description",IF(H214="","Pick NTIME or P6",IF(N(I214)&lt;=0,"Enter hours",IF(AND(AllowOT&lt;&gt;"Yes",SUMIF($B$7:$B$256,B214,$I$7:$I$256)&gt;INDEX($O$58:$O$87,DAY(B214))),"Day over "&amp;INDEX($O$58:$O$87,DAY(B214))&amp;" h","✓")))))))))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5" hidden="false" customHeight="false" outlineLevel="0" collapsed="false">
      <c r="A215" s="1"/>
      <c r="B215" s="10"/>
      <c r="C215" s="31" t="str">
        <f aca="false">IF(B215="","",TEXT(B215,"ddd"))</f>
        <v/>
      </c>
      <c r="D215" s="11"/>
      <c r="E215" s="8" t="str">
        <f aca="false">IF(D215="","",IFERROR(INDEX(ProjNumbers,MATCH(D215,ProjNames,0)),""))</f>
        <v/>
      </c>
      <c r="F215" s="8" t="str">
        <f aca="false">IF(D215="","",IFERROR(INDEX(ProjCodes,MATCH(D215,ProjNames,0)),""))</f>
        <v/>
      </c>
      <c r="G215" s="32"/>
      <c r="H215" s="11"/>
      <c r="I215" s="33"/>
      <c r="J215" s="8" t="str">
        <f aca="false">IF(COUNTA(B215,D215,G215,H215,I215)=0,"",IF(B215="","Enter date",IF(OR(B215&lt;$AC$2,B215&gt;$AC$3),"Date not in April",IF(D215="","Pick project",IF(ISNA(MATCH(D215,ProjNames,0)),"Project not in list",IF(G215="","Add task description",IF(H215="","Pick NTIME or P6",IF(N(I215)&lt;=0,"Enter hours",IF(AND(AllowOT&lt;&gt;"Yes",SUMIF($B$7:$B$256,B215,$I$7:$I$256)&gt;INDEX($O$58:$O$87,DAY(B215))),"Day over "&amp;INDEX($O$58:$O$87,DAY(B215))&amp;" h","✓")))))))))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5" hidden="false" customHeight="false" outlineLevel="0" collapsed="false">
      <c r="A216" s="1"/>
      <c r="B216" s="10"/>
      <c r="C216" s="31" t="str">
        <f aca="false">IF(B216="","",TEXT(B216,"ddd"))</f>
        <v/>
      </c>
      <c r="D216" s="11"/>
      <c r="E216" s="8" t="str">
        <f aca="false">IF(D216="","",IFERROR(INDEX(ProjNumbers,MATCH(D216,ProjNames,0)),""))</f>
        <v/>
      </c>
      <c r="F216" s="8" t="str">
        <f aca="false">IF(D216="","",IFERROR(INDEX(ProjCodes,MATCH(D216,ProjNames,0)),""))</f>
        <v/>
      </c>
      <c r="G216" s="32"/>
      <c r="H216" s="11"/>
      <c r="I216" s="33"/>
      <c r="J216" s="8" t="str">
        <f aca="false">IF(COUNTA(B216,D216,G216,H216,I216)=0,"",IF(B216="","Enter date",IF(OR(B216&lt;$AC$2,B216&gt;$AC$3),"Date not in April",IF(D216="","Pick project",IF(ISNA(MATCH(D216,ProjNames,0)),"Project not in list",IF(G216="","Add task description",IF(H216="","Pick NTIME or P6",IF(N(I216)&lt;=0,"Enter hours",IF(AND(AllowOT&lt;&gt;"Yes",SUMIF($B$7:$B$256,B216,$I$7:$I$256)&gt;INDEX($O$58:$O$87,DAY(B216))),"Day over "&amp;INDEX($O$58:$O$87,DAY(B216))&amp;" h","✓")))))))))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5" hidden="false" customHeight="false" outlineLevel="0" collapsed="false">
      <c r="A217" s="1"/>
      <c r="B217" s="10"/>
      <c r="C217" s="31" t="str">
        <f aca="false">IF(B217="","",TEXT(B217,"ddd"))</f>
        <v/>
      </c>
      <c r="D217" s="11"/>
      <c r="E217" s="8" t="str">
        <f aca="false">IF(D217="","",IFERROR(INDEX(ProjNumbers,MATCH(D217,ProjNames,0)),""))</f>
        <v/>
      </c>
      <c r="F217" s="8" t="str">
        <f aca="false">IF(D217="","",IFERROR(INDEX(ProjCodes,MATCH(D217,ProjNames,0)),""))</f>
        <v/>
      </c>
      <c r="G217" s="32"/>
      <c r="H217" s="11"/>
      <c r="I217" s="33"/>
      <c r="J217" s="8" t="str">
        <f aca="false">IF(COUNTA(B217,D217,G217,H217,I217)=0,"",IF(B217="","Enter date",IF(OR(B217&lt;$AC$2,B217&gt;$AC$3),"Date not in April",IF(D217="","Pick project",IF(ISNA(MATCH(D217,ProjNames,0)),"Project not in list",IF(G217="","Add task description",IF(H217="","Pick NTIME or P6",IF(N(I217)&lt;=0,"Enter hours",IF(AND(AllowOT&lt;&gt;"Yes",SUMIF($B$7:$B$256,B217,$I$7:$I$256)&gt;INDEX($O$58:$O$87,DAY(B217))),"Day over "&amp;INDEX($O$58:$O$87,DAY(B217))&amp;" h","✓")))))))))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5" hidden="false" customHeight="false" outlineLevel="0" collapsed="false">
      <c r="A218" s="1"/>
      <c r="B218" s="10"/>
      <c r="C218" s="31" t="str">
        <f aca="false">IF(B218="","",TEXT(B218,"ddd"))</f>
        <v/>
      </c>
      <c r="D218" s="11"/>
      <c r="E218" s="8" t="str">
        <f aca="false">IF(D218="","",IFERROR(INDEX(ProjNumbers,MATCH(D218,ProjNames,0)),""))</f>
        <v/>
      </c>
      <c r="F218" s="8" t="str">
        <f aca="false">IF(D218="","",IFERROR(INDEX(ProjCodes,MATCH(D218,ProjNames,0)),""))</f>
        <v/>
      </c>
      <c r="G218" s="32"/>
      <c r="H218" s="11"/>
      <c r="I218" s="33"/>
      <c r="J218" s="8" t="str">
        <f aca="false">IF(COUNTA(B218,D218,G218,H218,I218)=0,"",IF(B218="","Enter date",IF(OR(B218&lt;$AC$2,B218&gt;$AC$3),"Date not in April",IF(D218="","Pick project",IF(ISNA(MATCH(D218,ProjNames,0)),"Project not in list",IF(G218="","Add task description",IF(H218="","Pick NTIME or P6",IF(N(I218)&lt;=0,"Enter hours",IF(AND(AllowOT&lt;&gt;"Yes",SUMIF($B$7:$B$256,B218,$I$7:$I$256)&gt;INDEX($O$58:$O$87,DAY(B218))),"Day over "&amp;INDEX($O$58:$O$87,DAY(B218))&amp;" h","✓")))))))))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5" hidden="false" customHeight="false" outlineLevel="0" collapsed="false">
      <c r="A219" s="1"/>
      <c r="B219" s="10"/>
      <c r="C219" s="31" t="str">
        <f aca="false">IF(B219="","",TEXT(B219,"ddd"))</f>
        <v/>
      </c>
      <c r="D219" s="11"/>
      <c r="E219" s="8" t="str">
        <f aca="false">IF(D219="","",IFERROR(INDEX(ProjNumbers,MATCH(D219,ProjNames,0)),""))</f>
        <v/>
      </c>
      <c r="F219" s="8" t="str">
        <f aca="false">IF(D219="","",IFERROR(INDEX(ProjCodes,MATCH(D219,ProjNames,0)),""))</f>
        <v/>
      </c>
      <c r="G219" s="32"/>
      <c r="H219" s="11"/>
      <c r="I219" s="33"/>
      <c r="J219" s="8" t="str">
        <f aca="false">IF(COUNTA(B219,D219,G219,H219,I219)=0,"",IF(B219="","Enter date",IF(OR(B219&lt;$AC$2,B219&gt;$AC$3),"Date not in April",IF(D219="","Pick project",IF(ISNA(MATCH(D219,ProjNames,0)),"Project not in list",IF(G219="","Add task description",IF(H219="","Pick NTIME or P6",IF(N(I219)&lt;=0,"Enter hours",IF(AND(AllowOT&lt;&gt;"Yes",SUMIF($B$7:$B$256,B219,$I$7:$I$256)&gt;INDEX($O$58:$O$87,DAY(B219))),"Day over "&amp;INDEX($O$58:$O$87,DAY(B219))&amp;" h","✓")))))))))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5" hidden="false" customHeight="false" outlineLevel="0" collapsed="false">
      <c r="A220" s="1"/>
      <c r="B220" s="10"/>
      <c r="C220" s="31" t="str">
        <f aca="false">IF(B220="","",TEXT(B220,"ddd"))</f>
        <v/>
      </c>
      <c r="D220" s="11"/>
      <c r="E220" s="8" t="str">
        <f aca="false">IF(D220="","",IFERROR(INDEX(ProjNumbers,MATCH(D220,ProjNames,0)),""))</f>
        <v/>
      </c>
      <c r="F220" s="8" t="str">
        <f aca="false">IF(D220="","",IFERROR(INDEX(ProjCodes,MATCH(D220,ProjNames,0)),""))</f>
        <v/>
      </c>
      <c r="G220" s="32"/>
      <c r="H220" s="11"/>
      <c r="I220" s="33"/>
      <c r="J220" s="8" t="str">
        <f aca="false">IF(COUNTA(B220,D220,G220,H220,I220)=0,"",IF(B220="","Enter date",IF(OR(B220&lt;$AC$2,B220&gt;$AC$3),"Date not in April",IF(D220="","Pick project",IF(ISNA(MATCH(D220,ProjNames,0)),"Project not in list",IF(G220="","Add task description",IF(H220="","Pick NTIME or P6",IF(N(I220)&lt;=0,"Enter hours",IF(AND(AllowOT&lt;&gt;"Yes",SUMIF($B$7:$B$256,B220,$I$7:$I$256)&gt;INDEX($O$58:$O$87,DAY(B220))),"Day over "&amp;INDEX($O$58:$O$87,DAY(B220))&amp;" h","✓")))))))))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5" hidden="false" customHeight="false" outlineLevel="0" collapsed="false">
      <c r="A221" s="1"/>
      <c r="B221" s="10"/>
      <c r="C221" s="31" t="str">
        <f aca="false">IF(B221="","",TEXT(B221,"ddd"))</f>
        <v/>
      </c>
      <c r="D221" s="11"/>
      <c r="E221" s="8" t="str">
        <f aca="false">IF(D221="","",IFERROR(INDEX(ProjNumbers,MATCH(D221,ProjNames,0)),""))</f>
        <v/>
      </c>
      <c r="F221" s="8" t="str">
        <f aca="false">IF(D221="","",IFERROR(INDEX(ProjCodes,MATCH(D221,ProjNames,0)),""))</f>
        <v/>
      </c>
      <c r="G221" s="32"/>
      <c r="H221" s="11"/>
      <c r="I221" s="33"/>
      <c r="J221" s="8" t="str">
        <f aca="false">IF(COUNTA(B221,D221,G221,H221,I221)=0,"",IF(B221="","Enter date",IF(OR(B221&lt;$AC$2,B221&gt;$AC$3),"Date not in April",IF(D221="","Pick project",IF(ISNA(MATCH(D221,ProjNames,0)),"Project not in list",IF(G221="","Add task description",IF(H221="","Pick NTIME or P6",IF(N(I221)&lt;=0,"Enter hours",IF(AND(AllowOT&lt;&gt;"Yes",SUMIF($B$7:$B$256,B221,$I$7:$I$256)&gt;INDEX($O$58:$O$87,DAY(B221))),"Day over "&amp;INDEX($O$58:$O$87,DAY(B221))&amp;" h","✓")))))))))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5" hidden="false" customHeight="false" outlineLevel="0" collapsed="false">
      <c r="A222" s="1"/>
      <c r="B222" s="10"/>
      <c r="C222" s="31" t="str">
        <f aca="false">IF(B222="","",TEXT(B222,"ddd"))</f>
        <v/>
      </c>
      <c r="D222" s="11"/>
      <c r="E222" s="8" t="str">
        <f aca="false">IF(D222="","",IFERROR(INDEX(ProjNumbers,MATCH(D222,ProjNames,0)),""))</f>
        <v/>
      </c>
      <c r="F222" s="8" t="str">
        <f aca="false">IF(D222="","",IFERROR(INDEX(ProjCodes,MATCH(D222,ProjNames,0)),""))</f>
        <v/>
      </c>
      <c r="G222" s="32"/>
      <c r="H222" s="11"/>
      <c r="I222" s="33"/>
      <c r="J222" s="8" t="str">
        <f aca="false">IF(COUNTA(B222,D222,G222,H222,I222)=0,"",IF(B222="","Enter date",IF(OR(B222&lt;$AC$2,B222&gt;$AC$3),"Date not in April",IF(D222="","Pick project",IF(ISNA(MATCH(D222,ProjNames,0)),"Project not in list",IF(G222="","Add task description",IF(H222="","Pick NTIME or P6",IF(N(I222)&lt;=0,"Enter hours",IF(AND(AllowOT&lt;&gt;"Yes",SUMIF($B$7:$B$256,B222,$I$7:$I$256)&gt;INDEX($O$58:$O$87,DAY(B222))),"Day over "&amp;INDEX($O$58:$O$87,DAY(B222))&amp;" h","✓")))))))))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5" hidden="false" customHeight="false" outlineLevel="0" collapsed="false">
      <c r="A223" s="1"/>
      <c r="B223" s="10"/>
      <c r="C223" s="31" t="str">
        <f aca="false">IF(B223="","",TEXT(B223,"ddd"))</f>
        <v/>
      </c>
      <c r="D223" s="11"/>
      <c r="E223" s="8" t="str">
        <f aca="false">IF(D223="","",IFERROR(INDEX(ProjNumbers,MATCH(D223,ProjNames,0)),""))</f>
        <v/>
      </c>
      <c r="F223" s="8" t="str">
        <f aca="false">IF(D223="","",IFERROR(INDEX(ProjCodes,MATCH(D223,ProjNames,0)),""))</f>
        <v/>
      </c>
      <c r="G223" s="32"/>
      <c r="H223" s="11"/>
      <c r="I223" s="33"/>
      <c r="J223" s="8" t="str">
        <f aca="false">IF(COUNTA(B223,D223,G223,H223,I223)=0,"",IF(B223="","Enter date",IF(OR(B223&lt;$AC$2,B223&gt;$AC$3),"Date not in April",IF(D223="","Pick project",IF(ISNA(MATCH(D223,ProjNames,0)),"Project not in list",IF(G223="","Add task description",IF(H223="","Pick NTIME or P6",IF(N(I223)&lt;=0,"Enter hours",IF(AND(AllowOT&lt;&gt;"Yes",SUMIF($B$7:$B$256,B223,$I$7:$I$256)&gt;INDEX($O$58:$O$87,DAY(B223))),"Day over "&amp;INDEX($O$58:$O$87,DAY(B223))&amp;" h","✓")))))))))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5" hidden="false" customHeight="false" outlineLevel="0" collapsed="false">
      <c r="A224" s="1"/>
      <c r="B224" s="10"/>
      <c r="C224" s="31" t="str">
        <f aca="false">IF(B224="","",TEXT(B224,"ddd"))</f>
        <v/>
      </c>
      <c r="D224" s="11"/>
      <c r="E224" s="8" t="str">
        <f aca="false">IF(D224="","",IFERROR(INDEX(ProjNumbers,MATCH(D224,ProjNames,0)),""))</f>
        <v/>
      </c>
      <c r="F224" s="8" t="str">
        <f aca="false">IF(D224="","",IFERROR(INDEX(ProjCodes,MATCH(D224,ProjNames,0)),""))</f>
        <v/>
      </c>
      <c r="G224" s="32"/>
      <c r="H224" s="11"/>
      <c r="I224" s="33"/>
      <c r="J224" s="8" t="str">
        <f aca="false">IF(COUNTA(B224,D224,G224,H224,I224)=0,"",IF(B224="","Enter date",IF(OR(B224&lt;$AC$2,B224&gt;$AC$3),"Date not in April",IF(D224="","Pick project",IF(ISNA(MATCH(D224,ProjNames,0)),"Project not in list",IF(G224="","Add task description",IF(H224="","Pick NTIME or P6",IF(N(I224)&lt;=0,"Enter hours",IF(AND(AllowOT&lt;&gt;"Yes",SUMIF($B$7:$B$256,B224,$I$7:$I$256)&gt;INDEX($O$58:$O$87,DAY(B224))),"Day over "&amp;INDEX($O$58:$O$87,DAY(B224))&amp;" h","✓")))))))))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5" hidden="false" customHeight="false" outlineLevel="0" collapsed="false">
      <c r="A225" s="1"/>
      <c r="B225" s="10"/>
      <c r="C225" s="31" t="str">
        <f aca="false">IF(B225="","",TEXT(B225,"ddd"))</f>
        <v/>
      </c>
      <c r="D225" s="11"/>
      <c r="E225" s="8" t="str">
        <f aca="false">IF(D225="","",IFERROR(INDEX(ProjNumbers,MATCH(D225,ProjNames,0)),""))</f>
        <v/>
      </c>
      <c r="F225" s="8" t="str">
        <f aca="false">IF(D225="","",IFERROR(INDEX(ProjCodes,MATCH(D225,ProjNames,0)),""))</f>
        <v/>
      </c>
      <c r="G225" s="32"/>
      <c r="H225" s="11"/>
      <c r="I225" s="33"/>
      <c r="J225" s="8" t="str">
        <f aca="false">IF(COUNTA(B225,D225,G225,H225,I225)=0,"",IF(B225="","Enter date",IF(OR(B225&lt;$AC$2,B225&gt;$AC$3),"Date not in April",IF(D225="","Pick project",IF(ISNA(MATCH(D225,ProjNames,0)),"Project not in list",IF(G225="","Add task description",IF(H225="","Pick NTIME or P6",IF(N(I225)&lt;=0,"Enter hours",IF(AND(AllowOT&lt;&gt;"Yes",SUMIF($B$7:$B$256,B225,$I$7:$I$256)&gt;INDEX($O$58:$O$87,DAY(B225))),"Day over "&amp;INDEX($O$58:$O$87,DAY(B225))&amp;" h","✓")))))))))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5" hidden="false" customHeight="false" outlineLevel="0" collapsed="false">
      <c r="A226" s="1"/>
      <c r="B226" s="10"/>
      <c r="C226" s="31" t="str">
        <f aca="false">IF(B226="","",TEXT(B226,"ddd"))</f>
        <v/>
      </c>
      <c r="D226" s="11"/>
      <c r="E226" s="8" t="str">
        <f aca="false">IF(D226="","",IFERROR(INDEX(ProjNumbers,MATCH(D226,ProjNames,0)),""))</f>
        <v/>
      </c>
      <c r="F226" s="8" t="str">
        <f aca="false">IF(D226="","",IFERROR(INDEX(ProjCodes,MATCH(D226,ProjNames,0)),""))</f>
        <v/>
      </c>
      <c r="G226" s="32"/>
      <c r="H226" s="11"/>
      <c r="I226" s="33"/>
      <c r="J226" s="8" t="str">
        <f aca="false">IF(COUNTA(B226,D226,G226,H226,I226)=0,"",IF(B226="","Enter date",IF(OR(B226&lt;$AC$2,B226&gt;$AC$3),"Date not in April",IF(D226="","Pick project",IF(ISNA(MATCH(D226,ProjNames,0)),"Project not in list",IF(G226="","Add task description",IF(H226="","Pick NTIME or P6",IF(N(I226)&lt;=0,"Enter hours",IF(AND(AllowOT&lt;&gt;"Yes",SUMIF($B$7:$B$256,B226,$I$7:$I$256)&gt;INDEX($O$58:$O$87,DAY(B226))),"Day over "&amp;INDEX($O$58:$O$87,DAY(B226))&amp;" h","✓")))))))))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5" hidden="false" customHeight="false" outlineLevel="0" collapsed="false">
      <c r="A227" s="1"/>
      <c r="B227" s="10"/>
      <c r="C227" s="31" t="str">
        <f aca="false">IF(B227="","",TEXT(B227,"ddd"))</f>
        <v/>
      </c>
      <c r="D227" s="11"/>
      <c r="E227" s="8" t="str">
        <f aca="false">IF(D227="","",IFERROR(INDEX(ProjNumbers,MATCH(D227,ProjNames,0)),""))</f>
        <v/>
      </c>
      <c r="F227" s="8" t="str">
        <f aca="false">IF(D227="","",IFERROR(INDEX(ProjCodes,MATCH(D227,ProjNames,0)),""))</f>
        <v/>
      </c>
      <c r="G227" s="32"/>
      <c r="H227" s="11"/>
      <c r="I227" s="33"/>
      <c r="J227" s="8" t="str">
        <f aca="false">IF(COUNTA(B227,D227,G227,H227,I227)=0,"",IF(B227="","Enter date",IF(OR(B227&lt;$AC$2,B227&gt;$AC$3),"Date not in April",IF(D227="","Pick project",IF(ISNA(MATCH(D227,ProjNames,0)),"Project not in list",IF(G227="","Add task description",IF(H227="","Pick NTIME or P6",IF(N(I227)&lt;=0,"Enter hours",IF(AND(AllowOT&lt;&gt;"Yes",SUMIF($B$7:$B$256,B227,$I$7:$I$256)&gt;INDEX($O$58:$O$87,DAY(B227))),"Day over "&amp;INDEX($O$58:$O$87,DAY(B227))&amp;" h","✓")))))))))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5" hidden="false" customHeight="false" outlineLevel="0" collapsed="false">
      <c r="A228" s="1"/>
      <c r="B228" s="10"/>
      <c r="C228" s="31" t="str">
        <f aca="false">IF(B228="","",TEXT(B228,"ddd"))</f>
        <v/>
      </c>
      <c r="D228" s="11"/>
      <c r="E228" s="8" t="str">
        <f aca="false">IF(D228="","",IFERROR(INDEX(ProjNumbers,MATCH(D228,ProjNames,0)),""))</f>
        <v/>
      </c>
      <c r="F228" s="8" t="str">
        <f aca="false">IF(D228="","",IFERROR(INDEX(ProjCodes,MATCH(D228,ProjNames,0)),""))</f>
        <v/>
      </c>
      <c r="G228" s="32"/>
      <c r="H228" s="11"/>
      <c r="I228" s="33"/>
      <c r="J228" s="8" t="str">
        <f aca="false">IF(COUNTA(B228,D228,G228,H228,I228)=0,"",IF(B228="","Enter date",IF(OR(B228&lt;$AC$2,B228&gt;$AC$3),"Date not in April",IF(D228="","Pick project",IF(ISNA(MATCH(D228,ProjNames,0)),"Project not in list",IF(G228="","Add task description",IF(H228="","Pick NTIME or P6",IF(N(I228)&lt;=0,"Enter hours",IF(AND(AllowOT&lt;&gt;"Yes",SUMIF($B$7:$B$256,B228,$I$7:$I$256)&gt;INDEX($O$58:$O$87,DAY(B228))),"Day over "&amp;INDEX($O$58:$O$87,DAY(B228))&amp;" h","✓")))))))))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5" hidden="false" customHeight="false" outlineLevel="0" collapsed="false">
      <c r="A229" s="1"/>
      <c r="B229" s="10"/>
      <c r="C229" s="31" t="str">
        <f aca="false">IF(B229="","",TEXT(B229,"ddd"))</f>
        <v/>
      </c>
      <c r="D229" s="11"/>
      <c r="E229" s="8" t="str">
        <f aca="false">IF(D229="","",IFERROR(INDEX(ProjNumbers,MATCH(D229,ProjNames,0)),""))</f>
        <v/>
      </c>
      <c r="F229" s="8" t="str">
        <f aca="false">IF(D229="","",IFERROR(INDEX(ProjCodes,MATCH(D229,ProjNames,0)),""))</f>
        <v/>
      </c>
      <c r="G229" s="32"/>
      <c r="H229" s="11"/>
      <c r="I229" s="33"/>
      <c r="J229" s="8" t="str">
        <f aca="false">IF(COUNTA(B229,D229,G229,H229,I229)=0,"",IF(B229="","Enter date",IF(OR(B229&lt;$AC$2,B229&gt;$AC$3),"Date not in April",IF(D229="","Pick project",IF(ISNA(MATCH(D229,ProjNames,0)),"Project not in list",IF(G229="","Add task description",IF(H229="","Pick NTIME or P6",IF(N(I229)&lt;=0,"Enter hours",IF(AND(AllowOT&lt;&gt;"Yes",SUMIF($B$7:$B$256,B229,$I$7:$I$256)&gt;INDEX($O$58:$O$87,DAY(B229))),"Day over "&amp;INDEX($O$58:$O$87,DAY(B229))&amp;" h","✓")))))))))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5" hidden="false" customHeight="false" outlineLevel="0" collapsed="false">
      <c r="A230" s="1"/>
      <c r="B230" s="10"/>
      <c r="C230" s="31" t="str">
        <f aca="false">IF(B230="","",TEXT(B230,"ddd"))</f>
        <v/>
      </c>
      <c r="D230" s="11"/>
      <c r="E230" s="8" t="str">
        <f aca="false">IF(D230="","",IFERROR(INDEX(ProjNumbers,MATCH(D230,ProjNames,0)),""))</f>
        <v/>
      </c>
      <c r="F230" s="8" t="str">
        <f aca="false">IF(D230="","",IFERROR(INDEX(ProjCodes,MATCH(D230,ProjNames,0)),""))</f>
        <v/>
      </c>
      <c r="G230" s="32"/>
      <c r="H230" s="11"/>
      <c r="I230" s="33"/>
      <c r="J230" s="8" t="str">
        <f aca="false">IF(COUNTA(B230,D230,G230,H230,I230)=0,"",IF(B230="","Enter date",IF(OR(B230&lt;$AC$2,B230&gt;$AC$3),"Date not in April",IF(D230="","Pick project",IF(ISNA(MATCH(D230,ProjNames,0)),"Project not in list",IF(G230="","Add task description",IF(H230="","Pick NTIME or P6",IF(N(I230)&lt;=0,"Enter hours",IF(AND(AllowOT&lt;&gt;"Yes",SUMIF($B$7:$B$256,B230,$I$7:$I$256)&gt;INDEX($O$58:$O$87,DAY(B230))),"Day over "&amp;INDEX($O$58:$O$87,DAY(B230))&amp;" h","✓")))))))))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5" hidden="false" customHeight="false" outlineLevel="0" collapsed="false">
      <c r="A231" s="1"/>
      <c r="B231" s="10"/>
      <c r="C231" s="31" t="str">
        <f aca="false">IF(B231="","",TEXT(B231,"ddd"))</f>
        <v/>
      </c>
      <c r="D231" s="11"/>
      <c r="E231" s="8" t="str">
        <f aca="false">IF(D231="","",IFERROR(INDEX(ProjNumbers,MATCH(D231,ProjNames,0)),""))</f>
        <v/>
      </c>
      <c r="F231" s="8" t="str">
        <f aca="false">IF(D231="","",IFERROR(INDEX(ProjCodes,MATCH(D231,ProjNames,0)),""))</f>
        <v/>
      </c>
      <c r="G231" s="32"/>
      <c r="H231" s="11"/>
      <c r="I231" s="33"/>
      <c r="J231" s="8" t="str">
        <f aca="false">IF(COUNTA(B231,D231,G231,H231,I231)=0,"",IF(B231="","Enter date",IF(OR(B231&lt;$AC$2,B231&gt;$AC$3),"Date not in April",IF(D231="","Pick project",IF(ISNA(MATCH(D231,ProjNames,0)),"Project not in list",IF(G231="","Add task description",IF(H231="","Pick NTIME or P6",IF(N(I231)&lt;=0,"Enter hours",IF(AND(AllowOT&lt;&gt;"Yes",SUMIF($B$7:$B$256,B231,$I$7:$I$256)&gt;INDEX($O$58:$O$87,DAY(B231))),"Day over "&amp;INDEX($O$58:$O$87,DAY(B231))&amp;" h","✓")))))))))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5" hidden="false" customHeight="false" outlineLevel="0" collapsed="false">
      <c r="A232" s="1"/>
      <c r="B232" s="10"/>
      <c r="C232" s="31" t="str">
        <f aca="false">IF(B232="","",TEXT(B232,"ddd"))</f>
        <v/>
      </c>
      <c r="D232" s="11"/>
      <c r="E232" s="8" t="str">
        <f aca="false">IF(D232="","",IFERROR(INDEX(ProjNumbers,MATCH(D232,ProjNames,0)),""))</f>
        <v/>
      </c>
      <c r="F232" s="8" t="str">
        <f aca="false">IF(D232="","",IFERROR(INDEX(ProjCodes,MATCH(D232,ProjNames,0)),""))</f>
        <v/>
      </c>
      <c r="G232" s="32"/>
      <c r="H232" s="11"/>
      <c r="I232" s="33"/>
      <c r="J232" s="8" t="str">
        <f aca="false">IF(COUNTA(B232,D232,G232,H232,I232)=0,"",IF(B232="","Enter date",IF(OR(B232&lt;$AC$2,B232&gt;$AC$3),"Date not in April",IF(D232="","Pick project",IF(ISNA(MATCH(D232,ProjNames,0)),"Project not in list",IF(G232="","Add task description",IF(H232="","Pick NTIME or P6",IF(N(I232)&lt;=0,"Enter hours",IF(AND(AllowOT&lt;&gt;"Yes",SUMIF($B$7:$B$256,B232,$I$7:$I$256)&gt;INDEX($O$58:$O$87,DAY(B232))),"Day over "&amp;INDEX($O$58:$O$87,DAY(B232))&amp;" h","✓")))))))))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5" hidden="false" customHeight="false" outlineLevel="0" collapsed="false">
      <c r="A233" s="1"/>
      <c r="B233" s="10"/>
      <c r="C233" s="31" t="str">
        <f aca="false">IF(B233="","",TEXT(B233,"ddd"))</f>
        <v/>
      </c>
      <c r="D233" s="11"/>
      <c r="E233" s="8" t="str">
        <f aca="false">IF(D233="","",IFERROR(INDEX(ProjNumbers,MATCH(D233,ProjNames,0)),""))</f>
        <v/>
      </c>
      <c r="F233" s="8" t="str">
        <f aca="false">IF(D233="","",IFERROR(INDEX(ProjCodes,MATCH(D233,ProjNames,0)),""))</f>
        <v/>
      </c>
      <c r="G233" s="32"/>
      <c r="H233" s="11"/>
      <c r="I233" s="33"/>
      <c r="J233" s="8" t="str">
        <f aca="false">IF(COUNTA(B233,D233,G233,H233,I233)=0,"",IF(B233="","Enter date",IF(OR(B233&lt;$AC$2,B233&gt;$AC$3),"Date not in April",IF(D233="","Pick project",IF(ISNA(MATCH(D233,ProjNames,0)),"Project not in list",IF(G233="","Add task description",IF(H233="","Pick NTIME or P6",IF(N(I233)&lt;=0,"Enter hours",IF(AND(AllowOT&lt;&gt;"Yes",SUMIF($B$7:$B$256,B233,$I$7:$I$256)&gt;INDEX($O$58:$O$87,DAY(B233))),"Day over "&amp;INDEX($O$58:$O$87,DAY(B233))&amp;" h","✓")))))))))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5" hidden="false" customHeight="false" outlineLevel="0" collapsed="false">
      <c r="A234" s="1"/>
      <c r="B234" s="10"/>
      <c r="C234" s="31" t="str">
        <f aca="false">IF(B234="","",TEXT(B234,"ddd"))</f>
        <v/>
      </c>
      <c r="D234" s="11"/>
      <c r="E234" s="8" t="str">
        <f aca="false">IF(D234="","",IFERROR(INDEX(ProjNumbers,MATCH(D234,ProjNames,0)),""))</f>
        <v/>
      </c>
      <c r="F234" s="8" t="str">
        <f aca="false">IF(D234="","",IFERROR(INDEX(ProjCodes,MATCH(D234,ProjNames,0)),""))</f>
        <v/>
      </c>
      <c r="G234" s="32"/>
      <c r="H234" s="11"/>
      <c r="I234" s="33"/>
      <c r="J234" s="8" t="str">
        <f aca="false">IF(COUNTA(B234,D234,G234,H234,I234)=0,"",IF(B234="","Enter date",IF(OR(B234&lt;$AC$2,B234&gt;$AC$3),"Date not in April",IF(D234="","Pick project",IF(ISNA(MATCH(D234,ProjNames,0)),"Project not in list",IF(G234="","Add task description",IF(H234="","Pick NTIME or P6",IF(N(I234)&lt;=0,"Enter hours",IF(AND(AllowOT&lt;&gt;"Yes",SUMIF($B$7:$B$256,B234,$I$7:$I$256)&gt;INDEX($O$58:$O$87,DAY(B234))),"Day over "&amp;INDEX($O$58:$O$87,DAY(B234))&amp;" h","✓")))))))))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5" hidden="false" customHeight="false" outlineLevel="0" collapsed="false">
      <c r="A235" s="1"/>
      <c r="B235" s="10"/>
      <c r="C235" s="31" t="str">
        <f aca="false">IF(B235="","",TEXT(B235,"ddd"))</f>
        <v/>
      </c>
      <c r="D235" s="11"/>
      <c r="E235" s="8" t="str">
        <f aca="false">IF(D235="","",IFERROR(INDEX(ProjNumbers,MATCH(D235,ProjNames,0)),""))</f>
        <v/>
      </c>
      <c r="F235" s="8" t="str">
        <f aca="false">IF(D235="","",IFERROR(INDEX(ProjCodes,MATCH(D235,ProjNames,0)),""))</f>
        <v/>
      </c>
      <c r="G235" s="32"/>
      <c r="H235" s="11"/>
      <c r="I235" s="33"/>
      <c r="J235" s="8" t="str">
        <f aca="false">IF(COUNTA(B235,D235,G235,H235,I235)=0,"",IF(B235="","Enter date",IF(OR(B235&lt;$AC$2,B235&gt;$AC$3),"Date not in April",IF(D235="","Pick project",IF(ISNA(MATCH(D235,ProjNames,0)),"Project not in list",IF(G235="","Add task description",IF(H235="","Pick NTIME or P6",IF(N(I235)&lt;=0,"Enter hours",IF(AND(AllowOT&lt;&gt;"Yes",SUMIF($B$7:$B$256,B235,$I$7:$I$256)&gt;INDEX($O$58:$O$87,DAY(B235))),"Day over "&amp;INDEX($O$58:$O$87,DAY(B235))&amp;" h","✓")))))))))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5" hidden="false" customHeight="false" outlineLevel="0" collapsed="false">
      <c r="A236" s="1"/>
      <c r="B236" s="10"/>
      <c r="C236" s="31" t="str">
        <f aca="false">IF(B236="","",TEXT(B236,"ddd"))</f>
        <v/>
      </c>
      <c r="D236" s="11"/>
      <c r="E236" s="8" t="str">
        <f aca="false">IF(D236="","",IFERROR(INDEX(ProjNumbers,MATCH(D236,ProjNames,0)),""))</f>
        <v/>
      </c>
      <c r="F236" s="8" t="str">
        <f aca="false">IF(D236="","",IFERROR(INDEX(ProjCodes,MATCH(D236,ProjNames,0)),""))</f>
        <v/>
      </c>
      <c r="G236" s="32"/>
      <c r="H236" s="11"/>
      <c r="I236" s="33"/>
      <c r="J236" s="8" t="str">
        <f aca="false">IF(COUNTA(B236,D236,G236,H236,I236)=0,"",IF(B236="","Enter date",IF(OR(B236&lt;$AC$2,B236&gt;$AC$3),"Date not in April",IF(D236="","Pick project",IF(ISNA(MATCH(D236,ProjNames,0)),"Project not in list",IF(G236="","Add task description",IF(H236="","Pick NTIME or P6",IF(N(I236)&lt;=0,"Enter hours",IF(AND(AllowOT&lt;&gt;"Yes",SUMIF($B$7:$B$256,B236,$I$7:$I$256)&gt;INDEX($O$58:$O$87,DAY(B236))),"Day over "&amp;INDEX($O$58:$O$87,DAY(B236))&amp;" h","✓")))))))))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5" hidden="false" customHeight="false" outlineLevel="0" collapsed="false">
      <c r="A237" s="1"/>
      <c r="B237" s="10"/>
      <c r="C237" s="31" t="str">
        <f aca="false">IF(B237="","",TEXT(B237,"ddd"))</f>
        <v/>
      </c>
      <c r="D237" s="11"/>
      <c r="E237" s="8" t="str">
        <f aca="false">IF(D237="","",IFERROR(INDEX(ProjNumbers,MATCH(D237,ProjNames,0)),""))</f>
        <v/>
      </c>
      <c r="F237" s="8" t="str">
        <f aca="false">IF(D237="","",IFERROR(INDEX(ProjCodes,MATCH(D237,ProjNames,0)),""))</f>
        <v/>
      </c>
      <c r="G237" s="32"/>
      <c r="H237" s="11"/>
      <c r="I237" s="33"/>
      <c r="J237" s="8" t="str">
        <f aca="false">IF(COUNTA(B237,D237,G237,H237,I237)=0,"",IF(B237="","Enter date",IF(OR(B237&lt;$AC$2,B237&gt;$AC$3),"Date not in April",IF(D237="","Pick project",IF(ISNA(MATCH(D237,ProjNames,0)),"Project not in list",IF(G237="","Add task description",IF(H237="","Pick NTIME or P6",IF(N(I237)&lt;=0,"Enter hours",IF(AND(AllowOT&lt;&gt;"Yes",SUMIF($B$7:$B$256,B237,$I$7:$I$256)&gt;INDEX($O$58:$O$87,DAY(B237))),"Day over "&amp;INDEX($O$58:$O$87,DAY(B237))&amp;" h","✓")))))))))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5" hidden="false" customHeight="false" outlineLevel="0" collapsed="false">
      <c r="A238" s="1"/>
      <c r="B238" s="10"/>
      <c r="C238" s="31" t="str">
        <f aca="false">IF(B238="","",TEXT(B238,"ddd"))</f>
        <v/>
      </c>
      <c r="D238" s="11"/>
      <c r="E238" s="8" t="str">
        <f aca="false">IF(D238="","",IFERROR(INDEX(ProjNumbers,MATCH(D238,ProjNames,0)),""))</f>
        <v/>
      </c>
      <c r="F238" s="8" t="str">
        <f aca="false">IF(D238="","",IFERROR(INDEX(ProjCodes,MATCH(D238,ProjNames,0)),""))</f>
        <v/>
      </c>
      <c r="G238" s="32"/>
      <c r="H238" s="11"/>
      <c r="I238" s="33"/>
      <c r="J238" s="8" t="str">
        <f aca="false">IF(COUNTA(B238,D238,G238,H238,I238)=0,"",IF(B238="","Enter date",IF(OR(B238&lt;$AC$2,B238&gt;$AC$3),"Date not in April",IF(D238="","Pick project",IF(ISNA(MATCH(D238,ProjNames,0)),"Project not in list",IF(G238="","Add task description",IF(H238="","Pick NTIME or P6",IF(N(I238)&lt;=0,"Enter hours",IF(AND(AllowOT&lt;&gt;"Yes",SUMIF($B$7:$B$256,B238,$I$7:$I$256)&gt;INDEX($O$58:$O$87,DAY(B238))),"Day over "&amp;INDEX($O$58:$O$87,DAY(B238))&amp;" h","✓")))))))))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5" hidden="false" customHeight="false" outlineLevel="0" collapsed="false">
      <c r="A239" s="1"/>
      <c r="B239" s="10"/>
      <c r="C239" s="31" t="str">
        <f aca="false">IF(B239="","",TEXT(B239,"ddd"))</f>
        <v/>
      </c>
      <c r="D239" s="11"/>
      <c r="E239" s="8" t="str">
        <f aca="false">IF(D239="","",IFERROR(INDEX(ProjNumbers,MATCH(D239,ProjNames,0)),""))</f>
        <v/>
      </c>
      <c r="F239" s="8" t="str">
        <f aca="false">IF(D239="","",IFERROR(INDEX(ProjCodes,MATCH(D239,ProjNames,0)),""))</f>
        <v/>
      </c>
      <c r="G239" s="32"/>
      <c r="H239" s="11"/>
      <c r="I239" s="33"/>
      <c r="J239" s="8" t="str">
        <f aca="false">IF(COUNTA(B239,D239,G239,H239,I239)=0,"",IF(B239="","Enter date",IF(OR(B239&lt;$AC$2,B239&gt;$AC$3),"Date not in April",IF(D239="","Pick project",IF(ISNA(MATCH(D239,ProjNames,0)),"Project not in list",IF(G239="","Add task description",IF(H239="","Pick NTIME or P6",IF(N(I239)&lt;=0,"Enter hours",IF(AND(AllowOT&lt;&gt;"Yes",SUMIF($B$7:$B$256,B239,$I$7:$I$256)&gt;INDEX($O$58:$O$87,DAY(B239))),"Day over "&amp;INDEX($O$58:$O$87,DAY(B239))&amp;" h","✓")))))))))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5" hidden="false" customHeight="false" outlineLevel="0" collapsed="false">
      <c r="A240" s="1"/>
      <c r="B240" s="10"/>
      <c r="C240" s="31" t="str">
        <f aca="false">IF(B240="","",TEXT(B240,"ddd"))</f>
        <v/>
      </c>
      <c r="D240" s="11"/>
      <c r="E240" s="8" t="str">
        <f aca="false">IF(D240="","",IFERROR(INDEX(ProjNumbers,MATCH(D240,ProjNames,0)),""))</f>
        <v/>
      </c>
      <c r="F240" s="8" t="str">
        <f aca="false">IF(D240="","",IFERROR(INDEX(ProjCodes,MATCH(D240,ProjNames,0)),""))</f>
        <v/>
      </c>
      <c r="G240" s="32"/>
      <c r="H240" s="11"/>
      <c r="I240" s="33"/>
      <c r="J240" s="8" t="str">
        <f aca="false">IF(COUNTA(B240,D240,G240,H240,I240)=0,"",IF(B240="","Enter date",IF(OR(B240&lt;$AC$2,B240&gt;$AC$3),"Date not in April",IF(D240="","Pick project",IF(ISNA(MATCH(D240,ProjNames,0)),"Project not in list",IF(G240="","Add task description",IF(H240="","Pick NTIME or P6",IF(N(I240)&lt;=0,"Enter hours",IF(AND(AllowOT&lt;&gt;"Yes",SUMIF($B$7:$B$256,B240,$I$7:$I$256)&gt;INDEX($O$58:$O$87,DAY(B240))),"Day over "&amp;INDEX($O$58:$O$87,DAY(B240))&amp;" h","✓")))))))))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5" hidden="false" customHeight="false" outlineLevel="0" collapsed="false">
      <c r="A241" s="1"/>
      <c r="B241" s="10"/>
      <c r="C241" s="31" t="str">
        <f aca="false">IF(B241="","",TEXT(B241,"ddd"))</f>
        <v/>
      </c>
      <c r="D241" s="11"/>
      <c r="E241" s="8" t="str">
        <f aca="false">IF(D241="","",IFERROR(INDEX(ProjNumbers,MATCH(D241,ProjNames,0)),""))</f>
        <v/>
      </c>
      <c r="F241" s="8" t="str">
        <f aca="false">IF(D241="","",IFERROR(INDEX(ProjCodes,MATCH(D241,ProjNames,0)),""))</f>
        <v/>
      </c>
      <c r="G241" s="32"/>
      <c r="H241" s="11"/>
      <c r="I241" s="33"/>
      <c r="J241" s="8" t="str">
        <f aca="false">IF(COUNTA(B241,D241,G241,H241,I241)=0,"",IF(B241="","Enter date",IF(OR(B241&lt;$AC$2,B241&gt;$AC$3),"Date not in April",IF(D241="","Pick project",IF(ISNA(MATCH(D241,ProjNames,0)),"Project not in list",IF(G241="","Add task description",IF(H241="","Pick NTIME or P6",IF(N(I241)&lt;=0,"Enter hours",IF(AND(AllowOT&lt;&gt;"Yes",SUMIF($B$7:$B$256,B241,$I$7:$I$256)&gt;INDEX($O$58:$O$87,DAY(B241))),"Day over "&amp;INDEX($O$58:$O$87,DAY(B241))&amp;" h","✓")))))))))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5" hidden="false" customHeight="false" outlineLevel="0" collapsed="false">
      <c r="A242" s="1"/>
      <c r="B242" s="10"/>
      <c r="C242" s="31" t="str">
        <f aca="false">IF(B242="","",TEXT(B242,"ddd"))</f>
        <v/>
      </c>
      <c r="D242" s="11"/>
      <c r="E242" s="8" t="str">
        <f aca="false">IF(D242="","",IFERROR(INDEX(ProjNumbers,MATCH(D242,ProjNames,0)),""))</f>
        <v/>
      </c>
      <c r="F242" s="8" t="str">
        <f aca="false">IF(D242="","",IFERROR(INDEX(ProjCodes,MATCH(D242,ProjNames,0)),""))</f>
        <v/>
      </c>
      <c r="G242" s="32"/>
      <c r="H242" s="11"/>
      <c r="I242" s="33"/>
      <c r="J242" s="8" t="str">
        <f aca="false">IF(COUNTA(B242,D242,G242,H242,I242)=0,"",IF(B242="","Enter date",IF(OR(B242&lt;$AC$2,B242&gt;$AC$3),"Date not in April",IF(D242="","Pick project",IF(ISNA(MATCH(D242,ProjNames,0)),"Project not in list",IF(G242="","Add task description",IF(H242="","Pick NTIME or P6",IF(N(I242)&lt;=0,"Enter hours",IF(AND(AllowOT&lt;&gt;"Yes",SUMIF($B$7:$B$256,B242,$I$7:$I$256)&gt;INDEX($O$58:$O$87,DAY(B242))),"Day over "&amp;INDEX($O$58:$O$87,DAY(B242))&amp;" h","✓")))))))))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5" hidden="false" customHeight="false" outlineLevel="0" collapsed="false">
      <c r="A243" s="1"/>
      <c r="B243" s="10"/>
      <c r="C243" s="31" t="str">
        <f aca="false">IF(B243="","",TEXT(B243,"ddd"))</f>
        <v/>
      </c>
      <c r="D243" s="11"/>
      <c r="E243" s="8" t="str">
        <f aca="false">IF(D243="","",IFERROR(INDEX(ProjNumbers,MATCH(D243,ProjNames,0)),""))</f>
        <v/>
      </c>
      <c r="F243" s="8" t="str">
        <f aca="false">IF(D243="","",IFERROR(INDEX(ProjCodes,MATCH(D243,ProjNames,0)),""))</f>
        <v/>
      </c>
      <c r="G243" s="32"/>
      <c r="H243" s="11"/>
      <c r="I243" s="33"/>
      <c r="J243" s="8" t="str">
        <f aca="false">IF(COUNTA(B243,D243,G243,H243,I243)=0,"",IF(B243="","Enter date",IF(OR(B243&lt;$AC$2,B243&gt;$AC$3),"Date not in April",IF(D243="","Pick project",IF(ISNA(MATCH(D243,ProjNames,0)),"Project not in list",IF(G243="","Add task description",IF(H243="","Pick NTIME or P6",IF(N(I243)&lt;=0,"Enter hours",IF(AND(AllowOT&lt;&gt;"Yes",SUMIF($B$7:$B$256,B243,$I$7:$I$256)&gt;INDEX($O$58:$O$87,DAY(B243))),"Day over "&amp;INDEX($O$58:$O$87,DAY(B243))&amp;" h","✓")))))))))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5" hidden="false" customHeight="false" outlineLevel="0" collapsed="false">
      <c r="A244" s="1"/>
      <c r="B244" s="10"/>
      <c r="C244" s="31" t="str">
        <f aca="false">IF(B244="","",TEXT(B244,"ddd"))</f>
        <v/>
      </c>
      <c r="D244" s="11"/>
      <c r="E244" s="8" t="str">
        <f aca="false">IF(D244="","",IFERROR(INDEX(ProjNumbers,MATCH(D244,ProjNames,0)),""))</f>
        <v/>
      </c>
      <c r="F244" s="8" t="str">
        <f aca="false">IF(D244="","",IFERROR(INDEX(ProjCodes,MATCH(D244,ProjNames,0)),""))</f>
        <v/>
      </c>
      <c r="G244" s="32"/>
      <c r="H244" s="11"/>
      <c r="I244" s="33"/>
      <c r="J244" s="8" t="str">
        <f aca="false">IF(COUNTA(B244,D244,G244,H244,I244)=0,"",IF(B244="","Enter date",IF(OR(B244&lt;$AC$2,B244&gt;$AC$3),"Date not in April",IF(D244="","Pick project",IF(ISNA(MATCH(D244,ProjNames,0)),"Project not in list",IF(G244="","Add task description",IF(H244="","Pick NTIME or P6",IF(N(I244)&lt;=0,"Enter hours",IF(AND(AllowOT&lt;&gt;"Yes",SUMIF($B$7:$B$256,B244,$I$7:$I$256)&gt;INDEX($O$58:$O$87,DAY(B244))),"Day over "&amp;INDEX($O$58:$O$87,DAY(B244))&amp;" h","✓")))))))))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5" hidden="false" customHeight="false" outlineLevel="0" collapsed="false">
      <c r="A245" s="1"/>
      <c r="B245" s="10"/>
      <c r="C245" s="31" t="str">
        <f aca="false">IF(B245="","",TEXT(B245,"ddd"))</f>
        <v/>
      </c>
      <c r="D245" s="11"/>
      <c r="E245" s="8" t="str">
        <f aca="false">IF(D245="","",IFERROR(INDEX(ProjNumbers,MATCH(D245,ProjNames,0)),""))</f>
        <v/>
      </c>
      <c r="F245" s="8" t="str">
        <f aca="false">IF(D245="","",IFERROR(INDEX(ProjCodes,MATCH(D245,ProjNames,0)),""))</f>
        <v/>
      </c>
      <c r="G245" s="32"/>
      <c r="H245" s="11"/>
      <c r="I245" s="33"/>
      <c r="J245" s="8" t="str">
        <f aca="false">IF(COUNTA(B245,D245,G245,H245,I245)=0,"",IF(B245="","Enter date",IF(OR(B245&lt;$AC$2,B245&gt;$AC$3),"Date not in April",IF(D245="","Pick project",IF(ISNA(MATCH(D245,ProjNames,0)),"Project not in list",IF(G245="","Add task description",IF(H245="","Pick NTIME or P6",IF(N(I245)&lt;=0,"Enter hours",IF(AND(AllowOT&lt;&gt;"Yes",SUMIF($B$7:$B$256,B245,$I$7:$I$256)&gt;INDEX($O$58:$O$87,DAY(B245))),"Day over "&amp;INDEX($O$58:$O$87,DAY(B245))&amp;" h","✓")))))))))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5" hidden="false" customHeight="false" outlineLevel="0" collapsed="false">
      <c r="A246" s="1"/>
      <c r="B246" s="10"/>
      <c r="C246" s="31" t="str">
        <f aca="false">IF(B246="","",TEXT(B246,"ddd"))</f>
        <v/>
      </c>
      <c r="D246" s="11"/>
      <c r="E246" s="8" t="str">
        <f aca="false">IF(D246="","",IFERROR(INDEX(ProjNumbers,MATCH(D246,ProjNames,0)),""))</f>
        <v/>
      </c>
      <c r="F246" s="8" t="str">
        <f aca="false">IF(D246="","",IFERROR(INDEX(ProjCodes,MATCH(D246,ProjNames,0)),""))</f>
        <v/>
      </c>
      <c r="G246" s="32"/>
      <c r="H246" s="11"/>
      <c r="I246" s="33"/>
      <c r="J246" s="8" t="str">
        <f aca="false">IF(COUNTA(B246,D246,G246,H246,I246)=0,"",IF(B246="","Enter date",IF(OR(B246&lt;$AC$2,B246&gt;$AC$3),"Date not in April",IF(D246="","Pick project",IF(ISNA(MATCH(D246,ProjNames,0)),"Project not in list",IF(G246="","Add task description",IF(H246="","Pick NTIME or P6",IF(N(I246)&lt;=0,"Enter hours",IF(AND(AllowOT&lt;&gt;"Yes",SUMIF($B$7:$B$256,B246,$I$7:$I$256)&gt;INDEX($O$58:$O$87,DAY(B246))),"Day over "&amp;INDEX($O$58:$O$87,DAY(B246))&amp;" h","✓")))))))))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5" hidden="false" customHeight="false" outlineLevel="0" collapsed="false">
      <c r="A247" s="1"/>
      <c r="B247" s="10"/>
      <c r="C247" s="31" t="str">
        <f aca="false">IF(B247="","",TEXT(B247,"ddd"))</f>
        <v/>
      </c>
      <c r="D247" s="11"/>
      <c r="E247" s="8" t="str">
        <f aca="false">IF(D247="","",IFERROR(INDEX(ProjNumbers,MATCH(D247,ProjNames,0)),""))</f>
        <v/>
      </c>
      <c r="F247" s="8" t="str">
        <f aca="false">IF(D247="","",IFERROR(INDEX(ProjCodes,MATCH(D247,ProjNames,0)),""))</f>
        <v/>
      </c>
      <c r="G247" s="32"/>
      <c r="H247" s="11"/>
      <c r="I247" s="33"/>
      <c r="J247" s="8" t="str">
        <f aca="false">IF(COUNTA(B247,D247,G247,H247,I247)=0,"",IF(B247="","Enter date",IF(OR(B247&lt;$AC$2,B247&gt;$AC$3),"Date not in April",IF(D247="","Pick project",IF(ISNA(MATCH(D247,ProjNames,0)),"Project not in list",IF(G247="","Add task description",IF(H247="","Pick NTIME or P6",IF(N(I247)&lt;=0,"Enter hours",IF(AND(AllowOT&lt;&gt;"Yes",SUMIF($B$7:$B$256,B247,$I$7:$I$256)&gt;INDEX($O$58:$O$87,DAY(B247))),"Day over "&amp;INDEX($O$58:$O$87,DAY(B247))&amp;" h","✓")))))))))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5" hidden="false" customHeight="false" outlineLevel="0" collapsed="false">
      <c r="A248" s="1"/>
      <c r="B248" s="10"/>
      <c r="C248" s="31" t="str">
        <f aca="false">IF(B248="","",TEXT(B248,"ddd"))</f>
        <v/>
      </c>
      <c r="D248" s="11"/>
      <c r="E248" s="8" t="str">
        <f aca="false">IF(D248="","",IFERROR(INDEX(ProjNumbers,MATCH(D248,ProjNames,0)),""))</f>
        <v/>
      </c>
      <c r="F248" s="8" t="str">
        <f aca="false">IF(D248="","",IFERROR(INDEX(ProjCodes,MATCH(D248,ProjNames,0)),""))</f>
        <v/>
      </c>
      <c r="G248" s="32"/>
      <c r="H248" s="11"/>
      <c r="I248" s="33"/>
      <c r="J248" s="8" t="str">
        <f aca="false">IF(COUNTA(B248,D248,G248,H248,I248)=0,"",IF(B248="","Enter date",IF(OR(B248&lt;$AC$2,B248&gt;$AC$3),"Date not in April",IF(D248="","Pick project",IF(ISNA(MATCH(D248,ProjNames,0)),"Project not in list",IF(G248="","Add task description",IF(H248="","Pick NTIME or P6",IF(N(I248)&lt;=0,"Enter hours",IF(AND(AllowOT&lt;&gt;"Yes",SUMIF($B$7:$B$256,B248,$I$7:$I$256)&gt;INDEX($O$58:$O$87,DAY(B248))),"Day over "&amp;INDEX($O$58:$O$87,DAY(B248))&amp;" h","✓")))))))))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5" hidden="false" customHeight="false" outlineLevel="0" collapsed="false">
      <c r="A249" s="1"/>
      <c r="B249" s="10"/>
      <c r="C249" s="31" t="str">
        <f aca="false">IF(B249="","",TEXT(B249,"ddd"))</f>
        <v/>
      </c>
      <c r="D249" s="11"/>
      <c r="E249" s="8" t="str">
        <f aca="false">IF(D249="","",IFERROR(INDEX(ProjNumbers,MATCH(D249,ProjNames,0)),""))</f>
        <v/>
      </c>
      <c r="F249" s="8" t="str">
        <f aca="false">IF(D249="","",IFERROR(INDEX(ProjCodes,MATCH(D249,ProjNames,0)),""))</f>
        <v/>
      </c>
      <c r="G249" s="32"/>
      <c r="H249" s="11"/>
      <c r="I249" s="33"/>
      <c r="J249" s="8" t="str">
        <f aca="false">IF(COUNTA(B249,D249,G249,H249,I249)=0,"",IF(B249="","Enter date",IF(OR(B249&lt;$AC$2,B249&gt;$AC$3),"Date not in April",IF(D249="","Pick project",IF(ISNA(MATCH(D249,ProjNames,0)),"Project not in list",IF(G249="","Add task description",IF(H249="","Pick NTIME or P6",IF(N(I249)&lt;=0,"Enter hours",IF(AND(AllowOT&lt;&gt;"Yes",SUMIF($B$7:$B$256,B249,$I$7:$I$256)&gt;INDEX($O$58:$O$87,DAY(B249))),"Day over "&amp;INDEX($O$58:$O$87,DAY(B249))&amp;" h","✓")))))))))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5" hidden="false" customHeight="false" outlineLevel="0" collapsed="false">
      <c r="A250" s="1"/>
      <c r="B250" s="10"/>
      <c r="C250" s="31" t="str">
        <f aca="false">IF(B250="","",TEXT(B250,"ddd"))</f>
        <v/>
      </c>
      <c r="D250" s="11"/>
      <c r="E250" s="8" t="str">
        <f aca="false">IF(D250="","",IFERROR(INDEX(ProjNumbers,MATCH(D250,ProjNames,0)),""))</f>
        <v/>
      </c>
      <c r="F250" s="8" t="str">
        <f aca="false">IF(D250="","",IFERROR(INDEX(ProjCodes,MATCH(D250,ProjNames,0)),""))</f>
        <v/>
      </c>
      <c r="G250" s="32"/>
      <c r="H250" s="11"/>
      <c r="I250" s="33"/>
      <c r="J250" s="8" t="str">
        <f aca="false">IF(COUNTA(B250,D250,G250,H250,I250)=0,"",IF(B250="","Enter date",IF(OR(B250&lt;$AC$2,B250&gt;$AC$3),"Date not in April",IF(D250="","Pick project",IF(ISNA(MATCH(D250,ProjNames,0)),"Project not in list",IF(G250="","Add task description",IF(H250="","Pick NTIME or P6",IF(N(I250)&lt;=0,"Enter hours",IF(AND(AllowOT&lt;&gt;"Yes",SUMIF($B$7:$B$256,B250,$I$7:$I$256)&gt;INDEX($O$58:$O$87,DAY(B250))),"Day over "&amp;INDEX($O$58:$O$87,DAY(B250))&amp;" h","✓")))))))))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5" hidden="false" customHeight="false" outlineLevel="0" collapsed="false">
      <c r="A251" s="1"/>
      <c r="B251" s="10"/>
      <c r="C251" s="31" t="str">
        <f aca="false">IF(B251="","",TEXT(B251,"ddd"))</f>
        <v/>
      </c>
      <c r="D251" s="11"/>
      <c r="E251" s="8" t="str">
        <f aca="false">IF(D251="","",IFERROR(INDEX(ProjNumbers,MATCH(D251,ProjNames,0)),""))</f>
        <v/>
      </c>
      <c r="F251" s="8" t="str">
        <f aca="false">IF(D251="","",IFERROR(INDEX(ProjCodes,MATCH(D251,ProjNames,0)),""))</f>
        <v/>
      </c>
      <c r="G251" s="32"/>
      <c r="H251" s="11"/>
      <c r="I251" s="33"/>
      <c r="J251" s="8" t="str">
        <f aca="false">IF(COUNTA(B251,D251,G251,H251,I251)=0,"",IF(B251="","Enter date",IF(OR(B251&lt;$AC$2,B251&gt;$AC$3),"Date not in April",IF(D251="","Pick project",IF(ISNA(MATCH(D251,ProjNames,0)),"Project not in list",IF(G251="","Add task description",IF(H251="","Pick NTIME or P6",IF(N(I251)&lt;=0,"Enter hours",IF(AND(AllowOT&lt;&gt;"Yes",SUMIF($B$7:$B$256,B251,$I$7:$I$256)&gt;INDEX($O$58:$O$87,DAY(B251))),"Day over "&amp;INDEX($O$58:$O$87,DAY(B251))&amp;" h","✓")))))))))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5" hidden="false" customHeight="false" outlineLevel="0" collapsed="false">
      <c r="A252" s="1"/>
      <c r="B252" s="10"/>
      <c r="C252" s="31" t="str">
        <f aca="false">IF(B252="","",TEXT(B252,"ddd"))</f>
        <v/>
      </c>
      <c r="D252" s="11"/>
      <c r="E252" s="8" t="str">
        <f aca="false">IF(D252="","",IFERROR(INDEX(ProjNumbers,MATCH(D252,ProjNames,0)),""))</f>
        <v/>
      </c>
      <c r="F252" s="8" t="str">
        <f aca="false">IF(D252="","",IFERROR(INDEX(ProjCodes,MATCH(D252,ProjNames,0)),""))</f>
        <v/>
      </c>
      <c r="G252" s="32"/>
      <c r="H252" s="11"/>
      <c r="I252" s="33"/>
      <c r="J252" s="8" t="str">
        <f aca="false">IF(COUNTA(B252,D252,G252,H252,I252)=0,"",IF(B252="","Enter date",IF(OR(B252&lt;$AC$2,B252&gt;$AC$3),"Date not in April",IF(D252="","Pick project",IF(ISNA(MATCH(D252,ProjNames,0)),"Project not in list",IF(G252="","Add task description",IF(H252="","Pick NTIME or P6",IF(N(I252)&lt;=0,"Enter hours",IF(AND(AllowOT&lt;&gt;"Yes",SUMIF($B$7:$B$256,B252,$I$7:$I$256)&gt;INDEX($O$58:$O$87,DAY(B252))),"Day over "&amp;INDEX($O$58:$O$87,DAY(B252))&amp;" h","✓")))))))))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5" hidden="false" customHeight="false" outlineLevel="0" collapsed="false">
      <c r="A253" s="1"/>
      <c r="B253" s="10"/>
      <c r="C253" s="31" t="str">
        <f aca="false">IF(B253="","",TEXT(B253,"ddd"))</f>
        <v/>
      </c>
      <c r="D253" s="11"/>
      <c r="E253" s="8" t="str">
        <f aca="false">IF(D253="","",IFERROR(INDEX(ProjNumbers,MATCH(D253,ProjNames,0)),""))</f>
        <v/>
      </c>
      <c r="F253" s="8" t="str">
        <f aca="false">IF(D253="","",IFERROR(INDEX(ProjCodes,MATCH(D253,ProjNames,0)),""))</f>
        <v/>
      </c>
      <c r="G253" s="32"/>
      <c r="H253" s="11"/>
      <c r="I253" s="33"/>
      <c r="J253" s="8" t="str">
        <f aca="false">IF(COUNTA(B253,D253,G253,H253,I253)=0,"",IF(B253="","Enter date",IF(OR(B253&lt;$AC$2,B253&gt;$AC$3),"Date not in April",IF(D253="","Pick project",IF(ISNA(MATCH(D253,ProjNames,0)),"Project not in list",IF(G253="","Add task description",IF(H253="","Pick NTIME or P6",IF(N(I253)&lt;=0,"Enter hours",IF(AND(AllowOT&lt;&gt;"Yes",SUMIF($B$7:$B$256,B253,$I$7:$I$256)&gt;INDEX($O$58:$O$87,DAY(B253))),"Day over "&amp;INDEX($O$58:$O$87,DAY(B253))&amp;" h","✓")))))))))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5" hidden="false" customHeight="false" outlineLevel="0" collapsed="false">
      <c r="A254" s="1"/>
      <c r="B254" s="10"/>
      <c r="C254" s="31" t="str">
        <f aca="false">IF(B254="","",TEXT(B254,"ddd"))</f>
        <v/>
      </c>
      <c r="D254" s="11"/>
      <c r="E254" s="8" t="str">
        <f aca="false">IF(D254="","",IFERROR(INDEX(ProjNumbers,MATCH(D254,ProjNames,0)),""))</f>
        <v/>
      </c>
      <c r="F254" s="8" t="str">
        <f aca="false">IF(D254="","",IFERROR(INDEX(ProjCodes,MATCH(D254,ProjNames,0)),""))</f>
        <v/>
      </c>
      <c r="G254" s="32"/>
      <c r="H254" s="11"/>
      <c r="I254" s="33"/>
      <c r="J254" s="8" t="str">
        <f aca="false">IF(COUNTA(B254,D254,G254,H254,I254)=0,"",IF(B254="","Enter date",IF(OR(B254&lt;$AC$2,B254&gt;$AC$3),"Date not in April",IF(D254="","Pick project",IF(ISNA(MATCH(D254,ProjNames,0)),"Project not in list",IF(G254="","Add task description",IF(H254="","Pick NTIME or P6",IF(N(I254)&lt;=0,"Enter hours",IF(AND(AllowOT&lt;&gt;"Yes",SUMIF($B$7:$B$256,B254,$I$7:$I$256)&gt;INDEX($O$58:$O$87,DAY(B254))),"Day over "&amp;INDEX($O$58:$O$87,DAY(B254))&amp;" h","✓")))))))))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5" hidden="false" customHeight="false" outlineLevel="0" collapsed="false">
      <c r="A255" s="1"/>
      <c r="B255" s="10"/>
      <c r="C255" s="31" t="str">
        <f aca="false">IF(B255="","",TEXT(B255,"ddd"))</f>
        <v/>
      </c>
      <c r="D255" s="11"/>
      <c r="E255" s="8" t="str">
        <f aca="false">IF(D255="","",IFERROR(INDEX(ProjNumbers,MATCH(D255,ProjNames,0)),""))</f>
        <v/>
      </c>
      <c r="F255" s="8" t="str">
        <f aca="false">IF(D255="","",IFERROR(INDEX(ProjCodes,MATCH(D255,ProjNames,0)),""))</f>
        <v/>
      </c>
      <c r="G255" s="32"/>
      <c r="H255" s="11"/>
      <c r="I255" s="33"/>
      <c r="J255" s="8" t="str">
        <f aca="false">IF(COUNTA(B255,D255,G255,H255,I255)=0,"",IF(B255="","Enter date",IF(OR(B255&lt;$AC$2,B255&gt;$AC$3),"Date not in April",IF(D255="","Pick project",IF(ISNA(MATCH(D255,ProjNames,0)),"Project not in list",IF(G255="","Add task description",IF(H255="","Pick NTIME or P6",IF(N(I255)&lt;=0,"Enter hours",IF(AND(AllowOT&lt;&gt;"Yes",SUMIF($B$7:$B$256,B255,$I$7:$I$256)&gt;INDEX($O$58:$O$87,DAY(B255))),"Day over "&amp;INDEX($O$58:$O$87,DAY(B255))&amp;" h","✓")))))))))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5" hidden="false" customHeight="false" outlineLevel="0" collapsed="false">
      <c r="A256" s="1"/>
      <c r="B256" s="10"/>
      <c r="C256" s="31" t="str">
        <f aca="false">IF(B256="","",TEXT(B256,"ddd"))</f>
        <v/>
      </c>
      <c r="D256" s="11"/>
      <c r="E256" s="8" t="str">
        <f aca="false">IF(D256="","",IFERROR(INDEX(ProjNumbers,MATCH(D256,ProjNames,0)),""))</f>
        <v/>
      </c>
      <c r="F256" s="8" t="str">
        <f aca="false">IF(D256="","",IFERROR(INDEX(ProjCodes,MATCH(D256,ProjNames,0)),""))</f>
        <v/>
      </c>
      <c r="G256" s="32"/>
      <c r="H256" s="11"/>
      <c r="I256" s="33"/>
      <c r="J256" s="8" t="str">
        <f aca="false">IF(COUNTA(B256,D256,G256,H256,I256)=0,"",IF(B256="","Enter date",IF(OR(B256&lt;$AC$2,B256&gt;$AC$3),"Date not in April",IF(D256="","Pick project",IF(ISNA(MATCH(D256,ProjNames,0)),"Project not in list",IF(G256="","Add task description",IF(H256="","Pick NTIME or P6",IF(N(I256)&lt;=0,"Enter hours",IF(AND(AllowOT&lt;&gt;"Yes",SUMIF($B$7:$B$256,B256,$I$7:$I$256)&gt;INDEX($O$58:$O$87,DAY(B256))),"Day over "&amp;INDEX($O$58:$O$87,DAY(B256))&amp;" h","✓")))))))))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</sheetData>
  <conditionalFormatting sqref="J7:J256">
    <cfRule type="expression" priority="2" aboveAverage="0" equalAverage="0" bottom="0" percent="0" rank="0" text="" dxfId="0">
      <formula>AND(J7&lt;&gt;"",J7&lt;&gt;"✓")</formula>
    </cfRule>
  </conditionalFormatting>
  <conditionalFormatting sqref="H7:H256">
    <cfRule type="expression" priority="3" aboveAverage="0" equalAverage="0" bottom="0" percent="0" rank="0" text="" dxfId="1">
      <formula>H7="NTIME"</formula>
    </cfRule>
    <cfRule type="expression" priority="4" aboveAverage="0" equalAverage="0" bottom="0" percent="0" rank="0" text="" dxfId="2">
      <formula>H7="P6"</formula>
    </cfRule>
  </conditionalFormatting>
  <conditionalFormatting sqref="S5">
    <cfRule type="expression" priority="5" aboveAverage="0" equalAverage="0" bottom="0" percent="0" rank="0" text="" dxfId="3">
      <formula>S5&gt;0</formula>
    </cfRule>
  </conditionalFormatting>
  <conditionalFormatting sqref="L52:R52">
    <cfRule type="expression" priority="6" aboveAverage="0" equalAverage="0" bottom="0" percent="0" rank="0" text="" dxfId="4">
      <formula>$Q$52&gt;0</formula>
    </cfRule>
  </conditionalFormatting>
  <conditionalFormatting sqref="L58:U87">
    <cfRule type="expression" priority="7" aboveAverage="0" equalAverage="0" bottom="0" percent="0" rank="0" text="" dxfId="5">
      <formula>$L58=TODAY()</formula>
    </cfRule>
    <cfRule type="expression" priority="8" aboveAverage="0" equalAverage="0" bottom="0" percent="0" rank="0" text="" dxfId="6">
      <formula>OR($N58="Weekend",$N58="Leave",$N58="Public Holiday")</formula>
    </cfRule>
  </conditionalFormatting>
  <conditionalFormatting sqref="U58:U87">
    <cfRule type="expression" priority="9" aboveAverage="0" equalAverage="0" bottom="0" percent="0" rank="0" text="" dxfId="7">
      <formula>OR(U58="Not logged",LEFT(U58,5)="Over ",LEFT(U58,7)="Entries")</formula>
    </cfRule>
    <cfRule type="expression" priority="10" aboveAverage="0" equalAverage="0" bottom="0" percent="0" rank="0" text="" dxfId="8">
      <formula>LEFT(U58,1)="✓"</formula>
    </cfRule>
  </conditionalFormatting>
  <dataValidations count="7">
    <dataValidation allowBlank="false" error="Hours must be more than 0 and at most 24." errorStyle="stop" operator="between" showDropDown="false" showErrorMessage="true" showInputMessage="false" sqref="I7:I256" type="decimal">
      <formula1>0.01</formula1>
      <formula2>24</formula2>
    </dataValidation>
    <dataValidation allowBlank="false" error="Keep the task description to 200 characters." errorStyle="stop" operator="lessThanOrEqual" showDropDown="false" showErrorMessage="true" showInputMessage="false" sqref="G7:G256" type="textLength">
      <formula1>200</formula1>
      <formula2>0</formula2>
    </dataValidation>
    <dataValidation allowBlank="false" errorStyle="stop" operator="between" showDropDown="false" showErrorMessage="true" showInputMessage="false" sqref="O58:O87" type="decimal">
      <formula1>0</formula1>
      <formula2>24</formula2>
    </dataValidation>
    <dataValidation allowBlank="false" error="Enter a date in April 2026." errorStyle="stop" errorTitle="Date" operator="between" showDropDown="false" showErrorMessage="true" showInputMessage="false" sqref="B7:B256" type="date">
      <formula1>DATE(2026,4,1)</formula1>
      <formula2>DATE(2026,4,30)</formula2>
    </dataValidation>
    <dataValidation allowBlank="false" error="Pick a project from the list. Add new projects on the Projects sheet first." errorStyle="stop" errorTitle="Project" operator="between" showDropDown="false" showErrorMessage="true" showInputMessage="false" sqref="D7:D256" type="list">
      <formula1>ProjNames</formula1>
      <formula2>0</formula2>
    </dataValidation>
    <dataValidation allowBlank="false" errorStyle="stop" operator="between" showDropDown="false" showErrorMessage="true" showInputMessage="false" sqref="H7:H256" type="list">
      <formula1>"NTIME,P6"</formula1>
      <formula2>0</formula2>
    </dataValidation>
    <dataValidation allowBlank="false" errorStyle="stop" operator="between" showDropDown="false" showErrorMessage="true" showInputMessage="false" sqref="N58:N87" type="list">
      <formula1>"Working,Overhead only,Leave,Public Holiday,Weekend"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true"/>
  </sheetPr>
  <dimension ref="A1:AH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9" min="15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true" outlineLevel="0" max="34" min="23" style="0" width="13"/>
  </cols>
  <sheetData>
    <row r="1" customFormat="false" ht="22.05" hidden="false" customHeight="false" outlineLevel="0" collapsed="false">
      <c r="A1" s="1"/>
      <c r="B1" s="2" t="s">
        <v>98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75</v>
      </c>
      <c r="AD1" s="1"/>
      <c r="AE1" s="1"/>
      <c r="AF1" s="1"/>
      <c r="AG1" s="1"/>
      <c r="AH1" s="1"/>
    </row>
    <row r="2" customFormat="false" ht="15" hidden="false" customHeight="false" outlineLevel="0" collapsed="false">
      <c r="A2" s="1"/>
      <c r="B2" s="3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0" t="n">
        <v>46143</v>
      </c>
      <c r="AD2" s="1"/>
      <c r="AE2" s="1"/>
      <c r="AF2" s="1"/>
      <c r="AG2" s="1"/>
      <c r="AH2" s="1"/>
    </row>
    <row r="3" customFormat="false" ht="15" hidden="false" customHeight="false" outlineLevel="0" collapsed="false">
      <c r="A3" s="1"/>
      <c r="B3" s="4" t="s">
        <v>77</v>
      </c>
      <c r="C3" s="1"/>
      <c r="D3" s="1"/>
      <c r="E3" s="1"/>
      <c r="F3" s="1"/>
      <c r="G3" s="1"/>
      <c r="H3" s="1"/>
      <c r="I3" s="1"/>
      <c r="J3" s="1"/>
      <c r="K3" s="1"/>
      <c r="L3" s="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0" t="n">
        <v>46173</v>
      </c>
      <c r="AD3" s="1"/>
      <c r="AE3" s="1"/>
      <c r="AF3" s="1"/>
      <c r="AG3" s="1"/>
      <c r="AH3" s="1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3" t="s">
        <v>50</v>
      </c>
      <c r="M4" s="13" t="str">
        <f aca="false">IF(OHSystem="NTIME","NTIME (incl. overhead)","NTIME")</f>
        <v>NTIME</v>
      </c>
      <c r="N4" s="13" t="str">
        <f aca="false">IF(OHSystem="P6","P6 (incl. overhead)","P6")</f>
        <v>P6</v>
      </c>
      <c r="O4" s="13" t="s">
        <v>15</v>
      </c>
      <c r="P4" s="13" t="s">
        <v>24</v>
      </c>
      <c r="Q4" s="13" t="s">
        <v>51</v>
      </c>
      <c r="R4" s="13" t="s">
        <v>52</v>
      </c>
      <c r="S4" s="13" t="s">
        <v>53</v>
      </c>
      <c r="T4" s="1"/>
      <c r="U4" s="1"/>
      <c r="V4" s="1"/>
      <c r="W4" s="1"/>
      <c r="X4" s="1"/>
      <c r="Y4" s="1"/>
      <c r="Z4" s="1"/>
      <c r="AA4" s="1"/>
      <c r="AB4" s="1"/>
      <c r="AC4" s="30" t="n">
        <f aca="false">AC2-MOD(WEEKDAY(AC2,2)-WeekStartNum,7)</f>
        <v>46139</v>
      </c>
      <c r="AD4" s="1"/>
      <c r="AE4" s="1"/>
      <c r="AF4" s="1"/>
      <c r="AG4" s="1"/>
      <c r="AH4" s="1"/>
    </row>
    <row r="5" customFormat="false" ht="30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 t="n">
        <f aca="false">SUM($T$58:$T$88)</f>
        <v>0</v>
      </c>
      <c r="M5" s="15" t="n">
        <f aca="false">SUM($P$58:$P$88)+IF(OHSystem="NTIME",SUM($R$58:$R$88),0)</f>
        <v>0</v>
      </c>
      <c r="N5" s="16" t="n">
        <f aca="false">SUM($Q$58:$Q$88)+IF(OHSystem="P6",SUM($R$58:$R$88),0)</f>
        <v>0</v>
      </c>
      <c r="O5" s="17" t="n">
        <f aca="false">SUM($R$58:$R$88)</f>
        <v>0</v>
      </c>
      <c r="P5" s="14" t="n">
        <f aca="false">SUM($S$58:$S$88)</f>
        <v>0</v>
      </c>
      <c r="Q5" s="18" t="str">
        <f aca="false">IF(L5=0,"-",(SUM($P$58:$P$88)+SUM($Q$58:$Q$88))/L5)</f>
        <v>-</v>
      </c>
      <c r="R5" s="19" t="n">
        <f aca="false">SUMPRODUCT(($N$58:$N$88="Working")*(($P$58:$P$88+$Q$58:$Q$88)&gt;0))+COUNTIF($N$58:$N$88,"Overhead only")</f>
        <v>0</v>
      </c>
      <c r="S5" s="19" t="n">
        <f aca="false">COUNTIF($U$58:$U$88,"Not logged")</f>
        <v>21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5" hidden="false" customHeight="false" outlineLevel="0" collapsed="false">
      <c r="A6" s="1"/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5" hidden="false" customHeight="false" outlineLevel="0" collapsed="false">
      <c r="A7" s="1"/>
      <c r="B7" s="10"/>
      <c r="C7" s="31" t="str">
        <f aca="false">IF(B7="","",TEXT(B7,"ddd"))</f>
        <v/>
      </c>
      <c r="D7" s="11"/>
      <c r="E7" s="8" t="str">
        <f aca="false">IF(D7="","",IFERROR(INDEX(ProjNumbers,MATCH(D7,ProjNames,0)),""))</f>
        <v/>
      </c>
      <c r="F7" s="8" t="str">
        <f aca="false">IF(D7="","",IFERROR(INDEX(ProjCodes,MATCH(D7,ProjNames,0)),""))</f>
        <v/>
      </c>
      <c r="G7" s="32"/>
      <c r="H7" s="11"/>
      <c r="I7" s="33"/>
      <c r="J7" s="8" t="str">
        <f aca="false">IF(COUNTA(B7,D7,G7,H7,I7)=0,"",IF(B7="","Enter date",IF(OR(B7&lt;$AC$2,B7&gt;$AC$3),"Date not in May",IF(D7="","Pick project",IF(ISNA(MATCH(D7,ProjNames,0)),"Project not in list",IF(G7="","Add task description",IF(H7="","Pick NTIME or P6",IF(N(I7)&lt;=0,"Enter hours",IF(AND(AllowOT&lt;&gt;"Yes",SUMIF($B$7:$B$256,B7,$I$7:$I$256)&gt;INDEX($O$58:$O$88,DAY(B7))),"Day over "&amp;INDEX($O$58:$O$88,DAY(B7))&amp;" h","✓")))))))))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tr">
        <f aca="false">IF(Projects!B5="","",Projects!B5)</f>
        <v>Project A</v>
      </c>
      <c r="X7" s="1" t="n">
        <f aca="false">IF(W7="",0,SUMIFS($I$7:$I$256,$D$7:$D$256,W7,$H$7:$H$256,"NTIME"))</f>
        <v>0</v>
      </c>
      <c r="Y7" s="1" t="n">
        <f aca="false">IF(W7="",0,SUMIFS($I$7:$I$256,$D$7:$D$256,W7,$H$7:$H$256,"P6"))</f>
        <v>0</v>
      </c>
      <c r="Z7" s="1" t="n">
        <f aca="false">X7+Y7</f>
        <v>0</v>
      </c>
      <c r="AA7" s="1" t="n">
        <f aca="false">IF(Z7&gt;0,Z7+(201-1)/10^6,0)</f>
        <v>0</v>
      </c>
      <c r="AB7" s="1"/>
      <c r="AC7" s="1"/>
      <c r="AD7" s="1"/>
      <c r="AE7" s="1"/>
      <c r="AF7" s="1"/>
      <c r="AG7" s="1"/>
      <c r="AH7" s="1"/>
    </row>
    <row r="8" customFormat="false" ht="15" hidden="false" customHeight="false" outlineLevel="0" collapsed="false">
      <c r="A8" s="1"/>
      <c r="B8" s="10"/>
      <c r="C8" s="31" t="str">
        <f aca="false">IF(B8="","",TEXT(B8,"ddd"))</f>
        <v/>
      </c>
      <c r="D8" s="11"/>
      <c r="E8" s="8" t="str">
        <f aca="false">IF(D8="","",IFERROR(INDEX(ProjNumbers,MATCH(D8,ProjNames,0)),""))</f>
        <v/>
      </c>
      <c r="F8" s="8" t="str">
        <f aca="false">IF(D8="","",IFERROR(INDEX(ProjCodes,MATCH(D8,ProjNames,0)),""))</f>
        <v/>
      </c>
      <c r="G8" s="32"/>
      <c r="H8" s="11"/>
      <c r="I8" s="33"/>
      <c r="J8" s="8" t="str">
        <f aca="false">IF(COUNTA(B8,D8,G8,H8,I8)=0,"",IF(B8="","Enter date",IF(OR(B8&lt;$AC$2,B8&gt;$AC$3),"Date not in May",IF(D8="","Pick project",IF(ISNA(MATCH(D8,ProjNames,0)),"Project not in list",IF(G8="","Add task description",IF(H8="","Pick NTIME or P6",IF(N(I8)&lt;=0,"Enter hours",IF(AND(AllowOT&lt;&gt;"Yes",SUMIF($B$7:$B$256,B8,$I$7:$I$256)&gt;INDEX($O$58:$O$88,DAY(B8))),"Day over "&amp;INDEX($O$58:$O$88,DAY(B8))&amp;" h","✓")))))))))</f>
        <v/>
      </c>
      <c r="K8" s="1"/>
      <c r="L8" s="4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f aca="false">IF(Projects!B6="","",Projects!B6)</f>
        <v/>
      </c>
      <c r="X8" s="1" t="n">
        <f aca="false">IF(W8="",0,SUMIFS($I$7:$I$256,$D$7:$D$256,W8,$H$7:$H$256,"NTIME"))</f>
        <v>0</v>
      </c>
      <c r="Y8" s="1" t="n">
        <f aca="false">IF(W8="",0,SUMIFS($I$7:$I$256,$D$7:$D$256,W8,$H$7:$H$256,"P6"))</f>
        <v>0</v>
      </c>
      <c r="Z8" s="1" t="n">
        <f aca="false">X8+Y8</f>
        <v>0</v>
      </c>
      <c r="AA8" s="1" t="n">
        <f aca="false">IF(Z8&gt;0,Z8+(201-2)/10^6,0)</f>
        <v>0</v>
      </c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/>
      <c r="B9" s="10"/>
      <c r="C9" s="31" t="str">
        <f aca="false">IF(B9="","",TEXT(B9,"ddd"))</f>
        <v/>
      </c>
      <c r="D9" s="11"/>
      <c r="E9" s="8" t="str">
        <f aca="false">IF(D9="","",IFERROR(INDEX(ProjNumbers,MATCH(D9,ProjNames,0)),""))</f>
        <v/>
      </c>
      <c r="F9" s="8" t="str">
        <f aca="false">IF(D9="","",IFERROR(INDEX(ProjCodes,MATCH(D9,ProjNames,0)),""))</f>
        <v/>
      </c>
      <c r="G9" s="32"/>
      <c r="H9" s="11"/>
      <c r="I9" s="33"/>
      <c r="J9" s="8" t="str">
        <f aca="false">IF(COUNTA(B9,D9,G9,H9,I9)=0,"",IF(B9="","Enter date",IF(OR(B9&lt;$AC$2,B9&gt;$AC$3),"Date not in May",IF(D9="","Pick project",IF(ISNA(MATCH(D9,ProjNames,0)),"Project not in list",IF(G9="","Add task description",IF(H9="","Pick NTIME or P6",IF(N(I9)&lt;=0,"Enter hours",IF(AND(AllowOT&lt;&gt;"Yes",SUMIF($B$7:$B$256,B9,$I$7:$I$256)&gt;INDEX($O$58:$O$88,DAY(B9))),"Day over "&amp;INDEX($O$58:$O$88,DAY(B9))&amp;" h","✓")))))))))</f>
        <v/>
      </c>
      <c r="K9" s="1"/>
      <c r="L9" s="9" t="s">
        <v>81</v>
      </c>
      <c r="M9" s="9" t="s">
        <v>82</v>
      </c>
      <c r="N9" s="9" t="s">
        <v>83</v>
      </c>
      <c r="O9" s="20" t="s">
        <v>46</v>
      </c>
      <c r="P9" s="21" t="s">
        <v>56</v>
      </c>
      <c r="Q9" s="22" t="s">
        <v>15</v>
      </c>
      <c r="R9" s="9" t="s">
        <v>24</v>
      </c>
      <c r="S9" s="9" t="s">
        <v>57</v>
      </c>
      <c r="T9" s="1"/>
      <c r="U9" s="1"/>
      <c r="V9" s="1"/>
      <c r="W9" s="1" t="str">
        <f aca="false">IF(Projects!B7="","",Projects!B7)</f>
        <v/>
      </c>
      <c r="X9" s="1" t="n">
        <f aca="false">IF(W9="",0,SUMIFS($I$7:$I$256,$D$7:$D$256,W9,$H$7:$H$256,"NTIME"))</f>
        <v>0</v>
      </c>
      <c r="Y9" s="1" t="n">
        <f aca="false">IF(W9="",0,SUMIFS($I$7:$I$256,$D$7:$D$256,W9,$H$7:$H$256,"P6"))</f>
        <v>0</v>
      </c>
      <c r="Z9" s="1" t="n">
        <f aca="false">X9+Y9</f>
        <v>0</v>
      </c>
      <c r="AA9" s="1" t="n">
        <f aca="false">IF(Z9&gt;0,Z9+(201-3)/10^6,0)</f>
        <v>0</v>
      </c>
      <c r="AB9" s="1"/>
      <c r="AC9" s="1"/>
      <c r="AD9" s="1"/>
      <c r="AE9" s="1"/>
      <c r="AF9" s="1" t="s">
        <v>46</v>
      </c>
      <c r="AG9" s="1" t="s">
        <v>56</v>
      </c>
      <c r="AH9" s="1" t="s">
        <v>15</v>
      </c>
    </row>
    <row r="10" customFormat="false" ht="15" hidden="false" customHeight="false" outlineLevel="0" collapsed="false">
      <c r="A10" s="1"/>
      <c r="B10" s="10"/>
      <c r="C10" s="31" t="str">
        <f aca="false">IF(B10="","",TEXT(B10,"ddd"))</f>
        <v/>
      </c>
      <c r="D10" s="11"/>
      <c r="E10" s="8" t="str">
        <f aca="false">IF(D10="","",IFERROR(INDEX(ProjNumbers,MATCH(D10,ProjNames,0)),""))</f>
        <v/>
      </c>
      <c r="F10" s="8" t="str">
        <f aca="false">IF(D10="","",IFERROR(INDEX(ProjCodes,MATCH(D10,ProjNames,0)),""))</f>
        <v/>
      </c>
      <c r="G10" s="32"/>
      <c r="H10" s="11"/>
      <c r="I10" s="33"/>
      <c r="J10" s="8" t="str">
        <f aca="false">IF(COUNTA(B10,D10,G10,H10,I10)=0,"",IF(B10="","Enter date",IF(OR(B10&lt;$AC$2,B10&gt;$AC$3),"Date not in May",IF(D10="","Pick project",IF(ISNA(MATCH(D10,ProjNames,0)),"Project not in list",IF(G10="","Add task description",IF(H10="","Pick NTIME or P6",IF(N(I10)&lt;=0,"Enter hours",IF(AND(AllowOT&lt;&gt;"Yes",SUMIF($B$7:$B$256,B10,$I$7:$I$256)&gt;INDEX($O$58:$O$88,DAY(B10))),"Day over "&amp;INDEX($O$58:$O$88,DAY(B10))&amp;" h","✓")))))))))</f>
        <v/>
      </c>
      <c r="K10" s="1"/>
      <c r="L10" s="24" t="str">
        <f aca="false">"Week 1"&amp;IF(M10="",""," ("&amp;DAY(M10)&amp;"–"&amp;DAY(N10)&amp;")")</f>
        <v>Week 1 (1–3)</v>
      </c>
      <c r="M10" s="34" t="n">
        <f aca="false">IF($AC$4+7*0&gt;$AC$3,"",MAX($AC$2,$AC$4+7*0))</f>
        <v>46143</v>
      </c>
      <c r="N10" s="34" t="n">
        <f aca="false">IF(M10="","",MIN($AC$3,$AC$4+7*1-1))</f>
        <v>46145</v>
      </c>
      <c r="O10" s="24" t="n">
        <f aca="false">IF($M10="","",AF10+IF(OHSystem="NTIME",AH10,0))</f>
        <v>0</v>
      </c>
      <c r="P10" s="24" t="n">
        <f aca="false">IF($M10="","",AG10+IF(OHSystem="P6",AH10,0))</f>
        <v>0</v>
      </c>
      <c r="Q10" s="24" t="n">
        <f aca="false">IF($M10="","",AH10)</f>
        <v>0</v>
      </c>
      <c r="R10" s="24" t="n">
        <f aca="false">IF($M10="","",SUMIFS($S$58:$S$88,$L$58:$L$88,"&gt;="&amp;$M10,$L$58:$L$88,"&lt;="&amp;$N10))</f>
        <v>0</v>
      </c>
      <c r="S10" s="24" t="n">
        <f aca="false">IF($M10="","",SUMIFS($T$58:$T$88,$L$58:$L$88,"&gt;="&amp;$M10,$L$58:$L$88,"&lt;="&amp;$N10))</f>
        <v>0</v>
      </c>
      <c r="T10" s="1"/>
      <c r="U10" s="1"/>
      <c r="V10" s="1"/>
      <c r="W10" s="1" t="str">
        <f aca="false">IF(Projects!B8="","",Projects!B8)</f>
        <v/>
      </c>
      <c r="X10" s="1" t="n">
        <f aca="false">IF(W10="",0,SUMIFS($I$7:$I$256,$D$7:$D$256,W10,$H$7:$H$256,"NTIME"))</f>
        <v>0</v>
      </c>
      <c r="Y10" s="1" t="n">
        <f aca="false">IF(W10="",0,SUMIFS($I$7:$I$256,$D$7:$D$256,W10,$H$7:$H$256,"P6"))</f>
        <v>0</v>
      </c>
      <c r="Z10" s="1" t="n">
        <f aca="false">X10+Y10</f>
        <v>0</v>
      </c>
      <c r="AA10" s="1" t="n">
        <f aca="false">IF(Z10&gt;0,Z10+(201-4)/10^6,0)</f>
        <v>0</v>
      </c>
      <c r="AB10" s="1"/>
      <c r="AC10" s="1"/>
      <c r="AD10" s="1"/>
      <c r="AE10" s="1"/>
      <c r="AF10" s="1" t="n">
        <f aca="false">IF($M10="",0,SUMIFS($P$58:$P$88,$L$58:$L$88,"&gt;="&amp;$M10,$L$58:$L$88,"&lt;="&amp;$N10))</f>
        <v>0</v>
      </c>
      <c r="AG10" s="1" t="n">
        <f aca="false">IF($M10="",0,SUMIFS($Q$58:$Q$88,$L$58:$L$88,"&gt;="&amp;$M10,$L$58:$L$88,"&lt;="&amp;$N10))</f>
        <v>0</v>
      </c>
      <c r="AH10" s="1" t="n">
        <f aca="false">IF($M10="",0,SUMIFS($R$58:$R$88,$L$58:$L$88,"&gt;="&amp;$M10,$L$58:$L$88,"&lt;="&amp;$N10))</f>
        <v>0</v>
      </c>
    </row>
    <row r="11" customFormat="false" ht="15" hidden="false" customHeight="false" outlineLevel="0" collapsed="false">
      <c r="A11" s="1"/>
      <c r="B11" s="10"/>
      <c r="C11" s="31" t="str">
        <f aca="false">IF(B11="","",TEXT(B11,"ddd"))</f>
        <v/>
      </c>
      <c r="D11" s="11"/>
      <c r="E11" s="8" t="str">
        <f aca="false">IF(D11="","",IFERROR(INDEX(ProjNumbers,MATCH(D11,ProjNames,0)),""))</f>
        <v/>
      </c>
      <c r="F11" s="8" t="str">
        <f aca="false">IF(D11="","",IFERROR(INDEX(ProjCodes,MATCH(D11,ProjNames,0)),""))</f>
        <v/>
      </c>
      <c r="G11" s="32"/>
      <c r="H11" s="11"/>
      <c r="I11" s="33"/>
      <c r="J11" s="8" t="str">
        <f aca="false">IF(COUNTA(B11,D11,G11,H11,I11)=0,"",IF(B11="","Enter date",IF(OR(B11&lt;$AC$2,B11&gt;$AC$3),"Date not in May",IF(D11="","Pick project",IF(ISNA(MATCH(D11,ProjNames,0)),"Project not in list",IF(G11="","Add task description",IF(H11="","Pick NTIME or P6",IF(N(I11)&lt;=0,"Enter hours",IF(AND(AllowOT&lt;&gt;"Yes",SUMIF($B$7:$B$256,B11,$I$7:$I$256)&gt;INDEX($O$58:$O$88,DAY(B11))),"Day over "&amp;INDEX($O$58:$O$88,DAY(B11))&amp;" h","✓")))))))))</f>
        <v/>
      </c>
      <c r="K11" s="1"/>
      <c r="L11" s="24" t="str">
        <f aca="false">"Week 2"&amp;IF(M11="",""," ("&amp;DAY(M11)&amp;"–"&amp;DAY(N11)&amp;")")</f>
        <v>Week 2 (4–10)</v>
      </c>
      <c r="M11" s="34" t="n">
        <f aca="false">IF($AC$4+7*1&gt;$AC$3,"",MAX($AC$2,$AC$4+7*1))</f>
        <v>46146</v>
      </c>
      <c r="N11" s="34" t="n">
        <f aca="false">IF(M11="","",MIN($AC$3,$AC$4+7*2-1))</f>
        <v>46152</v>
      </c>
      <c r="O11" s="24" t="n">
        <f aca="false">IF($M11="","",AF11+IF(OHSystem="NTIME",AH11,0))</f>
        <v>0</v>
      </c>
      <c r="P11" s="24" t="n">
        <f aca="false">IF($M11="","",AG11+IF(OHSystem="P6",AH11,0))</f>
        <v>0</v>
      </c>
      <c r="Q11" s="24" t="n">
        <f aca="false">IF($M11="","",AH11)</f>
        <v>0</v>
      </c>
      <c r="R11" s="24" t="n">
        <f aca="false">IF($M11="","",SUMIFS($S$58:$S$88,$L$58:$L$88,"&gt;="&amp;$M11,$L$58:$L$88,"&lt;="&amp;$N11))</f>
        <v>0</v>
      </c>
      <c r="S11" s="24" t="n">
        <f aca="false">IF($M11="","",SUMIFS($T$58:$T$88,$L$58:$L$88,"&gt;="&amp;$M11,$L$58:$L$88,"&lt;="&amp;$N11))</f>
        <v>0</v>
      </c>
      <c r="T11" s="1"/>
      <c r="U11" s="1"/>
      <c r="V11" s="1"/>
      <c r="W11" s="1" t="str">
        <f aca="false">IF(Projects!B9="","",Projects!B9)</f>
        <v/>
      </c>
      <c r="X11" s="1" t="n">
        <f aca="false">IF(W11="",0,SUMIFS($I$7:$I$256,$D$7:$D$256,W11,$H$7:$H$256,"NTIME"))</f>
        <v>0</v>
      </c>
      <c r="Y11" s="1" t="n">
        <f aca="false">IF(W11="",0,SUMIFS($I$7:$I$256,$D$7:$D$256,W11,$H$7:$H$256,"P6"))</f>
        <v>0</v>
      </c>
      <c r="Z11" s="1" t="n">
        <f aca="false">X11+Y11</f>
        <v>0</v>
      </c>
      <c r="AA11" s="1" t="n">
        <f aca="false">IF(Z11&gt;0,Z11+(201-5)/10^6,0)</f>
        <v>0</v>
      </c>
      <c r="AB11" s="1"/>
      <c r="AC11" s="1"/>
      <c r="AD11" s="1"/>
      <c r="AE11" s="1"/>
      <c r="AF11" s="1" t="n">
        <f aca="false">IF($M11="",0,SUMIFS($P$58:$P$88,$L$58:$L$88,"&gt;="&amp;$M11,$L$58:$L$88,"&lt;="&amp;$N11))</f>
        <v>0</v>
      </c>
      <c r="AG11" s="1" t="n">
        <f aca="false">IF($M11="",0,SUMIFS($Q$58:$Q$88,$L$58:$L$88,"&gt;="&amp;$M11,$L$58:$L$88,"&lt;="&amp;$N11))</f>
        <v>0</v>
      </c>
      <c r="AH11" s="1" t="n">
        <f aca="false">IF($M11="",0,SUMIFS($R$58:$R$88,$L$58:$L$88,"&gt;="&amp;$M11,$L$58:$L$88,"&lt;="&amp;$N11))</f>
        <v>0</v>
      </c>
    </row>
    <row r="12" customFormat="false" ht="15" hidden="false" customHeight="false" outlineLevel="0" collapsed="false">
      <c r="A12" s="1"/>
      <c r="B12" s="10"/>
      <c r="C12" s="31" t="str">
        <f aca="false">IF(B12="","",TEXT(B12,"ddd"))</f>
        <v/>
      </c>
      <c r="D12" s="11"/>
      <c r="E12" s="8" t="str">
        <f aca="false">IF(D12="","",IFERROR(INDEX(ProjNumbers,MATCH(D12,ProjNames,0)),""))</f>
        <v/>
      </c>
      <c r="F12" s="8" t="str">
        <f aca="false">IF(D12="","",IFERROR(INDEX(ProjCodes,MATCH(D12,ProjNames,0)),""))</f>
        <v/>
      </c>
      <c r="G12" s="32"/>
      <c r="H12" s="11"/>
      <c r="I12" s="33"/>
      <c r="J12" s="8" t="str">
        <f aca="false">IF(COUNTA(B12,D12,G12,H12,I12)=0,"",IF(B12="","Enter date",IF(OR(B12&lt;$AC$2,B12&gt;$AC$3),"Date not in May",IF(D12="","Pick project",IF(ISNA(MATCH(D12,ProjNames,0)),"Project not in list",IF(G12="","Add task description",IF(H12="","Pick NTIME or P6",IF(N(I12)&lt;=0,"Enter hours",IF(AND(AllowOT&lt;&gt;"Yes",SUMIF($B$7:$B$256,B12,$I$7:$I$256)&gt;INDEX($O$58:$O$88,DAY(B12))),"Day over "&amp;INDEX($O$58:$O$88,DAY(B12))&amp;" h","✓")))))))))</f>
        <v/>
      </c>
      <c r="K12" s="1"/>
      <c r="L12" s="24" t="str">
        <f aca="false">"Week 3"&amp;IF(M12="",""," ("&amp;DAY(M12)&amp;"–"&amp;DAY(N12)&amp;")")</f>
        <v>Week 3 (11–17)</v>
      </c>
      <c r="M12" s="34" t="n">
        <f aca="false">IF($AC$4+7*2&gt;$AC$3,"",MAX($AC$2,$AC$4+7*2))</f>
        <v>46153</v>
      </c>
      <c r="N12" s="34" t="n">
        <f aca="false">IF(M12="","",MIN($AC$3,$AC$4+7*3-1))</f>
        <v>46159</v>
      </c>
      <c r="O12" s="24" t="n">
        <f aca="false">IF($M12="","",AF12+IF(OHSystem="NTIME",AH12,0))</f>
        <v>0</v>
      </c>
      <c r="P12" s="24" t="n">
        <f aca="false">IF($M12="","",AG12+IF(OHSystem="P6",AH12,0))</f>
        <v>0</v>
      </c>
      <c r="Q12" s="24" t="n">
        <f aca="false">IF($M12="","",AH12)</f>
        <v>0</v>
      </c>
      <c r="R12" s="24" t="n">
        <f aca="false">IF($M12="","",SUMIFS($S$58:$S$88,$L$58:$L$88,"&gt;="&amp;$M12,$L$58:$L$88,"&lt;="&amp;$N12))</f>
        <v>0</v>
      </c>
      <c r="S12" s="24" t="n">
        <f aca="false">IF($M12="","",SUMIFS($T$58:$T$88,$L$58:$L$88,"&gt;="&amp;$M12,$L$58:$L$88,"&lt;="&amp;$N12))</f>
        <v>0</v>
      </c>
      <c r="T12" s="1"/>
      <c r="U12" s="1"/>
      <c r="V12" s="1"/>
      <c r="W12" s="1" t="str">
        <f aca="false">IF(Projects!B10="","",Projects!B10)</f>
        <v/>
      </c>
      <c r="X12" s="1" t="n">
        <f aca="false">IF(W12="",0,SUMIFS($I$7:$I$256,$D$7:$D$256,W12,$H$7:$H$256,"NTIME"))</f>
        <v>0</v>
      </c>
      <c r="Y12" s="1" t="n">
        <f aca="false">IF(W12="",0,SUMIFS($I$7:$I$256,$D$7:$D$256,W12,$H$7:$H$256,"P6"))</f>
        <v>0</v>
      </c>
      <c r="Z12" s="1" t="n">
        <f aca="false">X12+Y12</f>
        <v>0</v>
      </c>
      <c r="AA12" s="1" t="n">
        <f aca="false">IF(Z12&gt;0,Z12+(201-6)/10^6,0)</f>
        <v>0</v>
      </c>
      <c r="AB12" s="1"/>
      <c r="AC12" s="1"/>
      <c r="AD12" s="1"/>
      <c r="AE12" s="1"/>
      <c r="AF12" s="1" t="n">
        <f aca="false">IF($M12="",0,SUMIFS($P$58:$P$88,$L$58:$L$88,"&gt;="&amp;$M12,$L$58:$L$88,"&lt;="&amp;$N12))</f>
        <v>0</v>
      </c>
      <c r="AG12" s="1" t="n">
        <f aca="false">IF($M12="",0,SUMIFS($Q$58:$Q$88,$L$58:$L$88,"&gt;="&amp;$M12,$L$58:$L$88,"&lt;="&amp;$N12))</f>
        <v>0</v>
      </c>
      <c r="AH12" s="1" t="n">
        <f aca="false">IF($M12="",0,SUMIFS($R$58:$R$88,$L$58:$L$88,"&gt;="&amp;$M12,$L$58:$L$88,"&lt;="&amp;$N12))</f>
        <v>0</v>
      </c>
    </row>
    <row r="13" customFormat="false" ht="15" hidden="false" customHeight="false" outlineLevel="0" collapsed="false">
      <c r="A13" s="1"/>
      <c r="B13" s="10"/>
      <c r="C13" s="31" t="str">
        <f aca="false">IF(B13="","",TEXT(B13,"ddd"))</f>
        <v/>
      </c>
      <c r="D13" s="11"/>
      <c r="E13" s="8" t="str">
        <f aca="false">IF(D13="","",IFERROR(INDEX(ProjNumbers,MATCH(D13,ProjNames,0)),""))</f>
        <v/>
      </c>
      <c r="F13" s="8" t="str">
        <f aca="false">IF(D13="","",IFERROR(INDEX(ProjCodes,MATCH(D13,ProjNames,0)),""))</f>
        <v/>
      </c>
      <c r="G13" s="32"/>
      <c r="H13" s="11"/>
      <c r="I13" s="33"/>
      <c r="J13" s="8" t="str">
        <f aca="false">IF(COUNTA(B13,D13,G13,H13,I13)=0,"",IF(B13="","Enter date",IF(OR(B13&lt;$AC$2,B13&gt;$AC$3),"Date not in May",IF(D13="","Pick project",IF(ISNA(MATCH(D13,ProjNames,0)),"Project not in list",IF(G13="","Add task description",IF(H13="","Pick NTIME or P6",IF(N(I13)&lt;=0,"Enter hours",IF(AND(AllowOT&lt;&gt;"Yes",SUMIF($B$7:$B$256,B13,$I$7:$I$256)&gt;INDEX($O$58:$O$88,DAY(B13))),"Day over "&amp;INDEX($O$58:$O$88,DAY(B13))&amp;" h","✓")))))))))</f>
        <v/>
      </c>
      <c r="K13" s="1"/>
      <c r="L13" s="24" t="str">
        <f aca="false">"Week 4"&amp;IF(M13="",""," ("&amp;DAY(M13)&amp;"–"&amp;DAY(N13)&amp;")")</f>
        <v>Week 4 (18–24)</v>
      </c>
      <c r="M13" s="34" t="n">
        <f aca="false">IF($AC$4+7*3&gt;$AC$3,"",MAX($AC$2,$AC$4+7*3))</f>
        <v>46160</v>
      </c>
      <c r="N13" s="34" t="n">
        <f aca="false">IF(M13="","",MIN($AC$3,$AC$4+7*4-1))</f>
        <v>46166</v>
      </c>
      <c r="O13" s="24" t="n">
        <f aca="false">IF($M13="","",AF13+IF(OHSystem="NTIME",AH13,0))</f>
        <v>0</v>
      </c>
      <c r="P13" s="24" t="n">
        <f aca="false">IF($M13="","",AG13+IF(OHSystem="P6",AH13,0))</f>
        <v>0</v>
      </c>
      <c r="Q13" s="24" t="n">
        <f aca="false">IF($M13="","",AH13)</f>
        <v>0</v>
      </c>
      <c r="R13" s="24" t="n">
        <f aca="false">IF($M13="","",SUMIFS($S$58:$S$88,$L$58:$L$88,"&gt;="&amp;$M13,$L$58:$L$88,"&lt;="&amp;$N13))</f>
        <v>0</v>
      </c>
      <c r="S13" s="24" t="n">
        <f aca="false">IF($M13="","",SUMIFS($T$58:$T$88,$L$58:$L$88,"&gt;="&amp;$M13,$L$58:$L$88,"&lt;="&amp;$N13))</f>
        <v>0</v>
      </c>
      <c r="T13" s="1"/>
      <c r="U13" s="1"/>
      <c r="V13" s="1"/>
      <c r="W13" s="1" t="str">
        <f aca="false">IF(Projects!B11="","",Projects!B11)</f>
        <v/>
      </c>
      <c r="X13" s="1" t="n">
        <f aca="false">IF(W13="",0,SUMIFS($I$7:$I$256,$D$7:$D$256,W13,$H$7:$H$256,"NTIME"))</f>
        <v>0</v>
      </c>
      <c r="Y13" s="1" t="n">
        <f aca="false">IF(W13="",0,SUMIFS($I$7:$I$256,$D$7:$D$256,W13,$H$7:$H$256,"P6"))</f>
        <v>0</v>
      </c>
      <c r="Z13" s="1" t="n">
        <f aca="false">X13+Y13</f>
        <v>0</v>
      </c>
      <c r="AA13" s="1" t="n">
        <f aca="false">IF(Z13&gt;0,Z13+(201-7)/10^6,0)</f>
        <v>0</v>
      </c>
      <c r="AB13" s="1"/>
      <c r="AC13" s="1"/>
      <c r="AD13" s="1"/>
      <c r="AE13" s="1"/>
      <c r="AF13" s="1" t="n">
        <f aca="false">IF($M13="",0,SUMIFS($P$58:$P$88,$L$58:$L$88,"&gt;="&amp;$M13,$L$58:$L$88,"&lt;="&amp;$N13))</f>
        <v>0</v>
      </c>
      <c r="AG13" s="1" t="n">
        <f aca="false">IF($M13="",0,SUMIFS($Q$58:$Q$88,$L$58:$L$88,"&gt;="&amp;$M13,$L$58:$L$88,"&lt;="&amp;$N13))</f>
        <v>0</v>
      </c>
      <c r="AH13" s="1" t="n">
        <f aca="false">IF($M13="",0,SUMIFS($R$58:$R$88,$L$58:$L$88,"&gt;="&amp;$M13,$L$58:$L$88,"&lt;="&amp;$N13))</f>
        <v>0</v>
      </c>
    </row>
    <row r="14" customFormat="false" ht="15" hidden="false" customHeight="false" outlineLevel="0" collapsed="false">
      <c r="A14" s="1"/>
      <c r="B14" s="10"/>
      <c r="C14" s="31" t="str">
        <f aca="false">IF(B14="","",TEXT(B14,"ddd"))</f>
        <v/>
      </c>
      <c r="D14" s="11"/>
      <c r="E14" s="8" t="str">
        <f aca="false">IF(D14="","",IFERROR(INDEX(ProjNumbers,MATCH(D14,ProjNames,0)),""))</f>
        <v/>
      </c>
      <c r="F14" s="8" t="str">
        <f aca="false">IF(D14="","",IFERROR(INDEX(ProjCodes,MATCH(D14,ProjNames,0)),""))</f>
        <v/>
      </c>
      <c r="G14" s="32"/>
      <c r="H14" s="11"/>
      <c r="I14" s="33"/>
      <c r="J14" s="8" t="str">
        <f aca="false">IF(COUNTA(B14,D14,G14,H14,I14)=0,"",IF(B14="","Enter date",IF(OR(B14&lt;$AC$2,B14&gt;$AC$3),"Date not in May",IF(D14="","Pick project",IF(ISNA(MATCH(D14,ProjNames,0)),"Project not in list",IF(G14="","Add task description",IF(H14="","Pick NTIME or P6",IF(N(I14)&lt;=0,"Enter hours",IF(AND(AllowOT&lt;&gt;"Yes",SUMIF($B$7:$B$256,B14,$I$7:$I$256)&gt;INDEX($O$58:$O$88,DAY(B14))),"Day over "&amp;INDEX($O$58:$O$88,DAY(B14))&amp;" h","✓")))))))))</f>
        <v/>
      </c>
      <c r="K14" s="1"/>
      <c r="L14" s="24" t="str">
        <f aca="false">"Week 5"&amp;IF(M14="",""," ("&amp;DAY(M14)&amp;"–"&amp;DAY(N14)&amp;")")</f>
        <v>Week 5 (25–31)</v>
      </c>
      <c r="M14" s="34" t="n">
        <f aca="false">IF($AC$4+7*4&gt;$AC$3,"",MAX($AC$2,$AC$4+7*4))</f>
        <v>46167</v>
      </c>
      <c r="N14" s="34" t="n">
        <f aca="false">IF(M14="","",MIN($AC$3,$AC$4+7*5-1))</f>
        <v>46173</v>
      </c>
      <c r="O14" s="24" t="n">
        <f aca="false">IF($M14="","",AF14+IF(OHSystem="NTIME",AH14,0))</f>
        <v>0</v>
      </c>
      <c r="P14" s="24" t="n">
        <f aca="false">IF($M14="","",AG14+IF(OHSystem="P6",AH14,0))</f>
        <v>0</v>
      </c>
      <c r="Q14" s="24" t="n">
        <f aca="false">IF($M14="","",AH14)</f>
        <v>0</v>
      </c>
      <c r="R14" s="24" t="n">
        <f aca="false">IF($M14="","",SUMIFS($S$58:$S$88,$L$58:$L$88,"&gt;="&amp;$M14,$L$58:$L$88,"&lt;="&amp;$N14))</f>
        <v>0</v>
      </c>
      <c r="S14" s="24" t="n">
        <f aca="false">IF($M14="","",SUMIFS($T$58:$T$88,$L$58:$L$88,"&gt;="&amp;$M14,$L$58:$L$88,"&lt;="&amp;$N14))</f>
        <v>0</v>
      </c>
      <c r="T14" s="1"/>
      <c r="U14" s="1"/>
      <c r="V14" s="1"/>
      <c r="W14" s="1" t="str">
        <f aca="false">IF(Projects!B12="","",Projects!B12)</f>
        <v/>
      </c>
      <c r="X14" s="1" t="n">
        <f aca="false">IF(W14="",0,SUMIFS($I$7:$I$256,$D$7:$D$256,W14,$H$7:$H$256,"NTIME"))</f>
        <v>0</v>
      </c>
      <c r="Y14" s="1" t="n">
        <f aca="false">IF(W14="",0,SUMIFS($I$7:$I$256,$D$7:$D$256,W14,$H$7:$H$256,"P6"))</f>
        <v>0</v>
      </c>
      <c r="Z14" s="1" t="n">
        <f aca="false">X14+Y14</f>
        <v>0</v>
      </c>
      <c r="AA14" s="1" t="n">
        <f aca="false">IF(Z14&gt;0,Z14+(201-8)/10^6,0)</f>
        <v>0</v>
      </c>
      <c r="AB14" s="1"/>
      <c r="AC14" s="1"/>
      <c r="AD14" s="1"/>
      <c r="AE14" s="1"/>
      <c r="AF14" s="1" t="n">
        <f aca="false">IF($M14="",0,SUMIFS($P$58:$P$88,$L$58:$L$88,"&gt;="&amp;$M14,$L$58:$L$88,"&lt;="&amp;$N14))</f>
        <v>0</v>
      </c>
      <c r="AG14" s="1" t="n">
        <f aca="false">IF($M14="",0,SUMIFS($Q$58:$Q$88,$L$58:$L$88,"&gt;="&amp;$M14,$L$58:$L$88,"&lt;="&amp;$N14))</f>
        <v>0</v>
      </c>
      <c r="AH14" s="1" t="n">
        <f aca="false">IF($M14="",0,SUMIFS($R$58:$R$88,$L$58:$L$88,"&gt;="&amp;$M14,$L$58:$L$88,"&lt;="&amp;$N14))</f>
        <v>0</v>
      </c>
    </row>
    <row r="15" customFormat="false" ht="15" hidden="false" customHeight="false" outlineLevel="0" collapsed="false">
      <c r="A15" s="1"/>
      <c r="B15" s="10"/>
      <c r="C15" s="31" t="str">
        <f aca="false">IF(B15="","",TEXT(B15,"ddd"))</f>
        <v/>
      </c>
      <c r="D15" s="11"/>
      <c r="E15" s="8" t="str">
        <f aca="false">IF(D15="","",IFERROR(INDEX(ProjNumbers,MATCH(D15,ProjNames,0)),""))</f>
        <v/>
      </c>
      <c r="F15" s="8" t="str">
        <f aca="false">IF(D15="","",IFERROR(INDEX(ProjCodes,MATCH(D15,ProjNames,0)),""))</f>
        <v/>
      </c>
      <c r="G15" s="32"/>
      <c r="H15" s="11"/>
      <c r="I15" s="33"/>
      <c r="J15" s="8" t="str">
        <f aca="false">IF(COUNTA(B15,D15,G15,H15,I15)=0,"",IF(B15="","Enter date",IF(OR(B15&lt;$AC$2,B15&gt;$AC$3),"Date not in May",IF(D15="","Pick project",IF(ISNA(MATCH(D15,ProjNames,0)),"Project not in list",IF(G15="","Add task description",IF(H15="","Pick NTIME or P6",IF(N(I15)&lt;=0,"Enter hours",IF(AND(AllowOT&lt;&gt;"Yes",SUMIF($B$7:$B$256,B15,$I$7:$I$256)&gt;INDEX($O$58:$O$88,DAY(B15))),"Day over "&amp;INDEX($O$58:$O$88,DAY(B15))&amp;" h","✓")))))))))</f>
        <v/>
      </c>
      <c r="K15" s="1"/>
      <c r="L15" s="24" t="str">
        <f aca="false">"Week 6"&amp;IF(M15="",""," ("&amp;DAY(M15)&amp;"–"&amp;DAY(N15)&amp;")")</f>
        <v>Week 6</v>
      </c>
      <c r="M15" s="34" t="str">
        <f aca="false">IF($AC$4+7*5&gt;$AC$3,"",MAX($AC$2,$AC$4+7*5))</f>
        <v/>
      </c>
      <c r="N15" s="34" t="str">
        <f aca="false">IF(M15="","",MIN($AC$3,$AC$4+7*6-1))</f>
        <v/>
      </c>
      <c r="O15" s="24" t="str">
        <f aca="false">IF($M15="","",AF15+IF(OHSystem="NTIME",AH15,0))</f>
        <v/>
      </c>
      <c r="P15" s="24" t="str">
        <f aca="false">IF($M15="","",AG15+IF(OHSystem="P6",AH15,0))</f>
        <v/>
      </c>
      <c r="Q15" s="24" t="str">
        <f aca="false">IF($M15="","",AH15)</f>
        <v/>
      </c>
      <c r="R15" s="24" t="str">
        <f aca="false">IF($M15="","",SUMIFS($S$58:$S$88,$L$58:$L$88,"&gt;="&amp;$M15,$L$58:$L$88,"&lt;="&amp;$N15))</f>
        <v/>
      </c>
      <c r="S15" s="24" t="str">
        <f aca="false">IF($M15="","",SUMIFS($T$58:$T$88,$L$58:$L$88,"&gt;="&amp;$M15,$L$58:$L$88,"&lt;="&amp;$N15))</f>
        <v/>
      </c>
      <c r="T15" s="1"/>
      <c r="U15" s="1"/>
      <c r="V15" s="1"/>
      <c r="W15" s="1" t="str">
        <f aca="false">IF(Projects!B13="","",Projects!B13)</f>
        <v/>
      </c>
      <c r="X15" s="1" t="n">
        <f aca="false">IF(W15="",0,SUMIFS($I$7:$I$256,$D$7:$D$256,W15,$H$7:$H$256,"NTIME"))</f>
        <v>0</v>
      </c>
      <c r="Y15" s="1" t="n">
        <f aca="false">IF(W15="",0,SUMIFS($I$7:$I$256,$D$7:$D$256,W15,$H$7:$H$256,"P6"))</f>
        <v>0</v>
      </c>
      <c r="Z15" s="1" t="n">
        <f aca="false">X15+Y15</f>
        <v>0</v>
      </c>
      <c r="AA15" s="1" t="n">
        <f aca="false">IF(Z15&gt;0,Z15+(201-9)/10^6,0)</f>
        <v>0</v>
      </c>
      <c r="AB15" s="1"/>
      <c r="AC15" s="1"/>
      <c r="AD15" s="1"/>
      <c r="AE15" s="1"/>
      <c r="AF15" s="1" t="n">
        <f aca="false">IF($M15="",0,SUMIFS($P$58:$P$88,$L$58:$L$88,"&gt;="&amp;$M15,$L$58:$L$88,"&lt;="&amp;$N15))</f>
        <v>0</v>
      </c>
      <c r="AG15" s="1" t="n">
        <f aca="false">IF($M15="",0,SUMIFS($Q$58:$Q$88,$L$58:$L$88,"&gt;="&amp;$M15,$L$58:$L$88,"&lt;="&amp;$N15))</f>
        <v>0</v>
      </c>
      <c r="AH15" s="1" t="n">
        <f aca="false">IF($M15="",0,SUMIFS($R$58:$R$88,$L$58:$L$88,"&gt;="&amp;$M15,$L$58:$L$88,"&lt;="&amp;$N15))</f>
        <v>0</v>
      </c>
    </row>
    <row r="16" customFormat="false" ht="15" hidden="false" customHeight="false" outlineLevel="0" collapsed="false">
      <c r="A16" s="1"/>
      <c r="B16" s="10"/>
      <c r="C16" s="31" t="str">
        <f aca="false">IF(B16="","",TEXT(B16,"ddd"))</f>
        <v/>
      </c>
      <c r="D16" s="11"/>
      <c r="E16" s="8" t="str">
        <f aca="false">IF(D16="","",IFERROR(INDEX(ProjNumbers,MATCH(D16,ProjNames,0)),""))</f>
        <v/>
      </c>
      <c r="F16" s="8" t="str">
        <f aca="false">IF(D16="","",IFERROR(INDEX(ProjCodes,MATCH(D16,ProjNames,0)),""))</f>
        <v/>
      </c>
      <c r="G16" s="32"/>
      <c r="H16" s="11"/>
      <c r="I16" s="33"/>
      <c r="J16" s="8" t="str">
        <f aca="false">IF(COUNTA(B16,D16,G16,H16,I16)=0,"",IF(B16="","Enter date",IF(OR(B16&lt;$AC$2,B16&gt;$AC$3),"Date not in May",IF(D16="","Pick project",IF(ISNA(MATCH(D16,ProjNames,0)),"Project not in list",IF(G16="","Add task description",IF(H16="","Pick NTIME or P6",IF(N(I16)&lt;=0,"Enter hours",IF(AND(AllowOT&lt;&gt;"Yes",SUMIF($B$7:$B$256,B16,$I$7:$I$256)&gt;INDEX($O$58:$O$88,DAY(B16))),"Day over "&amp;INDEX($O$58:$O$88,DAY(B16))&amp;" h","✓")))))))))</f>
        <v/>
      </c>
      <c r="K16" s="1"/>
      <c r="L16" s="27" t="s">
        <v>84</v>
      </c>
      <c r="M16" s="27"/>
      <c r="N16" s="27"/>
      <c r="O16" s="27" t="n">
        <f aca="false">SUM(O10:O15)</f>
        <v>0</v>
      </c>
      <c r="P16" s="27" t="n">
        <f aca="false">SUM(P10:P15)</f>
        <v>0</v>
      </c>
      <c r="Q16" s="27" t="n">
        <f aca="false">SUM(Q10:Q15)</f>
        <v>0</v>
      </c>
      <c r="R16" s="27" t="n">
        <f aca="false">SUM(R10:R15)</f>
        <v>0</v>
      </c>
      <c r="S16" s="27" t="n">
        <f aca="false">SUM(S10:S15)</f>
        <v>0</v>
      </c>
      <c r="T16" s="1"/>
      <c r="U16" s="1"/>
      <c r="V16" s="1"/>
      <c r="W16" s="1" t="str">
        <f aca="false">IF(Projects!B14="","",Projects!B14)</f>
        <v/>
      </c>
      <c r="X16" s="1" t="n">
        <f aca="false">IF(W16="",0,SUMIFS($I$7:$I$256,$D$7:$D$256,W16,$H$7:$H$256,"NTIME"))</f>
        <v>0</v>
      </c>
      <c r="Y16" s="1" t="n">
        <f aca="false">IF(W16="",0,SUMIFS($I$7:$I$256,$D$7:$D$256,W16,$H$7:$H$256,"P6"))</f>
        <v>0</v>
      </c>
      <c r="Z16" s="1" t="n">
        <f aca="false">X16+Y16</f>
        <v>0</v>
      </c>
      <c r="AA16" s="1" t="n">
        <f aca="false">IF(Z16&gt;0,Z16+(201-10)/10^6,0)</f>
        <v>0</v>
      </c>
      <c r="AB16" s="1"/>
      <c r="AC16" s="1"/>
      <c r="AD16" s="1"/>
      <c r="AE16" s="1"/>
      <c r="AF16" s="1" t="n">
        <f aca="false">SUM(AF10:AF15)</f>
        <v>0</v>
      </c>
      <c r="AG16" s="1" t="n">
        <f aca="false">SUM(AG10:AG15)</f>
        <v>0</v>
      </c>
      <c r="AH16" s="1" t="n">
        <f aca="false">SUM(AH10:AH15)</f>
        <v>0</v>
      </c>
    </row>
    <row r="17" customFormat="false" ht="15" hidden="false" customHeight="false" outlineLevel="0" collapsed="false">
      <c r="A17" s="1"/>
      <c r="B17" s="10"/>
      <c r="C17" s="31" t="str">
        <f aca="false">IF(B17="","",TEXT(B17,"ddd"))</f>
        <v/>
      </c>
      <c r="D17" s="11"/>
      <c r="E17" s="8" t="str">
        <f aca="false">IF(D17="","",IFERROR(INDEX(ProjNumbers,MATCH(D17,ProjNames,0)),""))</f>
        <v/>
      </c>
      <c r="F17" s="8" t="str">
        <f aca="false">IF(D17="","",IFERROR(INDEX(ProjCodes,MATCH(D17,ProjNames,0)),""))</f>
        <v/>
      </c>
      <c r="G17" s="32"/>
      <c r="H17" s="11"/>
      <c r="I17" s="33"/>
      <c r="J17" s="8" t="str">
        <f aca="false">IF(COUNTA(B17,D17,G17,H17,I17)=0,"",IF(B17="","Enter date",IF(OR(B17&lt;$AC$2,B17&gt;$AC$3),"Date not in May",IF(D17="","Pick project",IF(ISNA(MATCH(D17,ProjNames,0)),"Project not in list",IF(G17="","Add task description",IF(H17="","Pick NTIME or P6",IF(N(I17)&lt;=0,"Enter hours",IF(AND(AllowOT&lt;&gt;"Yes",SUMIF($B$7:$B$256,B17,$I$7:$I$256)&gt;INDEX($O$58:$O$88,DAY(B17))),"Day over "&amp;INDEX($O$58:$O$88,DAY(B17))&amp;" h","✓")))))))))</f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tr">
        <f aca="false">IF(Projects!B15="","",Projects!B15)</f>
        <v/>
      </c>
      <c r="X17" s="1" t="n">
        <f aca="false">IF(W17="",0,SUMIFS($I$7:$I$256,$D$7:$D$256,W17,$H$7:$H$256,"NTIME"))</f>
        <v>0</v>
      </c>
      <c r="Y17" s="1" t="n">
        <f aca="false">IF(W17="",0,SUMIFS($I$7:$I$256,$D$7:$D$256,W17,$H$7:$H$256,"P6"))</f>
        <v>0</v>
      </c>
      <c r="Z17" s="1" t="n">
        <f aca="false">X17+Y17</f>
        <v>0</v>
      </c>
      <c r="AA17" s="1" t="n">
        <f aca="false">IF(Z17&gt;0,Z17+(201-11)/10^6,0)</f>
        <v>0</v>
      </c>
      <c r="AB17" s="1"/>
      <c r="AC17" s="1"/>
      <c r="AD17" s="1"/>
      <c r="AE17" s="1"/>
      <c r="AF17" s="1"/>
      <c r="AG17" s="1"/>
      <c r="AH17" s="1"/>
    </row>
    <row r="18" customFormat="false" ht="15" hidden="false" customHeight="false" outlineLevel="0" collapsed="false">
      <c r="A18" s="1"/>
      <c r="B18" s="10"/>
      <c r="C18" s="31" t="str">
        <f aca="false">IF(B18="","",TEXT(B18,"ddd"))</f>
        <v/>
      </c>
      <c r="D18" s="11"/>
      <c r="E18" s="8" t="str">
        <f aca="false">IF(D18="","",IFERROR(INDEX(ProjNumbers,MATCH(D18,ProjNames,0)),""))</f>
        <v/>
      </c>
      <c r="F18" s="8" t="str">
        <f aca="false">IF(D18="","",IFERROR(INDEX(ProjCodes,MATCH(D18,ProjNames,0)),""))</f>
        <v/>
      </c>
      <c r="G18" s="32"/>
      <c r="H18" s="11"/>
      <c r="I18" s="33"/>
      <c r="J18" s="8" t="str">
        <f aca="false">IF(COUNTA(B18,D18,G18,H18,I18)=0,"",IF(B18="","Enter date",IF(OR(B18&lt;$AC$2,B18&gt;$AC$3),"Date not in May",IF(D18="","Pick project",IF(ISNA(MATCH(D18,ProjNames,0)),"Project not in list",IF(G18="","Add task description",IF(H18="","Pick NTIME or P6",IF(N(I18)&lt;=0,"Enter hours",IF(AND(AllowOT&lt;&gt;"Yes",SUMIF($B$7:$B$256,B18,$I$7:$I$256)&gt;INDEX($O$58:$O$88,DAY(B18))),"Day over "&amp;INDEX($O$58:$O$88,DAY(B18))&amp;" h","✓")))))))))</f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 aca="false">IF(Projects!B16="","",Projects!B16)</f>
        <v/>
      </c>
      <c r="X18" s="1" t="n">
        <f aca="false">IF(W18="",0,SUMIFS($I$7:$I$256,$D$7:$D$256,W18,$H$7:$H$256,"NTIME"))</f>
        <v>0</v>
      </c>
      <c r="Y18" s="1" t="n">
        <f aca="false">IF(W18="",0,SUMIFS($I$7:$I$256,$D$7:$D$256,W18,$H$7:$H$256,"P6"))</f>
        <v>0</v>
      </c>
      <c r="Z18" s="1" t="n">
        <f aca="false">X18+Y18</f>
        <v>0</v>
      </c>
      <c r="AA18" s="1" t="n">
        <f aca="false">IF(Z18&gt;0,Z18+(201-12)/10^6,0)</f>
        <v>0</v>
      </c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/>
      <c r="B19" s="10"/>
      <c r="C19" s="31" t="str">
        <f aca="false">IF(B19="","",TEXT(B19,"ddd"))</f>
        <v/>
      </c>
      <c r="D19" s="11"/>
      <c r="E19" s="8" t="str">
        <f aca="false">IF(D19="","",IFERROR(INDEX(ProjNumbers,MATCH(D19,ProjNames,0)),""))</f>
        <v/>
      </c>
      <c r="F19" s="8" t="str">
        <f aca="false">IF(D19="","",IFERROR(INDEX(ProjCodes,MATCH(D19,ProjNames,0)),""))</f>
        <v/>
      </c>
      <c r="G19" s="32"/>
      <c r="H19" s="11"/>
      <c r="I19" s="33"/>
      <c r="J19" s="8" t="str">
        <f aca="false">IF(COUNTA(B19,D19,G19,H19,I19)=0,"",IF(B19="","Enter date",IF(OR(B19&lt;$AC$2,B19&gt;$AC$3),"Date not in May",IF(D19="","Pick project",IF(ISNA(MATCH(D19,ProjNames,0)),"Project not in list",IF(G19="","Add task description",IF(H19="","Pick NTIME or P6",IF(N(I19)&lt;=0,"Enter hours",IF(AND(AllowOT&lt;&gt;"Yes",SUMIF($B$7:$B$256,B19,$I$7:$I$256)&gt;INDEX($O$58:$O$88,DAY(B19))),"Day over "&amp;INDEX($O$58:$O$88,DAY(B19))&amp;" h","✓")))))))))</f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tr">
        <f aca="false">IF(Projects!B17="","",Projects!B17)</f>
        <v/>
      </c>
      <c r="X19" s="1" t="n">
        <f aca="false">IF(W19="",0,SUMIFS($I$7:$I$256,$D$7:$D$256,W19,$H$7:$H$256,"NTIME"))</f>
        <v>0</v>
      </c>
      <c r="Y19" s="1" t="n">
        <f aca="false">IF(W19="",0,SUMIFS($I$7:$I$256,$D$7:$D$256,W19,$H$7:$H$256,"P6"))</f>
        <v>0</v>
      </c>
      <c r="Z19" s="1" t="n">
        <f aca="false">X19+Y19</f>
        <v>0</v>
      </c>
      <c r="AA19" s="1" t="n">
        <f aca="false">IF(Z19&gt;0,Z19+(201-13)/10^6,0)</f>
        <v>0</v>
      </c>
      <c r="AB19" s="1"/>
      <c r="AC19" s="1"/>
      <c r="AD19" s="1"/>
      <c r="AE19" s="1"/>
      <c r="AF19" s="1"/>
      <c r="AG19" s="1"/>
      <c r="AH19" s="1"/>
    </row>
    <row r="20" customFormat="false" ht="15" hidden="false" customHeight="false" outlineLevel="0" collapsed="false">
      <c r="A20" s="1"/>
      <c r="B20" s="10"/>
      <c r="C20" s="31" t="str">
        <f aca="false">IF(B20="","",TEXT(B20,"ddd"))</f>
        <v/>
      </c>
      <c r="D20" s="11"/>
      <c r="E20" s="8" t="str">
        <f aca="false">IF(D20="","",IFERROR(INDEX(ProjNumbers,MATCH(D20,ProjNames,0)),""))</f>
        <v/>
      </c>
      <c r="F20" s="8" t="str">
        <f aca="false">IF(D20="","",IFERROR(INDEX(ProjCodes,MATCH(D20,ProjNames,0)),""))</f>
        <v/>
      </c>
      <c r="G20" s="32"/>
      <c r="H20" s="11"/>
      <c r="I20" s="33"/>
      <c r="J20" s="8" t="str">
        <f aca="false">IF(COUNTA(B20,D20,G20,H20,I20)=0,"",IF(B20="","Enter date",IF(OR(B20&lt;$AC$2,B20&gt;$AC$3),"Date not in May",IF(D20="","Pick project",IF(ISNA(MATCH(D20,ProjNames,0)),"Project not in list",IF(G20="","Add task description",IF(H20="","Pick NTIME or P6",IF(N(I20)&lt;=0,"Enter hours",IF(AND(AllowOT&lt;&gt;"Yes",SUMIF($B$7:$B$256,B20,$I$7:$I$256)&gt;INDEX($O$58:$O$88,DAY(B20))),"Day over "&amp;INDEX($O$58:$O$88,DAY(B20))&amp;" h","✓")))))))))</f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tr">
        <f aca="false">IF(Projects!B18="","",Projects!B18)</f>
        <v/>
      </c>
      <c r="X20" s="1" t="n">
        <f aca="false">IF(W20="",0,SUMIFS($I$7:$I$256,$D$7:$D$256,W20,$H$7:$H$256,"NTIME"))</f>
        <v>0</v>
      </c>
      <c r="Y20" s="1" t="n">
        <f aca="false">IF(W20="",0,SUMIFS($I$7:$I$256,$D$7:$D$256,W20,$H$7:$H$256,"P6"))</f>
        <v>0</v>
      </c>
      <c r="Z20" s="1" t="n">
        <f aca="false">X20+Y20</f>
        <v>0</v>
      </c>
      <c r="AA20" s="1" t="n">
        <f aca="false">IF(Z20&gt;0,Z20+(201-14)/10^6,0)</f>
        <v>0</v>
      </c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/>
      <c r="B21" s="10"/>
      <c r="C21" s="31" t="str">
        <f aca="false">IF(B21="","",TEXT(B21,"ddd"))</f>
        <v/>
      </c>
      <c r="D21" s="11"/>
      <c r="E21" s="8" t="str">
        <f aca="false">IF(D21="","",IFERROR(INDEX(ProjNumbers,MATCH(D21,ProjNames,0)),""))</f>
        <v/>
      </c>
      <c r="F21" s="8" t="str">
        <f aca="false">IF(D21="","",IFERROR(INDEX(ProjCodes,MATCH(D21,ProjNames,0)),""))</f>
        <v/>
      </c>
      <c r="G21" s="32"/>
      <c r="H21" s="11"/>
      <c r="I21" s="33"/>
      <c r="J21" s="8" t="str">
        <f aca="false">IF(COUNTA(B21,D21,G21,H21,I21)=0,"",IF(B21="","Enter date",IF(OR(B21&lt;$AC$2,B21&gt;$AC$3),"Date not in May",IF(D21="","Pick project",IF(ISNA(MATCH(D21,ProjNames,0)),"Project not in list",IF(G21="","Add task description",IF(H21="","Pick NTIME or P6",IF(N(I21)&lt;=0,"Enter hours",IF(AND(AllowOT&lt;&gt;"Yes",SUMIF($B$7:$B$256,B21,$I$7:$I$256)&gt;INDEX($O$58:$O$88,DAY(B21))),"Day over "&amp;INDEX($O$58:$O$88,DAY(B21))&amp;" h","✓")))))))))</f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tr">
        <f aca="false">IF(Projects!B19="","",Projects!B19)</f>
        <v/>
      </c>
      <c r="X21" s="1" t="n">
        <f aca="false">IF(W21="",0,SUMIFS($I$7:$I$256,$D$7:$D$256,W21,$H$7:$H$256,"NTIME"))</f>
        <v>0</v>
      </c>
      <c r="Y21" s="1" t="n">
        <f aca="false">IF(W21="",0,SUMIFS($I$7:$I$256,$D$7:$D$256,W21,$H$7:$H$256,"P6"))</f>
        <v>0</v>
      </c>
      <c r="Z21" s="1" t="n">
        <f aca="false">X21+Y21</f>
        <v>0</v>
      </c>
      <c r="AA21" s="1" t="n">
        <f aca="false">IF(Z21&gt;0,Z21+(201-15)/10^6,0)</f>
        <v>0</v>
      </c>
      <c r="AB21" s="1"/>
      <c r="AC21" s="1"/>
      <c r="AD21" s="1"/>
      <c r="AE21" s="1"/>
      <c r="AF21" s="1"/>
      <c r="AG21" s="1"/>
      <c r="AH21" s="1"/>
    </row>
    <row r="22" customFormat="false" ht="15" hidden="false" customHeight="false" outlineLevel="0" collapsed="false">
      <c r="A22" s="1"/>
      <c r="B22" s="10"/>
      <c r="C22" s="31" t="str">
        <f aca="false">IF(B22="","",TEXT(B22,"ddd"))</f>
        <v/>
      </c>
      <c r="D22" s="11"/>
      <c r="E22" s="8" t="str">
        <f aca="false">IF(D22="","",IFERROR(INDEX(ProjNumbers,MATCH(D22,ProjNames,0)),""))</f>
        <v/>
      </c>
      <c r="F22" s="8" t="str">
        <f aca="false">IF(D22="","",IFERROR(INDEX(ProjCodes,MATCH(D22,ProjNames,0)),""))</f>
        <v/>
      </c>
      <c r="G22" s="32"/>
      <c r="H22" s="11"/>
      <c r="I22" s="33"/>
      <c r="J22" s="8" t="str">
        <f aca="false">IF(COUNTA(B22,D22,G22,H22,I22)=0,"",IF(B22="","Enter date",IF(OR(B22&lt;$AC$2,B22&gt;$AC$3),"Date not in May",IF(D22="","Pick project",IF(ISNA(MATCH(D22,ProjNames,0)),"Project not in list",IF(G22="","Add task description",IF(H22="","Pick NTIME or P6",IF(N(I22)&lt;=0,"Enter hours",IF(AND(AllowOT&lt;&gt;"Yes",SUMIF($B$7:$B$256,B22,$I$7:$I$256)&gt;INDEX($O$58:$O$88,DAY(B22))),"Day over "&amp;INDEX($O$58:$O$88,DAY(B22))&amp;" h","✓")))))))))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tr">
        <f aca="false">IF(Projects!B20="","",Projects!B20)</f>
        <v/>
      </c>
      <c r="X22" s="1" t="n">
        <f aca="false">IF(W22="",0,SUMIFS($I$7:$I$256,$D$7:$D$256,W22,$H$7:$H$256,"NTIME"))</f>
        <v>0</v>
      </c>
      <c r="Y22" s="1" t="n">
        <f aca="false">IF(W22="",0,SUMIFS($I$7:$I$256,$D$7:$D$256,W22,$H$7:$H$256,"P6"))</f>
        <v>0</v>
      </c>
      <c r="Z22" s="1" t="n">
        <f aca="false">X22+Y22</f>
        <v>0</v>
      </c>
      <c r="AA22" s="1" t="n">
        <f aca="false">IF(Z22&gt;0,Z22+(201-16)/10^6,0)</f>
        <v>0</v>
      </c>
      <c r="AB22" s="1"/>
      <c r="AC22" s="1"/>
      <c r="AD22" s="1"/>
      <c r="AE22" s="1"/>
      <c r="AF22" s="1"/>
      <c r="AG22" s="1"/>
      <c r="AH22" s="1"/>
    </row>
    <row r="23" customFormat="false" ht="15" hidden="false" customHeight="false" outlineLevel="0" collapsed="false">
      <c r="A23" s="1"/>
      <c r="B23" s="10"/>
      <c r="C23" s="31" t="str">
        <f aca="false">IF(B23="","",TEXT(B23,"ddd"))</f>
        <v/>
      </c>
      <c r="D23" s="11"/>
      <c r="E23" s="8" t="str">
        <f aca="false">IF(D23="","",IFERROR(INDEX(ProjNumbers,MATCH(D23,ProjNames,0)),""))</f>
        <v/>
      </c>
      <c r="F23" s="8" t="str">
        <f aca="false">IF(D23="","",IFERROR(INDEX(ProjCodes,MATCH(D23,ProjNames,0)),""))</f>
        <v/>
      </c>
      <c r="G23" s="32"/>
      <c r="H23" s="11"/>
      <c r="I23" s="33"/>
      <c r="J23" s="8" t="str">
        <f aca="false">IF(COUNTA(B23,D23,G23,H23,I23)=0,"",IF(B23="","Enter date",IF(OR(B23&lt;$AC$2,B23&gt;$AC$3),"Date not in May",IF(D23="","Pick project",IF(ISNA(MATCH(D23,ProjNames,0)),"Project not in list",IF(G23="","Add task description",IF(H23="","Pick NTIME or P6",IF(N(I23)&lt;=0,"Enter hours",IF(AND(AllowOT&lt;&gt;"Yes",SUMIF($B$7:$B$256,B23,$I$7:$I$256)&gt;INDEX($O$58:$O$88,DAY(B23))),"Day over "&amp;INDEX($O$58:$O$88,DAY(B23))&amp;" h","✓")))))))))</f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tr">
        <f aca="false">IF(Projects!B21="","",Projects!B21)</f>
        <v/>
      </c>
      <c r="X23" s="1" t="n">
        <f aca="false">IF(W23="",0,SUMIFS($I$7:$I$256,$D$7:$D$256,W23,$H$7:$H$256,"NTIME"))</f>
        <v>0</v>
      </c>
      <c r="Y23" s="1" t="n">
        <f aca="false">IF(W23="",0,SUMIFS($I$7:$I$256,$D$7:$D$256,W23,$H$7:$H$256,"P6"))</f>
        <v>0</v>
      </c>
      <c r="Z23" s="1" t="n">
        <f aca="false">X23+Y23</f>
        <v>0</v>
      </c>
      <c r="AA23" s="1" t="n">
        <f aca="false">IF(Z23&gt;0,Z23+(201-17)/10^6,0)</f>
        <v>0</v>
      </c>
      <c r="AB23" s="1"/>
      <c r="AC23" s="1"/>
      <c r="AD23" s="1"/>
      <c r="AE23" s="1"/>
      <c r="AF23" s="1"/>
      <c r="AG23" s="1"/>
      <c r="AH23" s="1"/>
    </row>
    <row r="24" customFormat="false" ht="15" hidden="false" customHeight="false" outlineLevel="0" collapsed="false">
      <c r="A24" s="1"/>
      <c r="B24" s="10"/>
      <c r="C24" s="31" t="str">
        <f aca="false">IF(B24="","",TEXT(B24,"ddd"))</f>
        <v/>
      </c>
      <c r="D24" s="11"/>
      <c r="E24" s="8" t="str">
        <f aca="false">IF(D24="","",IFERROR(INDEX(ProjNumbers,MATCH(D24,ProjNames,0)),""))</f>
        <v/>
      </c>
      <c r="F24" s="8" t="str">
        <f aca="false">IF(D24="","",IFERROR(INDEX(ProjCodes,MATCH(D24,ProjNames,0)),""))</f>
        <v/>
      </c>
      <c r="G24" s="32"/>
      <c r="H24" s="11"/>
      <c r="I24" s="33"/>
      <c r="J24" s="8" t="str">
        <f aca="false">IF(COUNTA(B24,D24,G24,H24,I24)=0,"",IF(B24="","Enter date",IF(OR(B24&lt;$AC$2,B24&gt;$AC$3),"Date not in May",IF(D24="","Pick project",IF(ISNA(MATCH(D24,ProjNames,0)),"Project not in list",IF(G24="","Add task description",IF(H24="","Pick NTIME or P6",IF(N(I24)&lt;=0,"Enter hours",IF(AND(AllowOT&lt;&gt;"Yes",SUMIF($B$7:$B$256,B24,$I$7:$I$256)&gt;INDEX($O$58:$O$88,DAY(B24))),"Day over "&amp;INDEX($O$58:$O$88,DAY(B24))&amp;" h","✓")))))))))</f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tr">
        <f aca="false">IF(Projects!B22="","",Projects!B22)</f>
        <v/>
      </c>
      <c r="X24" s="1" t="n">
        <f aca="false">IF(W24="",0,SUMIFS($I$7:$I$256,$D$7:$D$256,W24,$H$7:$H$256,"NTIME"))</f>
        <v>0</v>
      </c>
      <c r="Y24" s="1" t="n">
        <f aca="false">IF(W24="",0,SUMIFS($I$7:$I$256,$D$7:$D$256,W24,$H$7:$H$256,"P6"))</f>
        <v>0</v>
      </c>
      <c r="Z24" s="1" t="n">
        <f aca="false">X24+Y24</f>
        <v>0</v>
      </c>
      <c r="AA24" s="1" t="n">
        <f aca="false">IF(Z24&gt;0,Z24+(201-18)/10^6,0)</f>
        <v>0</v>
      </c>
      <c r="AB24" s="1"/>
      <c r="AC24" s="1"/>
      <c r="AD24" s="1"/>
      <c r="AE24" s="1"/>
      <c r="AF24" s="1"/>
      <c r="AG24" s="1"/>
      <c r="AH24" s="1"/>
    </row>
    <row r="25" customFormat="false" ht="15" hidden="false" customHeight="false" outlineLevel="0" collapsed="false">
      <c r="A25" s="1"/>
      <c r="B25" s="10"/>
      <c r="C25" s="31" t="str">
        <f aca="false">IF(B25="","",TEXT(B25,"ddd"))</f>
        <v/>
      </c>
      <c r="D25" s="11"/>
      <c r="E25" s="8" t="str">
        <f aca="false">IF(D25="","",IFERROR(INDEX(ProjNumbers,MATCH(D25,ProjNames,0)),""))</f>
        <v/>
      </c>
      <c r="F25" s="8" t="str">
        <f aca="false">IF(D25="","",IFERROR(INDEX(ProjCodes,MATCH(D25,ProjNames,0)),""))</f>
        <v/>
      </c>
      <c r="G25" s="32"/>
      <c r="H25" s="11"/>
      <c r="I25" s="33"/>
      <c r="J25" s="8" t="str">
        <f aca="false">IF(COUNTA(B25,D25,G25,H25,I25)=0,"",IF(B25="","Enter date",IF(OR(B25&lt;$AC$2,B25&gt;$AC$3),"Date not in May",IF(D25="","Pick project",IF(ISNA(MATCH(D25,ProjNames,0)),"Project not in list",IF(G25="","Add task description",IF(H25="","Pick NTIME or P6",IF(N(I25)&lt;=0,"Enter hours",IF(AND(AllowOT&lt;&gt;"Yes",SUMIF($B$7:$B$256,B25,$I$7:$I$256)&gt;INDEX($O$58:$O$88,DAY(B25))),"Day over "&amp;INDEX($O$58:$O$88,DAY(B25))&amp;" h","✓")))))))))</f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tr">
        <f aca="false">IF(Projects!B23="","",Projects!B23)</f>
        <v/>
      </c>
      <c r="X25" s="1" t="n">
        <f aca="false">IF(W25="",0,SUMIFS($I$7:$I$256,$D$7:$D$256,W25,$H$7:$H$256,"NTIME"))</f>
        <v>0</v>
      </c>
      <c r="Y25" s="1" t="n">
        <f aca="false">IF(W25="",0,SUMIFS($I$7:$I$256,$D$7:$D$256,W25,$H$7:$H$256,"P6"))</f>
        <v>0</v>
      </c>
      <c r="Z25" s="1" t="n">
        <f aca="false">X25+Y25</f>
        <v>0</v>
      </c>
      <c r="AA25" s="1" t="n">
        <f aca="false">IF(Z25&gt;0,Z25+(201-19)/10^6,0)</f>
        <v>0</v>
      </c>
      <c r="AB25" s="1"/>
      <c r="AC25" s="1"/>
      <c r="AD25" s="1"/>
      <c r="AE25" s="1"/>
      <c r="AF25" s="1"/>
      <c r="AG25" s="1"/>
      <c r="AH25" s="1"/>
    </row>
    <row r="26" customFormat="false" ht="15" hidden="false" customHeight="false" outlineLevel="0" collapsed="false">
      <c r="A26" s="1"/>
      <c r="B26" s="10"/>
      <c r="C26" s="31" t="str">
        <f aca="false">IF(B26="","",TEXT(B26,"ddd"))</f>
        <v/>
      </c>
      <c r="D26" s="11"/>
      <c r="E26" s="8" t="str">
        <f aca="false">IF(D26="","",IFERROR(INDEX(ProjNumbers,MATCH(D26,ProjNames,0)),""))</f>
        <v/>
      </c>
      <c r="F26" s="8" t="str">
        <f aca="false">IF(D26="","",IFERROR(INDEX(ProjCodes,MATCH(D26,ProjNames,0)),""))</f>
        <v/>
      </c>
      <c r="G26" s="32"/>
      <c r="H26" s="11"/>
      <c r="I26" s="33"/>
      <c r="J26" s="8" t="str">
        <f aca="false">IF(COUNTA(B26,D26,G26,H26,I26)=0,"",IF(B26="","Enter date",IF(OR(B26&lt;$AC$2,B26&gt;$AC$3),"Date not in May",IF(D26="","Pick project",IF(ISNA(MATCH(D26,ProjNames,0)),"Project not in list",IF(G26="","Add task description",IF(H26="","Pick NTIME or P6",IF(N(I26)&lt;=0,"Enter hours",IF(AND(AllowOT&lt;&gt;"Yes",SUMIF($B$7:$B$256,B26,$I$7:$I$256)&gt;INDEX($O$58:$O$88,DAY(B26))),"Day over "&amp;INDEX($O$58:$O$88,DAY(B26))&amp;" h","✓")))))))))</f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tr">
        <f aca="false">IF(Projects!B24="","",Projects!B24)</f>
        <v/>
      </c>
      <c r="X26" s="1" t="n">
        <f aca="false">IF(W26="",0,SUMIFS($I$7:$I$256,$D$7:$D$256,W26,$H$7:$H$256,"NTIME"))</f>
        <v>0</v>
      </c>
      <c r="Y26" s="1" t="n">
        <f aca="false">IF(W26="",0,SUMIFS($I$7:$I$256,$D$7:$D$256,W26,$H$7:$H$256,"P6"))</f>
        <v>0</v>
      </c>
      <c r="Z26" s="1" t="n">
        <f aca="false">X26+Y26</f>
        <v>0</v>
      </c>
      <c r="AA26" s="1" t="n">
        <f aca="false">IF(Z26&gt;0,Z26+(201-20)/10^6,0)</f>
        <v>0</v>
      </c>
      <c r="AB26" s="1"/>
      <c r="AC26" s="1"/>
      <c r="AD26" s="1"/>
      <c r="AE26" s="1"/>
      <c r="AF26" s="1"/>
      <c r="AG26" s="1"/>
      <c r="AH26" s="1"/>
    </row>
    <row r="27" customFormat="false" ht="15" hidden="false" customHeight="false" outlineLevel="0" collapsed="false">
      <c r="A27" s="1"/>
      <c r="B27" s="10"/>
      <c r="C27" s="31" t="str">
        <f aca="false">IF(B27="","",TEXT(B27,"ddd"))</f>
        <v/>
      </c>
      <c r="D27" s="11"/>
      <c r="E27" s="8" t="str">
        <f aca="false">IF(D27="","",IFERROR(INDEX(ProjNumbers,MATCH(D27,ProjNames,0)),""))</f>
        <v/>
      </c>
      <c r="F27" s="8" t="str">
        <f aca="false">IF(D27="","",IFERROR(INDEX(ProjCodes,MATCH(D27,ProjNames,0)),""))</f>
        <v/>
      </c>
      <c r="G27" s="32"/>
      <c r="H27" s="11"/>
      <c r="I27" s="33"/>
      <c r="J27" s="8" t="str">
        <f aca="false">IF(COUNTA(B27,D27,G27,H27,I27)=0,"",IF(B27="","Enter date",IF(OR(B27&lt;$AC$2,B27&gt;$AC$3),"Date not in May",IF(D27="","Pick project",IF(ISNA(MATCH(D27,ProjNames,0)),"Project not in list",IF(G27="","Add task description",IF(H27="","Pick NTIME or P6",IF(N(I27)&lt;=0,"Enter hours",IF(AND(AllowOT&lt;&gt;"Yes",SUMIF($B$7:$B$256,B27,$I$7:$I$256)&gt;INDEX($O$58:$O$88,DAY(B27))),"Day over "&amp;INDEX($O$58:$O$88,DAY(B27))&amp;" h","✓")))))))))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aca="false">IF(Projects!B25="","",Projects!B25)</f>
        <v/>
      </c>
      <c r="X27" s="1" t="n">
        <f aca="false">IF(W27="",0,SUMIFS($I$7:$I$256,$D$7:$D$256,W27,$H$7:$H$256,"NTIME"))</f>
        <v>0</v>
      </c>
      <c r="Y27" s="1" t="n">
        <f aca="false">IF(W27="",0,SUMIFS($I$7:$I$256,$D$7:$D$256,W27,$H$7:$H$256,"P6"))</f>
        <v>0</v>
      </c>
      <c r="Z27" s="1" t="n">
        <f aca="false">X27+Y27</f>
        <v>0</v>
      </c>
      <c r="AA27" s="1" t="n">
        <f aca="false">IF(Z27&gt;0,Z27+(201-21)/10^6,0)</f>
        <v>0</v>
      </c>
      <c r="AB27" s="1"/>
      <c r="AC27" s="1"/>
      <c r="AD27" s="1"/>
      <c r="AE27" s="1"/>
      <c r="AF27" s="1"/>
      <c r="AG27" s="1"/>
      <c r="AH27" s="1"/>
    </row>
    <row r="28" customFormat="false" ht="15" hidden="false" customHeight="false" outlineLevel="0" collapsed="false">
      <c r="A28" s="1"/>
      <c r="B28" s="10"/>
      <c r="C28" s="31" t="str">
        <f aca="false">IF(B28="","",TEXT(B28,"ddd"))</f>
        <v/>
      </c>
      <c r="D28" s="11"/>
      <c r="E28" s="8" t="str">
        <f aca="false">IF(D28="","",IFERROR(INDEX(ProjNumbers,MATCH(D28,ProjNames,0)),""))</f>
        <v/>
      </c>
      <c r="F28" s="8" t="str">
        <f aca="false">IF(D28="","",IFERROR(INDEX(ProjCodes,MATCH(D28,ProjNames,0)),""))</f>
        <v/>
      </c>
      <c r="G28" s="32"/>
      <c r="H28" s="11"/>
      <c r="I28" s="33"/>
      <c r="J28" s="8" t="str">
        <f aca="false">IF(COUNTA(B28,D28,G28,H28,I28)=0,"",IF(B28="","Enter date",IF(OR(B28&lt;$AC$2,B28&gt;$AC$3),"Date not in May",IF(D28="","Pick project",IF(ISNA(MATCH(D28,ProjNames,0)),"Project not in list",IF(G28="","Add task description",IF(H28="","Pick NTIME or P6",IF(N(I28)&lt;=0,"Enter hours",IF(AND(AllowOT&lt;&gt;"Yes",SUMIF($B$7:$B$256,B28,$I$7:$I$256)&gt;INDEX($O$58:$O$88,DAY(B28))),"Day over "&amp;INDEX($O$58:$O$88,DAY(B28))&amp;" h","✓")))))))))</f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tr">
        <f aca="false">IF(Projects!B26="","",Projects!B26)</f>
        <v/>
      </c>
      <c r="X28" s="1" t="n">
        <f aca="false">IF(W28="",0,SUMIFS($I$7:$I$256,$D$7:$D$256,W28,$H$7:$H$256,"NTIME"))</f>
        <v>0</v>
      </c>
      <c r="Y28" s="1" t="n">
        <f aca="false">IF(W28="",0,SUMIFS($I$7:$I$256,$D$7:$D$256,W28,$H$7:$H$256,"P6"))</f>
        <v>0</v>
      </c>
      <c r="Z28" s="1" t="n">
        <f aca="false">X28+Y28</f>
        <v>0</v>
      </c>
      <c r="AA28" s="1" t="n">
        <f aca="false">IF(Z28&gt;0,Z28+(201-22)/10^6,0)</f>
        <v>0</v>
      </c>
      <c r="AB28" s="1"/>
      <c r="AC28" s="1"/>
      <c r="AD28" s="1"/>
      <c r="AE28" s="1"/>
      <c r="AF28" s="1"/>
      <c r="AG28" s="1"/>
      <c r="AH28" s="1"/>
    </row>
    <row r="29" customFormat="false" ht="15" hidden="false" customHeight="false" outlineLevel="0" collapsed="false">
      <c r="A29" s="1"/>
      <c r="B29" s="10"/>
      <c r="C29" s="31" t="str">
        <f aca="false">IF(B29="","",TEXT(B29,"ddd"))</f>
        <v/>
      </c>
      <c r="D29" s="11"/>
      <c r="E29" s="8" t="str">
        <f aca="false">IF(D29="","",IFERROR(INDEX(ProjNumbers,MATCH(D29,ProjNames,0)),""))</f>
        <v/>
      </c>
      <c r="F29" s="8" t="str">
        <f aca="false">IF(D29="","",IFERROR(INDEX(ProjCodes,MATCH(D29,ProjNames,0)),""))</f>
        <v/>
      </c>
      <c r="G29" s="32"/>
      <c r="H29" s="11"/>
      <c r="I29" s="33"/>
      <c r="J29" s="8" t="str">
        <f aca="false">IF(COUNTA(B29,D29,G29,H29,I29)=0,"",IF(B29="","Enter date",IF(OR(B29&lt;$AC$2,B29&gt;$AC$3),"Date not in May",IF(D29="","Pick project",IF(ISNA(MATCH(D29,ProjNames,0)),"Project not in list",IF(G29="","Add task description",IF(H29="","Pick NTIME or P6",IF(N(I29)&lt;=0,"Enter hours",IF(AND(AllowOT&lt;&gt;"Yes",SUMIF($B$7:$B$256,B29,$I$7:$I$256)&gt;INDEX($O$58:$O$88,DAY(B29))),"Day over "&amp;INDEX($O$58:$O$88,DAY(B29))&amp;" h","✓")))))))))</f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tr">
        <f aca="false">IF(Projects!B27="","",Projects!B27)</f>
        <v/>
      </c>
      <c r="X29" s="1" t="n">
        <f aca="false">IF(W29="",0,SUMIFS($I$7:$I$256,$D$7:$D$256,W29,$H$7:$H$256,"NTIME"))</f>
        <v>0</v>
      </c>
      <c r="Y29" s="1" t="n">
        <f aca="false">IF(W29="",0,SUMIFS($I$7:$I$256,$D$7:$D$256,W29,$H$7:$H$256,"P6"))</f>
        <v>0</v>
      </c>
      <c r="Z29" s="1" t="n">
        <f aca="false">X29+Y29</f>
        <v>0</v>
      </c>
      <c r="AA29" s="1" t="n">
        <f aca="false">IF(Z29&gt;0,Z29+(201-23)/10^6,0)</f>
        <v>0</v>
      </c>
      <c r="AB29" s="1"/>
      <c r="AC29" s="1"/>
      <c r="AD29" s="1"/>
      <c r="AE29" s="1"/>
      <c r="AF29" s="1"/>
      <c r="AG29" s="1"/>
      <c r="AH29" s="1"/>
    </row>
    <row r="30" customFormat="false" ht="15" hidden="false" customHeight="false" outlineLevel="0" collapsed="false">
      <c r="A30" s="1"/>
      <c r="B30" s="10"/>
      <c r="C30" s="31" t="str">
        <f aca="false">IF(B30="","",TEXT(B30,"ddd"))</f>
        <v/>
      </c>
      <c r="D30" s="11"/>
      <c r="E30" s="8" t="str">
        <f aca="false">IF(D30="","",IFERROR(INDEX(ProjNumbers,MATCH(D30,ProjNames,0)),""))</f>
        <v/>
      </c>
      <c r="F30" s="8" t="str">
        <f aca="false">IF(D30="","",IFERROR(INDEX(ProjCodes,MATCH(D30,ProjNames,0)),""))</f>
        <v/>
      </c>
      <c r="G30" s="32"/>
      <c r="H30" s="11"/>
      <c r="I30" s="33"/>
      <c r="J30" s="8" t="str">
        <f aca="false">IF(COUNTA(B30,D30,G30,H30,I30)=0,"",IF(B30="","Enter date",IF(OR(B30&lt;$AC$2,B30&gt;$AC$3),"Date not in May",IF(D30="","Pick project",IF(ISNA(MATCH(D30,ProjNames,0)),"Project not in list",IF(G30="","Add task description",IF(H30="","Pick NTIME or P6",IF(N(I30)&lt;=0,"Enter hours",IF(AND(AllowOT&lt;&gt;"Yes",SUMIF($B$7:$B$256,B30,$I$7:$I$256)&gt;INDEX($O$58:$O$88,DAY(B30))),"Day over "&amp;INDEX($O$58:$O$88,DAY(B30))&amp;" h","✓")))))))))</f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tr">
        <f aca="false">IF(Projects!B28="","",Projects!B28)</f>
        <v/>
      </c>
      <c r="X30" s="1" t="n">
        <f aca="false">IF(W30="",0,SUMIFS($I$7:$I$256,$D$7:$D$256,W30,$H$7:$H$256,"NTIME"))</f>
        <v>0</v>
      </c>
      <c r="Y30" s="1" t="n">
        <f aca="false">IF(W30="",0,SUMIFS($I$7:$I$256,$D$7:$D$256,W30,$H$7:$H$256,"P6"))</f>
        <v>0</v>
      </c>
      <c r="Z30" s="1" t="n">
        <f aca="false">X30+Y30</f>
        <v>0</v>
      </c>
      <c r="AA30" s="1" t="n">
        <f aca="false">IF(Z30&gt;0,Z30+(201-24)/10^6,0)</f>
        <v>0</v>
      </c>
      <c r="AB30" s="1"/>
      <c r="AC30" s="1"/>
      <c r="AD30" s="1"/>
      <c r="AE30" s="1"/>
      <c r="AF30" s="1"/>
      <c r="AG30" s="1"/>
      <c r="AH30" s="1"/>
    </row>
    <row r="31" customFormat="false" ht="15" hidden="false" customHeight="false" outlineLevel="0" collapsed="false">
      <c r="A31" s="1"/>
      <c r="B31" s="10"/>
      <c r="C31" s="31" t="str">
        <f aca="false">IF(B31="","",TEXT(B31,"ddd"))</f>
        <v/>
      </c>
      <c r="D31" s="11"/>
      <c r="E31" s="8" t="str">
        <f aca="false">IF(D31="","",IFERROR(INDEX(ProjNumbers,MATCH(D31,ProjNames,0)),""))</f>
        <v/>
      </c>
      <c r="F31" s="8" t="str">
        <f aca="false">IF(D31="","",IFERROR(INDEX(ProjCodes,MATCH(D31,ProjNames,0)),""))</f>
        <v/>
      </c>
      <c r="G31" s="32"/>
      <c r="H31" s="11"/>
      <c r="I31" s="33"/>
      <c r="J31" s="8" t="str">
        <f aca="false">IF(COUNTA(B31,D31,G31,H31,I31)=0,"",IF(B31="","Enter date",IF(OR(B31&lt;$AC$2,B31&gt;$AC$3),"Date not in May",IF(D31="","Pick project",IF(ISNA(MATCH(D31,ProjNames,0)),"Project not in list",IF(G31="","Add task description",IF(H31="","Pick NTIME or P6",IF(N(I31)&lt;=0,"Enter hours",IF(AND(AllowOT&lt;&gt;"Yes",SUMIF($B$7:$B$256,B31,$I$7:$I$256)&gt;INDEX($O$58:$O$88,DAY(B31))),"Day over "&amp;INDEX($O$58:$O$88,DAY(B31))&amp;" h","✓")))))))))</f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tr">
        <f aca="false">IF(Projects!B29="","",Projects!B29)</f>
        <v/>
      </c>
      <c r="X31" s="1" t="n">
        <f aca="false">IF(W31="",0,SUMIFS($I$7:$I$256,$D$7:$D$256,W31,$H$7:$H$256,"NTIME"))</f>
        <v>0</v>
      </c>
      <c r="Y31" s="1" t="n">
        <f aca="false">IF(W31="",0,SUMIFS($I$7:$I$256,$D$7:$D$256,W31,$H$7:$H$256,"P6"))</f>
        <v>0</v>
      </c>
      <c r="Z31" s="1" t="n">
        <f aca="false">X31+Y31</f>
        <v>0</v>
      </c>
      <c r="AA31" s="1" t="n">
        <f aca="false">IF(Z31&gt;0,Z31+(201-25)/10^6,0)</f>
        <v>0</v>
      </c>
      <c r="AB31" s="1"/>
      <c r="AC31" s="1"/>
      <c r="AD31" s="1"/>
      <c r="AE31" s="1"/>
      <c r="AF31" s="1"/>
      <c r="AG31" s="1"/>
      <c r="AH31" s="1"/>
    </row>
    <row r="32" customFormat="false" ht="15" hidden="false" customHeight="false" outlineLevel="0" collapsed="false">
      <c r="A32" s="1"/>
      <c r="B32" s="10"/>
      <c r="C32" s="31" t="str">
        <f aca="false">IF(B32="","",TEXT(B32,"ddd"))</f>
        <v/>
      </c>
      <c r="D32" s="11"/>
      <c r="E32" s="8" t="str">
        <f aca="false">IF(D32="","",IFERROR(INDEX(ProjNumbers,MATCH(D32,ProjNames,0)),""))</f>
        <v/>
      </c>
      <c r="F32" s="8" t="str">
        <f aca="false">IF(D32="","",IFERROR(INDEX(ProjCodes,MATCH(D32,ProjNames,0)),""))</f>
        <v/>
      </c>
      <c r="G32" s="32"/>
      <c r="H32" s="11"/>
      <c r="I32" s="33"/>
      <c r="J32" s="8" t="str">
        <f aca="false">IF(COUNTA(B32,D32,G32,H32,I32)=0,"",IF(B32="","Enter date",IF(OR(B32&lt;$AC$2,B32&gt;$AC$3),"Date not in May",IF(D32="","Pick project",IF(ISNA(MATCH(D32,ProjNames,0)),"Project not in list",IF(G32="","Add task description",IF(H32="","Pick NTIME or P6",IF(N(I32)&lt;=0,"Enter hours",IF(AND(AllowOT&lt;&gt;"Yes",SUMIF($B$7:$B$256,B32,$I$7:$I$256)&gt;INDEX($O$58:$O$88,DAY(B32))),"Day over "&amp;INDEX($O$58:$O$88,DAY(B32))&amp;" h","✓")))))))))</f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tr">
        <f aca="false">IF(Projects!B30="","",Projects!B30)</f>
        <v/>
      </c>
      <c r="X32" s="1" t="n">
        <f aca="false">IF(W32="",0,SUMIFS($I$7:$I$256,$D$7:$D$256,W32,$H$7:$H$256,"NTIME"))</f>
        <v>0</v>
      </c>
      <c r="Y32" s="1" t="n">
        <f aca="false">IF(W32="",0,SUMIFS($I$7:$I$256,$D$7:$D$256,W32,$H$7:$H$256,"P6"))</f>
        <v>0</v>
      </c>
      <c r="Z32" s="1" t="n">
        <f aca="false">X32+Y32</f>
        <v>0</v>
      </c>
      <c r="AA32" s="1" t="n">
        <f aca="false">IF(Z32&gt;0,Z32+(201-26)/10^6,0)</f>
        <v>0</v>
      </c>
      <c r="AB32" s="1"/>
      <c r="AC32" s="1"/>
      <c r="AD32" s="1"/>
      <c r="AE32" s="1"/>
      <c r="AF32" s="1"/>
      <c r="AG32" s="1"/>
      <c r="AH32" s="1"/>
    </row>
    <row r="33" customFormat="false" ht="15" hidden="false" customHeight="false" outlineLevel="0" collapsed="false">
      <c r="A33" s="1"/>
      <c r="B33" s="10"/>
      <c r="C33" s="31" t="str">
        <f aca="false">IF(B33="","",TEXT(B33,"ddd"))</f>
        <v/>
      </c>
      <c r="D33" s="11"/>
      <c r="E33" s="8" t="str">
        <f aca="false">IF(D33="","",IFERROR(INDEX(ProjNumbers,MATCH(D33,ProjNames,0)),""))</f>
        <v/>
      </c>
      <c r="F33" s="8" t="str">
        <f aca="false">IF(D33="","",IFERROR(INDEX(ProjCodes,MATCH(D33,ProjNames,0)),""))</f>
        <v/>
      </c>
      <c r="G33" s="32"/>
      <c r="H33" s="11"/>
      <c r="I33" s="33"/>
      <c r="J33" s="8" t="str">
        <f aca="false">IF(COUNTA(B33,D33,G33,H33,I33)=0,"",IF(B33="","Enter date",IF(OR(B33&lt;$AC$2,B33&gt;$AC$3),"Date not in May",IF(D33="","Pick project",IF(ISNA(MATCH(D33,ProjNames,0)),"Project not in list",IF(G33="","Add task description",IF(H33="","Pick NTIME or P6",IF(N(I33)&lt;=0,"Enter hours",IF(AND(AllowOT&lt;&gt;"Yes",SUMIF($B$7:$B$256,B33,$I$7:$I$256)&gt;INDEX($O$58:$O$88,DAY(B33))),"Day over "&amp;INDEX($O$58:$O$88,DAY(B33))&amp;" h","✓")))))))))</f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tr">
        <f aca="false">IF(Projects!B31="","",Projects!B31)</f>
        <v/>
      </c>
      <c r="X33" s="1" t="n">
        <f aca="false">IF(W33="",0,SUMIFS($I$7:$I$256,$D$7:$D$256,W33,$H$7:$H$256,"NTIME"))</f>
        <v>0</v>
      </c>
      <c r="Y33" s="1" t="n">
        <f aca="false">IF(W33="",0,SUMIFS($I$7:$I$256,$D$7:$D$256,W33,$H$7:$H$256,"P6"))</f>
        <v>0</v>
      </c>
      <c r="Z33" s="1" t="n">
        <f aca="false">X33+Y33</f>
        <v>0</v>
      </c>
      <c r="AA33" s="1" t="n">
        <f aca="false">IF(Z33&gt;0,Z33+(201-27)/10^6,0)</f>
        <v>0</v>
      </c>
      <c r="AB33" s="1"/>
      <c r="AC33" s="1"/>
      <c r="AD33" s="1"/>
      <c r="AE33" s="1"/>
      <c r="AF33" s="1"/>
      <c r="AG33" s="1"/>
      <c r="AH33" s="1"/>
    </row>
    <row r="34" customFormat="false" ht="15" hidden="false" customHeight="false" outlineLevel="0" collapsed="false">
      <c r="A34" s="1"/>
      <c r="B34" s="10"/>
      <c r="C34" s="31" t="str">
        <f aca="false">IF(B34="","",TEXT(B34,"ddd"))</f>
        <v/>
      </c>
      <c r="D34" s="11"/>
      <c r="E34" s="8" t="str">
        <f aca="false">IF(D34="","",IFERROR(INDEX(ProjNumbers,MATCH(D34,ProjNames,0)),""))</f>
        <v/>
      </c>
      <c r="F34" s="8" t="str">
        <f aca="false">IF(D34="","",IFERROR(INDEX(ProjCodes,MATCH(D34,ProjNames,0)),""))</f>
        <v/>
      </c>
      <c r="G34" s="32"/>
      <c r="H34" s="11"/>
      <c r="I34" s="33"/>
      <c r="J34" s="8" t="str">
        <f aca="false">IF(COUNTA(B34,D34,G34,H34,I34)=0,"",IF(B34="","Enter date",IF(OR(B34&lt;$AC$2,B34&gt;$AC$3),"Date not in May",IF(D34="","Pick project",IF(ISNA(MATCH(D34,ProjNames,0)),"Project not in list",IF(G34="","Add task description",IF(H34="","Pick NTIME or P6",IF(N(I34)&lt;=0,"Enter hours",IF(AND(AllowOT&lt;&gt;"Yes",SUMIF($B$7:$B$256,B34,$I$7:$I$256)&gt;INDEX($O$58:$O$88,DAY(B34))),"Day over "&amp;INDEX($O$58:$O$88,DAY(B34))&amp;" h","✓")))))))))</f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tr">
        <f aca="false">IF(Projects!B32="","",Projects!B32)</f>
        <v/>
      </c>
      <c r="X34" s="1" t="n">
        <f aca="false">IF(W34="",0,SUMIFS($I$7:$I$256,$D$7:$D$256,W34,$H$7:$H$256,"NTIME"))</f>
        <v>0</v>
      </c>
      <c r="Y34" s="1" t="n">
        <f aca="false">IF(W34="",0,SUMIFS($I$7:$I$256,$D$7:$D$256,W34,$H$7:$H$256,"P6"))</f>
        <v>0</v>
      </c>
      <c r="Z34" s="1" t="n">
        <f aca="false">X34+Y34</f>
        <v>0</v>
      </c>
      <c r="AA34" s="1" t="n">
        <f aca="false">IF(Z34&gt;0,Z34+(201-28)/10^6,0)</f>
        <v>0</v>
      </c>
      <c r="AB34" s="1"/>
      <c r="AC34" s="1"/>
      <c r="AD34" s="1"/>
      <c r="AE34" s="1"/>
      <c r="AF34" s="1"/>
      <c r="AG34" s="1"/>
      <c r="AH34" s="1"/>
    </row>
    <row r="35" customFormat="false" ht="15" hidden="false" customHeight="false" outlineLevel="0" collapsed="false">
      <c r="A35" s="1"/>
      <c r="B35" s="10"/>
      <c r="C35" s="31" t="str">
        <f aca="false">IF(B35="","",TEXT(B35,"ddd"))</f>
        <v/>
      </c>
      <c r="D35" s="11"/>
      <c r="E35" s="8" t="str">
        <f aca="false">IF(D35="","",IFERROR(INDEX(ProjNumbers,MATCH(D35,ProjNames,0)),""))</f>
        <v/>
      </c>
      <c r="F35" s="8" t="str">
        <f aca="false">IF(D35="","",IFERROR(INDEX(ProjCodes,MATCH(D35,ProjNames,0)),""))</f>
        <v/>
      </c>
      <c r="G35" s="32"/>
      <c r="H35" s="11"/>
      <c r="I35" s="33"/>
      <c r="J35" s="8" t="str">
        <f aca="false">IF(COUNTA(B35,D35,G35,H35,I35)=0,"",IF(B35="","Enter date",IF(OR(B35&lt;$AC$2,B35&gt;$AC$3),"Date not in May",IF(D35="","Pick project",IF(ISNA(MATCH(D35,ProjNames,0)),"Project not in list",IF(G35="","Add task description",IF(H35="","Pick NTIME or P6",IF(N(I35)&lt;=0,"Enter hours",IF(AND(AllowOT&lt;&gt;"Yes",SUMIF($B$7:$B$256,B35,$I$7:$I$256)&gt;INDEX($O$58:$O$88,DAY(B35))),"Day over "&amp;INDEX($O$58:$O$88,DAY(B35))&amp;" h","✓")))))))))</f>
        <v/>
      </c>
      <c r="K35" s="1"/>
      <c r="L35" s="4" t="s">
        <v>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 t="str">
        <f aca="false">IF(Projects!B33="","",Projects!B33)</f>
        <v/>
      </c>
      <c r="X35" s="1" t="n">
        <f aca="false">IF(W35="",0,SUMIFS($I$7:$I$256,$D$7:$D$256,W35,$H$7:$H$256,"NTIME"))</f>
        <v>0</v>
      </c>
      <c r="Y35" s="1" t="n">
        <f aca="false">IF(W35="",0,SUMIFS($I$7:$I$256,$D$7:$D$256,W35,$H$7:$H$256,"P6"))</f>
        <v>0</v>
      </c>
      <c r="Z35" s="1" t="n">
        <f aca="false">X35+Y35</f>
        <v>0</v>
      </c>
      <c r="AA35" s="1" t="n">
        <f aca="false">IF(Z35&gt;0,Z35+(201-29)/10^6,0)</f>
        <v>0</v>
      </c>
      <c r="AB35" s="1"/>
      <c r="AC35" s="1"/>
      <c r="AD35" s="1"/>
      <c r="AE35" s="1"/>
      <c r="AF35" s="1"/>
      <c r="AG35" s="1"/>
      <c r="AH35" s="1"/>
    </row>
    <row r="36" customFormat="false" ht="23.85" hidden="false" customHeight="false" outlineLevel="0" collapsed="false">
      <c r="A36" s="1"/>
      <c r="B36" s="10"/>
      <c r="C36" s="31" t="str">
        <f aca="false">IF(B36="","",TEXT(B36,"ddd"))</f>
        <v/>
      </c>
      <c r="D36" s="11"/>
      <c r="E36" s="8" t="str">
        <f aca="false">IF(D36="","",IFERROR(INDEX(ProjNumbers,MATCH(D36,ProjNames,0)),""))</f>
        <v/>
      </c>
      <c r="F36" s="8" t="str">
        <f aca="false">IF(D36="","",IFERROR(INDEX(ProjCodes,MATCH(D36,ProjNames,0)),""))</f>
        <v/>
      </c>
      <c r="G36" s="32"/>
      <c r="H36" s="11"/>
      <c r="I36" s="33"/>
      <c r="J36" s="8" t="str">
        <f aca="false">IF(COUNTA(B36,D36,G36,H36,I36)=0,"",IF(B36="","Enter date",IF(OR(B36&lt;$AC$2,B36&gt;$AC$3),"Date not in May",IF(D36="","Pick project",IF(ISNA(MATCH(D36,ProjNames,0)),"Project not in list",IF(G36="","Add task description",IF(H36="","Pick NTIME or P6",IF(N(I36)&lt;=0,"Enter hours",IF(AND(AllowOT&lt;&gt;"Yes",SUMIF($B$7:$B$256,B36,$I$7:$I$256)&gt;INDEX($O$58:$O$88,DAY(B36))),"Day over "&amp;INDEX($O$58:$O$88,DAY(B36))&amp;" h","✓")))))))))</f>
        <v/>
      </c>
      <c r="K36" s="1"/>
      <c r="L36" s="9" t="s">
        <v>72</v>
      </c>
      <c r="M36" s="9" t="s">
        <v>36</v>
      </c>
      <c r="N36" s="9" t="s">
        <v>37</v>
      </c>
      <c r="O36" s="20" t="s">
        <v>46</v>
      </c>
      <c r="P36" s="21" t="s">
        <v>56</v>
      </c>
      <c r="Q36" s="9" t="s">
        <v>57</v>
      </c>
      <c r="R36" s="9" t="s">
        <v>86</v>
      </c>
      <c r="S36" s="1"/>
      <c r="T36" s="1"/>
      <c r="U36" s="1"/>
      <c r="V36" s="1"/>
      <c r="W36" s="1" t="str">
        <f aca="false">IF(Projects!B34="","",Projects!B34)</f>
        <v/>
      </c>
      <c r="X36" s="1" t="n">
        <f aca="false">IF(W36="",0,SUMIFS($I$7:$I$256,$D$7:$D$256,W36,$H$7:$H$256,"NTIME"))</f>
        <v>0</v>
      </c>
      <c r="Y36" s="1" t="n">
        <f aca="false">IF(W36="",0,SUMIFS($I$7:$I$256,$D$7:$D$256,W36,$H$7:$H$256,"P6"))</f>
        <v>0</v>
      </c>
      <c r="Z36" s="1" t="n">
        <f aca="false">X36+Y36</f>
        <v>0</v>
      </c>
      <c r="AA36" s="1" t="n">
        <f aca="false">IF(Z36&gt;0,Z36+(201-30)/10^6,0)</f>
        <v>0</v>
      </c>
      <c r="AB36" s="1"/>
      <c r="AC36" s="1"/>
      <c r="AD36" s="1"/>
      <c r="AE36" s="1"/>
      <c r="AF36" s="1"/>
      <c r="AG36" s="1"/>
      <c r="AH36" s="1"/>
    </row>
    <row r="37" customFormat="false" ht="15" hidden="false" customHeight="false" outlineLevel="0" collapsed="false">
      <c r="A37" s="1"/>
      <c r="B37" s="10"/>
      <c r="C37" s="31" t="str">
        <f aca="false">IF(B37="","",TEXT(B37,"ddd"))</f>
        <v/>
      </c>
      <c r="D37" s="11"/>
      <c r="E37" s="8" t="str">
        <f aca="false">IF(D37="","",IFERROR(INDEX(ProjNumbers,MATCH(D37,ProjNames,0)),""))</f>
        <v/>
      </c>
      <c r="F37" s="8" t="str">
        <f aca="false">IF(D37="","",IFERROR(INDEX(ProjCodes,MATCH(D37,ProjNames,0)),""))</f>
        <v/>
      </c>
      <c r="G37" s="32"/>
      <c r="H37" s="11"/>
      <c r="I37" s="33"/>
      <c r="J37" s="8" t="str">
        <f aca="false">IF(COUNTA(B37,D37,G37,H37,I37)=0,"",IF(B37="","Enter date",IF(OR(B37&lt;$AC$2,B37&gt;$AC$3),"Date not in May",IF(D37="","Pick project",IF(ISNA(MATCH(D37,ProjNames,0)),"Project not in list",IF(G37="","Add task description",IF(H37="","Pick NTIME or P6",IF(N(I37)&lt;=0,"Enter hours",IF(AND(AllowOT&lt;&gt;"Yes",SUMIF($B$7:$B$256,B37,$I$7:$I$256)&gt;INDEX($O$58:$O$88,DAY(B37))),"Day over "&amp;INDEX($O$58:$O$88,DAY(B37))&amp;" h","✓")))))))))</f>
        <v/>
      </c>
      <c r="K37" s="1"/>
      <c r="L37" s="24" t="str">
        <f aca="false">IF($AD37=0,"",INDEX($W$7:$W$206,$AD37))</f>
        <v/>
      </c>
      <c r="M37" s="24" t="str">
        <f aca="false">IF($AD37=0,"",INDEX(ProjNumbers,$AD37))</f>
        <v/>
      </c>
      <c r="N37" s="24" t="str">
        <f aca="false">IF($AD37=0,"",INDEX(ProjCodes,$AD37))</f>
        <v/>
      </c>
      <c r="O37" s="24" t="str">
        <f aca="false">IF($AD37=0,"",INDEX($X$7:$X$206,$AD37))</f>
        <v/>
      </c>
      <c r="P37" s="24" t="str">
        <f aca="false">IF($AD37=0,"",INDEX($Y$7:$Y$206,$AD37))</f>
        <v/>
      </c>
      <c r="Q37" s="24" t="str">
        <f aca="false">IF($AD37=0,"",INDEX($Z$7:$Z$206,$AD37))</f>
        <v/>
      </c>
      <c r="R37" s="25" t="str">
        <f aca="false">IF(OR($AD37=0,$L$5=0),"",Q37/$L$5)</f>
        <v/>
      </c>
      <c r="S37" s="1"/>
      <c r="T37" s="1"/>
      <c r="U37" s="1"/>
      <c r="V37" s="1"/>
      <c r="W37" s="1" t="str">
        <f aca="false">IF(Projects!B35="","",Projects!B35)</f>
        <v/>
      </c>
      <c r="X37" s="1" t="n">
        <f aca="false">IF(W37="",0,SUMIFS($I$7:$I$256,$D$7:$D$256,W37,$H$7:$H$256,"NTIME"))</f>
        <v>0</v>
      </c>
      <c r="Y37" s="1" t="n">
        <f aca="false">IF(W37="",0,SUMIFS($I$7:$I$256,$D$7:$D$256,W37,$H$7:$H$256,"P6"))</f>
        <v>0</v>
      </c>
      <c r="Z37" s="1" t="n">
        <f aca="false">X37+Y37</f>
        <v>0</v>
      </c>
      <c r="AA37" s="1" t="n">
        <f aca="false">IF(Z37&gt;0,Z37+(201-31)/10^6,0)</f>
        <v>0</v>
      </c>
      <c r="AB37" s="1"/>
      <c r="AC37" s="1"/>
      <c r="AD37" s="1" t="n">
        <f aca="false">IF(LARGE($AA$7:$AA$206,1)&lt;=0,0,MATCH(LARGE($AA$7:$AA$206,1),$AA$7:$AA$206,0))</f>
        <v>0</v>
      </c>
      <c r="AE37" s="1"/>
      <c r="AF37" s="1"/>
      <c r="AG37" s="1"/>
      <c r="AH37" s="1"/>
    </row>
    <row r="38" customFormat="false" ht="15" hidden="false" customHeight="false" outlineLevel="0" collapsed="false">
      <c r="A38" s="1"/>
      <c r="B38" s="10"/>
      <c r="C38" s="31" t="str">
        <f aca="false">IF(B38="","",TEXT(B38,"ddd"))</f>
        <v/>
      </c>
      <c r="D38" s="11"/>
      <c r="E38" s="8" t="str">
        <f aca="false">IF(D38="","",IFERROR(INDEX(ProjNumbers,MATCH(D38,ProjNames,0)),""))</f>
        <v/>
      </c>
      <c r="F38" s="8" t="str">
        <f aca="false">IF(D38="","",IFERROR(INDEX(ProjCodes,MATCH(D38,ProjNames,0)),""))</f>
        <v/>
      </c>
      <c r="G38" s="32"/>
      <c r="H38" s="11"/>
      <c r="I38" s="33"/>
      <c r="J38" s="8" t="str">
        <f aca="false">IF(COUNTA(B38,D38,G38,H38,I38)=0,"",IF(B38="","Enter date",IF(OR(B38&lt;$AC$2,B38&gt;$AC$3),"Date not in May",IF(D38="","Pick project",IF(ISNA(MATCH(D38,ProjNames,0)),"Project not in list",IF(G38="","Add task description",IF(H38="","Pick NTIME or P6",IF(N(I38)&lt;=0,"Enter hours",IF(AND(AllowOT&lt;&gt;"Yes",SUMIF($B$7:$B$256,B38,$I$7:$I$256)&gt;INDEX($O$58:$O$88,DAY(B38))),"Day over "&amp;INDEX($O$58:$O$88,DAY(B38))&amp;" h","✓")))))))))</f>
        <v/>
      </c>
      <c r="K38" s="1"/>
      <c r="L38" s="24" t="str">
        <f aca="false">IF($AD38=0,"",INDEX($W$7:$W$206,$AD38))</f>
        <v/>
      </c>
      <c r="M38" s="24" t="str">
        <f aca="false">IF($AD38=0,"",INDEX(ProjNumbers,$AD38))</f>
        <v/>
      </c>
      <c r="N38" s="24" t="str">
        <f aca="false">IF($AD38=0,"",INDEX(ProjCodes,$AD38))</f>
        <v/>
      </c>
      <c r="O38" s="24" t="str">
        <f aca="false">IF($AD38=0,"",INDEX($X$7:$X$206,$AD38))</f>
        <v/>
      </c>
      <c r="P38" s="24" t="str">
        <f aca="false">IF($AD38=0,"",INDEX($Y$7:$Y$206,$AD38))</f>
        <v/>
      </c>
      <c r="Q38" s="24" t="str">
        <f aca="false">IF($AD38=0,"",INDEX($Z$7:$Z$206,$AD38))</f>
        <v/>
      </c>
      <c r="R38" s="25" t="str">
        <f aca="false">IF(OR($AD38=0,$L$5=0),"",Q38/$L$5)</f>
        <v/>
      </c>
      <c r="S38" s="1"/>
      <c r="T38" s="1"/>
      <c r="U38" s="1"/>
      <c r="V38" s="1"/>
      <c r="W38" s="1" t="str">
        <f aca="false">IF(Projects!B36="","",Projects!B36)</f>
        <v/>
      </c>
      <c r="X38" s="1" t="n">
        <f aca="false">IF(W38="",0,SUMIFS($I$7:$I$256,$D$7:$D$256,W38,$H$7:$H$256,"NTIME"))</f>
        <v>0</v>
      </c>
      <c r="Y38" s="1" t="n">
        <f aca="false">IF(W38="",0,SUMIFS($I$7:$I$256,$D$7:$D$256,W38,$H$7:$H$256,"P6"))</f>
        <v>0</v>
      </c>
      <c r="Z38" s="1" t="n">
        <f aca="false">X38+Y38</f>
        <v>0</v>
      </c>
      <c r="AA38" s="1" t="n">
        <f aca="false">IF(Z38&gt;0,Z38+(201-32)/10^6,0)</f>
        <v>0</v>
      </c>
      <c r="AB38" s="1"/>
      <c r="AC38" s="1"/>
      <c r="AD38" s="1" t="n">
        <f aca="false">IF(LARGE($AA$7:$AA$206,2)&lt;=0,0,MATCH(LARGE($AA$7:$AA$206,2),$AA$7:$AA$206,0))</f>
        <v>0</v>
      </c>
      <c r="AE38" s="1"/>
      <c r="AF38" s="1"/>
      <c r="AG38" s="1"/>
      <c r="AH38" s="1"/>
    </row>
    <row r="39" customFormat="false" ht="15" hidden="false" customHeight="false" outlineLevel="0" collapsed="false">
      <c r="A39" s="1"/>
      <c r="B39" s="10"/>
      <c r="C39" s="31" t="str">
        <f aca="false">IF(B39="","",TEXT(B39,"ddd"))</f>
        <v/>
      </c>
      <c r="D39" s="11"/>
      <c r="E39" s="8" t="str">
        <f aca="false">IF(D39="","",IFERROR(INDEX(ProjNumbers,MATCH(D39,ProjNames,0)),""))</f>
        <v/>
      </c>
      <c r="F39" s="8" t="str">
        <f aca="false">IF(D39="","",IFERROR(INDEX(ProjCodes,MATCH(D39,ProjNames,0)),""))</f>
        <v/>
      </c>
      <c r="G39" s="32"/>
      <c r="H39" s="11"/>
      <c r="I39" s="33"/>
      <c r="J39" s="8" t="str">
        <f aca="false">IF(COUNTA(B39,D39,G39,H39,I39)=0,"",IF(B39="","Enter date",IF(OR(B39&lt;$AC$2,B39&gt;$AC$3),"Date not in May",IF(D39="","Pick project",IF(ISNA(MATCH(D39,ProjNames,0)),"Project not in list",IF(G39="","Add task description",IF(H39="","Pick NTIME or P6",IF(N(I39)&lt;=0,"Enter hours",IF(AND(AllowOT&lt;&gt;"Yes",SUMIF($B$7:$B$256,B39,$I$7:$I$256)&gt;INDEX($O$58:$O$88,DAY(B39))),"Day over "&amp;INDEX($O$58:$O$88,DAY(B39))&amp;" h","✓")))))))))</f>
        <v/>
      </c>
      <c r="K39" s="1"/>
      <c r="L39" s="24" t="str">
        <f aca="false">IF($AD39=0,"",INDEX($W$7:$W$206,$AD39))</f>
        <v/>
      </c>
      <c r="M39" s="24" t="str">
        <f aca="false">IF($AD39=0,"",INDEX(ProjNumbers,$AD39))</f>
        <v/>
      </c>
      <c r="N39" s="24" t="str">
        <f aca="false">IF($AD39=0,"",INDEX(ProjCodes,$AD39))</f>
        <v/>
      </c>
      <c r="O39" s="24" t="str">
        <f aca="false">IF($AD39=0,"",INDEX($X$7:$X$206,$AD39))</f>
        <v/>
      </c>
      <c r="P39" s="24" t="str">
        <f aca="false">IF($AD39=0,"",INDEX($Y$7:$Y$206,$AD39))</f>
        <v/>
      </c>
      <c r="Q39" s="24" t="str">
        <f aca="false">IF($AD39=0,"",INDEX($Z$7:$Z$206,$AD39))</f>
        <v/>
      </c>
      <c r="R39" s="25" t="str">
        <f aca="false">IF(OR($AD39=0,$L$5=0),"",Q39/$L$5)</f>
        <v/>
      </c>
      <c r="S39" s="1"/>
      <c r="T39" s="1"/>
      <c r="U39" s="1"/>
      <c r="V39" s="1"/>
      <c r="W39" s="1" t="str">
        <f aca="false">IF(Projects!B37="","",Projects!B37)</f>
        <v/>
      </c>
      <c r="X39" s="1" t="n">
        <f aca="false">IF(W39="",0,SUMIFS($I$7:$I$256,$D$7:$D$256,W39,$H$7:$H$256,"NTIME"))</f>
        <v>0</v>
      </c>
      <c r="Y39" s="1" t="n">
        <f aca="false">IF(W39="",0,SUMIFS($I$7:$I$256,$D$7:$D$256,W39,$H$7:$H$256,"P6"))</f>
        <v>0</v>
      </c>
      <c r="Z39" s="1" t="n">
        <f aca="false">X39+Y39</f>
        <v>0</v>
      </c>
      <c r="AA39" s="1" t="n">
        <f aca="false">IF(Z39&gt;0,Z39+(201-33)/10^6,0)</f>
        <v>0</v>
      </c>
      <c r="AB39" s="1"/>
      <c r="AC39" s="1"/>
      <c r="AD39" s="1" t="n">
        <f aca="false">IF(LARGE($AA$7:$AA$206,3)&lt;=0,0,MATCH(LARGE($AA$7:$AA$206,3),$AA$7:$AA$206,0))</f>
        <v>0</v>
      </c>
      <c r="AE39" s="1"/>
      <c r="AF39" s="1"/>
      <c r="AG39" s="1"/>
      <c r="AH39" s="1"/>
    </row>
    <row r="40" customFormat="false" ht="15" hidden="false" customHeight="false" outlineLevel="0" collapsed="false">
      <c r="A40" s="1"/>
      <c r="B40" s="10"/>
      <c r="C40" s="31" t="str">
        <f aca="false">IF(B40="","",TEXT(B40,"ddd"))</f>
        <v/>
      </c>
      <c r="D40" s="11"/>
      <c r="E40" s="8" t="str">
        <f aca="false">IF(D40="","",IFERROR(INDEX(ProjNumbers,MATCH(D40,ProjNames,0)),""))</f>
        <v/>
      </c>
      <c r="F40" s="8" t="str">
        <f aca="false">IF(D40="","",IFERROR(INDEX(ProjCodes,MATCH(D40,ProjNames,0)),""))</f>
        <v/>
      </c>
      <c r="G40" s="32"/>
      <c r="H40" s="11"/>
      <c r="I40" s="33"/>
      <c r="J40" s="8" t="str">
        <f aca="false">IF(COUNTA(B40,D40,G40,H40,I40)=0,"",IF(B40="","Enter date",IF(OR(B40&lt;$AC$2,B40&gt;$AC$3),"Date not in May",IF(D40="","Pick project",IF(ISNA(MATCH(D40,ProjNames,0)),"Project not in list",IF(G40="","Add task description",IF(H40="","Pick NTIME or P6",IF(N(I40)&lt;=0,"Enter hours",IF(AND(AllowOT&lt;&gt;"Yes",SUMIF($B$7:$B$256,B40,$I$7:$I$256)&gt;INDEX($O$58:$O$88,DAY(B40))),"Day over "&amp;INDEX($O$58:$O$88,DAY(B40))&amp;" h","✓")))))))))</f>
        <v/>
      </c>
      <c r="K40" s="1"/>
      <c r="L40" s="24" t="str">
        <f aca="false">IF($AD40=0,"",INDEX($W$7:$W$206,$AD40))</f>
        <v/>
      </c>
      <c r="M40" s="24" t="str">
        <f aca="false">IF($AD40=0,"",INDEX(ProjNumbers,$AD40))</f>
        <v/>
      </c>
      <c r="N40" s="24" t="str">
        <f aca="false">IF($AD40=0,"",INDEX(ProjCodes,$AD40))</f>
        <v/>
      </c>
      <c r="O40" s="24" t="str">
        <f aca="false">IF($AD40=0,"",INDEX($X$7:$X$206,$AD40))</f>
        <v/>
      </c>
      <c r="P40" s="24" t="str">
        <f aca="false">IF($AD40=0,"",INDEX($Y$7:$Y$206,$AD40))</f>
        <v/>
      </c>
      <c r="Q40" s="24" t="str">
        <f aca="false">IF($AD40=0,"",INDEX($Z$7:$Z$206,$AD40))</f>
        <v/>
      </c>
      <c r="R40" s="25" t="str">
        <f aca="false">IF(OR($AD40=0,$L$5=0),"",Q40/$L$5)</f>
        <v/>
      </c>
      <c r="S40" s="1"/>
      <c r="T40" s="1"/>
      <c r="U40" s="1"/>
      <c r="V40" s="1"/>
      <c r="W40" s="1" t="str">
        <f aca="false">IF(Projects!B38="","",Projects!B38)</f>
        <v/>
      </c>
      <c r="X40" s="1" t="n">
        <f aca="false">IF(W40="",0,SUMIFS($I$7:$I$256,$D$7:$D$256,W40,$H$7:$H$256,"NTIME"))</f>
        <v>0</v>
      </c>
      <c r="Y40" s="1" t="n">
        <f aca="false">IF(W40="",0,SUMIFS($I$7:$I$256,$D$7:$D$256,W40,$H$7:$H$256,"P6"))</f>
        <v>0</v>
      </c>
      <c r="Z40" s="1" t="n">
        <f aca="false">X40+Y40</f>
        <v>0</v>
      </c>
      <c r="AA40" s="1" t="n">
        <f aca="false">IF(Z40&gt;0,Z40+(201-34)/10^6,0)</f>
        <v>0</v>
      </c>
      <c r="AB40" s="1"/>
      <c r="AC40" s="1"/>
      <c r="AD40" s="1" t="n">
        <f aca="false">IF(LARGE($AA$7:$AA$206,4)&lt;=0,0,MATCH(LARGE($AA$7:$AA$206,4),$AA$7:$AA$206,0))</f>
        <v>0</v>
      </c>
      <c r="AE40" s="1"/>
      <c r="AF40" s="1"/>
      <c r="AG40" s="1"/>
      <c r="AH40" s="1"/>
    </row>
    <row r="41" customFormat="false" ht="15" hidden="false" customHeight="false" outlineLevel="0" collapsed="false">
      <c r="A41" s="1"/>
      <c r="B41" s="10"/>
      <c r="C41" s="31" t="str">
        <f aca="false">IF(B41="","",TEXT(B41,"ddd"))</f>
        <v/>
      </c>
      <c r="D41" s="11"/>
      <c r="E41" s="8" t="str">
        <f aca="false">IF(D41="","",IFERROR(INDEX(ProjNumbers,MATCH(D41,ProjNames,0)),""))</f>
        <v/>
      </c>
      <c r="F41" s="8" t="str">
        <f aca="false">IF(D41="","",IFERROR(INDEX(ProjCodes,MATCH(D41,ProjNames,0)),""))</f>
        <v/>
      </c>
      <c r="G41" s="32"/>
      <c r="H41" s="11"/>
      <c r="I41" s="33"/>
      <c r="J41" s="8" t="str">
        <f aca="false">IF(COUNTA(B41,D41,G41,H41,I41)=0,"",IF(B41="","Enter date",IF(OR(B41&lt;$AC$2,B41&gt;$AC$3),"Date not in May",IF(D41="","Pick project",IF(ISNA(MATCH(D41,ProjNames,0)),"Project not in list",IF(G41="","Add task description",IF(H41="","Pick NTIME or P6",IF(N(I41)&lt;=0,"Enter hours",IF(AND(AllowOT&lt;&gt;"Yes",SUMIF($B$7:$B$256,B41,$I$7:$I$256)&gt;INDEX($O$58:$O$88,DAY(B41))),"Day over "&amp;INDEX($O$58:$O$88,DAY(B41))&amp;" h","✓")))))))))</f>
        <v/>
      </c>
      <c r="K41" s="1"/>
      <c r="L41" s="24" t="str">
        <f aca="false">IF($AD41=0,"",INDEX($W$7:$W$206,$AD41))</f>
        <v/>
      </c>
      <c r="M41" s="24" t="str">
        <f aca="false">IF($AD41=0,"",INDEX(ProjNumbers,$AD41))</f>
        <v/>
      </c>
      <c r="N41" s="24" t="str">
        <f aca="false">IF($AD41=0,"",INDEX(ProjCodes,$AD41))</f>
        <v/>
      </c>
      <c r="O41" s="24" t="str">
        <f aca="false">IF($AD41=0,"",INDEX($X$7:$X$206,$AD41))</f>
        <v/>
      </c>
      <c r="P41" s="24" t="str">
        <f aca="false">IF($AD41=0,"",INDEX($Y$7:$Y$206,$AD41))</f>
        <v/>
      </c>
      <c r="Q41" s="24" t="str">
        <f aca="false">IF($AD41=0,"",INDEX($Z$7:$Z$206,$AD41))</f>
        <v/>
      </c>
      <c r="R41" s="25" t="str">
        <f aca="false">IF(OR($AD41=0,$L$5=0),"",Q41/$L$5)</f>
        <v/>
      </c>
      <c r="S41" s="1"/>
      <c r="T41" s="1"/>
      <c r="U41" s="1"/>
      <c r="V41" s="1"/>
      <c r="W41" s="1" t="str">
        <f aca="false">IF(Projects!B39="","",Projects!B39)</f>
        <v/>
      </c>
      <c r="X41" s="1" t="n">
        <f aca="false">IF(W41="",0,SUMIFS($I$7:$I$256,$D$7:$D$256,W41,$H$7:$H$256,"NTIME"))</f>
        <v>0</v>
      </c>
      <c r="Y41" s="1" t="n">
        <f aca="false">IF(W41="",0,SUMIFS($I$7:$I$256,$D$7:$D$256,W41,$H$7:$H$256,"P6"))</f>
        <v>0</v>
      </c>
      <c r="Z41" s="1" t="n">
        <f aca="false">X41+Y41</f>
        <v>0</v>
      </c>
      <c r="AA41" s="1" t="n">
        <f aca="false">IF(Z41&gt;0,Z41+(201-35)/10^6,0)</f>
        <v>0</v>
      </c>
      <c r="AB41" s="1"/>
      <c r="AC41" s="1"/>
      <c r="AD41" s="1" t="n">
        <f aca="false">IF(LARGE($AA$7:$AA$206,5)&lt;=0,0,MATCH(LARGE($AA$7:$AA$206,5),$AA$7:$AA$206,0))</f>
        <v>0</v>
      </c>
      <c r="AE41" s="1"/>
      <c r="AF41" s="1"/>
      <c r="AG41" s="1"/>
      <c r="AH41" s="1"/>
    </row>
    <row r="42" customFormat="false" ht="15" hidden="false" customHeight="false" outlineLevel="0" collapsed="false">
      <c r="A42" s="1"/>
      <c r="B42" s="10"/>
      <c r="C42" s="31" t="str">
        <f aca="false">IF(B42="","",TEXT(B42,"ddd"))</f>
        <v/>
      </c>
      <c r="D42" s="11"/>
      <c r="E42" s="8" t="str">
        <f aca="false">IF(D42="","",IFERROR(INDEX(ProjNumbers,MATCH(D42,ProjNames,0)),""))</f>
        <v/>
      </c>
      <c r="F42" s="8" t="str">
        <f aca="false">IF(D42="","",IFERROR(INDEX(ProjCodes,MATCH(D42,ProjNames,0)),""))</f>
        <v/>
      </c>
      <c r="G42" s="32"/>
      <c r="H42" s="11"/>
      <c r="I42" s="33"/>
      <c r="J42" s="8" t="str">
        <f aca="false">IF(COUNTA(B42,D42,G42,H42,I42)=0,"",IF(B42="","Enter date",IF(OR(B42&lt;$AC$2,B42&gt;$AC$3),"Date not in May",IF(D42="","Pick project",IF(ISNA(MATCH(D42,ProjNames,0)),"Project not in list",IF(G42="","Add task description",IF(H42="","Pick NTIME or P6",IF(N(I42)&lt;=0,"Enter hours",IF(AND(AllowOT&lt;&gt;"Yes",SUMIF($B$7:$B$256,B42,$I$7:$I$256)&gt;INDEX($O$58:$O$88,DAY(B42))),"Day over "&amp;INDEX($O$58:$O$88,DAY(B42))&amp;" h","✓")))))))))</f>
        <v/>
      </c>
      <c r="K42" s="1"/>
      <c r="L42" s="24" t="str">
        <f aca="false">IF($AD42=0,"",INDEX($W$7:$W$206,$AD42))</f>
        <v/>
      </c>
      <c r="M42" s="24" t="str">
        <f aca="false">IF($AD42=0,"",INDEX(ProjNumbers,$AD42))</f>
        <v/>
      </c>
      <c r="N42" s="24" t="str">
        <f aca="false">IF($AD42=0,"",INDEX(ProjCodes,$AD42))</f>
        <v/>
      </c>
      <c r="O42" s="24" t="str">
        <f aca="false">IF($AD42=0,"",INDEX($X$7:$X$206,$AD42))</f>
        <v/>
      </c>
      <c r="P42" s="24" t="str">
        <f aca="false">IF($AD42=0,"",INDEX($Y$7:$Y$206,$AD42))</f>
        <v/>
      </c>
      <c r="Q42" s="24" t="str">
        <f aca="false">IF($AD42=0,"",INDEX($Z$7:$Z$206,$AD42))</f>
        <v/>
      </c>
      <c r="R42" s="25" t="str">
        <f aca="false">IF(OR($AD42=0,$L$5=0),"",Q42/$L$5)</f>
        <v/>
      </c>
      <c r="S42" s="1"/>
      <c r="T42" s="1"/>
      <c r="U42" s="1"/>
      <c r="V42" s="1"/>
      <c r="W42" s="1" t="str">
        <f aca="false">IF(Projects!B40="","",Projects!B40)</f>
        <v/>
      </c>
      <c r="X42" s="1" t="n">
        <f aca="false">IF(W42="",0,SUMIFS($I$7:$I$256,$D$7:$D$256,W42,$H$7:$H$256,"NTIME"))</f>
        <v>0</v>
      </c>
      <c r="Y42" s="1" t="n">
        <f aca="false">IF(W42="",0,SUMIFS($I$7:$I$256,$D$7:$D$256,W42,$H$7:$H$256,"P6"))</f>
        <v>0</v>
      </c>
      <c r="Z42" s="1" t="n">
        <f aca="false">X42+Y42</f>
        <v>0</v>
      </c>
      <c r="AA42" s="1" t="n">
        <f aca="false">IF(Z42&gt;0,Z42+(201-36)/10^6,0)</f>
        <v>0</v>
      </c>
      <c r="AB42" s="1"/>
      <c r="AC42" s="1"/>
      <c r="AD42" s="1" t="n">
        <f aca="false">IF(LARGE($AA$7:$AA$206,6)&lt;=0,0,MATCH(LARGE($AA$7:$AA$206,6),$AA$7:$AA$206,0))</f>
        <v>0</v>
      </c>
      <c r="AE42" s="1"/>
      <c r="AF42" s="1"/>
      <c r="AG42" s="1"/>
      <c r="AH42" s="1"/>
    </row>
    <row r="43" customFormat="false" ht="15" hidden="false" customHeight="false" outlineLevel="0" collapsed="false">
      <c r="A43" s="1"/>
      <c r="B43" s="10"/>
      <c r="C43" s="31" t="str">
        <f aca="false">IF(B43="","",TEXT(B43,"ddd"))</f>
        <v/>
      </c>
      <c r="D43" s="11"/>
      <c r="E43" s="8" t="str">
        <f aca="false">IF(D43="","",IFERROR(INDEX(ProjNumbers,MATCH(D43,ProjNames,0)),""))</f>
        <v/>
      </c>
      <c r="F43" s="8" t="str">
        <f aca="false">IF(D43="","",IFERROR(INDEX(ProjCodes,MATCH(D43,ProjNames,0)),""))</f>
        <v/>
      </c>
      <c r="G43" s="32"/>
      <c r="H43" s="11"/>
      <c r="I43" s="33"/>
      <c r="J43" s="8" t="str">
        <f aca="false">IF(COUNTA(B43,D43,G43,H43,I43)=0,"",IF(B43="","Enter date",IF(OR(B43&lt;$AC$2,B43&gt;$AC$3),"Date not in May",IF(D43="","Pick project",IF(ISNA(MATCH(D43,ProjNames,0)),"Project not in list",IF(G43="","Add task description",IF(H43="","Pick NTIME or P6",IF(N(I43)&lt;=0,"Enter hours",IF(AND(AllowOT&lt;&gt;"Yes",SUMIF($B$7:$B$256,B43,$I$7:$I$256)&gt;INDEX($O$58:$O$88,DAY(B43))),"Day over "&amp;INDEX($O$58:$O$88,DAY(B43))&amp;" h","✓")))))))))</f>
        <v/>
      </c>
      <c r="K43" s="1"/>
      <c r="L43" s="24" t="str">
        <f aca="false">IF($AD43=0,"",INDEX($W$7:$W$206,$AD43))</f>
        <v/>
      </c>
      <c r="M43" s="24" t="str">
        <f aca="false">IF($AD43=0,"",INDEX(ProjNumbers,$AD43))</f>
        <v/>
      </c>
      <c r="N43" s="24" t="str">
        <f aca="false">IF($AD43=0,"",INDEX(ProjCodes,$AD43))</f>
        <v/>
      </c>
      <c r="O43" s="24" t="str">
        <f aca="false">IF($AD43=0,"",INDEX($X$7:$X$206,$AD43))</f>
        <v/>
      </c>
      <c r="P43" s="24" t="str">
        <f aca="false">IF($AD43=0,"",INDEX($Y$7:$Y$206,$AD43))</f>
        <v/>
      </c>
      <c r="Q43" s="24" t="str">
        <f aca="false">IF($AD43=0,"",INDEX($Z$7:$Z$206,$AD43))</f>
        <v/>
      </c>
      <c r="R43" s="25" t="str">
        <f aca="false">IF(OR($AD43=0,$L$5=0),"",Q43/$L$5)</f>
        <v/>
      </c>
      <c r="S43" s="1"/>
      <c r="T43" s="1"/>
      <c r="U43" s="1"/>
      <c r="V43" s="1"/>
      <c r="W43" s="1" t="str">
        <f aca="false">IF(Projects!B41="","",Projects!B41)</f>
        <v/>
      </c>
      <c r="X43" s="1" t="n">
        <f aca="false">IF(W43="",0,SUMIFS($I$7:$I$256,$D$7:$D$256,W43,$H$7:$H$256,"NTIME"))</f>
        <v>0</v>
      </c>
      <c r="Y43" s="1" t="n">
        <f aca="false">IF(W43="",0,SUMIFS($I$7:$I$256,$D$7:$D$256,W43,$H$7:$H$256,"P6"))</f>
        <v>0</v>
      </c>
      <c r="Z43" s="1" t="n">
        <f aca="false">X43+Y43</f>
        <v>0</v>
      </c>
      <c r="AA43" s="1" t="n">
        <f aca="false">IF(Z43&gt;0,Z43+(201-37)/10^6,0)</f>
        <v>0</v>
      </c>
      <c r="AB43" s="1"/>
      <c r="AC43" s="1"/>
      <c r="AD43" s="1" t="n">
        <f aca="false">IF(LARGE($AA$7:$AA$206,7)&lt;=0,0,MATCH(LARGE($AA$7:$AA$206,7),$AA$7:$AA$206,0))</f>
        <v>0</v>
      </c>
      <c r="AE43" s="1"/>
      <c r="AF43" s="1"/>
      <c r="AG43" s="1"/>
      <c r="AH43" s="1"/>
    </row>
    <row r="44" customFormat="false" ht="15" hidden="false" customHeight="false" outlineLevel="0" collapsed="false">
      <c r="A44" s="1"/>
      <c r="B44" s="10"/>
      <c r="C44" s="31" t="str">
        <f aca="false">IF(B44="","",TEXT(B44,"ddd"))</f>
        <v/>
      </c>
      <c r="D44" s="11"/>
      <c r="E44" s="8" t="str">
        <f aca="false">IF(D44="","",IFERROR(INDEX(ProjNumbers,MATCH(D44,ProjNames,0)),""))</f>
        <v/>
      </c>
      <c r="F44" s="8" t="str">
        <f aca="false">IF(D44="","",IFERROR(INDEX(ProjCodes,MATCH(D44,ProjNames,0)),""))</f>
        <v/>
      </c>
      <c r="G44" s="32"/>
      <c r="H44" s="11"/>
      <c r="I44" s="33"/>
      <c r="J44" s="8" t="str">
        <f aca="false">IF(COUNTA(B44,D44,G44,H44,I44)=0,"",IF(B44="","Enter date",IF(OR(B44&lt;$AC$2,B44&gt;$AC$3),"Date not in May",IF(D44="","Pick project",IF(ISNA(MATCH(D44,ProjNames,0)),"Project not in list",IF(G44="","Add task description",IF(H44="","Pick NTIME or P6",IF(N(I44)&lt;=0,"Enter hours",IF(AND(AllowOT&lt;&gt;"Yes",SUMIF($B$7:$B$256,B44,$I$7:$I$256)&gt;INDEX($O$58:$O$88,DAY(B44))),"Day over "&amp;INDEX($O$58:$O$88,DAY(B44))&amp;" h","✓")))))))))</f>
        <v/>
      </c>
      <c r="K44" s="1"/>
      <c r="L44" s="24" t="str">
        <f aca="false">IF($AD44=0,"",INDEX($W$7:$W$206,$AD44))</f>
        <v/>
      </c>
      <c r="M44" s="24" t="str">
        <f aca="false">IF($AD44=0,"",INDEX(ProjNumbers,$AD44))</f>
        <v/>
      </c>
      <c r="N44" s="24" t="str">
        <f aca="false">IF($AD44=0,"",INDEX(ProjCodes,$AD44))</f>
        <v/>
      </c>
      <c r="O44" s="24" t="str">
        <f aca="false">IF($AD44=0,"",INDEX($X$7:$X$206,$AD44))</f>
        <v/>
      </c>
      <c r="P44" s="24" t="str">
        <f aca="false">IF($AD44=0,"",INDEX($Y$7:$Y$206,$AD44))</f>
        <v/>
      </c>
      <c r="Q44" s="24" t="str">
        <f aca="false">IF($AD44=0,"",INDEX($Z$7:$Z$206,$AD44))</f>
        <v/>
      </c>
      <c r="R44" s="25" t="str">
        <f aca="false">IF(OR($AD44=0,$L$5=0),"",Q44/$L$5)</f>
        <v/>
      </c>
      <c r="S44" s="1"/>
      <c r="T44" s="1"/>
      <c r="U44" s="1"/>
      <c r="V44" s="1"/>
      <c r="W44" s="1" t="str">
        <f aca="false">IF(Projects!B42="","",Projects!B42)</f>
        <v/>
      </c>
      <c r="X44" s="1" t="n">
        <f aca="false">IF(W44="",0,SUMIFS($I$7:$I$256,$D$7:$D$256,W44,$H$7:$H$256,"NTIME"))</f>
        <v>0</v>
      </c>
      <c r="Y44" s="1" t="n">
        <f aca="false">IF(W44="",0,SUMIFS($I$7:$I$256,$D$7:$D$256,W44,$H$7:$H$256,"P6"))</f>
        <v>0</v>
      </c>
      <c r="Z44" s="1" t="n">
        <f aca="false">X44+Y44</f>
        <v>0</v>
      </c>
      <c r="AA44" s="1" t="n">
        <f aca="false">IF(Z44&gt;0,Z44+(201-38)/10^6,0)</f>
        <v>0</v>
      </c>
      <c r="AB44" s="1"/>
      <c r="AC44" s="1"/>
      <c r="AD44" s="1" t="n">
        <f aca="false">IF(LARGE($AA$7:$AA$206,8)&lt;=0,0,MATCH(LARGE($AA$7:$AA$206,8),$AA$7:$AA$206,0))</f>
        <v>0</v>
      </c>
      <c r="AE44" s="1"/>
      <c r="AF44" s="1"/>
      <c r="AG44" s="1"/>
      <c r="AH44" s="1"/>
    </row>
    <row r="45" customFormat="false" ht="15" hidden="false" customHeight="false" outlineLevel="0" collapsed="false">
      <c r="A45" s="1"/>
      <c r="B45" s="10"/>
      <c r="C45" s="31" t="str">
        <f aca="false">IF(B45="","",TEXT(B45,"ddd"))</f>
        <v/>
      </c>
      <c r="D45" s="11"/>
      <c r="E45" s="8" t="str">
        <f aca="false">IF(D45="","",IFERROR(INDEX(ProjNumbers,MATCH(D45,ProjNames,0)),""))</f>
        <v/>
      </c>
      <c r="F45" s="8" t="str">
        <f aca="false">IF(D45="","",IFERROR(INDEX(ProjCodes,MATCH(D45,ProjNames,0)),""))</f>
        <v/>
      </c>
      <c r="G45" s="32"/>
      <c r="H45" s="11"/>
      <c r="I45" s="33"/>
      <c r="J45" s="8" t="str">
        <f aca="false">IF(COUNTA(B45,D45,G45,H45,I45)=0,"",IF(B45="","Enter date",IF(OR(B45&lt;$AC$2,B45&gt;$AC$3),"Date not in May",IF(D45="","Pick project",IF(ISNA(MATCH(D45,ProjNames,0)),"Project not in list",IF(G45="","Add task description",IF(H45="","Pick NTIME or P6",IF(N(I45)&lt;=0,"Enter hours",IF(AND(AllowOT&lt;&gt;"Yes",SUMIF($B$7:$B$256,B45,$I$7:$I$256)&gt;INDEX($O$58:$O$88,DAY(B45))),"Day over "&amp;INDEX($O$58:$O$88,DAY(B45))&amp;" h","✓")))))))))</f>
        <v/>
      </c>
      <c r="K45" s="1"/>
      <c r="L45" s="24" t="str">
        <f aca="false">IF($AD45=0,"",INDEX($W$7:$W$206,$AD45))</f>
        <v/>
      </c>
      <c r="M45" s="24" t="str">
        <f aca="false">IF($AD45=0,"",INDEX(ProjNumbers,$AD45))</f>
        <v/>
      </c>
      <c r="N45" s="24" t="str">
        <f aca="false">IF($AD45=0,"",INDEX(ProjCodes,$AD45))</f>
        <v/>
      </c>
      <c r="O45" s="24" t="str">
        <f aca="false">IF($AD45=0,"",INDEX($X$7:$X$206,$AD45))</f>
        <v/>
      </c>
      <c r="P45" s="24" t="str">
        <f aca="false">IF($AD45=0,"",INDEX($Y$7:$Y$206,$AD45))</f>
        <v/>
      </c>
      <c r="Q45" s="24" t="str">
        <f aca="false">IF($AD45=0,"",INDEX($Z$7:$Z$206,$AD45))</f>
        <v/>
      </c>
      <c r="R45" s="25" t="str">
        <f aca="false">IF(OR($AD45=0,$L$5=0),"",Q45/$L$5)</f>
        <v/>
      </c>
      <c r="S45" s="1"/>
      <c r="T45" s="1"/>
      <c r="U45" s="1"/>
      <c r="V45" s="1"/>
      <c r="W45" s="1" t="str">
        <f aca="false">IF(Projects!B43="","",Projects!B43)</f>
        <v/>
      </c>
      <c r="X45" s="1" t="n">
        <f aca="false">IF(W45="",0,SUMIFS($I$7:$I$256,$D$7:$D$256,W45,$H$7:$H$256,"NTIME"))</f>
        <v>0</v>
      </c>
      <c r="Y45" s="1" t="n">
        <f aca="false">IF(W45="",0,SUMIFS($I$7:$I$256,$D$7:$D$256,W45,$H$7:$H$256,"P6"))</f>
        <v>0</v>
      </c>
      <c r="Z45" s="1" t="n">
        <f aca="false">X45+Y45</f>
        <v>0</v>
      </c>
      <c r="AA45" s="1" t="n">
        <f aca="false">IF(Z45&gt;0,Z45+(201-39)/10^6,0)</f>
        <v>0</v>
      </c>
      <c r="AB45" s="1"/>
      <c r="AC45" s="1"/>
      <c r="AD45" s="1" t="n">
        <f aca="false">IF(LARGE($AA$7:$AA$206,9)&lt;=0,0,MATCH(LARGE($AA$7:$AA$206,9),$AA$7:$AA$206,0))</f>
        <v>0</v>
      </c>
      <c r="AE45" s="1"/>
      <c r="AF45" s="1"/>
      <c r="AG45" s="1"/>
      <c r="AH45" s="1"/>
    </row>
    <row r="46" customFormat="false" ht="15" hidden="false" customHeight="false" outlineLevel="0" collapsed="false">
      <c r="A46" s="1"/>
      <c r="B46" s="10"/>
      <c r="C46" s="31" t="str">
        <f aca="false">IF(B46="","",TEXT(B46,"ddd"))</f>
        <v/>
      </c>
      <c r="D46" s="11"/>
      <c r="E46" s="8" t="str">
        <f aca="false">IF(D46="","",IFERROR(INDEX(ProjNumbers,MATCH(D46,ProjNames,0)),""))</f>
        <v/>
      </c>
      <c r="F46" s="8" t="str">
        <f aca="false">IF(D46="","",IFERROR(INDEX(ProjCodes,MATCH(D46,ProjNames,0)),""))</f>
        <v/>
      </c>
      <c r="G46" s="32"/>
      <c r="H46" s="11"/>
      <c r="I46" s="33"/>
      <c r="J46" s="8" t="str">
        <f aca="false">IF(COUNTA(B46,D46,G46,H46,I46)=0,"",IF(B46="","Enter date",IF(OR(B46&lt;$AC$2,B46&gt;$AC$3),"Date not in May",IF(D46="","Pick project",IF(ISNA(MATCH(D46,ProjNames,0)),"Project not in list",IF(G46="","Add task description",IF(H46="","Pick NTIME or P6",IF(N(I46)&lt;=0,"Enter hours",IF(AND(AllowOT&lt;&gt;"Yes",SUMIF($B$7:$B$256,B46,$I$7:$I$256)&gt;INDEX($O$58:$O$88,DAY(B46))),"Day over "&amp;INDEX($O$58:$O$88,DAY(B46))&amp;" h","✓")))))))))</f>
        <v/>
      </c>
      <c r="K46" s="1"/>
      <c r="L46" s="24" t="str">
        <f aca="false">IF($AD46=0,"",INDEX($W$7:$W$206,$AD46))</f>
        <v/>
      </c>
      <c r="M46" s="24" t="str">
        <f aca="false">IF($AD46=0,"",INDEX(ProjNumbers,$AD46))</f>
        <v/>
      </c>
      <c r="N46" s="24" t="str">
        <f aca="false">IF($AD46=0,"",INDEX(ProjCodes,$AD46))</f>
        <v/>
      </c>
      <c r="O46" s="24" t="str">
        <f aca="false">IF($AD46=0,"",INDEX($X$7:$X$206,$AD46))</f>
        <v/>
      </c>
      <c r="P46" s="24" t="str">
        <f aca="false">IF($AD46=0,"",INDEX($Y$7:$Y$206,$AD46))</f>
        <v/>
      </c>
      <c r="Q46" s="24" t="str">
        <f aca="false">IF($AD46=0,"",INDEX($Z$7:$Z$206,$AD46))</f>
        <v/>
      </c>
      <c r="R46" s="25" t="str">
        <f aca="false">IF(OR($AD46=0,$L$5=0),"",Q46/$L$5)</f>
        <v/>
      </c>
      <c r="S46" s="1"/>
      <c r="T46" s="1"/>
      <c r="U46" s="1"/>
      <c r="V46" s="1"/>
      <c r="W46" s="1" t="str">
        <f aca="false">IF(Projects!B44="","",Projects!B44)</f>
        <v/>
      </c>
      <c r="X46" s="1" t="n">
        <f aca="false">IF(W46="",0,SUMIFS($I$7:$I$256,$D$7:$D$256,W46,$H$7:$H$256,"NTIME"))</f>
        <v>0</v>
      </c>
      <c r="Y46" s="1" t="n">
        <f aca="false">IF(W46="",0,SUMIFS($I$7:$I$256,$D$7:$D$256,W46,$H$7:$H$256,"P6"))</f>
        <v>0</v>
      </c>
      <c r="Z46" s="1" t="n">
        <f aca="false">X46+Y46</f>
        <v>0</v>
      </c>
      <c r="AA46" s="1" t="n">
        <f aca="false">IF(Z46&gt;0,Z46+(201-40)/10^6,0)</f>
        <v>0</v>
      </c>
      <c r="AB46" s="1"/>
      <c r="AC46" s="1"/>
      <c r="AD46" s="1" t="n">
        <f aca="false">IF(LARGE($AA$7:$AA$206,10)&lt;=0,0,MATCH(LARGE($AA$7:$AA$206,10),$AA$7:$AA$206,0))</f>
        <v>0</v>
      </c>
      <c r="AE46" s="1"/>
      <c r="AF46" s="1"/>
      <c r="AG46" s="1"/>
      <c r="AH46" s="1"/>
    </row>
    <row r="47" customFormat="false" ht="15" hidden="false" customHeight="false" outlineLevel="0" collapsed="false">
      <c r="A47" s="1"/>
      <c r="B47" s="10"/>
      <c r="C47" s="31" t="str">
        <f aca="false">IF(B47="","",TEXT(B47,"ddd"))</f>
        <v/>
      </c>
      <c r="D47" s="11"/>
      <c r="E47" s="8" t="str">
        <f aca="false">IF(D47="","",IFERROR(INDEX(ProjNumbers,MATCH(D47,ProjNames,0)),""))</f>
        <v/>
      </c>
      <c r="F47" s="8" t="str">
        <f aca="false">IF(D47="","",IFERROR(INDEX(ProjCodes,MATCH(D47,ProjNames,0)),""))</f>
        <v/>
      </c>
      <c r="G47" s="32"/>
      <c r="H47" s="11"/>
      <c r="I47" s="33"/>
      <c r="J47" s="8" t="str">
        <f aca="false">IF(COUNTA(B47,D47,G47,H47,I47)=0,"",IF(B47="","Enter date",IF(OR(B47&lt;$AC$2,B47&gt;$AC$3),"Date not in May",IF(D47="","Pick project",IF(ISNA(MATCH(D47,ProjNames,0)),"Project not in list",IF(G47="","Add task description",IF(H47="","Pick NTIME or P6",IF(N(I47)&lt;=0,"Enter hours",IF(AND(AllowOT&lt;&gt;"Yes",SUMIF($B$7:$B$256,B47,$I$7:$I$256)&gt;INDEX($O$58:$O$88,DAY(B47))),"Day over "&amp;INDEX($O$58:$O$88,DAY(B47))&amp;" h","✓")))))))))</f>
        <v/>
      </c>
      <c r="K47" s="1"/>
      <c r="L47" s="24" t="str">
        <f aca="false">IF($AD47=0,"",INDEX($W$7:$W$206,$AD47))</f>
        <v/>
      </c>
      <c r="M47" s="24" t="str">
        <f aca="false">IF($AD47=0,"",INDEX(ProjNumbers,$AD47))</f>
        <v/>
      </c>
      <c r="N47" s="24" t="str">
        <f aca="false">IF($AD47=0,"",INDEX(ProjCodes,$AD47))</f>
        <v/>
      </c>
      <c r="O47" s="24" t="str">
        <f aca="false">IF($AD47=0,"",INDEX($X$7:$X$206,$AD47))</f>
        <v/>
      </c>
      <c r="P47" s="24" t="str">
        <f aca="false">IF($AD47=0,"",INDEX($Y$7:$Y$206,$AD47))</f>
        <v/>
      </c>
      <c r="Q47" s="24" t="str">
        <f aca="false">IF($AD47=0,"",INDEX($Z$7:$Z$206,$AD47))</f>
        <v/>
      </c>
      <c r="R47" s="25" t="str">
        <f aca="false">IF(OR($AD47=0,$L$5=0),"",Q47/$L$5)</f>
        <v/>
      </c>
      <c r="S47" s="1"/>
      <c r="T47" s="1"/>
      <c r="U47" s="1"/>
      <c r="V47" s="1"/>
      <c r="W47" s="1" t="str">
        <f aca="false">IF(Projects!B45="","",Projects!B45)</f>
        <v/>
      </c>
      <c r="X47" s="1" t="n">
        <f aca="false">IF(W47="",0,SUMIFS($I$7:$I$256,$D$7:$D$256,W47,$H$7:$H$256,"NTIME"))</f>
        <v>0</v>
      </c>
      <c r="Y47" s="1" t="n">
        <f aca="false">IF(W47="",0,SUMIFS($I$7:$I$256,$D$7:$D$256,W47,$H$7:$H$256,"P6"))</f>
        <v>0</v>
      </c>
      <c r="Z47" s="1" t="n">
        <f aca="false">X47+Y47</f>
        <v>0</v>
      </c>
      <c r="AA47" s="1" t="n">
        <f aca="false">IF(Z47&gt;0,Z47+(201-41)/10^6,0)</f>
        <v>0</v>
      </c>
      <c r="AB47" s="1"/>
      <c r="AC47" s="1"/>
      <c r="AD47" s="1" t="n">
        <f aca="false">IF(LARGE($AA$7:$AA$206,11)&lt;=0,0,MATCH(LARGE($AA$7:$AA$206,11),$AA$7:$AA$206,0))</f>
        <v>0</v>
      </c>
      <c r="AE47" s="1"/>
      <c r="AF47" s="1"/>
      <c r="AG47" s="1"/>
      <c r="AH47" s="1"/>
    </row>
    <row r="48" customFormat="false" ht="15" hidden="false" customHeight="false" outlineLevel="0" collapsed="false">
      <c r="A48" s="1"/>
      <c r="B48" s="10"/>
      <c r="C48" s="31" t="str">
        <f aca="false">IF(B48="","",TEXT(B48,"ddd"))</f>
        <v/>
      </c>
      <c r="D48" s="11"/>
      <c r="E48" s="8" t="str">
        <f aca="false">IF(D48="","",IFERROR(INDEX(ProjNumbers,MATCH(D48,ProjNames,0)),""))</f>
        <v/>
      </c>
      <c r="F48" s="8" t="str">
        <f aca="false">IF(D48="","",IFERROR(INDEX(ProjCodes,MATCH(D48,ProjNames,0)),""))</f>
        <v/>
      </c>
      <c r="G48" s="32"/>
      <c r="H48" s="11"/>
      <c r="I48" s="33"/>
      <c r="J48" s="8" t="str">
        <f aca="false">IF(COUNTA(B48,D48,G48,H48,I48)=0,"",IF(B48="","Enter date",IF(OR(B48&lt;$AC$2,B48&gt;$AC$3),"Date not in May",IF(D48="","Pick project",IF(ISNA(MATCH(D48,ProjNames,0)),"Project not in list",IF(G48="","Add task description",IF(H48="","Pick NTIME or P6",IF(N(I48)&lt;=0,"Enter hours",IF(AND(AllowOT&lt;&gt;"Yes",SUMIF($B$7:$B$256,B48,$I$7:$I$256)&gt;INDEX($O$58:$O$88,DAY(B48))),"Day over "&amp;INDEX($O$58:$O$88,DAY(B48))&amp;" h","✓")))))))))</f>
        <v/>
      </c>
      <c r="K48" s="1"/>
      <c r="L48" s="24" t="str">
        <f aca="false">IF($AD48=0,"",INDEX($W$7:$W$206,$AD48))</f>
        <v/>
      </c>
      <c r="M48" s="24" t="str">
        <f aca="false">IF($AD48=0,"",INDEX(ProjNumbers,$AD48))</f>
        <v/>
      </c>
      <c r="N48" s="24" t="str">
        <f aca="false">IF($AD48=0,"",INDEX(ProjCodes,$AD48))</f>
        <v/>
      </c>
      <c r="O48" s="24" t="str">
        <f aca="false">IF($AD48=0,"",INDEX($X$7:$X$206,$AD48))</f>
        <v/>
      </c>
      <c r="P48" s="24" t="str">
        <f aca="false">IF($AD48=0,"",INDEX($Y$7:$Y$206,$AD48))</f>
        <v/>
      </c>
      <c r="Q48" s="24" t="str">
        <f aca="false">IF($AD48=0,"",INDEX($Z$7:$Z$206,$AD48))</f>
        <v/>
      </c>
      <c r="R48" s="25" t="str">
        <f aca="false">IF(OR($AD48=0,$L$5=0),"",Q48/$L$5)</f>
        <v/>
      </c>
      <c r="S48" s="1"/>
      <c r="T48" s="1"/>
      <c r="U48" s="1"/>
      <c r="V48" s="1"/>
      <c r="W48" s="1" t="str">
        <f aca="false">IF(Projects!B46="","",Projects!B46)</f>
        <v/>
      </c>
      <c r="X48" s="1" t="n">
        <f aca="false">IF(W48="",0,SUMIFS($I$7:$I$256,$D$7:$D$256,W48,$H$7:$H$256,"NTIME"))</f>
        <v>0</v>
      </c>
      <c r="Y48" s="1" t="n">
        <f aca="false">IF(W48="",0,SUMIFS($I$7:$I$256,$D$7:$D$256,W48,$H$7:$H$256,"P6"))</f>
        <v>0</v>
      </c>
      <c r="Z48" s="1" t="n">
        <f aca="false">X48+Y48</f>
        <v>0</v>
      </c>
      <c r="AA48" s="1" t="n">
        <f aca="false">IF(Z48&gt;0,Z48+(201-42)/10^6,0)</f>
        <v>0</v>
      </c>
      <c r="AB48" s="1"/>
      <c r="AC48" s="1"/>
      <c r="AD48" s="1" t="n">
        <f aca="false">IF(LARGE($AA$7:$AA$206,12)&lt;=0,0,MATCH(LARGE($AA$7:$AA$206,12),$AA$7:$AA$206,0))</f>
        <v>0</v>
      </c>
      <c r="AE48" s="1"/>
      <c r="AF48" s="1"/>
      <c r="AG48" s="1"/>
      <c r="AH48" s="1"/>
    </row>
    <row r="49" customFormat="false" ht="15" hidden="false" customHeight="false" outlineLevel="0" collapsed="false">
      <c r="A49" s="1"/>
      <c r="B49" s="10"/>
      <c r="C49" s="31" t="str">
        <f aca="false">IF(B49="","",TEXT(B49,"ddd"))</f>
        <v/>
      </c>
      <c r="D49" s="11"/>
      <c r="E49" s="8" t="str">
        <f aca="false">IF(D49="","",IFERROR(INDEX(ProjNumbers,MATCH(D49,ProjNames,0)),""))</f>
        <v/>
      </c>
      <c r="F49" s="8" t="str">
        <f aca="false">IF(D49="","",IFERROR(INDEX(ProjCodes,MATCH(D49,ProjNames,0)),""))</f>
        <v/>
      </c>
      <c r="G49" s="32"/>
      <c r="H49" s="11"/>
      <c r="I49" s="33"/>
      <c r="J49" s="8" t="str">
        <f aca="false">IF(COUNTA(B49,D49,G49,H49,I49)=0,"",IF(B49="","Enter date",IF(OR(B49&lt;$AC$2,B49&gt;$AC$3),"Date not in May",IF(D49="","Pick project",IF(ISNA(MATCH(D49,ProjNames,0)),"Project not in list",IF(G49="","Add task description",IF(H49="","Pick NTIME or P6",IF(N(I49)&lt;=0,"Enter hours",IF(AND(AllowOT&lt;&gt;"Yes",SUMIF($B$7:$B$256,B49,$I$7:$I$256)&gt;INDEX($O$58:$O$88,DAY(B49))),"Day over "&amp;INDEX($O$58:$O$88,DAY(B49))&amp;" h","✓")))))))))</f>
        <v/>
      </c>
      <c r="K49" s="1"/>
      <c r="L49" s="24" t="str">
        <f aca="false">IF($AD49=0,"",INDEX($W$7:$W$206,$AD49))</f>
        <v/>
      </c>
      <c r="M49" s="24" t="str">
        <f aca="false">IF($AD49=0,"",INDEX(ProjNumbers,$AD49))</f>
        <v/>
      </c>
      <c r="N49" s="24" t="str">
        <f aca="false">IF($AD49=0,"",INDEX(ProjCodes,$AD49))</f>
        <v/>
      </c>
      <c r="O49" s="24" t="str">
        <f aca="false">IF($AD49=0,"",INDEX($X$7:$X$206,$AD49))</f>
        <v/>
      </c>
      <c r="P49" s="24" t="str">
        <f aca="false">IF($AD49=0,"",INDEX($Y$7:$Y$206,$AD49))</f>
        <v/>
      </c>
      <c r="Q49" s="24" t="str">
        <f aca="false">IF($AD49=0,"",INDEX($Z$7:$Z$206,$AD49))</f>
        <v/>
      </c>
      <c r="R49" s="25" t="str">
        <f aca="false">IF(OR($AD49=0,$L$5=0),"",Q49/$L$5)</f>
        <v/>
      </c>
      <c r="S49" s="1"/>
      <c r="T49" s="1"/>
      <c r="U49" s="1"/>
      <c r="V49" s="1"/>
      <c r="W49" s="1" t="str">
        <f aca="false">IF(Projects!B47="","",Projects!B47)</f>
        <v/>
      </c>
      <c r="X49" s="1" t="n">
        <f aca="false">IF(W49="",0,SUMIFS($I$7:$I$256,$D$7:$D$256,W49,$H$7:$H$256,"NTIME"))</f>
        <v>0</v>
      </c>
      <c r="Y49" s="1" t="n">
        <f aca="false">IF(W49="",0,SUMIFS($I$7:$I$256,$D$7:$D$256,W49,$H$7:$H$256,"P6"))</f>
        <v>0</v>
      </c>
      <c r="Z49" s="1" t="n">
        <f aca="false">X49+Y49</f>
        <v>0</v>
      </c>
      <c r="AA49" s="1" t="n">
        <f aca="false">IF(Z49&gt;0,Z49+(201-43)/10^6,0)</f>
        <v>0</v>
      </c>
      <c r="AB49" s="1"/>
      <c r="AC49" s="1"/>
      <c r="AD49" s="1" t="n">
        <f aca="false">IF(LARGE($AA$7:$AA$206,13)&lt;=0,0,MATCH(LARGE($AA$7:$AA$206,13),$AA$7:$AA$206,0))</f>
        <v>0</v>
      </c>
      <c r="AE49" s="1"/>
      <c r="AF49" s="1"/>
      <c r="AG49" s="1"/>
      <c r="AH49" s="1"/>
    </row>
    <row r="50" customFormat="false" ht="15" hidden="false" customHeight="false" outlineLevel="0" collapsed="false">
      <c r="A50" s="1"/>
      <c r="B50" s="10"/>
      <c r="C50" s="31" t="str">
        <f aca="false">IF(B50="","",TEXT(B50,"ddd"))</f>
        <v/>
      </c>
      <c r="D50" s="11"/>
      <c r="E50" s="8" t="str">
        <f aca="false">IF(D50="","",IFERROR(INDEX(ProjNumbers,MATCH(D50,ProjNames,0)),""))</f>
        <v/>
      </c>
      <c r="F50" s="8" t="str">
        <f aca="false">IF(D50="","",IFERROR(INDEX(ProjCodes,MATCH(D50,ProjNames,0)),""))</f>
        <v/>
      </c>
      <c r="G50" s="32"/>
      <c r="H50" s="11"/>
      <c r="I50" s="33"/>
      <c r="J50" s="8" t="str">
        <f aca="false">IF(COUNTA(B50,D50,G50,H50,I50)=0,"",IF(B50="","Enter date",IF(OR(B50&lt;$AC$2,B50&gt;$AC$3),"Date not in May",IF(D50="","Pick project",IF(ISNA(MATCH(D50,ProjNames,0)),"Project not in list",IF(G50="","Add task description",IF(H50="","Pick NTIME or P6",IF(N(I50)&lt;=0,"Enter hours",IF(AND(AllowOT&lt;&gt;"Yes",SUMIF($B$7:$B$256,B50,$I$7:$I$256)&gt;INDEX($O$58:$O$88,DAY(B50))),"Day over "&amp;INDEX($O$58:$O$88,DAY(B50))&amp;" h","✓")))))))))</f>
        <v/>
      </c>
      <c r="K50" s="1"/>
      <c r="L50" s="24" t="str">
        <f aca="false">IF($AD50=0,"",INDEX($W$7:$W$206,$AD50))</f>
        <v/>
      </c>
      <c r="M50" s="24" t="str">
        <f aca="false">IF($AD50=0,"",INDEX(ProjNumbers,$AD50))</f>
        <v/>
      </c>
      <c r="N50" s="24" t="str">
        <f aca="false">IF($AD50=0,"",INDEX(ProjCodes,$AD50))</f>
        <v/>
      </c>
      <c r="O50" s="24" t="str">
        <f aca="false">IF($AD50=0,"",INDEX($X$7:$X$206,$AD50))</f>
        <v/>
      </c>
      <c r="P50" s="24" t="str">
        <f aca="false">IF($AD50=0,"",INDEX($Y$7:$Y$206,$AD50))</f>
        <v/>
      </c>
      <c r="Q50" s="24" t="str">
        <f aca="false">IF($AD50=0,"",INDEX($Z$7:$Z$206,$AD50))</f>
        <v/>
      </c>
      <c r="R50" s="25" t="str">
        <f aca="false">IF(OR($AD50=0,$L$5=0),"",Q50/$L$5)</f>
        <v/>
      </c>
      <c r="S50" s="1"/>
      <c r="T50" s="1"/>
      <c r="U50" s="1"/>
      <c r="V50" s="1"/>
      <c r="W50" s="1" t="str">
        <f aca="false">IF(Projects!B48="","",Projects!B48)</f>
        <v/>
      </c>
      <c r="X50" s="1" t="n">
        <f aca="false">IF(W50="",0,SUMIFS($I$7:$I$256,$D$7:$D$256,W50,$H$7:$H$256,"NTIME"))</f>
        <v>0</v>
      </c>
      <c r="Y50" s="1" t="n">
        <f aca="false">IF(W50="",0,SUMIFS($I$7:$I$256,$D$7:$D$256,W50,$H$7:$H$256,"P6"))</f>
        <v>0</v>
      </c>
      <c r="Z50" s="1" t="n">
        <f aca="false">X50+Y50</f>
        <v>0</v>
      </c>
      <c r="AA50" s="1" t="n">
        <f aca="false">IF(Z50&gt;0,Z50+(201-44)/10^6,0)</f>
        <v>0</v>
      </c>
      <c r="AB50" s="1"/>
      <c r="AC50" s="1"/>
      <c r="AD50" s="1" t="n">
        <f aca="false">IF(LARGE($AA$7:$AA$206,14)&lt;=0,0,MATCH(LARGE($AA$7:$AA$206,14),$AA$7:$AA$206,0))</f>
        <v>0</v>
      </c>
      <c r="AE50" s="1"/>
      <c r="AF50" s="1"/>
      <c r="AG50" s="1"/>
      <c r="AH50" s="1"/>
    </row>
    <row r="51" customFormat="false" ht="15" hidden="false" customHeight="false" outlineLevel="0" collapsed="false">
      <c r="A51" s="1"/>
      <c r="B51" s="10"/>
      <c r="C51" s="31" t="str">
        <f aca="false">IF(B51="","",TEXT(B51,"ddd"))</f>
        <v/>
      </c>
      <c r="D51" s="11"/>
      <c r="E51" s="8" t="str">
        <f aca="false">IF(D51="","",IFERROR(INDEX(ProjNumbers,MATCH(D51,ProjNames,0)),""))</f>
        <v/>
      </c>
      <c r="F51" s="8" t="str">
        <f aca="false">IF(D51="","",IFERROR(INDEX(ProjCodes,MATCH(D51,ProjNames,0)),""))</f>
        <v/>
      </c>
      <c r="G51" s="32"/>
      <c r="H51" s="11"/>
      <c r="I51" s="33"/>
      <c r="J51" s="8" t="str">
        <f aca="false">IF(COUNTA(B51,D51,G51,H51,I51)=0,"",IF(B51="","Enter date",IF(OR(B51&lt;$AC$2,B51&gt;$AC$3),"Date not in May",IF(D51="","Pick project",IF(ISNA(MATCH(D51,ProjNames,0)),"Project not in list",IF(G51="","Add task description",IF(H51="","Pick NTIME or P6",IF(N(I51)&lt;=0,"Enter hours",IF(AND(AllowOT&lt;&gt;"Yes",SUMIF($B$7:$B$256,B51,$I$7:$I$256)&gt;INDEX($O$58:$O$88,DAY(B51))),"Day over "&amp;INDEX($O$58:$O$88,DAY(B51))&amp;" h","✓")))))))))</f>
        <v/>
      </c>
      <c r="K51" s="1"/>
      <c r="L51" s="24" t="str">
        <f aca="false">IF($AD51=0,"",INDEX($W$7:$W$206,$AD51))</f>
        <v/>
      </c>
      <c r="M51" s="24" t="str">
        <f aca="false">IF($AD51=0,"",INDEX(ProjNumbers,$AD51))</f>
        <v/>
      </c>
      <c r="N51" s="24" t="str">
        <f aca="false">IF($AD51=0,"",INDEX(ProjCodes,$AD51))</f>
        <v/>
      </c>
      <c r="O51" s="24" t="str">
        <f aca="false">IF($AD51=0,"",INDEX($X$7:$X$206,$AD51))</f>
        <v/>
      </c>
      <c r="P51" s="24" t="str">
        <f aca="false">IF($AD51=0,"",INDEX($Y$7:$Y$206,$AD51))</f>
        <v/>
      </c>
      <c r="Q51" s="24" t="str">
        <f aca="false">IF($AD51=0,"",INDEX($Z$7:$Z$206,$AD51))</f>
        <v/>
      </c>
      <c r="R51" s="25" t="str">
        <f aca="false">IF(OR($AD51=0,$L$5=0),"",Q51/$L$5)</f>
        <v/>
      </c>
      <c r="S51" s="1"/>
      <c r="T51" s="1"/>
      <c r="U51" s="1"/>
      <c r="V51" s="1"/>
      <c r="W51" s="1" t="str">
        <f aca="false">IF(Projects!B49="","",Projects!B49)</f>
        <v/>
      </c>
      <c r="X51" s="1" t="n">
        <f aca="false">IF(W51="",0,SUMIFS($I$7:$I$256,$D$7:$D$256,W51,$H$7:$H$256,"NTIME"))</f>
        <v>0</v>
      </c>
      <c r="Y51" s="1" t="n">
        <f aca="false">IF(W51="",0,SUMIFS($I$7:$I$256,$D$7:$D$256,W51,$H$7:$H$256,"P6"))</f>
        <v>0</v>
      </c>
      <c r="Z51" s="1" t="n">
        <f aca="false">X51+Y51</f>
        <v>0</v>
      </c>
      <c r="AA51" s="1" t="n">
        <f aca="false">IF(Z51&gt;0,Z51+(201-45)/10^6,0)</f>
        <v>0</v>
      </c>
      <c r="AB51" s="1"/>
      <c r="AC51" s="1"/>
      <c r="AD51" s="1" t="n">
        <f aca="false">IF(LARGE($AA$7:$AA$206,15)&lt;=0,0,MATCH(LARGE($AA$7:$AA$206,15),$AA$7:$AA$206,0))</f>
        <v>0</v>
      </c>
      <c r="AE51" s="1"/>
      <c r="AF51" s="1"/>
      <c r="AG51" s="1"/>
      <c r="AH51" s="1"/>
    </row>
    <row r="52" customFormat="false" ht="15" hidden="false" customHeight="false" outlineLevel="0" collapsed="false">
      <c r="A52" s="1"/>
      <c r="B52" s="10"/>
      <c r="C52" s="31" t="str">
        <f aca="false">IF(B52="","",TEXT(B52,"ddd"))</f>
        <v/>
      </c>
      <c r="D52" s="11"/>
      <c r="E52" s="8" t="str">
        <f aca="false">IF(D52="","",IFERROR(INDEX(ProjNumbers,MATCH(D52,ProjNames,0)),""))</f>
        <v/>
      </c>
      <c r="F52" s="8" t="str">
        <f aca="false">IF(D52="","",IFERROR(INDEX(ProjCodes,MATCH(D52,ProjNames,0)),""))</f>
        <v/>
      </c>
      <c r="G52" s="32"/>
      <c r="H52" s="11"/>
      <c r="I52" s="33"/>
      <c r="J52" s="8" t="str">
        <f aca="false">IF(COUNTA(B52,D52,G52,H52,I52)=0,"",IF(B52="","Enter date",IF(OR(B52&lt;$AC$2,B52&gt;$AC$3),"Date not in May",IF(D52="","Pick project",IF(ISNA(MATCH(D52,ProjNames,0)),"Project not in list",IF(G52="","Add task description",IF(H52="","Pick NTIME or P6",IF(N(I52)&lt;=0,"Enter hours",IF(AND(AllowOT&lt;&gt;"Yes",SUMIF($B$7:$B$256,B52,$I$7:$I$256)&gt;INDEX($O$58:$O$88,DAY(B52))),"Day over "&amp;INDEX($O$58:$O$88,DAY(B52))&amp;" h","✓")))))))))</f>
        <v/>
      </c>
      <c r="K52" s="1"/>
      <c r="L52" s="24" t="s">
        <v>87</v>
      </c>
      <c r="M52" s="24"/>
      <c r="N52" s="24"/>
      <c r="O52" s="24" t="n">
        <f aca="false">SUM($P$58:$P$88)-SUM($X$7:$X$206)</f>
        <v>0</v>
      </c>
      <c r="P52" s="24" t="n">
        <f aca="false">SUM($Q$58:$Q$88)-SUM($Y$7:$Y$206)</f>
        <v>0</v>
      </c>
      <c r="Q52" s="24" t="n">
        <f aca="false">O52+P52</f>
        <v>0</v>
      </c>
      <c r="R52" s="25" t="str">
        <f aca="false">IF($L$5=0,"",Q52/$L$5)</f>
        <v/>
      </c>
      <c r="S52" s="1"/>
      <c r="T52" s="1"/>
      <c r="U52" s="1"/>
      <c r="V52" s="1"/>
      <c r="W52" s="1" t="str">
        <f aca="false">IF(Projects!B50="","",Projects!B50)</f>
        <v/>
      </c>
      <c r="X52" s="1" t="n">
        <f aca="false">IF(W52="",0,SUMIFS($I$7:$I$256,$D$7:$D$256,W52,$H$7:$H$256,"NTIME"))</f>
        <v>0</v>
      </c>
      <c r="Y52" s="1" t="n">
        <f aca="false">IF(W52="",0,SUMIFS($I$7:$I$256,$D$7:$D$256,W52,$H$7:$H$256,"P6"))</f>
        <v>0</v>
      </c>
      <c r="Z52" s="1" t="n">
        <f aca="false">X52+Y52</f>
        <v>0</v>
      </c>
      <c r="AA52" s="1" t="n">
        <f aca="false">IF(Z52&gt;0,Z52+(201-46)/10^6,0)</f>
        <v>0</v>
      </c>
      <c r="AB52" s="1"/>
      <c r="AC52" s="1"/>
      <c r="AD52" s="1"/>
      <c r="AE52" s="1"/>
      <c r="AF52" s="1"/>
      <c r="AG52" s="1"/>
      <c r="AH52" s="1"/>
    </row>
    <row r="53" customFormat="false" ht="15" hidden="false" customHeight="false" outlineLevel="0" collapsed="false">
      <c r="A53" s="1"/>
      <c r="B53" s="10"/>
      <c r="C53" s="31" t="str">
        <f aca="false">IF(B53="","",TEXT(B53,"ddd"))</f>
        <v/>
      </c>
      <c r="D53" s="11"/>
      <c r="E53" s="8" t="str">
        <f aca="false">IF(D53="","",IFERROR(INDEX(ProjNumbers,MATCH(D53,ProjNames,0)),""))</f>
        <v/>
      </c>
      <c r="F53" s="8" t="str">
        <f aca="false">IF(D53="","",IFERROR(INDEX(ProjCodes,MATCH(D53,ProjNames,0)),""))</f>
        <v/>
      </c>
      <c r="G53" s="32"/>
      <c r="H53" s="11"/>
      <c r="I53" s="33"/>
      <c r="J53" s="8" t="str">
        <f aca="false">IF(COUNTA(B53,D53,G53,H53,I53)=0,"",IF(B53="","Enter date",IF(OR(B53&lt;$AC$2,B53&gt;$AC$3),"Date not in May",IF(D53="","Pick project",IF(ISNA(MATCH(D53,ProjNames,0)),"Project not in list",IF(G53="","Add task description",IF(H53="","Pick NTIME or P6",IF(N(I53)&lt;=0,"Enter hours",IF(AND(AllowOT&lt;&gt;"Yes",SUMIF($B$7:$B$256,B53,$I$7:$I$256)&gt;INDEX($O$58:$O$88,DAY(B53))),"Day over "&amp;INDEX($O$58:$O$88,DAY(B53))&amp;" h","✓")))))))))</f>
        <v/>
      </c>
      <c r="K53" s="1"/>
      <c r="L53" s="24" t="s">
        <v>15</v>
      </c>
      <c r="M53" s="24" t="s">
        <v>88</v>
      </c>
      <c r="N53" s="24"/>
      <c r="O53" s="24" t="str">
        <f aca="false">IF(OHSystem="NTIME",O5,"")</f>
        <v/>
      </c>
      <c r="P53" s="24" t="str">
        <f aca="false">IF(OHSystem="P6",O5,"")</f>
        <v/>
      </c>
      <c r="Q53" s="24" t="n">
        <f aca="false">O5</f>
        <v>0</v>
      </c>
      <c r="R53" s="25" t="str">
        <f aca="false">IF($L$5=0,"",Q53/$L$5)</f>
        <v/>
      </c>
      <c r="S53" s="1"/>
      <c r="T53" s="1"/>
      <c r="U53" s="1"/>
      <c r="V53" s="1"/>
      <c r="W53" s="1" t="str">
        <f aca="false">IF(Projects!B51="","",Projects!B51)</f>
        <v/>
      </c>
      <c r="X53" s="1" t="n">
        <f aca="false">IF(W53="",0,SUMIFS($I$7:$I$256,$D$7:$D$256,W53,$H$7:$H$256,"NTIME"))</f>
        <v>0</v>
      </c>
      <c r="Y53" s="1" t="n">
        <f aca="false">IF(W53="",0,SUMIFS($I$7:$I$256,$D$7:$D$256,W53,$H$7:$H$256,"P6"))</f>
        <v>0</v>
      </c>
      <c r="Z53" s="1" t="n">
        <f aca="false">X53+Y53</f>
        <v>0</v>
      </c>
      <c r="AA53" s="1" t="n">
        <f aca="false">IF(Z53&gt;0,Z53+(201-47)/10^6,0)</f>
        <v>0</v>
      </c>
      <c r="AB53" s="1"/>
      <c r="AC53" s="1"/>
      <c r="AD53" s="1"/>
      <c r="AE53" s="1"/>
      <c r="AF53" s="1"/>
      <c r="AG53" s="1"/>
      <c r="AH53" s="1"/>
    </row>
    <row r="54" customFormat="false" ht="15" hidden="false" customHeight="false" outlineLevel="0" collapsed="false">
      <c r="A54" s="1"/>
      <c r="B54" s="10"/>
      <c r="C54" s="31" t="str">
        <f aca="false">IF(B54="","",TEXT(B54,"ddd"))</f>
        <v/>
      </c>
      <c r="D54" s="11"/>
      <c r="E54" s="8" t="str">
        <f aca="false">IF(D54="","",IFERROR(INDEX(ProjNumbers,MATCH(D54,ProjNames,0)),""))</f>
        <v/>
      </c>
      <c r="F54" s="8" t="str">
        <f aca="false">IF(D54="","",IFERROR(INDEX(ProjCodes,MATCH(D54,ProjNames,0)),""))</f>
        <v/>
      </c>
      <c r="G54" s="32"/>
      <c r="H54" s="11"/>
      <c r="I54" s="33"/>
      <c r="J54" s="8" t="str">
        <f aca="false">IF(COUNTA(B54,D54,G54,H54,I54)=0,"",IF(B54="","Enter date",IF(OR(B54&lt;$AC$2,B54&gt;$AC$3),"Date not in May",IF(D54="","Pick project",IF(ISNA(MATCH(D54,ProjNames,0)),"Project not in list",IF(G54="","Add task description",IF(H54="","Pick NTIME or P6",IF(N(I54)&lt;=0,"Enter hours",IF(AND(AllowOT&lt;&gt;"Yes",SUMIF($B$7:$B$256,B54,$I$7:$I$256)&gt;INDEX($O$58:$O$88,DAY(B54))),"Day over "&amp;INDEX($O$58:$O$88,DAY(B54))&amp;" h","✓")))))))))</f>
        <v/>
      </c>
      <c r="K54" s="1"/>
      <c r="L54" s="27" t="s">
        <v>57</v>
      </c>
      <c r="M54" s="27"/>
      <c r="N54" s="27"/>
      <c r="O54" s="27" t="n">
        <f aca="false">M5</f>
        <v>0</v>
      </c>
      <c r="P54" s="27" t="n">
        <f aca="false">N5</f>
        <v>0</v>
      </c>
      <c r="Q54" s="27" t="n">
        <f aca="false">L5</f>
        <v>0</v>
      </c>
      <c r="R54" s="27"/>
      <c r="S54" s="1"/>
      <c r="T54" s="1"/>
      <c r="U54" s="1"/>
      <c r="V54" s="1"/>
      <c r="W54" s="1" t="str">
        <f aca="false">IF(Projects!B52="","",Projects!B52)</f>
        <v/>
      </c>
      <c r="X54" s="1" t="n">
        <f aca="false">IF(W54="",0,SUMIFS($I$7:$I$256,$D$7:$D$256,W54,$H$7:$H$256,"NTIME"))</f>
        <v>0</v>
      </c>
      <c r="Y54" s="1" t="n">
        <f aca="false">IF(W54="",0,SUMIFS($I$7:$I$256,$D$7:$D$256,W54,$H$7:$H$256,"P6"))</f>
        <v>0</v>
      </c>
      <c r="Z54" s="1" t="n">
        <f aca="false">X54+Y54</f>
        <v>0</v>
      </c>
      <c r="AA54" s="1" t="n">
        <f aca="false">IF(Z54&gt;0,Z54+(201-48)/10^6,0)</f>
        <v>0</v>
      </c>
      <c r="AB54" s="1"/>
      <c r="AC54" s="1"/>
      <c r="AD54" s="1"/>
      <c r="AE54" s="1"/>
      <c r="AF54" s="1"/>
      <c r="AG54" s="1"/>
      <c r="AH54" s="1"/>
    </row>
    <row r="55" customFormat="false" ht="15" hidden="false" customHeight="false" outlineLevel="0" collapsed="false">
      <c r="A55" s="1"/>
      <c r="B55" s="10"/>
      <c r="C55" s="31" t="str">
        <f aca="false">IF(B55="","",TEXT(B55,"ddd"))</f>
        <v/>
      </c>
      <c r="D55" s="11"/>
      <c r="E55" s="8" t="str">
        <f aca="false">IF(D55="","",IFERROR(INDEX(ProjNumbers,MATCH(D55,ProjNames,0)),""))</f>
        <v/>
      </c>
      <c r="F55" s="8" t="str">
        <f aca="false">IF(D55="","",IFERROR(INDEX(ProjCodes,MATCH(D55,ProjNames,0)),""))</f>
        <v/>
      </c>
      <c r="G55" s="32"/>
      <c r="H55" s="11"/>
      <c r="I55" s="33"/>
      <c r="J55" s="8" t="str">
        <f aca="false">IF(COUNTA(B55,D55,G55,H55,I55)=0,"",IF(B55="","Enter date",IF(OR(B55&lt;$AC$2,B55&gt;$AC$3),"Date not in May",IF(D55="","Pick project",IF(ISNA(MATCH(D55,ProjNames,0)),"Project not in list",IF(G55="","Add task description",IF(H55="","Pick NTIME or P6",IF(N(I55)&lt;=0,"Enter hours",IF(AND(AllowOT&lt;&gt;"Yes",SUMIF($B$7:$B$256,B55,$I$7:$I$256)&gt;INDEX($O$58:$O$88,DAY(B55))),"Day over "&amp;INDEX($O$58:$O$88,DAY(B55))&amp;" h","✓")))))))))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tr">
        <f aca="false">IF(Projects!B53="","",Projects!B53)</f>
        <v/>
      </c>
      <c r="X55" s="1" t="n">
        <f aca="false">IF(W55="",0,SUMIFS($I$7:$I$256,$D$7:$D$256,W55,$H$7:$H$256,"NTIME"))</f>
        <v>0</v>
      </c>
      <c r="Y55" s="1" t="n">
        <f aca="false">IF(W55="",0,SUMIFS($I$7:$I$256,$D$7:$D$256,W55,$H$7:$H$256,"P6"))</f>
        <v>0</v>
      </c>
      <c r="Z55" s="1" t="n">
        <f aca="false">X55+Y55</f>
        <v>0</v>
      </c>
      <c r="AA55" s="1" t="n">
        <f aca="false">IF(Z55&gt;0,Z55+(201-49)/10^6,0)</f>
        <v>0</v>
      </c>
      <c r="AB55" s="1"/>
      <c r="AC55" s="1"/>
      <c r="AD55" s="1"/>
      <c r="AE55" s="1"/>
      <c r="AF55" s="1"/>
      <c r="AG55" s="1"/>
      <c r="AH55" s="1"/>
    </row>
    <row r="56" customFormat="false" ht="15" hidden="false" customHeight="false" outlineLevel="0" collapsed="false">
      <c r="A56" s="1"/>
      <c r="B56" s="10"/>
      <c r="C56" s="31" t="str">
        <f aca="false">IF(B56="","",TEXT(B56,"ddd"))</f>
        <v/>
      </c>
      <c r="D56" s="11"/>
      <c r="E56" s="8" t="str">
        <f aca="false">IF(D56="","",IFERROR(INDEX(ProjNumbers,MATCH(D56,ProjNames,0)),""))</f>
        <v/>
      </c>
      <c r="F56" s="8" t="str">
        <f aca="false">IF(D56="","",IFERROR(INDEX(ProjCodes,MATCH(D56,ProjNames,0)),""))</f>
        <v/>
      </c>
      <c r="G56" s="32"/>
      <c r="H56" s="11"/>
      <c r="I56" s="33"/>
      <c r="J56" s="8" t="str">
        <f aca="false">IF(COUNTA(B56,D56,G56,H56,I56)=0,"",IF(B56="","Enter date",IF(OR(B56&lt;$AC$2,B56&gt;$AC$3),"Date not in May",IF(D56="","Pick project",IF(ISNA(MATCH(D56,ProjNames,0)),"Project not in list",IF(G56="","Add task description",IF(H56="","Pick NTIME or P6",IF(N(I56)&lt;=0,"Enter hours",IF(AND(AllowOT&lt;&gt;"Yes",SUMIF($B$7:$B$256,B56,$I$7:$I$256)&gt;INDEX($O$58:$O$88,DAY(B56))),"Day over "&amp;INDEX($O$58:$O$88,DAY(B56))&amp;" h","✓")))))))))</f>
        <v/>
      </c>
      <c r="K56" s="1"/>
      <c r="L56" s="4" t="s">
        <v>89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 aca="false">IF(Projects!B54="","",Projects!B54)</f>
        <v/>
      </c>
      <c r="X56" s="1" t="n">
        <f aca="false">IF(W56="",0,SUMIFS($I$7:$I$256,$D$7:$D$256,W56,$H$7:$H$256,"NTIME"))</f>
        <v>0</v>
      </c>
      <c r="Y56" s="1" t="n">
        <f aca="false">IF(W56="",0,SUMIFS($I$7:$I$256,$D$7:$D$256,W56,$H$7:$H$256,"P6"))</f>
        <v>0</v>
      </c>
      <c r="Z56" s="1" t="n">
        <f aca="false">X56+Y56</f>
        <v>0</v>
      </c>
      <c r="AA56" s="1" t="n">
        <f aca="false">IF(Z56&gt;0,Z56+(201-50)/10^6,0)</f>
        <v>0</v>
      </c>
      <c r="AB56" s="1"/>
      <c r="AC56" s="1"/>
      <c r="AD56" s="1"/>
      <c r="AE56" s="1"/>
      <c r="AF56" s="1"/>
      <c r="AG56" s="1"/>
      <c r="AH56" s="1"/>
    </row>
    <row r="57" customFormat="false" ht="15" hidden="false" customHeight="false" outlineLevel="0" collapsed="false">
      <c r="A57" s="1"/>
      <c r="B57" s="10"/>
      <c r="C57" s="31" t="str">
        <f aca="false">IF(B57="","",TEXT(B57,"ddd"))</f>
        <v/>
      </c>
      <c r="D57" s="11"/>
      <c r="E57" s="8" t="str">
        <f aca="false">IF(D57="","",IFERROR(INDEX(ProjNumbers,MATCH(D57,ProjNames,0)),""))</f>
        <v/>
      </c>
      <c r="F57" s="8" t="str">
        <f aca="false">IF(D57="","",IFERROR(INDEX(ProjCodes,MATCH(D57,ProjNames,0)),""))</f>
        <v/>
      </c>
      <c r="G57" s="32"/>
      <c r="H57" s="11"/>
      <c r="I57" s="33"/>
      <c r="J57" s="8" t="str">
        <f aca="false">IF(COUNTA(B57,D57,G57,H57,I57)=0,"",IF(B57="","Enter date",IF(OR(B57&lt;$AC$2,B57&gt;$AC$3),"Date not in May",IF(D57="","Pick project",IF(ISNA(MATCH(D57,ProjNames,0)),"Project not in list",IF(G57="","Add task description",IF(H57="","Pick NTIME or P6",IF(N(I57)&lt;=0,"Enter hours",IF(AND(AllowOT&lt;&gt;"Yes",SUMIF($B$7:$B$256,B57,$I$7:$I$256)&gt;INDEX($O$58:$O$88,DAY(B57))),"Day over "&amp;INDEX($O$58:$O$88,DAY(B57))&amp;" h","✓")))))))))</f>
        <v/>
      </c>
      <c r="K57" s="1"/>
      <c r="L57" s="9" t="s">
        <v>33</v>
      </c>
      <c r="M57" s="9" t="s">
        <v>34</v>
      </c>
      <c r="N57" s="9" t="s">
        <v>90</v>
      </c>
      <c r="O57" s="9" t="s">
        <v>91</v>
      </c>
      <c r="P57" s="20" t="s">
        <v>46</v>
      </c>
      <c r="Q57" s="21" t="s">
        <v>56</v>
      </c>
      <c r="R57" s="22" t="s">
        <v>15</v>
      </c>
      <c r="S57" s="9" t="s">
        <v>24</v>
      </c>
      <c r="T57" s="9" t="s">
        <v>57</v>
      </c>
      <c r="U57" s="9" t="s">
        <v>92</v>
      </c>
      <c r="V57" s="1"/>
      <c r="W57" s="1" t="str">
        <f aca="false">IF(Projects!B55="","",Projects!B55)</f>
        <v/>
      </c>
      <c r="X57" s="1" t="n">
        <f aca="false">IF(W57="",0,SUMIFS($I$7:$I$256,$D$7:$D$256,W57,$H$7:$H$256,"NTIME"))</f>
        <v>0</v>
      </c>
      <c r="Y57" s="1" t="n">
        <f aca="false">IF(W57="",0,SUMIFS($I$7:$I$256,$D$7:$D$256,W57,$H$7:$H$256,"P6"))</f>
        <v>0</v>
      </c>
      <c r="Z57" s="1" t="n">
        <f aca="false">X57+Y57</f>
        <v>0</v>
      </c>
      <c r="AA57" s="1" t="n">
        <f aca="false">IF(Z57&gt;0,Z57+(201-51)/10^6,0)</f>
        <v>0</v>
      </c>
      <c r="AB57" s="1"/>
      <c r="AC57" s="1"/>
      <c r="AD57" s="1"/>
      <c r="AE57" s="1"/>
      <c r="AF57" s="1"/>
      <c r="AG57" s="1"/>
      <c r="AH57" s="1"/>
    </row>
    <row r="58" customFormat="false" ht="15" hidden="false" customHeight="false" outlineLevel="0" collapsed="false">
      <c r="A58" s="1"/>
      <c r="B58" s="10"/>
      <c r="C58" s="31" t="str">
        <f aca="false">IF(B58="","",TEXT(B58,"ddd"))</f>
        <v/>
      </c>
      <c r="D58" s="11"/>
      <c r="E58" s="8" t="str">
        <f aca="false">IF(D58="","",IFERROR(INDEX(ProjNumbers,MATCH(D58,ProjNames,0)),""))</f>
        <v/>
      </c>
      <c r="F58" s="8" t="str">
        <f aca="false">IF(D58="","",IFERROR(INDEX(ProjCodes,MATCH(D58,ProjNames,0)),""))</f>
        <v/>
      </c>
      <c r="G58" s="32"/>
      <c r="H58" s="11"/>
      <c r="I58" s="33"/>
      <c r="J58" s="8" t="str">
        <f aca="false">IF(COUNTA(B58,D58,G58,H58,I58)=0,"",IF(B58="","Enter date",IF(OR(B58&lt;$AC$2,B58&gt;$AC$3),"Date not in May",IF(D58="","Pick project",IF(ISNA(MATCH(D58,ProjNames,0)),"Project not in list",IF(G58="","Add task description",IF(H58="","Pick NTIME or P6",IF(N(I58)&lt;=0,"Enter hours",IF(AND(AllowOT&lt;&gt;"Yes",SUMIF($B$7:$B$256,B58,$I$7:$I$256)&gt;INDEX($O$58:$O$88,DAY(B58))),"Day over "&amp;INDEX($O$58:$O$88,DAY(B58))&amp;" h","✓")))))))))</f>
        <v/>
      </c>
      <c r="K58" s="1"/>
      <c r="L58" s="35" t="n">
        <v>46143</v>
      </c>
      <c r="M58" s="36" t="str">
        <f aca="false">TEXT(L58,"ddd")</f>
        <v>Fri</v>
      </c>
      <c r="N58" s="37" t="s">
        <v>93</v>
      </c>
      <c r="O58" s="37" t="n">
        <f aca="false">AvailHours</f>
        <v>8</v>
      </c>
      <c r="P58" s="24" t="n">
        <f aca="false">SUMIFS($I$7:$I$256,$B$7:$B$256,L58,$H$7:$H$256,"NTIME")</f>
        <v>0</v>
      </c>
      <c r="Q58" s="24" t="n">
        <f aca="false">SUMIFS($I$7:$I$256,$B$7:$B$256,L58,$H$7:$H$256,"P6")</f>
        <v>0</v>
      </c>
      <c r="R58" s="24" t="n">
        <f aca="false">IF(N58="Overhead only",O58,IF(AND(N58="Working",P58+Q58&gt;0),MAX(0,O58-P58-Q58),0))</f>
        <v>0</v>
      </c>
      <c r="S58" s="24" t="n">
        <f aca="false">IF(OR(N58="Working",N58="Overhead only"),MAX(0,P58+Q58-O58),0)</f>
        <v>0</v>
      </c>
      <c r="T58" s="24" t="n">
        <f aca="false">P58+Q58+R58</f>
        <v>0</v>
      </c>
      <c r="U58" s="24" t="str">
        <f aca="true">IF(N58="Working",IF(P58+Q58=0,IF(L58&lt;=TODAY(),"Not logged",""),IF(P58+Q58&gt;O58,IF(AllowOT="Yes","Overtime","Over "&amp;O58&amp;" h!"),"✓")),IF(N58="Overhead only","✓ Overhead day",IF(P58+Q58&gt;0,"Entries on "&amp;LOWER(N58)&amp;" day",N58)))</f>
        <v>Not logged</v>
      </c>
      <c r="V58" s="1"/>
      <c r="W58" s="1" t="str">
        <f aca="false">IF(Projects!B56="","",Projects!B56)</f>
        <v/>
      </c>
      <c r="X58" s="1" t="n">
        <f aca="false">IF(W58="",0,SUMIFS($I$7:$I$256,$D$7:$D$256,W58,$H$7:$H$256,"NTIME"))</f>
        <v>0</v>
      </c>
      <c r="Y58" s="1" t="n">
        <f aca="false">IF(W58="",0,SUMIFS($I$7:$I$256,$D$7:$D$256,W58,$H$7:$H$256,"P6"))</f>
        <v>0</v>
      </c>
      <c r="Z58" s="1" t="n">
        <f aca="false">X58+Y58</f>
        <v>0</v>
      </c>
      <c r="AA58" s="1" t="n">
        <f aca="false">IF(Z58&gt;0,Z58+(201-52)/10^6,0)</f>
        <v>0</v>
      </c>
      <c r="AB58" s="1"/>
      <c r="AC58" s="1"/>
      <c r="AD58" s="1"/>
      <c r="AE58" s="1"/>
      <c r="AF58" s="1"/>
      <c r="AG58" s="1"/>
      <c r="AH58" s="1"/>
    </row>
    <row r="59" customFormat="false" ht="15" hidden="false" customHeight="false" outlineLevel="0" collapsed="false">
      <c r="A59" s="1"/>
      <c r="B59" s="10"/>
      <c r="C59" s="31" t="str">
        <f aca="false">IF(B59="","",TEXT(B59,"ddd"))</f>
        <v/>
      </c>
      <c r="D59" s="11"/>
      <c r="E59" s="8" t="str">
        <f aca="false">IF(D59="","",IFERROR(INDEX(ProjNumbers,MATCH(D59,ProjNames,0)),""))</f>
        <v/>
      </c>
      <c r="F59" s="8" t="str">
        <f aca="false">IF(D59="","",IFERROR(INDEX(ProjCodes,MATCH(D59,ProjNames,0)),""))</f>
        <v/>
      </c>
      <c r="G59" s="32"/>
      <c r="H59" s="11"/>
      <c r="I59" s="33"/>
      <c r="J59" s="8" t="str">
        <f aca="false">IF(COUNTA(B59,D59,G59,H59,I59)=0,"",IF(B59="","Enter date",IF(OR(B59&lt;$AC$2,B59&gt;$AC$3),"Date not in May",IF(D59="","Pick project",IF(ISNA(MATCH(D59,ProjNames,0)),"Project not in list",IF(G59="","Add task description",IF(H59="","Pick NTIME or P6",IF(N(I59)&lt;=0,"Enter hours",IF(AND(AllowOT&lt;&gt;"Yes",SUMIF($B$7:$B$256,B59,$I$7:$I$256)&gt;INDEX($O$58:$O$88,DAY(B59))),"Day over "&amp;INDEX($O$58:$O$88,DAY(B59))&amp;" h","✓")))))))))</f>
        <v/>
      </c>
      <c r="K59" s="1"/>
      <c r="L59" s="35" t="n">
        <v>46144</v>
      </c>
      <c r="M59" s="36" t="str">
        <f aca="false">TEXT(L59,"ddd")</f>
        <v>Sat</v>
      </c>
      <c r="N59" s="37" t="s">
        <v>94</v>
      </c>
      <c r="O59" s="37" t="n">
        <f aca="false">AvailHours</f>
        <v>8</v>
      </c>
      <c r="P59" s="24" t="n">
        <f aca="false">SUMIFS($I$7:$I$256,$B$7:$B$256,L59,$H$7:$H$256,"NTIME")</f>
        <v>0</v>
      </c>
      <c r="Q59" s="24" t="n">
        <f aca="false">SUMIFS($I$7:$I$256,$B$7:$B$256,L59,$H$7:$H$256,"P6")</f>
        <v>0</v>
      </c>
      <c r="R59" s="24" t="n">
        <f aca="false">IF(N59="Overhead only",O59,IF(AND(N59="Working",P59+Q59&gt;0),MAX(0,O59-P59-Q59),0))</f>
        <v>0</v>
      </c>
      <c r="S59" s="24" t="n">
        <f aca="false">IF(OR(N59="Working",N59="Overhead only"),MAX(0,P59+Q59-O59),0)</f>
        <v>0</v>
      </c>
      <c r="T59" s="24" t="n">
        <f aca="false">P59+Q59+R59</f>
        <v>0</v>
      </c>
      <c r="U59" s="24" t="str">
        <f aca="true">IF(N59="Working",IF(P59+Q59=0,IF(L59&lt;=TODAY(),"Not logged",""),IF(P59+Q59&gt;O59,IF(AllowOT="Yes","Overtime","Over "&amp;O59&amp;" h!"),"✓")),IF(N59="Overhead only","✓ Overhead day",IF(P59+Q59&gt;0,"Entries on "&amp;LOWER(N59)&amp;" day",N59)))</f>
        <v>Weekend</v>
      </c>
      <c r="V59" s="1"/>
      <c r="W59" s="1" t="str">
        <f aca="false">IF(Projects!B57="","",Projects!B57)</f>
        <v/>
      </c>
      <c r="X59" s="1" t="n">
        <f aca="false">IF(W59="",0,SUMIFS($I$7:$I$256,$D$7:$D$256,W59,$H$7:$H$256,"NTIME"))</f>
        <v>0</v>
      </c>
      <c r="Y59" s="1" t="n">
        <f aca="false">IF(W59="",0,SUMIFS($I$7:$I$256,$D$7:$D$256,W59,$H$7:$H$256,"P6"))</f>
        <v>0</v>
      </c>
      <c r="Z59" s="1" t="n">
        <f aca="false">X59+Y59</f>
        <v>0</v>
      </c>
      <c r="AA59" s="1" t="n">
        <f aca="false">IF(Z59&gt;0,Z59+(201-53)/10^6,0)</f>
        <v>0</v>
      </c>
      <c r="AB59" s="1"/>
      <c r="AC59" s="1"/>
      <c r="AD59" s="1"/>
      <c r="AE59" s="1"/>
      <c r="AF59" s="1"/>
      <c r="AG59" s="1"/>
      <c r="AH59" s="1"/>
    </row>
    <row r="60" customFormat="false" ht="15" hidden="false" customHeight="false" outlineLevel="0" collapsed="false">
      <c r="A60" s="1"/>
      <c r="B60" s="10"/>
      <c r="C60" s="31" t="str">
        <f aca="false">IF(B60="","",TEXT(B60,"ddd"))</f>
        <v/>
      </c>
      <c r="D60" s="11"/>
      <c r="E60" s="8" t="str">
        <f aca="false">IF(D60="","",IFERROR(INDEX(ProjNumbers,MATCH(D60,ProjNames,0)),""))</f>
        <v/>
      </c>
      <c r="F60" s="8" t="str">
        <f aca="false">IF(D60="","",IFERROR(INDEX(ProjCodes,MATCH(D60,ProjNames,0)),""))</f>
        <v/>
      </c>
      <c r="G60" s="32"/>
      <c r="H60" s="11"/>
      <c r="I60" s="33"/>
      <c r="J60" s="8" t="str">
        <f aca="false">IF(COUNTA(B60,D60,G60,H60,I60)=0,"",IF(B60="","Enter date",IF(OR(B60&lt;$AC$2,B60&gt;$AC$3),"Date not in May",IF(D60="","Pick project",IF(ISNA(MATCH(D60,ProjNames,0)),"Project not in list",IF(G60="","Add task description",IF(H60="","Pick NTIME or P6",IF(N(I60)&lt;=0,"Enter hours",IF(AND(AllowOT&lt;&gt;"Yes",SUMIF($B$7:$B$256,B60,$I$7:$I$256)&gt;INDEX($O$58:$O$88,DAY(B60))),"Day over "&amp;INDEX($O$58:$O$88,DAY(B60))&amp;" h","✓")))))))))</f>
        <v/>
      </c>
      <c r="K60" s="1"/>
      <c r="L60" s="35" t="n">
        <v>46145</v>
      </c>
      <c r="M60" s="36" t="str">
        <f aca="false">TEXT(L60,"ddd")</f>
        <v>Sun</v>
      </c>
      <c r="N60" s="37" t="s">
        <v>94</v>
      </c>
      <c r="O60" s="37" t="n">
        <f aca="false">AvailHours</f>
        <v>8</v>
      </c>
      <c r="P60" s="24" t="n">
        <f aca="false">SUMIFS($I$7:$I$256,$B$7:$B$256,L60,$H$7:$H$256,"NTIME")</f>
        <v>0</v>
      </c>
      <c r="Q60" s="24" t="n">
        <f aca="false">SUMIFS($I$7:$I$256,$B$7:$B$256,L60,$H$7:$H$256,"P6")</f>
        <v>0</v>
      </c>
      <c r="R60" s="24" t="n">
        <f aca="false">IF(N60="Overhead only",O60,IF(AND(N60="Working",P60+Q60&gt;0),MAX(0,O60-P60-Q60),0))</f>
        <v>0</v>
      </c>
      <c r="S60" s="24" t="n">
        <f aca="false">IF(OR(N60="Working",N60="Overhead only"),MAX(0,P60+Q60-O60),0)</f>
        <v>0</v>
      </c>
      <c r="T60" s="24" t="n">
        <f aca="false">P60+Q60+R60</f>
        <v>0</v>
      </c>
      <c r="U60" s="24" t="str">
        <f aca="true">IF(N60="Working",IF(P60+Q60=0,IF(L60&lt;=TODAY(),"Not logged",""),IF(P60+Q60&gt;O60,IF(AllowOT="Yes","Overtime","Over "&amp;O60&amp;" h!"),"✓")),IF(N60="Overhead only","✓ Overhead day",IF(P60+Q60&gt;0,"Entries on "&amp;LOWER(N60)&amp;" day",N60)))</f>
        <v>Weekend</v>
      </c>
      <c r="V60" s="1"/>
      <c r="W60" s="1" t="str">
        <f aca="false">IF(Projects!B58="","",Projects!B58)</f>
        <v/>
      </c>
      <c r="X60" s="1" t="n">
        <f aca="false">IF(W60="",0,SUMIFS($I$7:$I$256,$D$7:$D$256,W60,$H$7:$H$256,"NTIME"))</f>
        <v>0</v>
      </c>
      <c r="Y60" s="1" t="n">
        <f aca="false">IF(W60="",0,SUMIFS($I$7:$I$256,$D$7:$D$256,W60,$H$7:$H$256,"P6"))</f>
        <v>0</v>
      </c>
      <c r="Z60" s="1" t="n">
        <f aca="false">X60+Y60</f>
        <v>0</v>
      </c>
      <c r="AA60" s="1" t="n">
        <f aca="false">IF(Z60&gt;0,Z60+(201-54)/10^6,0)</f>
        <v>0</v>
      </c>
      <c r="AB60" s="1"/>
      <c r="AC60" s="1"/>
      <c r="AD60" s="1"/>
      <c r="AE60" s="1"/>
      <c r="AF60" s="1"/>
      <c r="AG60" s="1"/>
      <c r="AH60" s="1"/>
    </row>
    <row r="61" customFormat="false" ht="15" hidden="false" customHeight="false" outlineLevel="0" collapsed="false">
      <c r="A61" s="1"/>
      <c r="B61" s="10"/>
      <c r="C61" s="31" t="str">
        <f aca="false">IF(B61="","",TEXT(B61,"ddd"))</f>
        <v/>
      </c>
      <c r="D61" s="11"/>
      <c r="E61" s="8" t="str">
        <f aca="false">IF(D61="","",IFERROR(INDEX(ProjNumbers,MATCH(D61,ProjNames,0)),""))</f>
        <v/>
      </c>
      <c r="F61" s="8" t="str">
        <f aca="false">IF(D61="","",IFERROR(INDEX(ProjCodes,MATCH(D61,ProjNames,0)),""))</f>
        <v/>
      </c>
      <c r="G61" s="32"/>
      <c r="H61" s="11"/>
      <c r="I61" s="33"/>
      <c r="J61" s="8" t="str">
        <f aca="false">IF(COUNTA(B61,D61,G61,H61,I61)=0,"",IF(B61="","Enter date",IF(OR(B61&lt;$AC$2,B61&gt;$AC$3),"Date not in May",IF(D61="","Pick project",IF(ISNA(MATCH(D61,ProjNames,0)),"Project not in list",IF(G61="","Add task description",IF(H61="","Pick NTIME or P6",IF(N(I61)&lt;=0,"Enter hours",IF(AND(AllowOT&lt;&gt;"Yes",SUMIF($B$7:$B$256,B61,$I$7:$I$256)&gt;INDEX($O$58:$O$88,DAY(B61))),"Day over "&amp;INDEX($O$58:$O$88,DAY(B61))&amp;" h","✓")))))))))</f>
        <v/>
      </c>
      <c r="K61" s="1"/>
      <c r="L61" s="35" t="n">
        <v>46146</v>
      </c>
      <c r="M61" s="36" t="str">
        <f aca="false">TEXT(L61,"ddd")</f>
        <v>Mon</v>
      </c>
      <c r="N61" s="37" t="s">
        <v>93</v>
      </c>
      <c r="O61" s="37" t="n">
        <f aca="false">AvailHours</f>
        <v>8</v>
      </c>
      <c r="P61" s="24" t="n">
        <f aca="false">SUMIFS($I$7:$I$256,$B$7:$B$256,L61,$H$7:$H$256,"NTIME")</f>
        <v>0</v>
      </c>
      <c r="Q61" s="24" t="n">
        <f aca="false">SUMIFS($I$7:$I$256,$B$7:$B$256,L61,$H$7:$H$256,"P6")</f>
        <v>0</v>
      </c>
      <c r="R61" s="24" t="n">
        <f aca="false">IF(N61="Overhead only",O61,IF(AND(N61="Working",P61+Q61&gt;0),MAX(0,O61-P61-Q61),0))</f>
        <v>0</v>
      </c>
      <c r="S61" s="24" t="n">
        <f aca="false">IF(OR(N61="Working",N61="Overhead only"),MAX(0,P61+Q61-O61),0)</f>
        <v>0</v>
      </c>
      <c r="T61" s="24" t="n">
        <f aca="false">P61+Q61+R61</f>
        <v>0</v>
      </c>
      <c r="U61" s="24" t="str">
        <f aca="true">IF(N61="Working",IF(P61+Q61=0,IF(L61&lt;=TODAY(),"Not logged",""),IF(P61+Q61&gt;O61,IF(AllowOT="Yes","Overtime","Over "&amp;O61&amp;" h!"),"✓")),IF(N61="Overhead only","✓ Overhead day",IF(P61+Q61&gt;0,"Entries on "&amp;LOWER(N61)&amp;" day",N61)))</f>
        <v>Not logged</v>
      </c>
      <c r="V61" s="1"/>
      <c r="W61" s="1" t="str">
        <f aca="false">IF(Projects!B59="","",Projects!B59)</f>
        <v/>
      </c>
      <c r="X61" s="1" t="n">
        <f aca="false">IF(W61="",0,SUMIFS($I$7:$I$256,$D$7:$D$256,W61,$H$7:$H$256,"NTIME"))</f>
        <v>0</v>
      </c>
      <c r="Y61" s="1" t="n">
        <f aca="false">IF(W61="",0,SUMIFS($I$7:$I$256,$D$7:$D$256,W61,$H$7:$H$256,"P6"))</f>
        <v>0</v>
      </c>
      <c r="Z61" s="1" t="n">
        <f aca="false">X61+Y61</f>
        <v>0</v>
      </c>
      <c r="AA61" s="1" t="n">
        <f aca="false">IF(Z61&gt;0,Z61+(201-55)/10^6,0)</f>
        <v>0</v>
      </c>
      <c r="AB61" s="1"/>
      <c r="AC61" s="1"/>
      <c r="AD61" s="1"/>
      <c r="AE61" s="1"/>
      <c r="AF61" s="1"/>
      <c r="AG61" s="1"/>
      <c r="AH61" s="1"/>
    </row>
    <row r="62" customFormat="false" ht="15" hidden="false" customHeight="false" outlineLevel="0" collapsed="false">
      <c r="A62" s="1"/>
      <c r="B62" s="10"/>
      <c r="C62" s="31" t="str">
        <f aca="false">IF(B62="","",TEXT(B62,"ddd"))</f>
        <v/>
      </c>
      <c r="D62" s="11"/>
      <c r="E62" s="8" t="str">
        <f aca="false">IF(D62="","",IFERROR(INDEX(ProjNumbers,MATCH(D62,ProjNames,0)),""))</f>
        <v/>
      </c>
      <c r="F62" s="8" t="str">
        <f aca="false">IF(D62="","",IFERROR(INDEX(ProjCodes,MATCH(D62,ProjNames,0)),""))</f>
        <v/>
      </c>
      <c r="G62" s="32"/>
      <c r="H62" s="11"/>
      <c r="I62" s="33"/>
      <c r="J62" s="8" t="str">
        <f aca="false">IF(COUNTA(B62,D62,G62,H62,I62)=0,"",IF(B62="","Enter date",IF(OR(B62&lt;$AC$2,B62&gt;$AC$3),"Date not in May",IF(D62="","Pick project",IF(ISNA(MATCH(D62,ProjNames,0)),"Project not in list",IF(G62="","Add task description",IF(H62="","Pick NTIME or P6",IF(N(I62)&lt;=0,"Enter hours",IF(AND(AllowOT&lt;&gt;"Yes",SUMIF($B$7:$B$256,B62,$I$7:$I$256)&gt;INDEX($O$58:$O$88,DAY(B62))),"Day over "&amp;INDEX($O$58:$O$88,DAY(B62))&amp;" h","✓")))))))))</f>
        <v/>
      </c>
      <c r="K62" s="1"/>
      <c r="L62" s="35" t="n">
        <v>46147</v>
      </c>
      <c r="M62" s="36" t="str">
        <f aca="false">TEXT(L62,"ddd")</f>
        <v>Tue</v>
      </c>
      <c r="N62" s="37" t="s">
        <v>93</v>
      </c>
      <c r="O62" s="37" t="n">
        <f aca="false">AvailHours</f>
        <v>8</v>
      </c>
      <c r="P62" s="24" t="n">
        <f aca="false">SUMIFS($I$7:$I$256,$B$7:$B$256,L62,$H$7:$H$256,"NTIME")</f>
        <v>0</v>
      </c>
      <c r="Q62" s="24" t="n">
        <f aca="false">SUMIFS($I$7:$I$256,$B$7:$B$256,L62,$H$7:$H$256,"P6")</f>
        <v>0</v>
      </c>
      <c r="R62" s="24" t="n">
        <f aca="false">IF(N62="Overhead only",O62,IF(AND(N62="Working",P62+Q62&gt;0),MAX(0,O62-P62-Q62),0))</f>
        <v>0</v>
      </c>
      <c r="S62" s="24" t="n">
        <f aca="false">IF(OR(N62="Working",N62="Overhead only"),MAX(0,P62+Q62-O62),0)</f>
        <v>0</v>
      </c>
      <c r="T62" s="24" t="n">
        <f aca="false">P62+Q62+R62</f>
        <v>0</v>
      </c>
      <c r="U62" s="24" t="str">
        <f aca="true">IF(N62="Working",IF(P62+Q62=0,IF(L62&lt;=TODAY(),"Not logged",""),IF(P62+Q62&gt;O62,IF(AllowOT="Yes","Overtime","Over "&amp;O62&amp;" h!"),"✓")),IF(N62="Overhead only","✓ Overhead day",IF(P62+Q62&gt;0,"Entries on "&amp;LOWER(N62)&amp;" day",N62)))</f>
        <v>Not logged</v>
      </c>
      <c r="V62" s="1"/>
      <c r="W62" s="1" t="str">
        <f aca="false">IF(Projects!B60="","",Projects!B60)</f>
        <v/>
      </c>
      <c r="X62" s="1" t="n">
        <f aca="false">IF(W62="",0,SUMIFS($I$7:$I$256,$D$7:$D$256,W62,$H$7:$H$256,"NTIME"))</f>
        <v>0</v>
      </c>
      <c r="Y62" s="1" t="n">
        <f aca="false">IF(W62="",0,SUMIFS($I$7:$I$256,$D$7:$D$256,W62,$H$7:$H$256,"P6"))</f>
        <v>0</v>
      </c>
      <c r="Z62" s="1" t="n">
        <f aca="false">X62+Y62</f>
        <v>0</v>
      </c>
      <c r="AA62" s="1" t="n">
        <f aca="false">IF(Z62&gt;0,Z62+(201-56)/10^6,0)</f>
        <v>0</v>
      </c>
      <c r="AB62" s="1"/>
      <c r="AC62" s="1"/>
      <c r="AD62" s="1"/>
      <c r="AE62" s="1"/>
      <c r="AF62" s="1"/>
      <c r="AG62" s="1"/>
      <c r="AH62" s="1"/>
    </row>
    <row r="63" customFormat="false" ht="15" hidden="false" customHeight="false" outlineLevel="0" collapsed="false">
      <c r="A63" s="1"/>
      <c r="B63" s="10"/>
      <c r="C63" s="31" t="str">
        <f aca="false">IF(B63="","",TEXT(B63,"ddd"))</f>
        <v/>
      </c>
      <c r="D63" s="11"/>
      <c r="E63" s="8" t="str">
        <f aca="false">IF(D63="","",IFERROR(INDEX(ProjNumbers,MATCH(D63,ProjNames,0)),""))</f>
        <v/>
      </c>
      <c r="F63" s="8" t="str">
        <f aca="false">IF(D63="","",IFERROR(INDEX(ProjCodes,MATCH(D63,ProjNames,0)),""))</f>
        <v/>
      </c>
      <c r="G63" s="32"/>
      <c r="H63" s="11"/>
      <c r="I63" s="33"/>
      <c r="J63" s="8" t="str">
        <f aca="false">IF(COUNTA(B63,D63,G63,H63,I63)=0,"",IF(B63="","Enter date",IF(OR(B63&lt;$AC$2,B63&gt;$AC$3),"Date not in May",IF(D63="","Pick project",IF(ISNA(MATCH(D63,ProjNames,0)),"Project not in list",IF(G63="","Add task description",IF(H63="","Pick NTIME or P6",IF(N(I63)&lt;=0,"Enter hours",IF(AND(AllowOT&lt;&gt;"Yes",SUMIF($B$7:$B$256,B63,$I$7:$I$256)&gt;INDEX($O$58:$O$88,DAY(B63))),"Day over "&amp;INDEX($O$58:$O$88,DAY(B63))&amp;" h","✓")))))))))</f>
        <v/>
      </c>
      <c r="K63" s="1"/>
      <c r="L63" s="35" t="n">
        <v>46148</v>
      </c>
      <c r="M63" s="36" t="str">
        <f aca="false">TEXT(L63,"ddd")</f>
        <v>Wed</v>
      </c>
      <c r="N63" s="37" t="s">
        <v>93</v>
      </c>
      <c r="O63" s="37" t="n">
        <f aca="false">AvailHours</f>
        <v>8</v>
      </c>
      <c r="P63" s="24" t="n">
        <f aca="false">SUMIFS($I$7:$I$256,$B$7:$B$256,L63,$H$7:$H$256,"NTIME")</f>
        <v>0</v>
      </c>
      <c r="Q63" s="24" t="n">
        <f aca="false">SUMIFS($I$7:$I$256,$B$7:$B$256,L63,$H$7:$H$256,"P6")</f>
        <v>0</v>
      </c>
      <c r="R63" s="24" t="n">
        <f aca="false">IF(N63="Overhead only",O63,IF(AND(N63="Working",P63+Q63&gt;0),MAX(0,O63-P63-Q63),0))</f>
        <v>0</v>
      </c>
      <c r="S63" s="24" t="n">
        <f aca="false">IF(OR(N63="Working",N63="Overhead only"),MAX(0,P63+Q63-O63),0)</f>
        <v>0</v>
      </c>
      <c r="T63" s="24" t="n">
        <f aca="false">P63+Q63+R63</f>
        <v>0</v>
      </c>
      <c r="U63" s="24" t="str">
        <f aca="true">IF(N63="Working",IF(P63+Q63=0,IF(L63&lt;=TODAY(),"Not logged",""),IF(P63+Q63&gt;O63,IF(AllowOT="Yes","Overtime","Over "&amp;O63&amp;" h!"),"✓")),IF(N63="Overhead only","✓ Overhead day",IF(P63+Q63&gt;0,"Entries on "&amp;LOWER(N63)&amp;" day",N63)))</f>
        <v>Not logged</v>
      </c>
      <c r="V63" s="1"/>
      <c r="W63" s="1" t="str">
        <f aca="false">IF(Projects!B61="","",Projects!B61)</f>
        <v/>
      </c>
      <c r="X63" s="1" t="n">
        <f aca="false">IF(W63="",0,SUMIFS($I$7:$I$256,$D$7:$D$256,W63,$H$7:$H$256,"NTIME"))</f>
        <v>0</v>
      </c>
      <c r="Y63" s="1" t="n">
        <f aca="false">IF(W63="",0,SUMIFS($I$7:$I$256,$D$7:$D$256,W63,$H$7:$H$256,"P6"))</f>
        <v>0</v>
      </c>
      <c r="Z63" s="1" t="n">
        <f aca="false">X63+Y63</f>
        <v>0</v>
      </c>
      <c r="AA63" s="1" t="n">
        <f aca="false">IF(Z63&gt;0,Z63+(201-57)/10^6,0)</f>
        <v>0</v>
      </c>
      <c r="AB63" s="1"/>
      <c r="AC63" s="1"/>
      <c r="AD63" s="1"/>
      <c r="AE63" s="1"/>
      <c r="AF63" s="1"/>
      <c r="AG63" s="1"/>
      <c r="AH63" s="1"/>
    </row>
    <row r="64" customFormat="false" ht="15" hidden="false" customHeight="false" outlineLevel="0" collapsed="false">
      <c r="A64" s="1"/>
      <c r="B64" s="10"/>
      <c r="C64" s="31" t="str">
        <f aca="false">IF(B64="","",TEXT(B64,"ddd"))</f>
        <v/>
      </c>
      <c r="D64" s="11"/>
      <c r="E64" s="8" t="str">
        <f aca="false">IF(D64="","",IFERROR(INDEX(ProjNumbers,MATCH(D64,ProjNames,0)),""))</f>
        <v/>
      </c>
      <c r="F64" s="8" t="str">
        <f aca="false">IF(D64="","",IFERROR(INDEX(ProjCodes,MATCH(D64,ProjNames,0)),""))</f>
        <v/>
      </c>
      <c r="G64" s="32"/>
      <c r="H64" s="11"/>
      <c r="I64" s="33"/>
      <c r="J64" s="8" t="str">
        <f aca="false">IF(COUNTA(B64,D64,G64,H64,I64)=0,"",IF(B64="","Enter date",IF(OR(B64&lt;$AC$2,B64&gt;$AC$3),"Date not in May",IF(D64="","Pick project",IF(ISNA(MATCH(D64,ProjNames,0)),"Project not in list",IF(G64="","Add task description",IF(H64="","Pick NTIME or P6",IF(N(I64)&lt;=0,"Enter hours",IF(AND(AllowOT&lt;&gt;"Yes",SUMIF($B$7:$B$256,B64,$I$7:$I$256)&gt;INDEX($O$58:$O$88,DAY(B64))),"Day over "&amp;INDEX($O$58:$O$88,DAY(B64))&amp;" h","✓")))))))))</f>
        <v/>
      </c>
      <c r="K64" s="1"/>
      <c r="L64" s="35" t="n">
        <v>46149</v>
      </c>
      <c r="M64" s="36" t="str">
        <f aca="false">TEXT(L64,"ddd")</f>
        <v>Thu</v>
      </c>
      <c r="N64" s="37" t="s">
        <v>93</v>
      </c>
      <c r="O64" s="37" t="n">
        <f aca="false">AvailHours</f>
        <v>8</v>
      </c>
      <c r="P64" s="24" t="n">
        <f aca="false">SUMIFS($I$7:$I$256,$B$7:$B$256,L64,$H$7:$H$256,"NTIME")</f>
        <v>0</v>
      </c>
      <c r="Q64" s="24" t="n">
        <f aca="false">SUMIFS($I$7:$I$256,$B$7:$B$256,L64,$H$7:$H$256,"P6")</f>
        <v>0</v>
      </c>
      <c r="R64" s="24" t="n">
        <f aca="false">IF(N64="Overhead only",O64,IF(AND(N64="Working",P64+Q64&gt;0),MAX(0,O64-P64-Q64),0))</f>
        <v>0</v>
      </c>
      <c r="S64" s="24" t="n">
        <f aca="false">IF(OR(N64="Working",N64="Overhead only"),MAX(0,P64+Q64-O64),0)</f>
        <v>0</v>
      </c>
      <c r="T64" s="24" t="n">
        <f aca="false">P64+Q64+R64</f>
        <v>0</v>
      </c>
      <c r="U64" s="24" t="str">
        <f aca="true">IF(N64="Working",IF(P64+Q64=0,IF(L64&lt;=TODAY(),"Not logged",""),IF(P64+Q64&gt;O64,IF(AllowOT="Yes","Overtime","Over "&amp;O64&amp;" h!"),"✓")),IF(N64="Overhead only","✓ Overhead day",IF(P64+Q64&gt;0,"Entries on "&amp;LOWER(N64)&amp;" day",N64)))</f>
        <v>Not logged</v>
      </c>
      <c r="V64" s="1"/>
      <c r="W64" s="1" t="str">
        <f aca="false">IF(Projects!B62="","",Projects!B62)</f>
        <v/>
      </c>
      <c r="X64" s="1" t="n">
        <f aca="false">IF(W64="",0,SUMIFS($I$7:$I$256,$D$7:$D$256,W64,$H$7:$H$256,"NTIME"))</f>
        <v>0</v>
      </c>
      <c r="Y64" s="1" t="n">
        <f aca="false">IF(W64="",0,SUMIFS($I$7:$I$256,$D$7:$D$256,W64,$H$7:$H$256,"P6"))</f>
        <v>0</v>
      </c>
      <c r="Z64" s="1" t="n">
        <f aca="false">X64+Y64</f>
        <v>0</v>
      </c>
      <c r="AA64" s="1" t="n">
        <f aca="false">IF(Z64&gt;0,Z64+(201-58)/10^6,0)</f>
        <v>0</v>
      </c>
      <c r="AB64" s="1"/>
      <c r="AC64" s="1"/>
      <c r="AD64" s="1"/>
      <c r="AE64" s="1"/>
      <c r="AF64" s="1"/>
      <c r="AG64" s="1"/>
      <c r="AH64" s="1"/>
    </row>
    <row r="65" customFormat="false" ht="15" hidden="false" customHeight="false" outlineLevel="0" collapsed="false">
      <c r="A65" s="1"/>
      <c r="B65" s="10"/>
      <c r="C65" s="31" t="str">
        <f aca="false">IF(B65="","",TEXT(B65,"ddd"))</f>
        <v/>
      </c>
      <c r="D65" s="11"/>
      <c r="E65" s="8" t="str">
        <f aca="false">IF(D65="","",IFERROR(INDEX(ProjNumbers,MATCH(D65,ProjNames,0)),""))</f>
        <v/>
      </c>
      <c r="F65" s="8" t="str">
        <f aca="false">IF(D65="","",IFERROR(INDEX(ProjCodes,MATCH(D65,ProjNames,0)),""))</f>
        <v/>
      </c>
      <c r="G65" s="32"/>
      <c r="H65" s="11"/>
      <c r="I65" s="33"/>
      <c r="J65" s="8" t="str">
        <f aca="false">IF(COUNTA(B65,D65,G65,H65,I65)=0,"",IF(B65="","Enter date",IF(OR(B65&lt;$AC$2,B65&gt;$AC$3),"Date not in May",IF(D65="","Pick project",IF(ISNA(MATCH(D65,ProjNames,0)),"Project not in list",IF(G65="","Add task description",IF(H65="","Pick NTIME or P6",IF(N(I65)&lt;=0,"Enter hours",IF(AND(AllowOT&lt;&gt;"Yes",SUMIF($B$7:$B$256,B65,$I$7:$I$256)&gt;INDEX($O$58:$O$88,DAY(B65))),"Day over "&amp;INDEX($O$58:$O$88,DAY(B65))&amp;" h","✓")))))))))</f>
        <v/>
      </c>
      <c r="K65" s="1"/>
      <c r="L65" s="35" t="n">
        <v>46150</v>
      </c>
      <c r="M65" s="36" t="str">
        <f aca="false">TEXT(L65,"ddd")</f>
        <v>Fri</v>
      </c>
      <c r="N65" s="37" t="s">
        <v>93</v>
      </c>
      <c r="O65" s="37" t="n">
        <f aca="false">AvailHours</f>
        <v>8</v>
      </c>
      <c r="P65" s="24" t="n">
        <f aca="false">SUMIFS($I$7:$I$256,$B$7:$B$256,L65,$H$7:$H$256,"NTIME")</f>
        <v>0</v>
      </c>
      <c r="Q65" s="24" t="n">
        <f aca="false">SUMIFS($I$7:$I$256,$B$7:$B$256,L65,$H$7:$H$256,"P6")</f>
        <v>0</v>
      </c>
      <c r="R65" s="24" t="n">
        <f aca="false">IF(N65="Overhead only",O65,IF(AND(N65="Working",P65+Q65&gt;0),MAX(0,O65-P65-Q65),0))</f>
        <v>0</v>
      </c>
      <c r="S65" s="24" t="n">
        <f aca="false">IF(OR(N65="Working",N65="Overhead only"),MAX(0,P65+Q65-O65),0)</f>
        <v>0</v>
      </c>
      <c r="T65" s="24" t="n">
        <f aca="false">P65+Q65+R65</f>
        <v>0</v>
      </c>
      <c r="U65" s="24" t="str">
        <f aca="true">IF(N65="Working",IF(P65+Q65=0,IF(L65&lt;=TODAY(),"Not logged",""),IF(P65+Q65&gt;O65,IF(AllowOT="Yes","Overtime","Over "&amp;O65&amp;" h!"),"✓")),IF(N65="Overhead only","✓ Overhead day",IF(P65+Q65&gt;0,"Entries on "&amp;LOWER(N65)&amp;" day",N65)))</f>
        <v>Not logged</v>
      </c>
      <c r="V65" s="1"/>
      <c r="W65" s="1" t="str">
        <f aca="false">IF(Projects!B63="","",Projects!B63)</f>
        <v/>
      </c>
      <c r="X65" s="1" t="n">
        <f aca="false">IF(W65="",0,SUMIFS($I$7:$I$256,$D$7:$D$256,W65,$H$7:$H$256,"NTIME"))</f>
        <v>0</v>
      </c>
      <c r="Y65" s="1" t="n">
        <f aca="false">IF(W65="",0,SUMIFS($I$7:$I$256,$D$7:$D$256,W65,$H$7:$H$256,"P6"))</f>
        <v>0</v>
      </c>
      <c r="Z65" s="1" t="n">
        <f aca="false">X65+Y65</f>
        <v>0</v>
      </c>
      <c r="AA65" s="1" t="n">
        <f aca="false">IF(Z65&gt;0,Z65+(201-59)/10^6,0)</f>
        <v>0</v>
      </c>
      <c r="AB65" s="1"/>
      <c r="AC65" s="1"/>
      <c r="AD65" s="1"/>
      <c r="AE65" s="1"/>
      <c r="AF65" s="1"/>
      <c r="AG65" s="1"/>
      <c r="AH65" s="1"/>
    </row>
    <row r="66" customFormat="false" ht="15" hidden="false" customHeight="false" outlineLevel="0" collapsed="false">
      <c r="A66" s="1"/>
      <c r="B66" s="10"/>
      <c r="C66" s="31" t="str">
        <f aca="false">IF(B66="","",TEXT(B66,"ddd"))</f>
        <v/>
      </c>
      <c r="D66" s="11"/>
      <c r="E66" s="8" t="str">
        <f aca="false">IF(D66="","",IFERROR(INDEX(ProjNumbers,MATCH(D66,ProjNames,0)),""))</f>
        <v/>
      </c>
      <c r="F66" s="8" t="str">
        <f aca="false">IF(D66="","",IFERROR(INDEX(ProjCodes,MATCH(D66,ProjNames,0)),""))</f>
        <v/>
      </c>
      <c r="G66" s="32"/>
      <c r="H66" s="11"/>
      <c r="I66" s="33"/>
      <c r="J66" s="8" t="str">
        <f aca="false">IF(COUNTA(B66,D66,G66,H66,I66)=0,"",IF(B66="","Enter date",IF(OR(B66&lt;$AC$2,B66&gt;$AC$3),"Date not in May",IF(D66="","Pick project",IF(ISNA(MATCH(D66,ProjNames,0)),"Project not in list",IF(G66="","Add task description",IF(H66="","Pick NTIME or P6",IF(N(I66)&lt;=0,"Enter hours",IF(AND(AllowOT&lt;&gt;"Yes",SUMIF($B$7:$B$256,B66,$I$7:$I$256)&gt;INDEX($O$58:$O$88,DAY(B66))),"Day over "&amp;INDEX($O$58:$O$88,DAY(B66))&amp;" h","✓")))))))))</f>
        <v/>
      </c>
      <c r="K66" s="1"/>
      <c r="L66" s="35" t="n">
        <v>46151</v>
      </c>
      <c r="M66" s="36" t="str">
        <f aca="false">TEXT(L66,"ddd")</f>
        <v>Sat</v>
      </c>
      <c r="N66" s="37" t="s">
        <v>94</v>
      </c>
      <c r="O66" s="37" t="n">
        <f aca="false">AvailHours</f>
        <v>8</v>
      </c>
      <c r="P66" s="24" t="n">
        <f aca="false">SUMIFS($I$7:$I$256,$B$7:$B$256,L66,$H$7:$H$256,"NTIME")</f>
        <v>0</v>
      </c>
      <c r="Q66" s="24" t="n">
        <f aca="false">SUMIFS($I$7:$I$256,$B$7:$B$256,L66,$H$7:$H$256,"P6")</f>
        <v>0</v>
      </c>
      <c r="R66" s="24" t="n">
        <f aca="false">IF(N66="Overhead only",O66,IF(AND(N66="Working",P66+Q66&gt;0),MAX(0,O66-P66-Q66),0))</f>
        <v>0</v>
      </c>
      <c r="S66" s="24" t="n">
        <f aca="false">IF(OR(N66="Working",N66="Overhead only"),MAX(0,P66+Q66-O66),0)</f>
        <v>0</v>
      </c>
      <c r="T66" s="24" t="n">
        <f aca="false">P66+Q66+R66</f>
        <v>0</v>
      </c>
      <c r="U66" s="24" t="str">
        <f aca="true">IF(N66="Working",IF(P66+Q66=0,IF(L66&lt;=TODAY(),"Not logged",""),IF(P66+Q66&gt;O66,IF(AllowOT="Yes","Overtime","Over "&amp;O66&amp;" h!"),"✓")),IF(N66="Overhead only","✓ Overhead day",IF(P66+Q66&gt;0,"Entries on "&amp;LOWER(N66)&amp;" day",N66)))</f>
        <v>Weekend</v>
      </c>
      <c r="V66" s="1"/>
      <c r="W66" s="1" t="str">
        <f aca="false">IF(Projects!B64="","",Projects!B64)</f>
        <v/>
      </c>
      <c r="X66" s="1" t="n">
        <f aca="false">IF(W66="",0,SUMIFS($I$7:$I$256,$D$7:$D$256,W66,$H$7:$H$256,"NTIME"))</f>
        <v>0</v>
      </c>
      <c r="Y66" s="1" t="n">
        <f aca="false">IF(W66="",0,SUMIFS($I$7:$I$256,$D$7:$D$256,W66,$H$7:$H$256,"P6"))</f>
        <v>0</v>
      </c>
      <c r="Z66" s="1" t="n">
        <f aca="false">X66+Y66</f>
        <v>0</v>
      </c>
      <c r="AA66" s="1" t="n">
        <f aca="false">IF(Z66&gt;0,Z66+(201-60)/10^6,0)</f>
        <v>0</v>
      </c>
      <c r="AB66" s="1"/>
      <c r="AC66" s="1"/>
      <c r="AD66" s="1"/>
      <c r="AE66" s="1"/>
      <c r="AF66" s="1"/>
      <c r="AG66" s="1"/>
      <c r="AH66" s="1"/>
    </row>
    <row r="67" customFormat="false" ht="15" hidden="false" customHeight="false" outlineLevel="0" collapsed="false">
      <c r="A67" s="1"/>
      <c r="B67" s="10"/>
      <c r="C67" s="31" t="str">
        <f aca="false">IF(B67="","",TEXT(B67,"ddd"))</f>
        <v/>
      </c>
      <c r="D67" s="11"/>
      <c r="E67" s="8" t="str">
        <f aca="false">IF(D67="","",IFERROR(INDEX(ProjNumbers,MATCH(D67,ProjNames,0)),""))</f>
        <v/>
      </c>
      <c r="F67" s="8" t="str">
        <f aca="false">IF(D67="","",IFERROR(INDEX(ProjCodes,MATCH(D67,ProjNames,0)),""))</f>
        <v/>
      </c>
      <c r="G67" s="32"/>
      <c r="H67" s="11"/>
      <c r="I67" s="33"/>
      <c r="J67" s="8" t="str">
        <f aca="false">IF(COUNTA(B67,D67,G67,H67,I67)=0,"",IF(B67="","Enter date",IF(OR(B67&lt;$AC$2,B67&gt;$AC$3),"Date not in May",IF(D67="","Pick project",IF(ISNA(MATCH(D67,ProjNames,0)),"Project not in list",IF(G67="","Add task description",IF(H67="","Pick NTIME or P6",IF(N(I67)&lt;=0,"Enter hours",IF(AND(AllowOT&lt;&gt;"Yes",SUMIF($B$7:$B$256,B67,$I$7:$I$256)&gt;INDEX($O$58:$O$88,DAY(B67))),"Day over "&amp;INDEX($O$58:$O$88,DAY(B67))&amp;" h","✓")))))))))</f>
        <v/>
      </c>
      <c r="K67" s="1"/>
      <c r="L67" s="35" t="n">
        <v>46152</v>
      </c>
      <c r="M67" s="36" t="str">
        <f aca="false">TEXT(L67,"ddd")</f>
        <v>Sun</v>
      </c>
      <c r="N67" s="37" t="s">
        <v>94</v>
      </c>
      <c r="O67" s="37" t="n">
        <f aca="false">AvailHours</f>
        <v>8</v>
      </c>
      <c r="P67" s="24" t="n">
        <f aca="false">SUMIFS($I$7:$I$256,$B$7:$B$256,L67,$H$7:$H$256,"NTIME")</f>
        <v>0</v>
      </c>
      <c r="Q67" s="24" t="n">
        <f aca="false">SUMIFS($I$7:$I$256,$B$7:$B$256,L67,$H$7:$H$256,"P6")</f>
        <v>0</v>
      </c>
      <c r="R67" s="24" t="n">
        <f aca="false">IF(N67="Overhead only",O67,IF(AND(N67="Working",P67+Q67&gt;0),MAX(0,O67-P67-Q67),0))</f>
        <v>0</v>
      </c>
      <c r="S67" s="24" t="n">
        <f aca="false">IF(OR(N67="Working",N67="Overhead only"),MAX(0,P67+Q67-O67),0)</f>
        <v>0</v>
      </c>
      <c r="T67" s="24" t="n">
        <f aca="false">P67+Q67+R67</f>
        <v>0</v>
      </c>
      <c r="U67" s="24" t="str">
        <f aca="true">IF(N67="Working",IF(P67+Q67=0,IF(L67&lt;=TODAY(),"Not logged",""),IF(P67+Q67&gt;O67,IF(AllowOT="Yes","Overtime","Over "&amp;O67&amp;" h!"),"✓")),IF(N67="Overhead only","✓ Overhead day",IF(P67+Q67&gt;0,"Entries on "&amp;LOWER(N67)&amp;" day",N67)))</f>
        <v>Weekend</v>
      </c>
      <c r="V67" s="1"/>
      <c r="W67" s="1" t="str">
        <f aca="false">IF(Projects!B65="","",Projects!B65)</f>
        <v/>
      </c>
      <c r="X67" s="1" t="n">
        <f aca="false">IF(W67="",0,SUMIFS($I$7:$I$256,$D$7:$D$256,W67,$H$7:$H$256,"NTIME"))</f>
        <v>0</v>
      </c>
      <c r="Y67" s="1" t="n">
        <f aca="false">IF(W67="",0,SUMIFS($I$7:$I$256,$D$7:$D$256,W67,$H$7:$H$256,"P6"))</f>
        <v>0</v>
      </c>
      <c r="Z67" s="1" t="n">
        <f aca="false">X67+Y67</f>
        <v>0</v>
      </c>
      <c r="AA67" s="1" t="n">
        <f aca="false">IF(Z67&gt;0,Z67+(201-61)/10^6,0)</f>
        <v>0</v>
      </c>
      <c r="AB67" s="1"/>
      <c r="AC67" s="1"/>
      <c r="AD67" s="1"/>
      <c r="AE67" s="1"/>
      <c r="AF67" s="1"/>
      <c r="AG67" s="1"/>
      <c r="AH67" s="1"/>
    </row>
    <row r="68" customFormat="false" ht="15" hidden="false" customHeight="false" outlineLevel="0" collapsed="false">
      <c r="A68" s="1"/>
      <c r="B68" s="10"/>
      <c r="C68" s="31" t="str">
        <f aca="false">IF(B68="","",TEXT(B68,"ddd"))</f>
        <v/>
      </c>
      <c r="D68" s="11"/>
      <c r="E68" s="8" t="str">
        <f aca="false">IF(D68="","",IFERROR(INDEX(ProjNumbers,MATCH(D68,ProjNames,0)),""))</f>
        <v/>
      </c>
      <c r="F68" s="8" t="str">
        <f aca="false">IF(D68="","",IFERROR(INDEX(ProjCodes,MATCH(D68,ProjNames,0)),""))</f>
        <v/>
      </c>
      <c r="G68" s="32"/>
      <c r="H68" s="11"/>
      <c r="I68" s="33"/>
      <c r="J68" s="8" t="str">
        <f aca="false">IF(COUNTA(B68,D68,G68,H68,I68)=0,"",IF(B68="","Enter date",IF(OR(B68&lt;$AC$2,B68&gt;$AC$3),"Date not in May",IF(D68="","Pick project",IF(ISNA(MATCH(D68,ProjNames,0)),"Project not in list",IF(G68="","Add task description",IF(H68="","Pick NTIME or P6",IF(N(I68)&lt;=0,"Enter hours",IF(AND(AllowOT&lt;&gt;"Yes",SUMIF($B$7:$B$256,B68,$I$7:$I$256)&gt;INDEX($O$58:$O$88,DAY(B68))),"Day over "&amp;INDEX($O$58:$O$88,DAY(B68))&amp;" h","✓")))))))))</f>
        <v/>
      </c>
      <c r="K68" s="1"/>
      <c r="L68" s="35" t="n">
        <v>46153</v>
      </c>
      <c r="M68" s="36" t="str">
        <f aca="false">TEXT(L68,"ddd")</f>
        <v>Mon</v>
      </c>
      <c r="N68" s="37" t="s">
        <v>93</v>
      </c>
      <c r="O68" s="37" t="n">
        <f aca="false">AvailHours</f>
        <v>8</v>
      </c>
      <c r="P68" s="24" t="n">
        <f aca="false">SUMIFS($I$7:$I$256,$B$7:$B$256,L68,$H$7:$H$256,"NTIME")</f>
        <v>0</v>
      </c>
      <c r="Q68" s="24" t="n">
        <f aca="false">SUMIFS($I$7:$I$256,$B$7:$B$256,L68,$H$7:$H$256,"P6")</f>
        <v>0</v>
      </c>
      <c r="R68" s="24" t="n">
        <f aca="false">IF(N68="Overhead only",O68,IF(AND(N68="Working",P68+Q68&gt;0),MAX(0,O68-P68-Q68),0))</f>
        <v>0</v>
      </c>
      <c r="S68" s="24" t="n">
        <f aca="false">IF(OR(N68="Working",N68="Overhead only"),MAX(0,P68+Q68-O68),0)</f>
        <v>0</v>
      </c>
      <c r="T68" s="24" t="n">
        <f aca="false">P68+Q68+R68</f>
        <v>0</v>
      </c>
      <c r="U68" s="24" t="str">
        <f aca="true">IF(N68="Working",IF(P68+Q68=0,IF(L68&lt;=TODAY(),"Not logged",""),IF(P68+Q68&gt;O68,IF(AllowOT="Yes","Overtime","Over "&amp;O68&amp;" h!"),"✓")),IF(N68="Overhead only","✓ Overhead day",IF(P68+Q68&gt;0,"Entries on "&amp;LOWER(N68)&amp;" day",N68)))</f>
        <v>Not logged</v>
      </c>
      <c r="V68" s="1"/>
      <c r="W68" s="1" t="str">
        <f aca="false">IF(Projects!B66="","",Projects!B66)</f>
        <v/>
      </c>
      <c r="X68" s="1" t="n">
        <f aca="false">IF(W68="",0,SUMIFS($I$7:$I$256,$D$7:$D$256,W68,$H$7:$H$256,"NTIME"))</f>
        <v>0</v>
      </c>
      <c r="Y68" s="1" t="n">
        <f aca="false">IF(W68="",0,SUMIFS($I$7:$I$256,$D$7:$D$256,W68,$H$7:$H$256,"P6"))</f>
        <v>0</v>
      </c>
      <c r="Z68" s="1" t="n">
        <f aca="false">X68+Y68</f>
        <v>0</v>
      </c>
      <c r="AA68" s="1" t="n">
        <f aca="false">IF(Z68&gt;0,Z68+(201-62)/10^6,0)</f>
        <v>0</v>
      </c>
      <c r="AB68" s="1"/>
      <c r="AC68" s="1"/>
      <c r="AD68" s="1"/>
      <c r="AE68" s="1"/>
      <c r="AF68" s="1"/>
      <c r="AG68" s="1"/>
      <c r="AH68" s="1"/>
    </row>
    <row r="69" customFormat="false" ht="15" hidden="false" customHeight="false" outlineLevel="0" collapsed="false">
      <c r="A69" s="1"/>
      <c r="B69" s="10"/>
      <c r="C69" s="31" t="str">
        <f aca="false">IF(B69="","",TEXT(B69,"ddd"))</f>
        <v/>
      </c>
      <c r="D69" s="11"/>
      <c r="E69" s="8" t="str">
        <f aca="false">IF(D69="","",IFERROR(INDEX(ProjNumbers,MATCH(D69,ProjNames,0)),""))</f>
        <v/>
      </c>
      <c r="F69" s="8" t="str">
        <f aca="false">IF(D69="","",IFERROR(INDEX(ProjCodes,MATCH(D69,ProjNames,0)),""))</f>
        <v/>
      </c>
      <c r="G69" s="32"/>
      <c r="H69" s="11"/>
      <c r="I69" s="33"/>
      <c r="J69" s="8" t="str">
        <f aca="false">IF(COUNTA(B69,D69,G69,H69,I69)=0,"",IF(B69="","Enter date",IF(OR(B69&lt;$AC$2,B69&gt;$AC$3),"Date not in May",IF(D69="","Pick project",IF(ISNA(MATCH(D69,ProjNames,0)),"Project not in list",IF(G69="","Add task description",IF(H69="","Pick NTIME or P6",IF(N(I69)&lt;=0,"Enter hours",IF(AND(AllowOT&lt;&gt;"Yes",SUMIF($B$7:$B$256,B69,$I$7:$I$256)&gt;INDEX($O$58:$O$88,DAY(B69))),"Day over "&amp;INDEX($O$58:$O$88,DAY(B69))&amp;" h","✓")))))))))</f>
        <v/>
      </c>
      <c r="K69" s="1"/>
      <c r="L69" s="35" t="n">
        <v>46154</v>
      </c>
      <c r="M69" s="36" t="str">
        <f aca="false">TEXT(L69,"ddd")</f>
        <v>Tue</v>
      </c>
      <c r="N69" s="37" t="s">
        <v>93</v>
      </c>
      <c r="O69" s="37" t="n">
        <f aca="false">AvailHours</f>
        <v>8</v>
      </c>
      <c r="P69" s="24" t="n">
        <f aca="false">SUMIFS($I$7:$I$256,$B$7:$B$256,L69,$H$7:$H$256,"NTIME")</f>
        <v>0</v>
      </c>
      <c r="Q69" s="24" t="n">
        <f aca="false">SUMIFS($I$7:$I$256,$B$7:$B$256,L69,$H$7:$H$256,"P6")</f>
        <v>0</v>
      </c>
      <c r="R69" s="24" t="n">
        <f aca="false">IF(N69="Overhead only",O69,IF(AND(N69="Working",P69+Q69&gt;0),MAX(0,O69-P69-Q69),0))</f>
        <v>0</v>
      </c>
      <c r="S69" s="24" t="n">
        <f aca="false">IF(OR(N69="Working",N69="Overhead only"),MAX(0,P69+Q69-O69),0)</f>
        <v>0</v>
      </c>
      <c r="T69" s="24" t="n">
        <f aca="false">P69+Q69+R69</f>
        <v>0</v>
      </c>
      <c r="U69" s="24" t="str">
        <f aca="true">IF(N69="Working",IF(P69+Q69=0,IF(L69&lt;=TODAY(),"Not logged",""),IF(P69+Q69&gt;O69,IF(AllowOT="Yes","Overtime","Over "&amp;O69&amp;" h!"),"✓")),IF(N69="Overhead only","✓ Overhead day",IF(P69+Q69&gt;0,"Entries on "&amp;LOWER(N69)&amp;" day",N69)))</f>
        <v>Not logged</v>
      </c>
      <c r="V69" s="1"/>
      <c r="W69" s="1" t="str">
        <f aca="false">IF(Projects!B67="","",Projects!B67)</f>
        <v/>
      </c>
      <c r="X69" s="1" t="n">
        <f aca="false">IF(W69="",0,SUMIFS($I$7:$I$256,$D$7:$D$256,W69,$H$7:$H$256,"NTIME"))</f>
        <v>0</v>
      </c>
      <c r="Y69" s="1" t="n">
        <f aca="false">IF(W69="",0,SUMIFS($I$7:$I$256,$D$7:$D$256,W69,$H$7:$H$256,"P6"))</f>
        <v>0</v>
      </c>
      <c r="Z69" s="1" t="n">
        <f aca="false">X69+Y69</f>
        <v>0</v>
      </c>
      <c r="AA69" s="1" t="n">
        <f aca="false">IF(Z69&gt;0,Z69+(201-63)/10^6,0)</f>
        <v>0</v>
      </c>
      <c r="AB69" s="1"/>
      <c r="AC69" s="1"/>
      <c r="AD69" s="1"/>
      <c r="AE69" s="1"/>
      <c r="AF69" s="1"/>
      <c r="AG69" s="1"/>
      <c r="AH69" s="1"/>
    </row>
    <row r="70" customFormat="false" ht="15" hidden="false" customHeight="false" outlineLevel="0" collapsed="false">
      <c r="A70" s="1"/>
      <c r="B70" s="10"/>
      <c r="C70" s="31" t="str">
        <f aca="false">IF(B70="","",TEXT(B70,"ddd"))</f>
        <v/>
      </c>
      <c r="D70" s="11"/>
      <c r="E70" s="8" t="str">
        <f aca="false">IF(D70="","",IFERROR(INDEX(ProjNumbers,MATCH(D70,ProjNames,0)),""))</f>
        <v/>
      </c>
      <c r="F70" s="8" t="str">
        <f aca="false">IF(D70="","",IFERROR(INDEX(ProjCodes,MATCH(D70,ProjNames,0)),""))</f>
        <v/>
      </c>
      <c r="G70" s="32"/>
      <c r="H70" s="11"/>
      <c r="I70" s="33"/>
      <c r="J70" s="8" t="str">
        <f aca="false">IF(COUNTA(B70,D70,G70,H70,I70)=0,"",IF(B70="","Enter date",IF(OR(B70&lt;$AC$2,B70&gt;$AC$3),"Date not in May",IF(D70="","Pick project",IF(ISNA(MATCH(D70,ProjNames,0)),"Project not in list",IF(G70="","Add task description",IF(H70="","Pick NTIME or P6",IF(N(I70)&lt;=0,"Enter hours",IF(AND(AllowOT&lt;&gt;"Yes",SUMIF($B$7:$B$256,B70,$I$7:$I$256)&gt;INDEX($O$58:$O$88,DAY(B70))),"Day over "&amp;INDEX($O$58:$O$88,DAY(B70))&amp;" h","✓")))))))))</f>
        <v/>
      </c>
      <c r="K70" s="1"/>
      <c r="L70" s="35" t="n">
        <v>46155</v>
      </c>
      <c r="M70" s="36" t="str">
        <f aca="false">TEXT(L70,"ddd")</f>
        <v>Wed</v>
      </c>
      <c r="N70" s="37" t="s">
        <v>93</v>
      </c>
      <c r="O70" s="37" t="n">
        <f aca="false">AvailHours</f>
        <v>8</v>
      </c>
      <c r="P70" s="24" t="n">
        <f aca="false">SUMIFS($I$7:$I$256,$B$7:$B$256,L70,$H$7:$H$256,"NTIME")</f>
        <v>0</v>
      </c>
      <c r="Q70" s="24" t="n">
        <f aca="false">SUMIFS($I$7:$I$256,$B$7:$B$256,L70,$H$7:$H$256,"P6")</f>
        <v>0</v>
      </c>
      <c r="R70" s="24" t="n">
        <f aca="false">IF(N70="Overhead only",O70,IF(AND(N70="Working",P70+Q70&gt;0),MAX(0,O70-P70-Q70),0))</f>
        <v>0</v>
      </c>
      <c r="S70" s="24" t="n">
        <f aca="false">IF(OR(N70="Working",N70="Overhead only"),MAX(0,P70+Q70-O70),0)</f>
        <v>0</v>
      </c>
      <c r="T70" s="24" t="n">
        <f aca="false">P70+Q70+R70</f>
        <v>0</v>
      </c>
      <c r="U70" s="24" t="str">
        <f aca="true">IF(N70="Working",IF(P70+Q70=0,IF(L70&lt;=TODAY(),"Not logged",""),IF(P70+Q70&gt;O70,IF(AllowOT="Yes","Overtime","Over "&amp;O70&amp;" h!"),"✓")),IF(N70="Overhead only","✓ Overhead day",IF(P70+Q70&gt;0,"Entries on "&amp;LOWER(N70)&amp;" day",N70)))</f>
        <v>Not logged</v>
      </c>
      <c r="V70" s="1"/>
      <c r="W70" s="1" t="str">
        <f aca="false">IF(Projects!B68="","",Projects!B68)</f>
        <v/>
      </c>
      <c r="X70" s="1" t="n">
        <f aca="false">IF(W70="",0,SUMIFS($I$7:$I$256,$D$7:$D$256,W70,$H$7:$H$256,"NTIME"))</f>
        <v>0</v>
      </c>
      <c r="Y70" s="1" t="n">
        <f aca="false">IF(W70="",0,SUMIFS($I$7:$I$256,$D$7:$D$256,W70,$H$7:$H$256,"P6"))</f>
        <v>0</v>
      </c>
      <c r="Z70" s="1" t="n">
        <f aca="false">X70+Y70</f>
        <v>0</v>
      </c>
      <c r="AA70" s="1" t="n">
        <f aca="false">IF(Z70&gt;0,Z70+(201-64)/10^6,0)</f>
        <v>0</v>
      </c>
      <c r="AB70" s="1"/>
      <c r="AC70" s="1"/>
      <c r="AD70" s="1"/>
      <c r="AE70" s="1"/>
      <c r="AF70" s="1"/>
      <c r="AG70" s="1"/>
      <c r="AH70" s="1"/>
    </row>
    <row r="71" customFormat="false" ht="15" hidden="false" customHeight="false" outlineLevel="0" collapsed="false">
      <c r="A71" s="1"/>
      <c r="B71" s="10"/>
      <c r="C71" s="31" t="str">
        <f aca="false">IF(B71="","",TEXT(B71,"ddd"))</f>
        <v/>
      </c>
      <c r="D71" s="11"/>
      <c r="E71" s="8" t="str">
        <f aca="false">IF(D71="","",IFERROR(INDEX(ProjNumbers,MATCH(D71,ProjNames,0)),""))</f>
        <v/>
      </c>
      <c r="F71" s="8" t="str">
        <f aca="false">IF(D71="","",IFERROR(INDEX(ProjCodes,MATCH(D71,ProjNames,0)),""))</f>
        <v/>
      </c>
      <c r="G71" s="32"/>
      <c r="H71" s="11"/>
      <c r="I71" s="33"/>
      <c r="J71" s="8" t="str">
        <f aca="false">IF(COUNTA(B71,D71,G71,H71,I71)=0,"",IF(B71="","Enter date",IF(OR(B71&lt;$AC$2,B71&gt;$AC$3),"Date not in May",IF(D71="","Pick project",IF(ISNA(MATCH(D71,ProjNames,0)),"Project not in list",IF(G71="","Add task description",IF(H71="","Pick NTIME or P6",IF(N(I71)&lt;=0,"Enter hours",IF(AND(AllowOT&lt;&gt;"Yes",SUMIF($B$7:$B$256,B71,$I$7:$I$256)&gt;INDEX($O$58:$O$88,DAY(B71))),"Day over "&amp;INDEX($O$58:$O$88,DAY(B71))&amp;" h","✓")))))))))</f>
        <v/>
      </c>
      <c r="K71" s="1"/>
      <c r="L71" s="35" t="n">
        <v>46156</v>
      </c>
      <c r="M71" s="36" t="str">
        <f aca="false">TEXT(L71,"ddd")</f>
        <v>Thu</v>
      </c>
      <c r="N71" s="37" t="s">
        <v>93</v>
      </c>
      <c r="O71" s="37" t="n">
        <f aca="false">AvailHours</f>
        <v>8</v>
      </c>
      <c r="P71" s="24" t="n">
        <f aca="false">SUMIFS($I$7:$I$256,$B$7:$B$256,L71,$H$7:$H$256,"NTIME")</f>
        <v>0</v>
      </c>
      <c r="Q71" s="24" t="n">
        <f aca="false">SUMIFS($I$7:$I$256,$B$7:$B$256,L71,$H$7:$H$256,"P6")</f>
        <v>0</v>
      </c>
      <c r="R71" s="24" t="n">
        <f aca="false">IF(N71="Overhead only",O71,IF(AND(N71="Working",P71+Q71&gt;0),MAX(0,O71-P71-Q71),0))</f>
        <v>0</v>
      </c>
      <c r="S71" s="24" t="n">
        <f aca="false">IF(OR(N71="Working",N71="Overhead only"),MAX(0,P71+Q71-O71),0)</f>
        <v>0</v>
      </c>
      <c r="T71" s="24" t="n">
        <f aca="false">P71+Q71+R71</f>
        <v>0</v>
      </c>
      <c r="U71" s="24" t="str">
        <f aca="true">IF(N71="Working",IF(P71+Q71=0,IF(L71&lt;=TODAY(),"Not logged",""),IF(P71+Q71&gt;O71,IF(AllowOT="Yes","Overtime","Over "&amp;O71&amp;" h!"),"✓")),IF(N71="Overhead only","✓ Overhead day",IF(P71+Q71&gt;0,"Entries on "&amp;LOWER(N71)&amp;" day",N71)))</f>
        <v>Not logged</v>
      </c>
      <c r="V71" s="1"/>
      <c r="W71" s="1" t="str">
        <f aca="false">IF(Projects!B69="","",Projects!B69)</f>
        <v/>
      </c>
      <c r="X71" s="1" t="n">
        <f aca="false">IF(W71="",0,SUMIFS($I$7:$I$256,$D$7:$D$256,W71,$H$7:$H$256,"NTIME"))</f>
        <v>0</v>
      </c>
      <c r="Y71" s="1" t="n">
        <f aca="false">IF(W71="",0,SUMIFS($I$7:$I$256,$D$7:$D$256,W71,$H$7:$H$256,"P6"))</f>
        <v>0</v>
      </c>
      <c r="Z71" s="1" t="n">
        <f aca="false">X71+Y71</f>
        <v>0</v>
      </c>
      <c r="AA71" s="1" t="n">
        <f aca="false">IF(Z71&gt;0,Z71+(201-65)/10^6,0)</f>
        <v>0</v>
      </c>
      <c r="AB71" s="1"/>
      <c r="AC71" s="1"/>
      <c r="AD71" s="1"/>
      <c r="AE71" s="1"/>
      <c r="AF71" s="1"/>
      <c r="AG71" s="1"/>
      <c r="AH71" s="1"/>
    </row>
    <row r="72" customFormat="false" ht="15" hidden="false" customHeight="false" outlineLevel="0" collapsed="false">
      <c r="A72" s="1"/>
      <c r="B72" s="10"/>
      <c r="C72" s="31" t="str">
        <f aca="false">IF(B72="","",TEXT(B72,"ddd"))</f>
        <v/>
      </c>
      <c r="D72" s="11"/>
      <c r="E72" s="8" t="str">
        <f aca="false">IF(D72="","",IFERROR(INDEX(ProjNumbers,MATCH(D72,ProjNames,0)),""))</f>
        <v/>
      </c>
      <c r="F72" s="8" t="str">
        <f aca="false">IF(D72="","",IFERROR(INDEX(ProjCodes,MATCH(D72,ProjNames,0)),""))</f>
        <v/>
      </c>
      <c r="G72" s="32"/>
      <c r="H72" s="11"/>
      <c r="I72" s="33"/>
      <c r="J72" s="8" t="str">
        <f aca="false">IF(COUNTA(B72,D72,G72,H72,I72)=0,"",IF(B72="","Enter date",IF(OR(B72&lt;$AC$2,B72&gt;$AC$3),"Date not in May",IF(D72="","Pick project",IF(ISNA(MATCH(D72,ProjNames,0)),"Project not in list",IF(G72="","Add task description",IF(H72="","Pick NTIME or P6",IF(N(I72)&lt;=0,"Enter hours",IF(AND(AllowOT&lt;&gt;"Yes",SUMIF($B$7:$B$256,B72,$I$7:$I$256)&gt;INDEX($O$58:$O$88,DAY(B72))),"Day over "&amp;INDEX($O$58:$O$88,DAY(B72))&amp;" h","✓")))))))))</f>
        <v/>
      </c>
      <c r="K72" s="1"/>
      <c r="L72" s="35" t="n">
        <v>46157</v>
      </c>
      <c r="M72" s="36" t="str">
        <f aca="false">TEXT(L72,"ddd")</f>
        <v>Fri</v>
      </c>
      <c r="N72" s="37" t="s">
        <v>93</v>
      </c>
      <c r="O72" s="37" t="n">
        <f aca="false">AvailHours</f>
        <v>8</v>
      </c>
      <c r="P72" s="24" t="n">
        <f aca="false">SUMIFS($I$7:$I$256,$B$7:$B$256,L72,$H$7:$H$256,"NTIME")</f>
        <v>0</v>
      </c>
      <c r="Q72" s="24" t="n">
        <f aca="false">SUMIFS($I$7:$I$256,$B$7:$B$256,L72,$H$7:$H$256,"P6")</f>
        <v>0</v>
      </c>
      <c r="R72" s="24" t="n">
        <f aca="false">IF(N72="Overhead only",O72,IF(AND(N72="Working",P72+Q72&gt;0),MAX(0,O72-P72-Q72),0))</f>
        <v>0</v>
      </c>
      <c r="S72" s="24" t="n">
        <f aca="false">IF(OR(N72="Working",N72="Overhead only"),MAX(0,P72+Q72-O72),0)</f>
        <v>0</v>
      </c>
      <c r="T72" s="24" t="n">
        <f aca="false">P72+Q72+R72</f>
        <v>0</v>
      </c>
      <c r="U72" s="24" t="str">
        <f aca="true">IF(N72="Working",IF(P72+Q72=0,IF(L72&lt;=TODAY(),"Not logged",""),IF(P72+Q72&gt;O72,IF(AllowOT="Yes","Overtime","Over "&amp;O72&amp;" h!"),"✓")),IF(N72="Overhead only","✓ Overhead day",IF(P72+Q72&gt;0,"Entries on "&amp;LOWER(N72)&amp;" day",N72)))</f>
        <v>Not logged</v>
      </c>
      <c r="V72" s="1"/>
      <c r="W72" s="1" t="str">
        <f aca="false">IF(Projects!B70="","",Projects!B70)</f>
        <v/>
      </c>
      <c r="X72" s="1" t="n">
        <f aca="false">IF(W72="",0,SUMIFS($I$7:$I$256,$D$7:$D$256,W72,$H$7:$H$256,"NTIME"))</f>
        <v>0</v>
      </c>
      <c r="Y72" s="1" t="n">
        <f aca="false">IF(W72="",0,SUMIFS($I$7:$I$256,$D$7:$D$256,W72,$H$7:$H$256,"P6"))</f>
        <v>0</v>
      </c>
      <c r="Z72" s="1" t="n">
        <f aca="false">X72+Y72</f>
        <v>0</v>
      </c>
      <c r="AA72" s="1" t="n">
        <f aca="false">IF(Z72&gt;0,Z72+(201-66)/10^6,0)</f>
        <v>0</v>
      </c>
      <c r="AB72" s="1"/>
      <c r="AC72" s="1"/>
      <c r="AD72" s="1"/>
      <c r="AE72" s="1"/>
      <c r="AF72" s="1"/>
      <c r="AG72" s="1"/>
      <c r="AH72" s="1"/>
    </row>
    <row r="73" customFormat="false" ht="15" hidden="false" customHeight="false" outlineLevel="0" collapsed="false">
      <c r="A73" s="1"/>
      <c r="B73" s="10"/>
      <c r="C73" s="31" t="str">
        <f aca="false">IF(B73="","",TEXT(B73,"ddd"))</f>
        <v/>
      </c>
      <c r="D73" s="11"/>
      <c r="E73" s="8" t="str">
        <f aca="false">IF(D73="","",IFERROR(INDEX(ProjNumbers,MATCH(D73,ProjNames,0)),""))</f>
        <v/>
      </c>
      <c r="F73" s="8" t="str">
        <f aca="false">IF(D73="","",IFERROR(INDEX(ProjCodes,MATCH(D73,ProjNames,0)),""))</f>
        <v/>
      </c>
      <c r="G73" s="32"/>
      <c r="H73" s="11"/>
      <c r="I73" s="33"/>
      <c r="J73" s="8" t="str">
        <f aca="false">IF(COUNTA(B73,D73,G73,H73,I73)=0,"",IF(B73="","Enter date",IF(OR(B73&lt;$AC$2,B73&gt;$AC$3),"Date not in May",IF(D73="","Pick project",IF(ISNA(MATCH(D73,ProjNames,0)),"Project not in list",IF(G73="","Add task description",IF(H73="","Pick NTIME or P6",IF(N(I73)&lt;=0,"Enter hours",IF(AND(AllowOT&lt;&gt;"Yes",SUMIF($B$7:$B$256,B73,$I$7:$I$256)&gt;INDEX($O$58:$O$88,DAY(B73))),"Day over "&amp;INDEX($O$58:$O$88,DAY(B73))&amp;" h","✓")))))))))</f>
        <v/>
      </c>
      <c r="K73" s="1"/>
      <c r="L73" s="35" t="n">
        <v>46158</v>
      </c>
      <c r="M73" s="36" t="str">
        <f aca="false">TEXT(L73,"ddd")</f>
        <v>Sat</v>
      </c>
      <c r="N73" s="37" t="s">
        <v>94</v>
      </c>
      <c r="O73" s="37" t="n">
        <f aca="false">AvailHours</f>
        <v>8</v>
      </c>
      <c r="P73" s="24" t="n">
        <f aca="false">SUMIFS($I$7:$I$256,$B$7:$B$256,L73,$H$7:$H$256,"NTIME")</f>
        <v>0</v>
      </c>
      <c r="Q73" s="24" t="n">
        <f aca="false">SUMIFS($I$7:$I$256,$B$7:$B$256,L73,$H$7:$H$256,"P6")</f>
        <v>0</v>
      </c>
      <c r="R73" s="24" t="n">
        <f aca="false">IF(N73="Overhead only",O73,IF(AND(N73="Working",P73+Q73&gt;0),MAX(0,O73-P73-Q73),0))</f>
        <v>0</v>
      </c>
      <c r="S73" s="24" t="n">
        <f aca="false">IF(OR(N73="Working",N73="Overhead only"),MAX(0,P73+Q73-O73),0)</f>
        <v>0</v>
      </c>
      <c r="T73" s="24" t="n">
        <f aca="false">P73+Q73+R73</f>
        <v>0</v>
      </c>
      <c r="U73" s="24" t="str">
        <f aca="true">IF(N73="Working",IF(P73+Q73=0,IF(L73&lt;=TODAY(),"Not logged",""),IF(P73+Q73&gt;O73,IF(AllowOT="Yes","Overtime","Over "&amp;O73&amp;" h!"),"✓")),IF(N73="Overhead only","✓ Overhead day",IF(P73+Q73&gt;0,"Entries on "&amp;LOWER(N73)&amp;" day",N73)))</f>
        <v>Weekend</v>
      </c>
      <c r="V73" s="1"/>
      <c r="W73" s="1" t="str">
        <f aca="false">IF(Projects!B71="","",Projects!B71)</f>
        <v/>
      </c>
      <c r="X73" s="1" t="n">
        <f aca="false">IF(W73="",0,SUMIFS($I$7:$I$256,$D$7:$D$256,W73,$H$7:$H$256,"NTIME"))</f>
        <v>0</v>
      </c>
      <c r="Y73" s="1" t="n">
        <f aca="false">IF(W73="",0,SUMIFS($I$7:$I$256,$D$7:$D$256,W73,$H$7:$H$256,"P6"))</f>
        <v>0</v>
      </c>
      <c r="Z73" s="1" t="n">
        <f aca="false">X73+Y73</f>
        <v>0</v>
      </c>
      <c r="AA73" s="1" t="n">
        <f aca="false">IF(Z73&gt;0,Z73+(201-67)/10^6,0)</f>
        <v>0</v>
      </c>
      <c r="AB73" s="1"/>
      <c r="AC73" s="1"/>
      <c r="AD73" s="1"/>
      <c r="AE73" s="1"/>
      <c r="AF73" s="1"/>
      <c r="AG73" s="1"/>
      <c r="AH73" s="1"/>
    </row>
    <row r="74" customFormat="false" ht="15" hidden="false" customHeight="false" outlineLevel="0" collapsed="false">
      <c r="A74" s="1"/>
      <c r="B74" s="10"/>
      <c r="C74" s="31" t="str">
        <f aca="false">IF(B74="","",TEXT(B74,"ddd"))</f>
        <v/>
      </c>
      <c r="D74" s="11"/>
      <c r="E74" s="8" t="str">
        <f aca="false">IF(D74="","",IFERROR(INDEX(ProjNumbers,MATCH(D74,ProjNames,0)),""))</f>
        <v/>
      </c>
      <c r="F74" s="8" t="str">
        <f aca="false">IF(D74="","",IFERROR(INDEX(ProjCodes,MATCH(D74,ProjNames,0)),""))</f>
        <v/>
      </c>
      <c r="G74" s="32"/>
      <c r="H74" s="11"/>
      <c r="I74" s="33"/>
      <c r="J74" s="8" t="str">
        <f aca="false">IF(COUNTA(B74,D74,G74,H74,I74)=0,"",IF(B74="","Enter date",IF(OR(B74&lt;$AC$2,B74&gt;$AC$3),"Date not in May",IF(D74="","Pick project",IF(ISNA(MATCH(D74,ProjNames,0)),"Project not in list",IF(G74="","Add task description",IF(H74="","Pick NTIME or P6",IF(N(I74)&lt;=0,"Enter hours",IF(AND(AllowOT&lt;&gt;"Yes",SUMIF($B$7:$B$256,B74,$I$7:$I$256)&gt;INDEX($O$58:$O$88,DAY(B74))),"Day over "&amp;INDEX($O$58:$O$88,DAY(B74))&amp;" h","✓")))))))))</f>
        <v/>
      </c>
      <c r="K74" s="1"/>
      <c r="L74" s="35" t="n">
        <v>46159</v>
      </c>
      <c r="M74" s="36" t="str">
        <f aca="false">TEXT(L74,"ddd")</f>
        <v>Sun</v>
      </c>
      <c r="N74" s="37" t="s">
        <v>94</v>
      </c>
      <c r="O74" s="37" t="n">
        <f aca="false">AvailHours</f>
        <v>8</v>
      </c>
      <c r="P74" s="24" t="n">
        <f aca="false">SUMIFS($I$7:$I$256,$B$7:$B$256,L74,$H$7:$H$256,"NTIME")</f>
        <v>0</v>
      </c>
      <c r="Q74" s="24" t="n">
        <f aca="false">SUMIFS($I$7:$I$256,$B$7:$B$256,L74,$H$7:$H$256,"P6")</f>
        <v>0</v>
      </c>
      <c r="R74" s="24" t="n">
        <f aca="false">IF(N74="Overhead only",O74,IF(AND(N74="Working",P74+Q74&gt;0),MAX(0,O74-P74-Q74),0))</f>
        <v>0</v>
      </c>
      <c r="S74" s="24" t="n">
        <f aca="false">IF(OR(N74="Working",N74="Overhead only"),MAX(0,P74+Q74-O74),0)</f>
        <v>0</v>
      </c>
      <c r="T74" s="24" t="n">
        <f aca="false">P74+Q74+R74</f>
        <v>0</v>
      </c>
      <c r="U74" s="24" t="str">
        <f aca="true">IF(N74="Working",IF(P74+Q74=0,IF(L74&lt;=TODAY(),"Not logged",""),IF(P74+Q74&gt;O74,IF(AllowOT="Yes","Overtime","Over "&amp;O74&amp;" h!"),"✓")),IF(N74="Overhead only","✓ Overhead day",IF(P74+Q74&gt;0,"Entries on "&amp;LOWER(N74)&amp;" day",N74)))</f>
        <v>Weekend</v>
      </c>
      <c r="V74" s="1"/>
      <c r="W74" s="1" t="str">
        <f aca="false">IF(Projects!B72="","",Projects!B72)</f>
        <v/>
      </c>
      <c r="X74" s="1" t="n">
        <f aca="false">IF(W74="",0,SUMIFS($I$7:$I$256,$D$7:$D$256,W74,$H$7:$H$256,"NTIME"))</f>
        <v>0</v>
      </c>
      <c r="Y74" s="1" t="n">
        <f aca="false">IF(W74="",0,SUMIFS($I$7:$I$256,$D$7:$D$256,W74,$H$7:$H$256,"P6"))</f>
        <v>0</v>
      </c>
      <c r="Z74" s="1" t="n">
        <f aca="false">X74+Y74</f>
        <v>0</v>
      </c>
      <c r="AA74" s="1" t="n">
        <f aca="false">IF(Z74&gt;0,Z74+(201-68)/10^6,0)</f>
        <v>0</v>
      </c>
      <c r="AB74" s="1"/>
      <c r="AC74" s="1"/>
      <c r="AD74" s="1"/>
      <c r="AE74" s="1"/>
      <c r="AF74" s="1"/>
      <c r="AG74" s="1"/>
      <c r="AH74" s="1"/>
    </row>
    <row r="75" customFormat="false" ht="15" hidden="false" customHeight="false" outlineLevel="0" collapsed="false">
      <c r="A75" s="1"/>
      <c r="B75" s="10"/>
      <c r="C75" s="31" t="str">
        <f aca="false">IF(B75="","",TEXT(B75,"ddd"))</f>
        <v/>
      </c>
      <c r="D75" s="11"/>
      <c r="E75" s="8" t="str">
        <f aca="false">IF(D75="","",IFERROR(INDEX(ProjNumbers,MATCH(D75,ProjNames,0)),""))</f>
        <v/>
      </c>
      <c r="F75" s="8" t="str">
        <f aca="false">IF(D75="","",IFERROR(INDEX(ProjCodes,MATCH(D75,ProjNames,0)),""))</f>
        <v/>
      </c>
      <c r="G75" s="32"/>
      <c r="H75" s="11"/>
      <c r="I75" s="33"/>
      <c r="J75" s="8" t="str">
        <f aca="false">IF(COUNTA(B75,D75,G75,H75,I75)=0,"",IF(B75="","Enter date",IF(OR(B75&lt;$AC$2,B75&gt;$AC$3),"Date not in May",IF(D75="","Pick project",IF(ISNA(MATCH(D75,ProjNames,0)),"Project not in list",IF(G75="","Add task description",IF(H75="","Pick NTIME or P6",IF(N(I75)&lt;=0,"Enter hours",IF(AND(AllowOT&lt;&gt;"Yes",SUMIF($B$7:$B$256,B75,$I$7:$I$256)&gt;INDEX($O$58:$O$88,DAY(B75))),"Day over "&amp;INDEX($O$58:$O$88,DAY(B75))&amp;" h","✓")))))))))</f>
        <v/>
      </c>
      <c r="K75" s="1"/>
      <c r="L75" s="35" t="n">
        <v>46160</v>
      </c>
      <c r="M75" s="36" t="str">
        <f aca="false">TEXT(L75,"ddd")</f>
        <v>Mon</v>
      </c>
      <c r="N75" s="37" t="s">
        <v>93</v>
      </c>
      <c r="O75" s="37" t="n">
        <f aca="false">AvailHours</f>
        <v>8</v>
      </c>
      <c r="P75" s="24" t="n">
        <f aca="false">SUMIFS($I$7:$I$256,$B$7:$B$256,L75,$H$7:$H$256,"NTIME")</f>
        <v>0</v>
      </c>
      <c r="Q75" s="24" t="n">
        <f aca="false">SUMIFS($I$7:$I$256,$B$7:$B$256,L75,$H$7:$H$256,"P6")</f>
        <v>0</v>
      </c>
      <c r="R75" s="24" t="n">
        <f aca="false">IF(N75="Overhead only",O75,IF(AND(N75="Working",P75+Q75&gt;0),MAX(0,O75-P75-Q75),0))</f>
        <v>0</v>
      </c>
      <c r="S75" s="24" t="n">
        <f aca="false">IF(OR(N75="Working",N75="Overhead only"),MAX(0,P75+Q75-O75),0)</f>
        <v>0</v>
      </c>
      <c r="T75" s="24" t="n">
        <f aca="false">P75+Q75+R75</f>
        <v>0</v>
      </c>
      <c r="U75" s="24" t="str">
        <f aca="true">IF(N75="Working",IF(P75+Q75=0,IF(L75&lt;=TODAY(),"Not logged",""),IF(P75+Q75&gt;O75,IF(AllowOT="Yes","Overtime","Over "&amp;O75&amp;" h!"),"✓")),IF(N75="Overhead only","✓ Overhead day",IF(P75+Q75&gt;0,"Entries on "&amp;LOWER(N75)&amp;" day",N75)))</f>
        <v>Not logged</v>
      </c>
      <c r="V75" s="1"/>
      <c r="W75" s="1" t="str">
        <f aca="false">IF(Projects!B73="","",Projects!B73)</f>
        <v/>
      </c>
      <c r="X75" s="1" t="n">
        <f aca="false">IF(W75="",0,SUMIFS($I$7:$I$256,$D$7:$D$256,W75,$H$7:$H$256,"NTIME"))</f>
        <v>0</v>
      </c>
      <c r="Y75" s="1" t="n">
        <f aca="false">IF(W75="",0,SUMIFS($I$7:$I$256,$D$7:$D$256,W75,$H$7:$H$256,"P6"))</f>
        <v>0</v>
      </c>
      <c r="Z75" s="1" t="n">
        <f aca="false">X75+Y75</f>
        <v>0</v>
      </c>
      <c r="AA75" s="1" t="n">
        <f aca="false">IF(Z75&gt;0,Z75+(201-69)/10^6,0)</f>
        <v>0</v>
      </c>
      <c r="AB75" s="1"/>
      <c r="AC75" s="1"/>
      <c r="AD75" s="1"/>
      <c r="AE75" s="1"/>
      <c r="AF75" s="1"/>
      <c r="AG75" s="1"/>
      <c r="AH75" s="1"/>
    </row>
    <row r="76" customFormat="false" ht="15" hidden="false" customHeight="false" outlineLevel="0" collapsed="false">
      <c r="A76" s="1"/>
      <c r="B76" s="10"/>
      <c r="C76" s="31" t="str">
        <f aca="false">IF(B76="","",TEXT(B76,"ddd"))</f>
        <v/>
      </c>
      <c r="D76" s="11"/>
      <c r="E76" s="8" t="str">
        <f aca="false">IF(D76="","",IFERROR(INDEX(ProjNumbers,MATCH(D76,ProjNames,0)),""))</f>
        <v/>
      </c>
      <c r="F76" s="8" t="str">
        <f aca="false">IF(D76="","",IFERROR(INDEX(ProjCodes,MATCH(D76,ProjNames,0)),""))</f>
        <v/>
      </c>
      <c r="G76" s="32"/>
      <c r="H76" s="11"/>
      <c r="I76" s="33"/>
      <c r="J76" s="8" t="str">
        <f aca="false">IF(COUNTA(B76,D76,G76,H76,I76)=0,"",IF(B76="","Enter date",IF(OR(B76&lt;$AC$2,B76&gt;$AC$3),"Date not in May",IF(D76="","Pick project",IF(ISNA(MATCH(D76,ProjNames,0)),"Project not in list",IF(G76="","Add task description",IF(H76="","Pick NTIME or P6",IF(N(I76)&lt;=0,"Enter hours",IF(AND(AllowOT&lt;&gt;"Yes",SUMIF($B$7:$B$256,B76,$I$7:$I$256)&gt;INDEX($O$58:$O$88,DAY(B76))),"Day over "&amp;INDEX($O$58:$O$88,DAY(B76))&amp;" h","✓")))))))))</f>
        <v/>
      </c>
      <c r="K76" s="1"/>
      <c r="L76" s="35" t="n">
        <v>46161</v>
      </c>
      <c r="M76" s="36" t="str">
        <f aca="false">TEXT(L76,"ddd")</f>
        <v>Tue</v>
      </c>
      <c r="N76" s="37" t="s">
        <v>93</v>
      </c>
      <c r="O76" s="37" t="n">
        <f aca="false">AvailHours</f>
        <v>8</v>
      </c>
      <c r="P76" s="24" t="n">
        <f aca="false">SUMIFS($I$7:$I$256,$B$7:$B$256,L76,$H$7:$H$256,"NTIME")</f>
        <v>0</v>
      </c>
      <c r="Q76" s="24" t="n">
        <f aca="false">SUMIFS($I$7:$I$256,$B$7:$B$256,L76,$H$7:$H$256,"P6")</f>
        <v>0</v>
      </c>
      <c r="R76" s="24" t="n">
        <f aca="false">IF(N76="Overhead only",O76,IF(AND(N76="Working",P76+Q76&gt;0),MAX(0,O76-P76-Q76),0))</f>
        <v>0</v>
      </c>
      <c r="S76" s="24" t="n">
        <f aca="false">IF(OR(N76="Working",N76="Overhead only"),MAX(0,P76+Q76-O76),0)</f>
        <v>0</v>
      </c>
      <c r="T76" s="24" t="n">
        <f aca="false">P76+Q76+R76</f>
        <v>0</v>
      </c>
      <c r="U76" s="24" t="str">
        <f aca="true">IF(N76="Working",IF(P76+Q76=0,IF(L76&lt;=TODAY(),"Not logged",""),IF(P76+Q76&gt;O76,IF(AllowOT="Yes","Overtime","Over "&amp;O76&amp;" h!"),"✓")),IF(N76="Overhead only","✓ Overhead day",IF(P76+Q76&gt;0,"Entries on "&amp;LOWER(N76)&amp;" day",N76)))</f>
        <v>Not logged</v>
      </c>
      <c r="V76" s="1"/>
      <c r="W76" s="1" t="str">
        <f aca="false">IF(Projects!B74="","",Projects!B74)</f>
        <v/>
      </c>
      <c r="X76" s="1" t="n">
        <f aca="false">IF(W76="",0,SUMIFS($I$7:$I$256,$D$7:$D$256,W76,$H$7:$H$256,"NTIME"))</f>
        <v>0</v>
      </c>
      <c r="Y76" s="1" t="n">
        <f aca="false">IF(W76="",0,SUMIFS($I$7:$I$256,$D$7:$D$256,W76,$H$7:$H$256,"P6"))</f>
        <v>0</v>
      </c>
      <c r="Z76" s="1" t="n">
        <f aca="false">X76+Y76</f>
        <v>0</v>
      </c>
      <c r="AA76" s="1" t="n">
        <f aca="false">IF(Z76&gt;0,Z76+(201-70)/10^6,0)</f>
        <v>0</v>
      </c>
      <c r="AB76" s="1"/>
      <c r="AC76" s="1"/>
      <c r="AD76" s="1"/>
      <c r="AE76" s="1"/>
      <c r="AF76" s="1"/>
      <c r="AG76" s="1"/>
      <c r="AH76" s="1"/>
    </row>
    <row r="77" customFormat="false" ht="15" hidden="false" customHeight="false" outlineLevel="0" collapsed="false">
      <c r="A77" s="1"/>
      <c r="B77" s="10"/>
      <c r="C77" s="31" t="str">
        <f aca="false">IF(B77="","",TEXT(B77,"ddd"))</f>
        <v/>
      </c>
      <c r="D77" s="11"/>
      <c r="E77" s="8" t="str">
        <f aca="false">IF(D77="","",IFERROR(INDEX(ProjNumbers,MATCH(D77,ProjNames,0)),""))</f>
        <v/>
      </c>
      <c r="F77" s="8" t="str">
        <f aca="false">IF(D77="","",IFERROR(INDEX(ProjCodes,MATCH(D77,ProjNames,0)),""))</f>
        <v/>
      </c>
      <c r="G77" s="32"/>
      <c r="H77" s="11"/>
      <c r="I77" s="33"/>
      <c r="J77" s="8" t="str">
        <f aca="false">IF(COUNTA(B77,D77,G77,H77,I77)=0,"",IF(B77="","Enter date",IF(OR(B77&lt;$AC$2,B77&gt;$AC$3),"Date not in May",IF(D77="","Pick project",IF(ISNA(MATCH(D77,ProjNames,0)),"Project not in list",IF(G77="","Add task description",IF(H77="","Pick NTIME or P6",IF(N(I77)&lt;=0,"Enter hours",IF(AND(AllowOT&lt;&gt;"Yes",SUMIF($B$7:$B$256,B77,$I$7:$I$256)&gt;INDEX($O$58:$O$88,DAY(B77))),"Day over "&amp;INDEX($O$58:$O$88,DAY(B77))&amp;" h","✓")))))))))</f>
        <v/>
      </c>
      <c r="K77" s="1"/>
      <c r="L77" s="35" t="n">
        <v>46162</v>
      </c>
      <c r="M77" s="36" t="str">
        <f aca="false">TEXT(L77,"ddd")</f>
        <v>Wed</v>
      </c>
      <c r="N77" s="37" t="s">
        <v>93</v>
      </c>
      <c r="O77" s="37" t="n">
        <f aca="false">AvailHours</f>
        <v>8</v>
      </c>
      <c r="P77" s="24" t="n">
        <f aca="false">SUMIFS($I$7:$I$256,$B$7:$B$256,L77,$H$7:$H$256,"NTIME")</f>
        <v>0</v>
      </c>
      <c r="Q77" s="24" t="n">
        <f aca="false">SUMIFS($I$7:$I$256,$B$7:$B$256,L77,$H$7:$H$256,"P6")</f>
        <v>0</v>
      </c>
      <c r="R77" s="24" t="n">
        <f aca="false">IF(N77="Overhead only",O77,IF(AND(N77="Working",P77+Q77&gt;0),MAX(0,O77-P77-Q77),0))</f>
        <v>0</v>
      </c>
      <c r="S77" s="24" t="n">
        <f aca="false">IF(OR(N77="Working",N77="Overhead only"),MAX(0,P77+Q77-O77),0)</f>
        <v>0</v>
      </c>
      <c r="T77" s="24" t="n">
        <f aca="false">P77+Q77+R77</f>
        <v>0</v>
      </c>
      <c r="U77" s="24" t="str">
        <f aca="true">IF(N77="Working",IF(P77+Q77=0,IF(L77&lt;=TODAY(),"Not logged",""),IF(P77+Q77&gt;O77,IF(AllowOT="Yes","Overtime","Over "&amp;O77&amp;" h!"),"✓")),IF(N77="Overhead only","✓ Overhead day",IF(P77+Q77&gt;0,"Entries on "&amp;LOWER(N77)&amp;" day",N77)))</f>
        <v>Not logged</v>
      </c>
      <c r="V77" s="1"/>
      <c r="W77" s="1" t="str">
        <f aca="false">IF(Projects!B75="","",Projects!B75)</f>
        <v/>
      </c>
      <c r="X77" s="1" t="n">
        <f aca="false">IF(W77="",0,SUMIFS($I$7:$I$256,$D$7:$D$256,W77,$H$7:$H$256,"NTIME"))</f>
        <v>0</v>
      </c>
      <c r="Y77" s="1" t="n">
        <f aca="false">IF(W77="",0,SUMIFS($I$7:$I$256,$D$7:$D$256,W77,$H$7:$H$256,"P6"))</f>
        <v>0</v>
      </c>
      <c r="Z77" s="1" t="n">
        <f aca="false">X77+Y77</f>
        <v>0</v>
      </c>
      <c r="AA77" s="1" t="n">
        <f aca="false">IF(Z77&gt;0,Z77+(201-71)/10^6,0)</f>
        <v>0</v>
      </c>
      <c r="AB77" s="1"/>
      <c r="AC77" s="1"/>
      <c r="AD77" s="1"/>
      <c r="AE77" s="1"/>
      <c r="AF77" s="1"/>
      <c r="AG77" s="1"/>
      <c r="AH77" s="1"/>
    </row>
    <row r="78" customFormat="false" ht="15" hidden="false" customHeight="false" outlineLevel="0" collapsed="false">
      <c r="A78" s="1"/>
      <c r="B78" s="10"/>
      <c r="C78" s="31" t="str">
        <f aca="false">IF(B78="","",TEXT(B78,"ddd"))</f>
        <v/>
      </c>
      <c r="D78" s="11"/>
      <c r="E78" s="8" t="str">
        <f aca="false">IF(D78="","",IFERROR(INDEX(ProjNumbers,MATCH(D78,ProjNames,0)),""))</f>
        <v/>
      </c>
      <c r="F78" s="8" t="str">
        <f aca="false">IF(D78="","",IFERROR(INDEX(ProjCodes,MATCH(D78,ProjNames,0)),""))</f>
        <v/>
      </c>
      <c r="G78" s="32"/>
      <c r="H78" s="11"/>
      <c r="I78" s="33"/>
      <c r="J78" s="8" t="str">
        <f aca="false">IF(COUNTA(B78,D78,G78,H78,I78)=0,"",IF(B78="","Enter date",IF(OR(B78&lt;$AC$2,B78&gt;$AC$3),"Date not in May",IF(D78="","Pick project",IF(ISNA(MATCH(D78,ProjNames,0)),"Project not in list",IF(G78="","Add task description",IF(H78="","Pick NTIME or P6",IF(N(I78)&lt;=0,"Enter hours",IF(AND(AllowOT&lt;&gt;"Yes",SUMIF($B$7:$B$256,B78,$I$7:$I$256)&gt;INDEX($O$58:$O$88,DAY(B78))),"Day over "&amp;INDEX($O$58:$O$88,DAY(B78))&amp;" h","✓")))))))))</f>
        <v/>
      </c>
      <c r="K78" s="1"/>
      <c r="L78" s="35" t="n">
        <v>46163</v>
      </c>
      <c r="M78" s="36" t="str">
        <f aca="false">TEXT(L78,"ddd")</f>
        <v>Thu</v>
      </c>
      <c r="N78" s="37" t="s">
        <v>93</v>
      </c>
      <c r="O78" s="37" t="n">
        <f aca="false">AvailHours</f>
        <v>8</v>
      </c>
      <c r="P78" s="24" t="n">
        <f aca="false">SUMIFS($I$7:$I$256,$B$7:$B$256,L78,$H$7:$H$256,"NTIME")</f>
        <v>0</v>
      </c>
      <c r="Q78" s="24" t="n">
        <f aca="false">SUMIFS($I$7:$I$256,$B$7:$B$256,L78,$H$7:$H$256,"P6")</f>
        <v>0</v>
      </c>
      <c r="R78" s="24" t="n">
        <f aca="false">IF(N78="Overhead only",O78,IF(AND(N78="Working",P78+Q78&gt;0),MAX(0,O78-P78-Q78),0))</f>
        <v>0</v>
      </c>
      <c r="S78" s="24" t="n">
        <f aca="false">IF(OR(N78="Working",N78="Overhead only"),MAX(0,P78+Q78-O78),0)</f>
        <v>0</v>
      </c>
      <c r="T78" s="24" t="n">
        <f aca="false">P78+Q78+R78</f>
        <v>0</v>
      </c>
      <c r="U78" s="24" t="str">
        <f aca="true">IF(N78="Working",IF(P78+Q78=0,IF(L78&lt;=TODAY(),"Not logged",""),IF(P78+Q78&gt;O78,IF(AllowOT="Yes","Overtime","Over "&amp;O78&amp;" h!"),"✓")),IF(N78="Overhead only","✓ Overhead day",IF(P78+Q78&gt;0,"Entries on "&amp;LOWER(N78)&amp;" day",N78)))</f>
        <v>Not logged</v>
      </c>
      <c r="V78" s="1"/>
      <c r="W78" s="1" t="str">
        <f aca="false">IF(Projects!B76="","",Projects!B76)</f>
        <v/>
      </c>
      <c r="X78" s="1" t="n">
        <f aca="false">IF(W78="",0,SUMIFS($I$7:$I$256,$D$7:$D$256,W78,$H$7:$H$256,"NTIME"))</f>
        <v>0</v>
      </c>
      <c r="Y78" s="1" t="n">
        <f aca="false">IF(W78="",0,SUMIFS($I$7:$I$256,$D$7:$D$256,W78,$H$7:$H$256,"P6"))</f>
        <v>0</v>
      </c>
      <c r="Z78" s="1" t="n">
        <f aca="false">X78+Y78</f>
        <v>0</v>
      </c>
      <c r="AA78" s="1" t="n">
        <f aca="false">IF(Z78&gt;0,Z78+(201-72)/10^6,0)</f>
        <v>0</v>
      </c>
      <c r="AB78" s="1"/>
      <c r="AC78" s="1"/>
      <c r="AD78" s="1"/>
      <c r="AE78" s="1"/>
      <c r="AF78" s="1"/>
      <c r="AG78" s="1"/>
      <c r="AH78" s="1"/>
    </row>
    <row r="79" customFormat="false" ht="15" hidden="false" customHeight="false" outlineLevel="0" collapsed="false">
      <c r="A79" s="1"/>
      <c r="B79" s="10"/>
      <c r="C79" s="31" t="str">
        <f aca="false">IF(B79="","",TEXT(B79,"ddd"))</f>
        <v/>
      </c>
      <c r="D79" s="11"/>
      <c r="E79" s="8" t="str">
        <f aca="false">IF(D79="","",IFERROR(INDEX(ProjNumbers,MATCH(D79,ProjNames,0)),""))</f>
        <v/>
      </c>
      <c r="F79" s="8" t="str">
        <f aca="false">IF(D79="","",IFERROR(INDEX(ProjCodes,MATCH(D79,ProjNames,0)),""))</f>
        <v/>
      </c>
      <c r="G79" s="32"/>
      <c r="H79" s="11"/>
      <c r="I79" s="33"/>
      <c r="J79" s="8" t="str">
        <f aca="false">IF(COUNTA(B79,D79,G79,H79,I79)=0,"",IF(B79="","Enter date",IF(OR(B79&lt;$AC$2,B79&gt;$AC$3),"Date not in May",IF(D79="","Pick project",IF(ISNA(MATCH(D79,ProjNames,0)),"Project not in list",IF(G79="","Add task description",IF(H79="","Pick NTIME or P6",IF(N(I79)&lt;=0,"Enter hours",IF(AND(AllowOT&lt;&gt;"Yes",SUMIF($B$7:$B$256,B79,$I$7:$I$256)&gt;INDEX($O$58:$O$88,DAY(B79))),"Day over "&amp;INDEX($O$58:$O$88,DAY(B79))&amp;" h","✓")))))))))</f>
        <v/>
      </c>
      <c r="K79" s="1"/>
      <c r="L79" s="35" t="n">
        <v>46164</v>
      </c>
      <c r="M79" s="36" t="str">
        <f aca="false">TEXT(L79,"ddd")</f>
        <v>Fri</v>
      </c>
      <c r="N79" s="37" t="s">
        <v>93</v>
      </c>
      <c r="O79" s="37" t="n">
        <f aca="false">AvailHours</f>
        <v>8</v>
      </c>
      <c r="P79" s="24" t="n">
        <f aca="false">SUMIFS($I$7:$I$256,$B$7:$B$256,L79,$H$7:$H$256,"NTIME")</f>
        <v>0</v>
      </c>
      <c r="Q79" s="24" t="n">
        <f aca="false">SUMIFS($I$7:$I$256,$B$7:$B$256,L79,$H$7:$H$256,"P6")</f>
        <v>0</v>
      </c>
      <c r="R79" s="24" t="n">
        <f aca="false">IF(N79="Overhead only",O79,IF(AND(N79="Working",P79+Q79&gt;0),MAX(0,O79-P79-Q79),0))</f>
        <v>0</v>
      </c>
      <c r="S79" s="24" t="n">
        <f aca="false">IF(OR(N79="Working",N79="Overhead only"),MAX(0,P79+Q79-O79),0)</f>
        <v>0</v>
      </c>
      <c r="T79" s="24" t="n">
        <f aca="false">P79+Q79+R79</f>
        <v>0</v>
      </c>
      <c r="U79" s="24" t="str">
        <f aca="true">IF(N79="Working",IF(P79+Q79=0,IF(L79&lt;=TODAY(),"Not logged",""),IF(P79+Q79&gt;O79,IF(AllowOT="Yes","Overtime","Over "&amp;O79&amp;" h!"),"✓")),IF(N79="Overhead only","✓ Overhead day",IF(P79+Q79&gt;0,"Entries on "&amp;LOWER(N79)&amp;" day",N79)))</f>
        <v>Not logged</v>
      </c>
      <c r="V79" s="1"/>
      <c r="W79" s="1" t="str">
        <f aca="false">IF(Projects!B77="","",Projects!B77)</f>
        <v/>
      </c>
      <c r="X79" s="1" t="n">
        <f aca="false">IF(W79="",0,SUMIFS($I$7:$I$256,$D$7:$D$256,W79,$H$7:$H$256,"NTIME"))</f>
        <v>0</v>
      </c>
      <c r="Y79" s="1" t="n">
        <f aca="false">IF(W79="",0,SUMIFS($I$7:$I$256,$D$7:$D$256,W79,$H$7:$H$256,"P6"))</f>
        <v>0</v>
      </c>
      <c r="Z79" s="1" t="n">
        <f aca="false">X79+Y79</f>
        <v>0</v>
      </c>
      <c r="AA79" s="1" t="n">
        <f aca="false">IF(Z79&gt;0,Z79+(201-73)/10^6,0)</f>
        <v>0</v>
      </c>
      <c r="AB79" s="1"/>
      <c r="AC79" s="1"/>
      <c r="AD79" s="1"/>
      <c r="AE79" s="1"/>
      <c r="AF79" s="1"/>
      <c r="AG79" s="1"/>
      <c r="AH79" s="1"/>
    </row>
    <row r="80" customFormat="false" ht="15" hidden="false" customHeight="false" outlineLevel="0" collapsed="false">
      <c r="A80" s="1"/>
      <c r="B80" s="10"/>
      <c r="C80" s="31" t="str">
        <f aca="false">IF(B80="","",TEXT(B80,"ddd"))</f>
        <v/>
      </c>
      <c r="D80" s="11"/>
      <c r="E80" s="8" t="str">
        <f aca="false">IF(D80="","",IFERROR(INDEX(ProjNumbers,MATCH(D80,ProjNames,0)),""))</f>
        <v/>
      </c>
      <c r="F80" s="8" t="str">
        <f aca="false">IF(D80="","",IFERROR(INDEX(ProjCodes,MATCH(D80,ProjNames,0)),""))</f>
        <v/>
      </c>
      <c r="G80" s="32"/>
      <c r="H80" s="11"/>
      <c r="I80" s="33"/>
      <c r="J80" s="8" t="str">
        <f aca="false">IF(COUNTA(B80,D80,G80,H80,I80)=0,"",IF(B80="","Enter date",IF(OR(B80&lt;$AC$2,B80&gt;$AC$3),"Date not in May",IF(D80="","Pick project",IF(ISNA(MATCH(D80,ProjNames,0)),"Project not in list",IF(G80="","Add task description",IF(H80="","Pick NTIME or P6",IF(N(I80)&lt;=0,"Enter hours",IF(AND(AllowOT&lt;&gt;"Yes",SUMIF($B$7:$B$256,B80,$I$7:$I$256)&gt;INDEX($O$58:$O$88,DAY(B80))),"Day over "&amp;INDEX($O$58:$O$88,DAY(B80))&amp;" h","✓")))))))))</f>
        <v/>
      </c>
      <c r="K80" s="1"/>
      <c r="L80" s="35" t="n">
        <v>46165</v>
      </c>
      <c r="M80" s="36" t="str">
        <f aca="false">TEXT(L80,"ddd")</f>
        <v>Sat</v>
      </c>
      <c r="N80" s="37" t="s">
        <v>94</v>
      </c>
      <c r="O80" s="37" t="n">
        <f aca="false">AvailHours</f>
        <v>8</v>
      </c>
      <c r="P80" s="24" t="n">
        <f aca="false">SUMIFS($I$7:$I$256,$B$7:$B$256,L80,$H$7:$H$256,"NTIME")</f>
        <v>0</v>
      </c>
      <c r="Q80" s="24" t="n">
        <f aca="false">SUMIFS($I$7:$I$256,$B$7:$B$256,L80,$H$7:$H$256,"P6")</f>
        <v>0</v>
      </c>
      <c r="R80" s="24" t="n">
        <f aca="false">IF(N80="Overhead only",O80,IF(AND(N80="Working",P80+Q80&gt;0),MAX(0,O80-P80-Q80),0))</f>
        <v>0</v>
      </c>
      <c r="S80" s="24" t="n">
        <f aca="false">IF(OR(N80="Working",N80="Overhead only"),MAX(0,P80+Q80-O80),0)</f>
        <v>0</v>
      </c>
      <c r="T80" s="24" t="n">
        <f aca="false">P80+Q80+R80</f>
        <v>0</v>
      </c>
      <c r="U80" s="24" t="str">
        <f aca="true">IF(N80="Working",IF(P80+Q80=0,IF(L80&lt;=TODAY(),"Not logged",""),IF(P80+Q80&gt;O80,IF(AllowOT="Yes","Overtime","Over "&amp;O80&amp;" h!"),"✓")),IF(N80="Overhead only","✓ Overhead day",IF(P80+Q80&gt;0,"Entries on "&amp;LOWER(N80)&amp;" day",N80)))</f>
        <v>Weekend</v>
      </c>
      <c r="V80" s="1"/>
      <c r="W80" s="1" t="str">
        <f aca="false">IF(Projects!B78="","",Projects!B78)</f>
        <v/>
      </c>
      <c r="X80" s="1" t="n">
        <f aca="false">IF(W80="",0,SUMIFS($I$7:$I$256,$D$7:$D$256,W80,$H$7:$H$256,"NTIME"))</f>
        <v>0</v>
      </c>
      <c r="Y80" s="1" t="n">
        <f aca="false">IF(W80="",0,SUMIFS($I$7:$I$256,$D$7:$D$256,W80,$H$7:$H$256,"P6"))</f>
        <v>0</v>
      </c>
      <c r="Z80" s="1" t="n">
        <f aca="false">X80+Y80</f>
        <v>0</v>
      </c>
      <c r="AA80" s="1" t="n">
        <f aca="false">IF(Z80&gt;0,Z80+(201-74)/10^6,0)</f>
        <v>0</v>
      </c>
      <c r="AB80" s="1"/>
      <c r="AC80" s="1"/>
      <c r="AD80" s="1"/>
      <c r="AE80" s="1"/>
      <c r="AF80" s="1"/>
      <c r="AG80" s="1"/>
      <c r="AH80" s="1"/>
    </row>
    <row r="81" customFormat="false" ht="15" hidden="false" customHeight="false" outlineLevel="0" collapsed="false">
      <c r="A81" s="1"/>
      <c r="B81" s="10"/>
      <c r="C81" s="31" t="str">
        <f aca="false">IF(B81="","",TEXT(B81,"ddd"))</f>
        <v/>
      </c>
      <c r="D81" s="11"/>
      <c r="E81" s="8" t="str">
        <f aca="false">IF(D81="","",IFERROR(INDEX(ProjNumbers,MATCH(D81,ProjNames,0)),""))</f>
        <v/>
      </c>
      <c r="F81" s="8" t="str">
        <f aca="false">IF(D81="","",IFERROR(INDEX(ProjCodes,MATCH(D81,ProjNames,0)),""))</f>
        <v/>
      </c>
      <c r="G81" s="32"/>
      <c r="H81" s="11"/>
      <c r="I81" s="33"/>
      <c r="J81" s="8" t="str">
        <f aca="false">IF(COUNTA(B81,D81,G81,H81,I81)=0,"",IF(B81="","Enter date",IF(OR(B81&lt;$AC$2,B81&gt;$AC$3),"Date not in May",IF(D81="","Pick project",IF(ISNA(MATCH(D81,ProjNames,0)),"Project not in list",IF(G81="","Add task description",IF(H81="","Pick NTIME or P6",IF(N(I81)&lt;=0,"Enter hours",IF(AND(AllowOT&lt;&gt;"Yes",SUMIF($B$7:$B$256,B81,$I$7:$I$256)&gt;INDEX($O$58:$O$88,DAY(B81))),"Day over "&amp;INDEX($O$58:$O$88,DAY(B81))&amp;" h","✓")))))))))</f>
        <v/>
      </c>
      <c r="K81" s="1"/>
      <c r="L81" s="35" t="n">
        <v>46166</v>
      </c>
      <c r="M81" s="36" t="str">
        <f aca="false">TEXT(L81,"ddd")</f>
        <v>Sun</v>
      </c>
      <c r="N81" s="37" t="s">
        <v>94</v>
      </c>
      <c r="O81" s="37" t="n">
        <f aca="false">AvailHours</f>
        <v>8</v>
      </c>
      <c r="P81" s="24" t="n">
        <f aca="false">SUMIFS($I$7:$I$256,$B$7:$B$256,L81,$H$7:$H$256,"NTIME")</f>
        <v>0</v>
      </c>
      <c r="Q81" s="24" t="n">
        <f aca="false">SUMIFS($I$7:$I$256,$B$7:$B$256,L81,$H$7:$H$256,"P6")</f>
        <v>0</v>
      </c>
      <c r="R81" s="24" t="n">
        <f aca="false">IF(N81="Overhead only",O81,IF(AND(N81="Working",P81+Q81&gt;0),MAX(0,O81-P81-Q81),0))</f>
        <v>0</v>
      </c>
      <c r="S81" s="24" t="n">
        <f aca="false">IF(OR(N81="Working",N81="Overhead only"),MAX(0,P81+Q81-O81),0)</f>
        <v>0</v>
      </c>
      <c r="T81" s="24" t="n">
        <f aca="false">P81+Q81+R81</f>
        <v>0</v>
      </c>
      <c r="U81" s="24" t="str">
        <f aca="true">IF(N81="Working",IF(P81+Q81=0,IF(L81&lt;=TODAY(),"Not logged",""),IF(P81+Q81&gt;O81,IF(AllowOT="Yes","Overtime","Over "&amp;O81&amp;" h!"),"✓")),IF(N81="Overhead only","✓ Overhead day",IF(P81+Q81&gt;0,"Entries on "&amp;LOWER(N81)&amp;" day",N81)))</f>
        <v>Weekend</v>
      </c>
      <c r="V81" s="1"/>
      <c r="W81" s="1" t="str">
        <f aca="false">IF(Projects!B79="","",Projects!B79)</f>
        <v/>
      </c>
      <c r="X81" s="1" t="n">
        <f aca="false">IF(W81="",0,SUMIFS($I$7:$I$256,$D$7:$D$256,W81,$H$7:$H$256,"NTIME"))</f>
        <v>0</v>
      </c>
      <c r="Y81" s="1" t="n">
        <f aca="false">IF(W81="",0,SUMIFS($I$7:$I$256,$D$7:$D$256,W81,$H$7:$H$256,"P6"))</f>
        <v>0</v>
      </c>
      <c r="Z81" s="1" t="n">
        <f aca="false">X81+Y81</f>
        <v>0</v>
      </c>
      <c r="AA81" s="1" t="n">
        <f aca="false">IF(Z81&gt;0,Z81+(201-75)/10^6,0)</f>
        <v>0</v>
      </c>
      <c r="AB81" s="1"/>
      <c r="AC81" s="1"/>
      <c r="AD81" s="1"/>
      <c r="AE81" s="1"/>
      <c r="AF81" s="1"/>
      <c r="AG81" s="1"/>
      <c r="AH81" s="1"/>
    </row>
    <row r="82" customFormat="false" ht="15" hidden="false" customHeight="false" outlineLevel="0" collapsed="false">
      <c r="A82" s="1"/>
      <c r="B82" s="10"/>
      <c r="C82" s="31" t="str">
        <f aca="false">IF(B82="","",TEXT(B82,"ddd"))</f>
        <v/>
      </c>
      <c r="D82" s="11"/>
      <c r="E82" s="8" t="str">
        <f aca="false">IF(D82="","",IFERROR(INDEX(ProjNumbers,MATCH(D82,ProjNames,0)),""))</f>
        <v/>
      </c>
      <c r="F82" s="8" t="str">
        <f aca="false">IF(D82="","",IFERROR(INDEX(ProjCodes,MATCH(D82,ProjNames,0)),""))</f>
        <v/>
      </c>
      <c r="G82" s="32"/>
      <c r="H82" s="11"/>
      <c r="I82" s="33"/>
      <c r="J82" s="8" t="str">
        <f aca="false">IF(COUNTA(B82,D82,G82,H82,I82)=0,"",IF(B82="","Enter date",IF(OR(B82&lt;$AC$2,B82&gt;$AC$3),"Date not in May",IF(D82="","Pick project",IF(ISNA(MATCH(D82,ProjNames,0)),"Project not in list",IF(G82="","Add task description",IF(H82="","Pick NTIME or P6",IF(N(I82)&lt;=0,"Enter hours",IF(AND(AllowOT&lt;&gt;"Yes",SUMIF($B$7:$B$256,B82,$I$7:$I$256)&gt;INDEX($O$58:$O$88,DAY(B82))),"Day over "&amp;INDEX($O$58:$O$88,DAY(B82))&amp;" h","✓")))))))))</f>
        <v/>
      </c>
      <c r="K82" s="1"/>
      <c r="L82" s="35" t="n">
        <v>46167</v>
      </c>
      <c r="M82" s="36" t="str">
        <f aca="false">TEXT(L82,"ddd")</f>
        <v>Mon</v>
      </c>
      <c r="N82" s="37" t="s">
        <v>93</v>
      </c>
      <c r="O82" s="37" t="n">
        <f aca="false">AvailHours</f>
        <v>8</v>
      </c>
      <c r="P82" s="24" t="n">
        <f aca="false">SUMIFS($I$7:$I$256,$B$7:$B$256,L82,$H$7:$H$256,"NTIME")</f>
        <v>0</v>
      </c>
      <c r="Q82" s="24" t="n">
        <f aca="false">SUMIFS($I$7:$I$256,$B$7:$B$256,L82,$H$7:$H$256,"P6")</f>
        <v>0</v>
      </c>
      <c r="R82" s="24" t="n">
        <f aca="false">IF(N82="Overhead only",O82,IF(AND(N82="Working",P82+Q82&gt;0),MAX(0,O82-P82-Q82),0))</f>
        <v>0</v>
      </c>
      <c r="S82" s="24" t="n">
        <f aca="false">IF(OR(N82="Working",N82="Overhead only"),MAX(0,P82+Q82-O82),0)</f>
        <v>0</v>
      </c>
      <c r="T82" s="24" t="n">
        <f aca="false">P82+Q82+R82</f>
        <v>0</v>
      </c>
      <c r="U82" s="24" t="str">
        <f aca="true">IF(N82="Working",IF(P82+Q82=0,IF(L82&lt;=TODAY(),"Not logged",""),IF(P82+Q82&gt;O82,IF(AllowOT="Yes","Overtime","Over "&amp;O82&amp;" h!"),"✓")),IF(N82="Overhead only","✓ Overhead day",IF(P82+Q82&gt;0,"Entries on "&amp;LOWER(N82)&amp;" day",N82)))</f>
        <v>Not logged</v>
      </c>
      <c r="V82" s="1"/>
      <c r="W82" s="1" t="str">
        <f aca="false">IF(Projects!B80="","",Projects!B80)</f>
        <v/>
      </c>
      <c r="X82" s="1" t="n">
        <f aca="false">IF(W82="",0,SUMIFS($I$7:$I$256,$D$7:$D$256,W82,$H$7:$H$256,"NTIME"))</f>
        <v>0</v>
      </c>
      <c r="Y82" s="1" t="n">
        <f aca="false">IF(W82="",0,SUMIFS($I$7:$I$256,$D$7:$D$256,W82,$H$7:$H$256,"P6"))</f>
        <v>0</v>
      </c>
      <c r="Z82" s="1" t="n">
        <f aca="false">X82+Y82</f>
        <v>0</v>
      </c>
      <c r="AA82" s="1" t="n">
        <f aca="false">IF(Z82&gt;0,Z82+(201-76)/10^6,0)</f>
        <v>0</v>
      </c>
      <c r="AB82" s="1"/>
      <c r="AC82" s="1"/>
      <c r="AD82" s="1"/>
      <c r="AE82" s="1"/>
      <c r="AF82" s="1"/>
      <c r="AG82" s="1"/>
      <c r="AH82" s="1"/>
    </row>
    <row r="83" customFormat="false" ht="15" hidden="false" customHeight="false" outlineLevel="0" collapsed="false">
      <c r="A83" s="1"/>
      <c r="B83" s="10"/>
      <c r="C83" s="31" t="str">
        <f aca="false">IF(B83="","",TEXT(B83,"ddd"))</f>
        <v/>
      </c>
      <c r="D83" s="11"/>
      <c r="E83" s="8" t="str">
        <f aca="false">IF(D83="","",IFERROR(INDEX(ProjNumbers,MATCH(D83,ProjNames,0)),""))</f>
        <v/>
      </c>
      <c r="F83" s="8" t="str">
        <f aca="false">IF(D83="","",IFERROR(INDEX(ProjCodes,MATCH(D83,ProjNames,0)),""))</f>
        <v/>
      </c>
      <c r="G83" s="32"/>
      <c r="H83" s="11"/>
      <c r="I83" s="33"/>
      <c r="J83" s="8" t="str">
        <f aca="false">IF(COUNTA(B83,D83,G83,H83,I83)=0,"",IF(B83="","Enter date",IF(OR(B83&lt;$AC$2,B83&gt;$AC$3),"Date not in May",IF(D83="","Pick project",IF(ISNA(MATCH(D83,ProjNames,0)),"Project not in list",IF(G83="","Add task description",IF(H83="","Pick NTIME or P6",IF(N(I83)&lt;=0,"Enter hours",IF(AND(AllowOT&lt;&gt;"Yes",SUMIF($B$7:$B$256,B83,$I$7:$I$256)&gt;INDEX($O$58:$O$88,DAY(B83))),"Day over "&amp;INDEX($O$58:$O$88,DAY(B83))&amp;" h","✓")))))))))</f>
        <v/>
      </c>
      <c r="K83" s="1"/>
      <c r="L83" s="35" t="n">
        <v>46168</v>
      </c>
      <c r="M83" s="36" t="str">
        <f aca="false">TEXT(L83,"ddd")</f>
        <v>Tue</v>
      </c>
      <c r="N83" s="37" t="s">
        <v>93</v>
      </c>
      <c r="O83" s="37" t="n">
        <f aca="false">AvailHours</f>
        <v>8</v>
      </c>
      <c r="P83" s="24" t="n">
        <f aca="false">SUMIFS($I$7:$I$256,$B$7:$B$256,L83,$H$7:$H$256,"NTIME")</f>
        <v>0</v>
      </c>
      <c r="Q83" s="24" t="n">
        <f aca="false">SUMIFS($I$7:$I$256,$B$7:$B$256,L83,$H$7:$H$256,"P6")</f>
        <v>0</v>
      </c>
      <c r="R83" s="24" t="n">
        <f aca="false">IF(N83="Overhead only",O83,IF(AND(N83="Working",P83+Q83&gt;0),MAX(0,O83-P83-Q83),0))</f>
        <v>0</v>
      </c>
      <c r="S83" s="24" t="n">
        <f aca="false">IF(OR(N83="Working",N83="Overhead only"),MAX(0,P83+Q83-O83),0)</f>
        <v>0</v>
      </c>
      <c r="T83" s="24" t="n">
        <f aca="false">P83+Q83+R83</f>
        <v>0</v>
      </c>
      <c r="U83" s="24" t="str">
        <f aca="true">IF(N83="Working",IF(P83+Q83=0,IF(L83&lt;=TODAY(),"Not logged",""),IF(P83+Q83&gt;O83,IF(AllowOT="Yes","Overtime","Over "&amp;O83&amp;" h!"),"✓")),IF(N83="Overhead only","✓ Overhead day",IF(P83+Q83&gt;0,"Entries on "&amp;LOWER(N83)&amp;" day",N83)))</f>
        <v>Not logged</v>
      </c>
      <c r="V83" s="1"/>
      <c r="W83" s="1" t="str">
        <f aca="false">IF(Projects!B81="","",Projects!B81)</f>
        <v/>
      </c>
      <c r="X83" s="1" t="n">
        <f aca="false">IF(W83="",0,SUMIFS($I$7:$I$256,$D$7:$D$256,W83,$H$7:$H$256,"NTIME"))</f>
        <v>0</v>
      </c>
      <c r="Y83" s="1" t="n">
        <f aca="false">IF(W83="",0,SUMIFS($I$7:$I$256,$D$7:$D$256,W83,$H$7:$H$256,"P6"))</f>
        <v>0</v>
      </c>
      <c r="Z83" s="1" t="n">
        <f aca="false">X83+Y83</f>
        <v>0</v>
      </c>
      <c r="AA83" s="1" t="n">
        <f aca="false">IF(Z83&gt;0,Z83+(201-77)/10^6,0)</f>
        <v>0</v>
      </c>
      <c r="AB83" s="1"/>
      <c r="AC83" s="1"/>
      <c r="AD83" s="1"/>
      <c r="AE83" s="1"/>
      <c r="AF83" s="1"/>
      <c r="AG83" s="1"/>
      <c r="AH83" s="1"/>
    </row>
    <row r="84" customFormat="false" ht="15" hidden="false" customHeight="false" outlineLevel="0" collapsed="false">
      <c r="A84" s="1"/>
      <c r="B84" s="10"/>
      <c r="C84" s="31" t="str">
        <f aca="false">IF(B84="","",TEXT(B84,"ddd"))</f>
        <v/>
      </c>
      <c r="D84" s="11"/>
      <c r="E84" s="8" t="str">
        <f aca="false">IF(D84="","",IFERROR(INDEX(ProjNumbers,MATCH(D84,ProjNames,0)),""))</f>
        <v/>
      </c>
      <c r="F84" s="8" t="str">
        <f aca="false">IF(D84="","",IFERROR(INDEX(ProjCodes,MATCH(D84,ProjNames,0)),""))</f>
        <v/>
      </c>
      <c r="G84" s="32"/>
      <c r="H84" s="11"/>
      <c r="I84" s="33"/>
      <c r="J84" s="8" t="str">
        <f aca="false">IF(COUNTA(B84,D84,G84,H84,I84)=0,"",IF(B84="","Enter date",IF(OR(B84&lt;$AC$2,B84&gt;$AC$3),"Date not in May",IF(D84="","Pick project",IF(ISNA(MATCH(D84,ProjNames,0)),"Project not in list",IF(G84="","Add task description",IF(H84="","Pick NTIME or P6",IF(N(I84)&lt;=0,"Enter hours",IF(AND(AllowOT&lt;&gt;"Yes",SUMIF($B$7:$B$256,B84,$I$7:$I$256)&gt;INDEX($O$58:$O$88,DAY(B84))),"Day over "&amp;INDEX($O$58:$O$88,DAY(B84))&amp;" h","✓")))))))))</f>
        <v/>
      </c>
      <c r="K84" s="1"/>
      <c r="L84" s="35" t="n">
        <v>46169</v>
      </c>
      <c r="M84" s="36" t="str">
        <f aca="false">TEXT(L84,"ddd")</f>
        <v>Wed</v>
      </c>
      <c r="N84" s="37" t="s">
        <v>93</v>
      </c>
      <c r="O84" s="37" t="n">
        <f aca="false">AvailHours</f>
        <v>8</v>
      </c>
      <c r="P84" s="24" t="n">
        <f aca="false">SUMIFS($I$7:$I$256,$B$7:$B$256,L84,$H$7:$H$256,"NTIME")</f>
        <v>0</v>
      </c>
      <c r="Q84" s="24" t="n">
        <f aca="false">SUMIFS($I$7:$I$256,$B$7:$B$256,L84,$H$7:$H$256,"P6")</f>
        <v>0</v>
      </c>
      <c r="R84" s="24" t="n">
        <f aca="false">IF(N84="Overhead only",O84,IF(AND(N84="Working",P84+Q84&gt;0),MAX(0,O84-P84-Q84),0))</f>
        <v>0</v>
      </c>
      <c r="S84" s="24" t="n">
        <f aca="false">IF(OR(N84="Working",N84="Overhead only"),MAX(0,P84+Q84-O84),0)</f>
        <v>0</v>
      </c>
      <c r="T84" s="24" t="n">
        <f aca="false">P84+Q84+R84</f>
        <v>0</v>
      </c>
      <c r="U84" s="24" t="str">
        <f aca="true">IF(N84="Working",IF(P84+Q84=0,IF(L84&lt;=TODAY(),"Not logged",""),IF(P84+Q84&gt;O84,IF(AllowOT="Yes","Overtime","Over "&amp;O84&amp;" h!"),"✓")),IF(N84="Overhead only","✓ Overhead day",IF(P84+Q84&gt;0,"Entries on "&amp;LOWER(N84)&amp;" day",N84)))</f>
        <v>Not logged</v>
      </c>
      <c r="V84" s="1"/>
      <c r="W84" s="1" t="str">
        <f aca="false">IF(Projects!B82="","",Projects!B82)</f>
        <v/>
      </c>
      <c r="X84" s="1" t="n">
        <f aca="false">IF(W84="",0,SUMIFS($I$7:$I$256,$D$7:$D$256,W84,$H$7:$H$256,"NTIME"))</f>
        <v>0</v>
      </c>
      <c r="Y84" s="1" t="n">
        <f aca="false">IF(W84="",0,SUMIFS($I$7:$I$256,$D$7:$D$256,W84,$H$7:$H$256,"P6"))</f>
        <v>0</v>
      </c>
      <c r="Z84" s="1" t="n">
        <f aca="false">X84+Y84</f>
        <v>0</v>
      </c>
      <c r="AA84" s="1" t="n">
        <f aca="false">IF(Z84&gt;0,Z84+(201-78)/10^6,0)</f>
        <v>0</v>
      </c>
      <c r="AB84" s="1"/>
      <c r="AC84" s="1"/>
      <c r="AD84" s="1"/>
      <c r="AE84" s="1"/>
      <c r="AF84" s="1"/>
      <c r="AG84" s="1"/>
      <c r="AH84" s="1"/>
    </row>
    <row r="85" customFormat="false" ht="15" hidden="false" customHeight="false" outlineLevel="0" collapsed="false">
      <c r="A85" s="1"/>
      <c r="B85" s="10"/>
      <c r="C85" s="31" t="str">
        <f aca="false">IF(B85="","",TEXT(B85,"ddd"))</f>
        <v/>
      </c>
      <c r="D85" s="11"/>
      <c r="E85" s="8" t="str">
        <f aca="false">IF(D85="","",IFERROR(INDEX(ProjNumbers,MATCH(D85,ProjNames,0)),""))</f>
        <v/>
      </c>
      <c r="F85" s="8" t="str">
        <f aca="false">IF(D85="","",IFERROR(INDEX(ProjCodes,MATCH(D85,ProjNames,0)),""))</f>
        <v/>
      </c>
      <c r="G85" s="32"/>
      <c r="H85" s="11"/>
      <c r="I85" s="33"/>
      <c r="J85" s="8" t="str">
        <f aca="false">IF(COUNTA(B85,D85,G85,H85,I85)=0,"",IF(B85="","Enter date",IF(OR(B85&lt;$AC$2,B85&gt;$AC$3),"Date not in May",IF(D85="","Pick project",IF(ISNA(MATCH(D85,ProjNames,0)),"Project not in list",IF(G85="","Add task description",IF(H85="","Pick NTIME or P6",IF(N(I85)&lt;=0,"Enter hours",IF(AND(AllowOT&lt;&gt;"Yes",SUMIF($B$7:$B$256,B85,$I$7:$I$256)&gt;INDEX($O$58:$O$88,DAY(B85))),"Day over "&amp;INDEX($O$58:$O$88,DAY(B85))&amp;" h","✓")))))))))</f>
        <v/>
      </c>
      <c r="K85" s="1"/>
      <c r="L85" s="35" t="n">
        <v>46170</v>
      </c>
      <c r="M85" s="36" t="str">
        <f aca="false">TEXT(L85,"ddd")</f>
        <v>Thu</v>
      </c>
      <c r="N85" s="37" t="s">
        <v>93</v>
      </c>
      <c r="O85" s="37" t="n">
        <f aca="false">AvailHours</f>
        <v>8</v>
      </c>
      <c r="P85" s="24" t="n">
        <f aca="false">SUMIFS($I$7:$I$256,$B$7:$B$256,L85,$H$7:$H$256,"NTIME")</f>
        <v>0</v>
      </c>
      <c r="Q85" s="24" t="n">
        <f aca="false">SUMIFS($I$7:$I$256,$B$7:$B$256,L85,$H$7:$H$256,"P6")</f>
        <v>0</v>
      </c>
      <c r="R85" s="24" t="n">
        <f aca="false">IF(N85="Overhead only",O85,IF(AND(N85="Working",P85+Q85&gt;0),MAX(0,O85-P85-Q85),0))</f>
        <v>0</v>
      </c>
      <c r="S85" s="24" t="n">
        <f aca="false">IF(OR(N85="Working",N85="Overhead only"),MAX(0,P85+Q85-O85),0)</f>
        <v>0</v>
      </c>
      <c r="T85" s="24" t="n">
        <f aca="false">P85+Q85+R85</f>
        <v>0</v>
      </c>
      <c r="U85" s="24" t="str">
        <f aca="true">IF(N85="Working",IF(P85+Q85=0,IF(L85&lt;=TODAY(),"Not logged",""),IF(P85+Q85&gt;O85,IF(AllowOT="Yes","Overtime","Over "&amp;O85&amp;" h!"),"✓")),IF(N85="Overhead only","✓ Overhead day",IF(P85+Q85&gt;0,"Entries on "&amp;LOWER(N85)&amp;" day",N85)))</f>
        <v>Not logged</v>
      </c>
      <c r="V85" s="1"/>
      <c r="W85" s="1" t="str">
        <f aca="false">IF(Projects!B83="","",Projects!B83)</f>
        <v/>
      </c>
      <c r="X85" s="1" t="n">
        <f aca="false">IF(W85="",0,SUMIFS($I$7:$I$256,$D$7:$D$256,W85,$H$7:$H$256,"NTIME"))</f>
        <v>0</v>
      </c>
      <c r="Y85" s="1" t="n">
        <f aca="false">IF(W85="",0,SUMIFS($I$7:$I$256,$D$7:$D$256,W85,$H$7:$H$256,"P6"))</f>
        <v>0</v>
      </c>
      <c r="Z85" s="1" t="n">
        <f aca="false">X85+Y85</f>
        <v>0</v>
      </c>
      <c r="AA85" s="1" t="n">
        <f aca="false">IF(Z85&gt;0,Z85+(201-79)/10^6,0)</f>
        <v>0</v>
      </c>
      <c r="AB85" s="1"/>
      <c r="AC85" s="1"/>
      <c r="AD85" s="1"/>
      <c r="AE85" s="1"/>
      <c r="AF85" s="1"/>
      <c r="AG85" s="1"/>
      <c r="AH85" s="1"/>
    </row>
    <row r="86" customFormat="false" ht="15" hidden="false" customHeight="false" outlineLevel="0" collapsed="false">
      <c r="A86" s="1"/>
      <c r="B86" s="10"/>
      <c r="C86" s="31" t="str">
        <f aca="false">IF(B86="","",TEXT(B86,"ddd"))</f>
        <v/>
      </c>
      <c r="D86" s="11"/>
      <c r="E86" s="8" t="str">
        <f aca="false">IF(D86="","",IFERROR(INDEX(ProjNumbers,MATCH(D86,ProjNames,0)),""))</f>
        <v/>
      </c>
      <c r="F86" s="8" t="str">
        <f aca="false">IF(D86="","",IFERROR(INDEX(ProjCodes,MATCH(D86,ProjNames,0)),""))</f>
        <v/>
      </c>
      <c r="G86" s="32"/>
      <c r="H86" s="11"/>
      <c r="I86" s="33"/>
      <c r="J86" s="8" t="str">
        <f aca="false">IF(COUNTA(B86,D86,G86,H86,I86)=0,"",IF(B86="","Enter date",IF(OR(B86&lt;$AC$2,B86&gt;$AC$3),"Date not in May",IF(D86="","Pick project",IF(ISNA(MATCH(D86,ProjNames,0)),"Project not in list",IF(G86="","Add task description",IF(H86="","Pick NTIME or P6",IF(N(I86)&lt;=0,"Enter hours",IF(AND(AllowOT&lt;&gt;"Yes",SUMIF($B$7:$B$256,B86,$I$7:$I$256)&gt;INDEX($O$58:$O$88,DAY(B86))),"Day over "&amp;INDEX($O$58:$O$88,DAY(B86))&amp;" h","✓")))))))))</f>
        <v/>
      </c>
      <c r="K86" s="1"/>
      <c r="L86" s="35" t="n">
        <v>46171</v>
      </c>
      <c r="M86" s="36" t="str">
        <f aca="false">TEXT(L86,"ddd")</f>
        <v>Fri</v>
      </c>
      <c r="N86" s="37" t="s">
        <v>93</v>
      </c>
      <c r="O86" s="37" t="n">
        <f aca="false">AvailHours</f>
        <v>8</v>
      </c>
      <c r="P86" s="24" t="n">
        <f aca="false">SUMIFS($I$7:$I$256,$B$7:$B$256,L86,$H$7:$H$256,"NTIME")</f>
        <v>0</v>
      </c>
      <c r="Q86" s="24" t="n">
        <f aca="false">SUMIFS($I$7:$I$256,$B$7:$B$256,L86,$H$7:$H$256,"P6")</f>
        <v>0</v>
      </c>
      <c r="R86" s="24" t="n">
        <f aca="false">IF(N86="Overhead only",O86,IF(AND(N86="Working",P86+Q86&gt;0),MAX(0,O86-P86-Q86),0))</f>
        <v>0</v>
      </c>
      <c r="S86" s="24" t="n">
        <f aca="false">IF(OR(N86="Working",N86="Overhead only"),MAX(0,P86+Q86-O86),0)</f>
        <v>0</v>
      </c>
      <c r="T86" s="24" t="n">
        <f aca="false">P86+Q86+R86</f>
        <v>0</v>
      </c>
      <c r="U86" s="24" t="str">
        <f aca="true">IF(N86="Working",IF(P86+Q86=0,IF(L86&lt;=TODAY(),"Not logged",""),IF(P86+Q86&gt;O86,IF(AllowOT="Yes","Overtime","Over "&amp;O86&amp;" h!"),"✓")),IF(N86="Overhead only","✓ Overhead day",IF(P86+Q86&gt;0,"Entries on "&amp;LOWER(N86)&amp;" day",N86)))</f>
        <v>Not logged</v>
      </c>
      <c r="V86" s="1"/>
      <c r="W86" s="1" t="str">
        <f aca="false">IF(Projects!B84="","",Projects!B84)</f>
        <v/>
      </c>
      <c r="X86" s="1" t="n">
        <f aca="false">IF(W86="",0,SUMIFS($I$7:$I$256,$D$7:$D$256,W86,$H$7:$H$256,"NTIME"))</f>
        <v>0</v>
      </c>
      <c r="Y86" s="1" t="n">
        <f aca="false">IF(W86="",0,SUMIFS($I$7:$I$256,$D$7:$D$256,W86,$H$7:$H$256,"P6"))</f>
        <v>0</v>
      </c>
      <c r="Z86" s="1" t="n">
        <f aca="false">X86+Y86</f>
        <v>0</v>
      </c>
      <c r="AA86" s="1" t="n">
        <f aca="false">IF(Z86&gt;0,Z86+(201-80)/10^6,0)</f>
        <v>0</v>
      </c>
      <c r="AB86" s="1"/>
      <c r="AC86" s="1"/>
      <c r="AD86" s="1"/>
      <c r="AE86" s="1"/>
      <c r="AF86" s="1"/>
      <c r="AG86" s="1"/>
      <c r="AH86" s="1"/>
    </row>
    <row r="87" customFormat="false" ht="15" hidden="false" customHeight="false" outlineLevel="0" collapsed="false">
      <c r="A87" s="1"/>
      <c r="B87" s="10"/>
      <c r="C87" s="31" t="str">
        <f aca="false">IF(B87="","",TEXT(B87,"ddd"))</f>
        <v/>
      </c>
      <c r="D87" s="11"/>
      <c r="E87" s="8" t="str">
        <f aca="false">IF(D87="","",IFERROR(INDEX(ProjNumbers,MATCH(D87,ProjNames,0)),""))</f>
        <v/>
      </c>
      <c r="F87" s="8" t="str">
        <f aca="false">IF(D87="","",IFERROR(INDEX(ProjCodes,MATCH(D87,ProjNames,0)),""))</f>
        <v/>
      </c>
      <c r="G87" s="32"/>
      <c r="H87" s="11"/>
      <c r="I87" s="33"/>
      <c r="J87" s="8" t="str">
        <f aca="false">IF(COUNTA(B87,D87,G87,H87,I87)=0,"",IF(B87="","Enter date",IF(OR(B87&lt;$AC$2,B87&gt;$AC$3),"Date not in May",IF(D87="","Pick project",IF(ISNA(MATCH(D87,ProjNames,0)),"Project not in list",IF(G87="","Add task description",IF(H87="","Pick NTIME or P6",IF(N(I87)&lt;=0,"Enter hours",IF(AND(AllowOT&lt;&gt;"Yes",SUMIF($B$7:$B$256,B87,$I$7:$I$256)&gt;INDEX($O$58:$O$88,DAY(B87))),"Day over "&amp;INDEX($O$58:$O$88,DAY(B87))&amp;" h","✓")))))))))</f>
        <v/>
      </c>
      <c r="K87" s="1"/>
      <c r="L87" s="35" t="n">
        <v>46172</v>
      </c>
      <c r="M87" s="36" t="str">
        <f aca="false">TEXT(L87,"ddd")</f>
        <v>Sat</v>
      </c>
      <c r="N87" s="37" t="s">
        <v>94</v>
      </c>
      <c r="O87" s="37" t="n">
        <f aca="false">AvailHours</f>
        <v>8</v>
      </c>
      <c r="P87" s="24" t="n">
        <f aca="false">SUMIFS($I$7:$I$256,$B$7:$B$256,L87,$H$7:$H$256,"NTIME")</f>
        <v>0</v>
      </c>
      <c r="Q87" s="24" t="n">
        <f aca="false">SUMIFS($I$7:$I$256,$B$7:$B$256,L87,$H$7:$H$256,"P6")</f>
        <v>0</v>
      </c>
      <c r="R87" s="24" t="n">
        <f aca="false">IF(N87="Overhead only",O87,IF(AND(N87="Working",P87+Q87&gt;0),MAX(0,O87-P87-Q87),0))</f>
        <v>0</v>
      </c>
      <c r="S87" s="24" t="n">
        <f aca="false">IF(OR(N87="Working",N87="Overhead only"),MAX(0,P87+Q87-O87),0)</f>
        <v>0</v>
      </c>
      <c r="T87" s="24" t="n">
        <f aca="false">P87+Q87+R87</f>
        <v>0</v>
      </c>
      <c r="U87" s="24" t="str">
        <f aca="true">IF(N87="Working",IF(P87+Q87=0,IF(L87&lt;=TODAY(),"Not logged",""),IF(P87+Q87&gt;O87,IF(AllowOT="Yes","Overtime","Over "&amp;O87&amp;" h!"),"✓")),IF(N87="Overhead only","✓ Overhead day",IF(P87+Q87&gt;0,"Entries on "&amp;LOWER(N87)&amp;" day",N87)))</f>
        <v>Weekend</v>
      </c>
      <c r="V87" s="1"/>
      <c r="W87" s="1" t="str">
        <f aca="false">IF(Projects!B85="","",Projects!B85)</f>
        <v/>
      </c>
      <c r="X87" s="1" t="n">
        <f aca="false">IF(W87="",0,SUMIFS($I$7:$I$256,$D$7:$D$256,W87,$H$7:$H$256,"NTIME"))</f>
        <v>0</v>
      </c>
      <c r="Y87" s="1" t="n">
        <f aca="false">IF(W87="",0,SUMIFS($I$7:$I$256,$D$7:$D$256,W87,$H$7:$H$256,"P6"))</f>
        <v>0</v>
      </c>
      <c r="Z87" s="1" t="n">
        <f aca="false">X87+Y87</f>
        <v>0</v>
      </c>
      <c r="AA87" s="1" t="n">
        <f aca="false">IF(Z87&gt;0,Z87+(201-81)/10^6,0)</f>
        <v>0</v>
      </c>
      <c r="AB87" s="1"/>
      <c r="AC87" s="1"/>
      <c r="AD87" s="1"/>
      <c r="AE87" s="1"/>
      <c r="AF87" s="1"/>
      <c r="AG87" s="1"/>
      <c r="AH87" s="1"/>
    </row>
    <row r="88" customFormat="false" ht="15" hidden="false" customHeight="false" outlineLevel="0" collapsed="false">
      <c r="A88" s="1"/>
      <c r="B88" s="10"/>
      <c r="C88" s="31" t="str">
        <f aca="false">IF(B88="","",TEXT(B88,"ddd"))</f>
        <v/>
      </c>
      <c r="D88" s="11"/>
      <c r="E88" s="8" t="str">
        <f aca="false">IF(D88="","",IFERROR(INDEX(ProjNumbers,MATCH(D88,ProjNames,0)),""))</f>
        <v/>
      </c>
      <c r="F88" s="8" t="str">
        <f aca="false">IF(D88="","",IFERROR(INDEX(ProjCodes,MATCH(D88,ProjNames,0)),""))</f>
        <v/>
      </c>
      <c r="G88" s="32"/>
      <c r="H88" s="11"/>
      <c r="I88" s="33"/>
      <c r="J88" s="8" t="str">
        <f aca="false">IF(COUNTA(B88,D88,G88,H88,I88)=0,"",IF(B88="","Enter date",IF(OR(B88&lt;$AC$2,B88&gt;$AC$3),"Date not in May",IF(D88="","Pick project",IF(ISNA(MATCH(D88,ProjNames,0)),"Project not in list",IF(G88="","Add task description",IF(H88="","Pick NTIME or P6",IF(N(I88)&lt;=0,"Enter hours",IF(AND(AllowOT&lt;&gt;"Yes",SUMIF($B$7:$B$256,B88,$I$7:$I$256)&gt;INDEX($O$58:$O$88,DAY(B88))),"Day over "&amp;INDEX($O$58:$O$88,DAY(B88))&amp;" h","✓")))))))))</f>
        <v/>
      </c>
      <c r="K88" s="1"/>
      <c r="L88" s="35" t="n">
        <v>46173</v>
      </c>
      <c r="M88" s="36" t="str">
        <f aca="false">TEXT(L88,"ddd")</f>
        <v>Sun</v>
      </c>
      <c r="N88" s="37" t="s">
        <v>94</v>
      </c>
      <c r="O88" s="37" t="n">
        <f aca="false">AvailHours</f>
        <v>8</v>
      </c>
      <c r="P88" s="24" t="n">
        <f aca="false">SUMIFS($I$7:$I$256,$B$7:$B$256,L88,$H$7:$H$256,"NTIME")</f>
        <v>0</v>
      </c>
      <c r="Q88" s="24" t="n">
        <f aca="false">SUMIFS($I$7:$I$256,$B$7:$B$256,L88,$H$7:$H$256,"P6")</f>
        <v>0</v>
      </c>
      <c r="R88" s="24" t="n">
        <f aca="false">IF(N88="Overhead only",O88,IF(AND(N88="Working",P88+Q88&gt;0),MAX(0,O88-P88-Q88),0))</f>
        <v>0</v>
      </c>
      <c r="S88" s="24" t="n">
        <f aca="false">IF(OR(N88="Working",N88="Overhead only"),MAX(0,P88+Q88-O88),0)</f>
        <v>0</v>
      </c>
      <c r="T88" s="24" t="n">
        <f aca="false">P88+Q88+R88</f>
        <v>0</v>
      </c>
      <c r="U88" s="24" t="str">
        <f aca="true">IF(N88="Working",IF(P88+Q88=0,IF(L88&lt;=TODAY(),"Not logged",""),IF(P88+Q88&gt;O88,IF(AllowOT="Yes","Overtime","Over "&amp;O88&amp;" h!"),"✓")),IF(N88="Overhead only","✓ Overhead day",IF(P88+Q88&gt;0,"Entries on "&amp;LOWER(N88)&amp;" day",N88)))</f>
        <v>Weekend</v>
      </c>
      <c r="V88" s="1"/>
      <c r="W88" s="1" t="str">
        <f aca="false">IF(Projects!B86="","",Projects!B86)</f>
        <v/>
      </c>
      <c r="X88" s="1" t="n">
        <f aca="false">IF(W88="",0,SUMIFS($I$7:$I$256,$D$7:$D$256,W88,$H$7:$H$256,"NTIME"))</f>
        <v>0</v>
      </c>
      <c r="Y88" s="1" t="n">
        <f aca="false">IF(W88="",0,SUMIFS($I$7:$I$256,$D$7:$D$256,W88,$H$7:$H$256,"P6"))</f>
        <v>0</v>
      </c>
      <c r="Z88" s="1" t="n">
        <f aca="false">X88+Y88</f>
        <v>0</v>
      </c>
      <c r="AA88" s="1" t="n">
        <f aca="false">IF(Z88&gt;0,Z88+(201-82)/10^6,0)</f>
        <v>0</v>
      </c>
      <c r="AB88" s="1"/>
      <c r="AC88" s="1"/>
      <c r="AD88" s="1"/>
      <c r="AE88" s="1"/>
      <c r="AF88" s="1"/>
      <c r="AG88" s="1"/>
      <c r="AH88" s="1"/>
    </row>
    <row r="89" customFormat="false" ht="15" hidden="false" customHeight="false" outlineLevel="0" collapsed="false">
      <c r="A89" s="1"/>
      <c r="B89" s="10"/>
      <c r="C89" s="31" t="str">
        <f aca="false">IF(B89="","",TEXT(B89,"ddd"))</f>
        <v/>
      </c>
      <c r="D89" s="11"/>
      <c r="E89" s="8" t="str">
        <f aca="false">IF(D89="","",IFERROR(INDEX(ProjNumbers,MATCH(D89,ProjNames,0)),""))</f>
        <v/>
      </c>
      <c r="F89" s="8" t="str">
        <f aca="false">IF(D89="","",IFERROR(INDEX(ProjCodes,MATCH(D89,ProjNames,0)),""))</f>
        <v/>
      </c>
      <c r="G89" s="32"/>
      <c r="H89" s="11"/>
      <c r="I89" s="33"/>
      <c r="J89" s="8" t="str">
        <f aca="false">IF(COUNTA(B89,D89,G89,H89,I89)=0,"",IF(B89="","Enter date",IF(OR(B89&lt;$AC$2,B89&gt;$AC$3),"Date not in May",IF(D89="","Pick project",IF(ISNA(MATCH(D89,ProjNames,0)),"Project not in list",IF(G89="","Add task description",IF(H89="","Pick NTIME or P6",IF(N(I89)&lt;=0,"Enter hours",IF(AND(AllowOT&lt;&gt;"Yes",SUMIF($B$7:$B$256,B89,$I$7:$I$256)&gt;INDEX($O$58:$O$88,DAY(B89))),"Day over "&amp;INDEX($O$58:$O$88,DAY(B89))&amp;" h","✓")))))))))</f>
        <v/>
      </c>
      <c r="K89" s="1"/>
      <c r="L89" s="27" t="s">
        <v>84</v>
      </c>
      <c r="M89" s="27"/>
      <c r="N89" s="27"/>
      <c r="O89" s="27"/>
      <c r="P89" s="27" t="n">
        <f aca="false">SUM(P58:P88)</f>
        <v>0</v>
      </c>
      <c r="Q89" s="27" t="n">
        <f aca="false">SUM(Q58:Q88)</f>
        <v>0</v>
      </c>
      <c r="R89" s="27" t="n">
        <f aca="false">SUM(R58:R88)</f>
        <v>0</v>
      </c>
      <c r="S89" s="27" t="n">
        <f aca="false">SUM(S58:S88)</f>
        <v>0</v>
      </c>
      <c r="T89" s="27" t="n">
        <f aca="false">SUM(T58:T88)</f>
        <v>0</v>
      </c>
      <c r="U89" s="27"/>
      <c r="V89" s="1"/>
      <c r="W89" s="1" t="str">
        <f aca="false">IF(Projects!B87="","",Projects!B87)</f>
        <v/>
      </c>
      <c r="X89" s="1" t="n">
        <f aca="false">IF(W89="",0,SUMIFS($I$7:$I$256,$D$7:$D$256,W89,$H$7:$H$256,"NTIME"))</f>
        <v>0</v>
      </c>
      <c r="Y89" s="1" t="n">
        <f aca="false">IF(W89="",0,SUMIFS($I$7:$I$256,$D$7:$D$256,W89,$H$7:$H$256,"P6"))</f>
        <v>0</v>
      </c>
      <c r="Z89" s="1" t="n">
        <f aca="false">X89+Y89</f>
        <v>0</v>
      </c>
      <c r="AA89" s="1" t="n">
        <f aca="false">IF(Z89&gt;0,Z89+(201-83)/10^6,0)</f>
        <v>0</v>
      </c>
      <c r="AB89" s="1"/>
      <c r="AC89" s="1"/>
      <c r="AD89" s="1"/>
      <c r="AE89" s="1"/>
      <c r="AF89" s="1"/>
      <c r="AG89" s="1"/>
      <c r="AH89" s="1"/>
    </row>
    <row r="90" customFormat="false" ht="15" hidden="false" customHeight="false" outlineLevel="0" collapsed="false">
      <c r="A90" s="1"/>
      <c r="B90" s="10"/>
      <c r="C90" s="31" t="str">
        <f aca="false">IF(B90="","",TEXT(B90,"ddd"))</f>
        <v/>
      </c>
      <c r="D90" s="11"/>
      <c r="E90" s="8" t="str">
        <f aca="false">IF(D90="","",IFERROR(INDEX(ProjNumbers,MATCH(D90,ProjNames,0)),""))</f>
        <v/>
      </c>
      <c r="F90" s="8" t="str">
        <f aca="false">IF(D90="","",IFERROR(INDEX(ProjCodes,MATCH(D90,ProjNames,0)),""))</f>
        <v/>
      </c>
      <c r="G90" s="32"/>
      <c r="H90" s="11"/>
      <c r="I90" s="33"/>
      <c r="J90" s="8" t="str">
        <f aca="false">IF(COUNTA(B90,D90,G90,H90,I90)=0,"",IF(B90="","Enter date",IF(OR(B90&lt;$AC$2,B90&gt;$AC$3),"Date not in May",IF(D90="","Pick project",IF(ISNA(MATCH(D90,ProjNames,0)),"Project not in list",IF(G90="","Add task description",IF(H90="","Pick NTIME or P6",IF(N(I90)&lt;=0,"Enter hours",IF(AND(AllowOT&lt;&gt;"Yes",SUMIF($B$7:$B$256,B90,$I$7:$I$256)&gt;INDEX($O$58:$O$88,DAY(B90))),"Day over "&amp;INDEX($O$58:$O$88,DAY(B90))&amp;" h","✓")))))))))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tr">
        <f aca="false">IF(Projects!B88="","",Projects!B88)</f>
        <v/>
      </c>
      <c r="X90" s="1" t="n">
        <f aca="false">IF(W90="",0,SUMIFS($I$7:$I$256,$D$7:$D$256,W90,$H$7:$H$256,"NTIME"))</f>
        <v>0</v>
      </c>
      <c r="Y90" s="1" t="n">
        <f aca="false">IF(W90="",0,SUMIFS($I$7:$I$256,$D$7:$D$256,W90,$H$7:$H$256,"P6"))</f>
        <v>0</v>
      </c>
      <c r="Z90" s="1" t="n">
        <f aca="false">X90+Y90</f>
        <v>0</v>
      </c>
      <c r="AA90" s="1" t="n">
        <f aca="false">IF(Z90&gt;0,Z90+(201-84)/10^6,0)</f>
        <v>0</v>
      </c>
      <c r="AB90" s="1"/>
      <c r="AC90" s="1"/>
      <c r="AD90" s="1"/>
      <c r="AE90" s="1"/>
      <c r="AF90" s="1"/>
      <c r="AG90" s="1"/>
      <c r="AH90" s="1"/>
    </row>
    <row r="91" customFormat="false" ht="15" hidden="false" customHeight="false" outlineLevel="0" collapsed="false">
      <c r="A91" s="1"/>
      <c r="B91" s="10"/>
      <c r="C91" s="31" t="str">
        <f aca="false">IF(B91="","",TEXT(B91,"ddd"))</f>
        <v/>
      </c>
      <c r="D91" s="11"/>
      <c r="E91" s="8" t="str">
        <f aca="false">IF(D91="","",IFERROR(INDEX(ProjNumbers,MATCH(D91,ProjNames,0)),""))</f>
        <v/>
      </c>
      <c r="F91" s="8" t="str">
        <f aca="false">IF(D91="","",IFERROR(INDEX(ProjCodes,MATCH(D91,ProjNames,0)),""))</f>
        <v/>
      </c>
      <c r="G91" s="32"/>
      <c r="H91" s="11"/>
      <c r="I91" s="33"/>
      <c r="J91" s="8" t="str">
        <f aca="false">IF(COUNTA(B91,D91,G91,H91,I91)=0,"",IF(B91="","Enter date",IF(OR(B91&lt;$AC$2,B91&gt;$AC$3),"Date not in May",IF(D91="","Pick project",IF(ISNA(MATCH(D91,ProjNames,0)),"Project not in list",IF(G91="","Add task description",IF(H91="","Pick NTIME or P6",IF(N(I91)&lt;=0,"Enter hours",IF(AND(AllowOT&lt;&gt;"Yes",SUMIF($B$7:$B$256,B91,$I$7:$I$256)&gt;INDEX($O$58:$O$88,DAY(B91))),"Day over "&amp;INDEX($O$58:$O$88,DAY(B91))&amp;" h","✓")))))))))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tr">
        <f aca="false">IF(Projects!B89="","",Projects!B89)</f>
        <v/>
      </c>
      <c r="X91" s="1" t="n">
        <f aca="false">IF(W91="",0,SUMIFS($I$7:$I$256,$D$7:$D$256,W91,$H$7:$H$256,"NTIME"))</f>
        <v>0</v>
      </c>
      <c r="Y91" s="1" t="n">
        <f aca="false">IF(W91="",0,SUMIFS($I$7:$I$256,$D$7:$D$256,W91,$H$7:$H$256,"P6"))</f>
        <v>0</v>
      </c>
      <c r="Z91" s="1" t="n">
        <f aca="false">X91+Y91</f>
        <v>0</v>
      </c>
      <c r="AA91" s="1" t="n">
        <f aca="false">IF(Z91&gt;0,Z91+(201-85)/10^6,0)</f>
        <v>0</v>
      </c>
      <c r="AB91" s="1"/>
      <c r="AC91" s="1"/>
      <c r="AD91" s="1"/>
      <c r="AE91" s="1"/>
      <c r="AF91" s="1"/>
      <c r="AG91" s="1"/>
      <c r="AH91" s="1"/>
    </row>
    <row r="92" customFormat="false" ht="15" hidden="false" customHeight="false" outlineLevel="0" collapsed="false">
      <c r="A92" s="1"/>
      <c r="B92" s="10"/>
      <c r="C92" s="31" t="str">
        <f aca="false">IF(B92="","",TEXT(B92,"ddd"))</f>
        <v/>
      </c>
      <c r="D92" s="11"/>
      <c r="E92" s="8" t="str">
        <f aca="false">IF(D92="","",IFERROR(INDEX(ProjNumbers,MATCH(D92,ProjNames,0)),""))</f>
        <v/>
      </c>
      <c r="F92" s="8" t="str">
        <f aca="false">IF(D92="","",IFERROR(INDEX(ProjCodes,MATCH(D92,ProjNames,0)),""))</f>
        <v/>
      </c>
      <c r="G92" s="32"/>
      <c r="H92" s="11"/>
      <c r="I92" s="33"/>
      <c r="J92" s="8" t="str">
        <f aca="false">IF(COUNTA(B92,D92,G92,H92,I92)=0,"",IF(B92="","Enter date",IF(OR(B92&lt;$AC$2,B92&gt;$AC$3),"Date not in May",IF(D92="","Pick project",IF(ISNA(MATCH(D92,ProjNames,0)),"Project not in list",IF(G92="","Add task description",IF(H92="","Pick NTIME or P6",IF(N(I92)&lt;=0,"Enter hours",IF(AND(AllowOT&lt;&gt;"Yes",SUMIF($B$7:$B$256,B92,$I$7:$I$256)&gt;INDEX($O$58:$O$88,DAY(B92))),"Day over "&amp;INDEX($O$58:$O$88,DAY(B92))&amp;" h","✓")))))))))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tr">
        <f aca="false">IF(Projects!B90="","",Projects!B90)</f>
        <v/>
      </c>
      <c r="X92" s="1" t="n">
        <f aca="false">IF(W92="",0,SUMIFS($I$7:$I$256,$D$7:$D$256,W92,$H$7:$H$256,"NTIME"))</f>
        <v>0</v>
      </c>
      <c r="Y92" s="1" t="n">
        <f aca="false">IF(W92="",0,SUMIFS($I$7:$I$256,$D$7:$D$256,W92,$H$7:$H$256,"P6"))</f>
        <v>0</v>
      </c>
      <c r="Z92" s="1" t="n">
        <f aca="false">X92+Y92</f>
        <v>0</v>
      </c>
      <c r="AA92" s="1" t="n">
        <f aca="false">IF(Z92&gt;0,Z92+(201-86)/10^6,0)</f>
        <v>0</v>
      </c>
      <c r="AB92" s="1"/>
      <c r="AC92" s="1"/>
      <c r="AD92" s="1"/>
      <c r="AE92" s="1"/>
      <c r="AF92" s="1"/>
      <c r="AG92" s="1"/>
      <c r="AH92" s="1"/>
    </row>
    <row r="93" customFormat="false" ht="15" hidden="false" customHeight="false" outlineLevel="0" collapsed="false">
      <c r="A93" s="1"/>
      <c r="B93" s="10"/>
      <c r="C93" s="31" t="str">
        <f aca="false">IF(B93="","",TEXT(B93,"ddd"))</f>
        <v/>
      </c>
      <c r="D93" s="11"/>
      <c r="E93" s="8" t="str">
        <f aca="false">IF(D93="","",IFERROR(INDEX(ProjNumbers,MATCH(D93,ProjNames,0)),""))</f>
        <v/>
      </c>
      <c r="F93" s="8" t="str">
        <f aca="false">IF(D93="","",IFERROR(INDEX(ProjCodes,MATCH(D93,ProjNames,0)),""))</f>
        <v/>
      </c>
      <c r="G93" s="32"/>
      <c r="H93" s="11"/>
      <c r="I93" s="33"/>
      <c r="J93" s="8" t="str">
        <f aca="false">IF(COUNTA(B93,D93,G93,H93,I93)=0,"",IF(B93="","Enter date",IF(OR(B93&lt;$AC$2,B93&gt;$AC$3),"Date not in May",IF(D93="","Pick project",IF(ISNA(MATCH(D93,ProjNames,0)),"Project not in list",IF(G93="","Add task description",IF(H93="","Pick NTIME or P6",IF(N(I93)&lt;=0,"Enter hours",IF(AND(AllowOT&lt;&gt;"Yes",SUMIF($B$7:$B$256,B93,$I$7:$I$256)&gt;INDEX($O$58:$O$88,DAY(B93))),"Day over "&amp;INDEX($O$58:$O$88,DAY(B93))&amp;" h","✓")))))))))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tr">
        <f aca="false">IF(Projects!B91="","",Projects!B91)</f>
        <v/>
      </c>
      <c r="X93" s="1" t="n">
        <f aca="false">IF(W93="",0,SUMIFS($I$7:$I$256,$D$7:$D$256,W93,$H$7:$H$256,"NTIME"))</f>
        <v>0</v>
      </c>
      <c r="Y93" s="1" t="n">
        <f aca="false">IF(W93="",0,SUMIFS($I$7:$I$256,$D$7:$D$256,W93,$H$7:$H$256,"P6"))</f>
        <v>0</v>
      </c>
      <c r="Z93" s="1" t="n">
        <f aca="false">X93+Y93</f>
        <v>0</v>
      </c>
      <c r="AA93" s="1" t="n">
        <f aca="false">IF(Z93&gt;0,Z93+(201-87)/10^6,0)</f>
        <v>0</v>
      </c>
      <c r="AB93" s="1"/>
      <c r="AC93" s="1"/>
      <c r="AD93" s="1"/>
      <c r="AE93" s="1"/>
      <c r="AF93" s="1"/>
      <c r="AG93" s="1"/>
      <c r="AH93" s="1"/>
    </row>
    <row r="94" customFormat="false" ht="15" hidden="false" customHeight="false" outlineLevel="0" collapsed="false">
      <c r="A94" s="1"/>
      <c r="B94" s="10"/>
      <c r="C94" s="31" t="str">
        <f aca="false">IF(B94="","",TEXT(B94,"ddd"))</f>
        <v/>
      </c>
      <c r="D94" s="11"/>
      <c r="E94" s="8" t="str">
        <f aca="false">IF(D94="","",IFERROR(INDEX(ProjNumbers,MATCH(D94,ProjNames,0)),""))</f>
        <v/>
      </c>
      <c r="F94" s="8" t="str">
        <f aca="false">IF(D94="","",IFERROR(INDEX(ProjCodes,MATCH(D94,ProjNames,0)),""))</f>
        <v/>
      </c>
      <c r="G94" s="32"/>
      <c r="H94" s="11"/>
      <c r="I94" s="33"/>
      <c r="J94" s="8" t="str">
        <f aca="false">IF(COUNTA(B94,D94,G94,H94,I94)=0,"",IF(B94="","Enter date",IF(OR(B94&lt;$AC$2,B94&gt;$AC$3),"Date not in May",IF(D94="","Pick project",IF(ISNA(MATCH(D94,ProjNames,0)),"Project not in list",IF(G94="","Add task description",IF(H94="","Pick NTIME or P6",IF(N(I94)&lt;=0,"Enter hours",IF(AND(AllowOT&lt;&gt;"Yes",SUMIF($B$7:$B$256,B94,$I$7:$I$256)&gt;INDEX($O$58:$O$88,DAY(B94))),"Day over "&amp;INDEX($O$58:$O$88,DAY(B94))&amp;" h","✓")))))))))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tr">
        <f aca="false">IF(Projects!B92="","",Projects!B92)</f>
        <v/>
      </c>
      <c r="X94" s="1" t="n">
        <f aca="false">IF(W94="",0,SUMIFS($I$7:$I$256,$D$7:$D$256,W94,$H$7:$H$256,"NTIME"))</f>
        <v>0</v>
      </c>
      <c r="Y94" s="1" t="n">
        <f aca="false">IF(W94="",0,SUMIFS($I$7:$I$256,$D$7:$D$256,W94,$H$7:$H$256,"P6"))</f>
        <v>0</v>
      </c>
      <c r="Z94" s="1" t="n">
        <f aca="false">X94+Y94</f>
        <v>0</v>
      </c>
      <c r="AA94" s="1" t="n">
        <f aca="false">IF(Z94&gt;0,Z94+(201-88)/10^6,0)</f>
        <v>0</v>
      </c>
      <c r="AB94" s="1"/>
      <c r="AC94" s="1"/>
      <c r="AD94" s="1"/>
      <c r="AE94" s="1"/>
      <c r="AF94" s="1"/>
      <c r="AG94" s="1"/>
      <c r="AH94" s="1"/>
    </row>
    <row r="95" customFormat="false" ht="15" hidden="false" customHeight="false" outlineLevel="0" collapsed="false">
      <c r="A95" s="1"/>
      <c r="B95" s="10"/>
      <c r="C95" s="31" t="str">
        <f aca="false">IF(B95="","",TEXT(B95,"ddd"))</f>
        <v/>
      </c>
      <c r="D95" s="11"/>
      <c r="E95" s="8" t="str">
        <f aca="false">IF(D95="","",IFERROR(INDEX(ProjNumbers,MATCH(D95,ProjNames,0)),""))</f>
        <v/>
      </c>
      <c r="F95" s="8" t="str">
        <f aca="false">IF(D95="","",IFERROR(INDEX(ProjCodes,MATCH(D95,ProjNames,0)),""))</f>
        <v/>
      </c>
      <c r="G95" s="32"/>
      <c r="H95" s="11"/>
      <c r="I95" s="33"/>
      <c r="J95" s="8" t="str">
        <f aca="false">IF(COUNTA(B95,D95,G95,H95,I95)=0,"",IF(B95="","Enter date",IF(OR(B95&lt;$AC$2,B95&gt;$AC$3),"Date not in May",IF(D95="","Pick project",IF(ISNA(MATCH(D95,ProjNames,0)),"Project not in list",IF(G95="","Add task description",IF(H95="","Pick NTIME or P6",IF(N(I95)&lt;=0,"Enter hours",IF(AND(AllowOT&lt;&gt;"Yes",SUMIF($B$7:$B$256,B95,$I$7:$I$256)&gt;INDEX($O$58:$O$88,DAY(B95))),"Day over "&amp;INDEX($O$58:$O$88,DAY(B95))&amp;" h","✓")))))))))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tr">
        <f aca="false">IF(Projects!B93="","",Projects!B93)</f>
        <v/>
      </c>
      <c r="X95" s="1" t="n">
        <f aca="false">IF(W95="",0,SUMIFS($I$7:$I$256,$D$7:$D$256,W95,$H$7:$H$256,"NTIME"))</f>
        <v>0</v>
      </c>
      <c r="Y95" s="1" t="n">
        <f aca="false">IF(W95="",0,SUMIFS($I$7:$I$256,$D$7:$D$256,W95,$H$7:$H$256,"P6"))</f>
        <v>0</v>
      </c>
      <c r="Z95" s="1" t="n">
        <f aca="false">X95+Y95</f>
        <v>0</v>
      </c>
      <c r="AA95" s="1" t="n">
        <f aca="false">IF(Z95&gt;0,Z95+(201-89)/10^6,0)</f>
        <v>0</v>
      </c>
      <c r="AB95" s="1"/>
      <c r="AC95" s="1"/>
      <c r="AD95" s="1"/>
      <c r="AE95" s="1"/>
      <c r="AF95" s="1"/>
      <c r="AG95" s="1"/>
      <c r="AH95" s="1"/>
    </row>
    <row r="96" customFormat="false" ht="15" hidden="false" customHeight="false" outlineLevel="0" collapsed="false">
      <c r="A96" s="1"/>
      <c r="B96" s="10"/>
      <c r="C96" s="31" t="str">
        <f aca="false">IF(B96="","",TEXT(B96,"ddd"))</f>
        <v/>
      </c>
      <c r="D96" s="11"/>
      <c r="E96" s="8" t="str">
        <f aca="false">IF(D96="","",IFERROR(INDEX(ProjNumbers,MATCH(D96,ProjNames,0)),""))</f>
        <v/>
      </c>
      <c r="F96" s="8" t="str">
        <f aca="false">IF(D96="","",IFERROR(INDEX(ProjCodes,MATCH(D96,ProjNames,0)),""))</f>
        <v/>
      </c>
      <c r="G96" s="32"/>
      <c r="H96" s="11"/>
      <c r="I96" s="33"/>
      <c r="J96" s="8" t="str">
        <f aca="false">IF(COUNTA(B96,D96,G96,H96,I96)=0,"",IF(B96="","Enter date",IF(OR(B96&lt;$AC$2,B96&gt;$AC$3),"Date not in May",IF(D96="","Pick project",IF(ISNA(MATCH(D96,ProjNames,0)),"Project not in list",IF(G96="","Add task description",IF(H96="","Pick NTIME or P6",IF(N(I96)&lt;=0,"Enter hours",IF(AND(AllowOT&lt;&gt;"Yes",SUMIF($B$7:$B$256,B96,$I$7:$I$256)&gt;INDEX($O$58:$O$88,DAY(B96))),"Day over "&amp;INDEX($O$58:$O$88,DAY(B96))&amp;" h","✓")))))))))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tr">
        <f aca="false">IF(Projects!B94="","",Projects!B94)</f>
        <v/>
      </c>
      <c r="X96" s="1" t="n">
        <f aca="false">IF(W96="",0,SUMIFS($I$7:$I$256,$D$7:$D$256,W96,$H$7:$H$256,"NTIME"))</f>
        <v>0</v>
      </c>
      <c r="Y96" s="1" t="n">
        <f aca="false">IF(W96="",0,SUMIFS($I$7:$I$256,$D$7:$D$256,W96,$H$7:$H$256,"P6"))</f>
        <v>0</v>
      </c>
      <c r="Z96" s="1" t="n">
        <f aca="false">X96+Y96</f>
        <v>0</v>
      </c>
      <c r="AA96" s="1" t="n">
        <f aca="false">IF(Z96&gt;0,Z96+(201-90)/10^6,0)</f>
        <v>0</v>
      </c>
      <c r="AB96" s="1"/>
      <c r="AC96" s="1"/>
      <c r="AD96" s="1"/>
      <c r="AE96" s="1"/>
      <c r="AF96" s="1"/>
      <c r="AG96" s="1"/>
      <c r="AH96" s="1"/>
    </row>
    <row r="97" customFormat="false" ht="15" hidden="false" customHeight="false" outlineLevel="0" collapsed="false">
      <c r="A97" s="1"/>
      <c r="B97" s="10"/>
      <c r="C97" s="31" t="str">
        <f aca="false">IF(B97="","",TEXT(B97,"ddd"))</f>
        <v/>
      </c>
      <c r="D97" s="11"/>
      <c r="E97" s="8" t="str">
        <f aca="false">IF(D97="","",IFERROR(INDEX(ProjNumbers,MATCH(D97,ProjNames,0)),""))</f>
        <v/>
      </c>
      <c r="F97" s="8" t="str">
        <f aca="false">IF(D97="","",IFERROR(INDEX(ProjCodes,MATCH(D97,ProjNames,0)),""))</f>
        <v/>
      </c>
      <c r="G97" s="32"/>
      <c r="H97" s="11"/>
      <c r="I97" s="33"/>
      <c r="J97" s="8" t="str">
        <f aca="false">IF(COUNTA(B97,D97,G97,H97,I97)=0,"",IF(B97="","Enter date",IF(OR(B97&lt;$AC$2,B97&gt;$AC$3),"Date not in May",IF(D97="","Pick project",IF(ISNA(MATCH(D97,ProjNames,0)),"Project not in list",IF(G97="","Add task description",IF(H97="","Pick NTIME or P6",IF(N(I97)&lt;=0,"Enter hours",IF(AND(AllowOT&lt;&gt;"Yes",SUMIF($B$7:$B$256,B97,$I$7:$I$256)&gt;INDEX($O$58:$O$88,DAY(B97))),"Day over "&amp;INDEX($O$58:$O$88,DAY(B97))&amp;" h","✓")))))))))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tr">
        <f aca="false">IF(Projects!B95="","",Projects!B95)</f>
        <v/>
      </c>
      <c r="X97" s="1" t="n">
        <f aca="false">IF(W97="",0,SUMIFS($I$7:$I$256,$D$7:$D$256,W97,$H$7:$H$256,"NTIME"))</f>
        <v>0</v>
      </c>
      <c r="Y97" s="1" t="n">
        <f aca="false">IF(W97="",0,SUMIFS($I$7:$I$256,$D$7:$D$256,W97,$H$7:$H$256,"P6"))</f>
        <v>0</v>
      </c>
      <c r="Z97" s="1" t="n">
        <f aca="false">X97+Y97</f>
        <v>0</v>
      </c>
      <c r="AA97" s="1" t="n">
        <f aca="false">IF(Z97&gt;0,Z97+(201-91)/10^6,0)</f>
        <v>0</v>
      </c>
      <c r="AB97" s="1"/>
      <c r="AC97" s="1"/>
      <c r="AD97" s="1"/>
      <c r="AE97" s="1"/>
      <c r="AF97" s="1"/>
      <c r="AG97" s="1"/>
      <c r="AH97" s="1"/>
    </row>
    <row r="98" customFormat="false" ht="15" hidden="false" customHeight="false" outlineLevel="0" collapsed="false">
      <c r="A98" s="1"/>
      <c r="B98" s="10"/>
      <c r="C98" s="31" t="str">
        <f aca="false">IF(B98="","",TEXT(B98,"ddd"))</f>
        <v/>
      </c>
      <c r="D98" s="11"/>
      <c r="E98" s="8" t="str">
        <f aca="false">IF(D98="","",IFERROR(INDEX(ProjNumbers,MATCH(D98,ProjNames,0)),""))</f>
        <v/>
      </c>
      <c r="F98" s="8" t="str">
        <f aca="false">IF(D98="","",IFERROR(INDEX(ProjCodes,MATCH(D98,ProjNames,0)),""))</f>
        <v/>
      </c>
      <c r="G98" s="32"/>
      <c r="H98" s="11"/>
      <c r="I98" s="33"/>
      <c r="J98" s="8" t="str">
        <f aca="false">IF(COUNTA(B98,D98,G98,H98,I98)=0,"",IF(B98="","Enter date",IF(OR(B98&lt;$AC$2,B98&gt;$AC$3),"Date not in May",IF(D98="","Pick project",IF(ISNA(MATCH(D98,ProjNames,0)),"Project not in list",IF(G98="","Add task description",IF(H98="","Pick NTIME or P6",IF(N(I98)&lt;=0,"Enter hours",IF(AND(AllowOT&lt;&gt;"Yes",SUMIF($B$7:$B$256,B98,$I$7:$I$256)&gt;INDEX($O$58:$O$88,DAY(B98))),"Day over "&amp;INDEX($O$58:$O$88,DAY(B98))&amp;" h","✓")))))))))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tr">
        <f aca="false">IF(Projects!B96="","",Projects!B96)</f>
        <v/>
      </c>
      <c r="X98" s="1" t="n">
        <f aca="false">IF(W98="",0,SUMIFS($I$7:$I$256,$D$7:$D$256,W98,$H$7:$H$256,"NTIME"))</f>
        <v>0</v>
      </c>
      <c r="Y98" s="1" t="n">
        <f aca="false">IF(W98="",0,SUMIFS($I$7:$I$256,$D$7:$D$256,W98,$H$7:$H$256,"P6"))</f>
        <v>0</v>
      </c>
      <c r="Z98" s="1" t="n">
        <f aca="false">X98+Y98</f>
        <v>0</v>
      </c>
      <c r="AA98" s="1" t="n">
        <f aca="false">IF(Z98&gt;0,Z98+(201-92)/10^6,0)</f>
        <v>0</v>
      </c>
      <c r="AB98" s="1"/>
      <c r="AC98" s="1"/>
      <c r="AD98" s="1"/>
      <c r="AE98" s="1"/>
      <c r="AF98" s="1"/>
      <c r="AG98" s="1"/>
      <c r="AH98" s="1"/>
    </row>
    <row r="99" customFormat="false" ht="15" hidden="false" customHeight="false" outlineLevel="0" collapsed="false">
      <c r="A99" s="1"/>
      <c r="B99" s="10"/>
      <c r="C99" s="31" t="str">
        <f aca="false">IF(B99="","",TEXT(B99,"ddd"))</f>
        <v/>
      </c>
      <c r="D99" s="11"/>
      <c r="E99" s="8" t="str">
        <f aca="false">IF(D99="","",IFERROR(INDEX(ProjNumbers,MATCH(D99,ProjNames,0)),""))</f>
        <v/>
      </c>
      <c r="F99" s="8" t="str">
        <f aca="false">IF(D99="","",IFERROR(INDEX(ProjCodes,MATCH(D99,ProjNames,0)),""))</f>
        <v/>
      </c>
      <c r="G99" s="32"/>
      <c r="H99" s="11"/>
      <c r="I99" s="33"/>
      <c r="J99" s="8" t="str">
        <f aca="false">IF(COUNTA(B99,D99,G99,H99,I99)=0,"",IF(B99="","Enter date",IF(OR(B99&lt;$AC$2,B99&gt;$AC$3),"Date not in May",IF(D99="","Pick project",IF(ISNA(MATCH(D99,ProjNames,0)),"Project not in list",IF(G99="","Add task description",IF(H99="","Pick NTIME or P6",IF(N(I99)&lt;=0,"Enter hours",IF(AND(AllowOT&lt;&gt;"Yes",SUMIF($B$7:$B$256,B99,$I$7:$I$256)&gt;INDEX($O$58:$O$88,DAY(B99))),"Day over "&amp;INDEX($O$58:$O$88,DAY(B99))&amp;" h","✓")))))))))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tr">
        <f aca="false">IF(Projects!B97="","",Projects!B97)</f>
        <v/>
      </c>
      <c r="X99" s="1" t="n">
        <f aca="false">IF(W99="",0,SUMIFS($I$7:$I$256,$D$7:$D$256,W99,$H$7:$H$256,"NTIME"))</f>
        <v>0</v>
      </c>
      <c r="Y99" s="1" t="n">
        <f aca="false">IF(W99="",0,SUMIFS($I$7:$I$256,$D$7:$D$256,W99,$H$7:$H$256,"P6"))</f>
        <v>0</v>
      </c>
      <c r="Z99" s="1" t="n">
        <f aca="false">X99+Y99</f>
        <v>0</v>
      </c>
      <c r="AA99" s="1" t="n">
        <f aca="false">IF(Z99&gt;0,Z99+(201-93)/10^6,0)</f>
        <v>0</v>
      </c>
      <c r="AB99" s="1"/>
      <c r="AC99" s="1"/>
      <c r="AD99" s="1"/>
      <c r="AE99" s="1"/>
      <c r="AF99" s="1"/>
      <c r="AG99" s="1"/>
      <c r="AH99" s="1"/>
    </row>
    <row r="100" customFormat="false" ht="15" hidden="false" customHeight="false" outlineLevel="0" collapsed="false">
      <c r="A100" s="1"/>
      <c r="B100" s="10"/>
      <c r="C100" s="31" t="str">
        <f aca="false">IF(B100="","",TEXT(B100,"ddd"))</f>
        <v/>
      </c>
      <c r="D100" s="11"/>
      <c r="E100" s="8" t="str">
        <f aca="false">IF(D100="","",IFERROR(INDEX(ProjNumbers,MATCH(D100,ProjNames,0)),""))</f>
        <v/>
      </c>
      <c r="F100" s="8" t="str">
        <f aca="false">IF(D100="","",IFERROR(INDEX(ProjCodes,MATCH(D100,ProjNames,0)),""))</f>
        <v/>
      </c>
      <c r="G100" s="32"/>
      <c r="H100" s="11"/>
      <c r="I100" s="33"/>
      <c r="J100" s="8" t="str">
        <f aca="false">IF(COUNTA(B100,D100,G100,H100,I100)=0,"",IF(B100="","Enter date",IF(OR(B100&lt;$AC$2,B100&gt;$AC$3),"Date not in May",IF(D100="","Pick project",IF(ISNA(MATCH(D100,ProjNames,0)),"Project not in list",IF(G100="","Add task description",IF(H100="","Pick NTIME or P6",IF(N(I100)&lt;=0,"Enter hours",IF(AND(AllowOT&lt;&gt;"Yes",SUMIF($B$7:$B$256,B100,$I$7:$I$256)&gt;INDEX($O$58:$O$88,DAY(B100))),"Day over "&amp;INDEX($O$58:$O$88,DAY(B100))&amp;" h","✓")))))))))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tr">
        <f aca="false">IF(Projects!B98="","",Projects!B98)</f>
        <v/>
      </c>
      <c r="X100" s="1" t="n">
        <f aca="false">IF(W100="",0,SUMIFS($I$7:$I$256,$D$7:$D$256,W100,$H$7:$H$256,"NTIME"))</f>
        <v>0</v>
      </c>
      <c r="Y100" s="1" t="n">
        <f aca="false">IF(W100="",0,SUMIFS($I$7:$I$256,$D$7:$D$256,W100,$H$7:$H$256,"P6"))</f>
        <v>0</v>
      </c>
      <c r="Z100" s="1" t="n">
        <f aca="false">X100+Y100</f>
        <v>0</v>
      </c>
      <c r="AA100" s="1" t="n">
        <f aca="false">IF(Z100&gt;0,Z100+(201-94)/10^6,0)</f>
        <v>0</v>
      </c>
      <c r="AB100" s="1"/>
      <c r="AC100" s="1"/>
      <c r="AD100" s="1"/>
      <c r="AE100" s="1"/>
      <c r="AF100" s="1"/>
      <c r="AG100" s="1"/>
      <c r="AH100" s="1"/>
    </row>
    <row r="101" customFormat="false" ht="15" hidden="false" customHeight="false" outlineLevel="0" collapsed="false">
      <c r="A101" s="1"/>
      <c r="B101" s="10"/>
      <c r="C101" s="31" t="str">
        <f aca="false">IF(B101="","",TEXT(B101,"ddd"))</f>
        <v/>
      </c>
      <c r="D101" s="11"/>
      <c r="E101" s="8" t="str">
        <f aca="false">IF(D101="","",IFERROR(INDEX(ProjNumbers,MATCH(D101,ProjNames,0)),""))</f>
        <v/>
      </c>
      <c r="F101" s="8" t="str">
        <f aca="false">IF(D101="","",IFERROR(INDEX(ProjCodes,MATCH(D101,ProjNames,0)),""))</f>
        <v/>
      </c>
      <c r="G101" s="32"/>
      <c r="H101" s="11"/>
      <c r="I101" s="33"/>
      <c r="J101" s="8" t="str">
        <f aca="false">IF(COUNTA(B101,D101,G101,H101,I101)=0,"",IF(B101="","Enter date",IF(OR(B101&lt;$AC$2,B101&gt;$AC$3),"Date not in May",IF(D101="","Pick project",IF(ISNA(MATCH(D101,ProjNames,0)),"Project not in list",IF(G101="","Add task description",IF(H101="","Pick NTIME or P6",IF(N(I101)&lt;=0,"Enter hours",IF(AND(AllowOT&lt;&gt;"Yes",SUMIF($B$7:$B$256,B101,$I$7:$I$256)&gt;INDEX($O$58:$O$88,DAY(B101))),"Day over "&amp;INDEX($O$58:$O$88,DAY(B101))&amp;" h","✓")))))))))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aca="false">IF(Projects!B99="","",Projects!B99)</f>
        <v/>
      </c>
      <c r="X101" s="1" t="n">
        <f aca="false">IF(W101="",0,SUMIFS($I$7:$I$256,$D$7:$D$256,W101,$H$7:$H$256,"NTIME"))</f>
        <v>0</v>
      </c>
      <c r="Y101" s="1" t="n">
        <f aca="false">IF(W101="",0,SUMIFS($I$7:$I$256,$D$7:$D$256,W101,$H$7:$H$256,"P6"))</f>
        <v>0</v>
      </c>
      <c r="Z101" s="1" t="n">
        <f aca="false">X101+Y101</f>
        <v>0</v>
      </c>
      <c r="AA101" s="1" t="n">
        <f aca="false">IF(Z101&gt;0,Z101+(201-95)/10^6,0)</f>
        <v>0</v>
      </c>
      <c r="AB101" s="1"/>
      <c r="AC101" s="1"/>
      <c r="AD101" s="1"/>
      <c r="AE101" s="1"/>
      <c r="AF101" s="1"/>
      <c r="AG101" s="1"/>
      <c r="AH101" s="1"/>
    </row>
    <row r="102" customFormat="false" ht="15" hidden="false" customHeight="false" outlineLevel="0" collapsed="false">
      <c r="A102" s="1"/>
      <c r="B102" s="10"/>
      <c r="C102" s="31" t="str">
        <f aca="false">IF(B102="","",TEXT(B102,"ddd"))</f>
        <v/>
      </c>
      <c r="D102" s="11"/>
      <c r="E102" s="8" t="str">
        <f aca="false">IF(D102="","",IFERROR(INDEX(ProjNumbers,MATCH(D102,ProjNames,0)),""))</f>
        <v/>
      </c>
      <c r="F102" s="8" t="str">
        <f aca="false">IF(D102="","",IFERROR(INDEX(ProjCodes,MATCH(D102,ProjNames,0)),""))</f>
        <v/>
      </c>
      <c r="G102" s="32"/>
      <c r="H102" s="11"/>
      <c r="I102" s="33"/>
      <c r="J102" s="8" t="str">
        <f aca="false">IF(COUNTA(B102,D102,G102,H102,I102)=0,"",IF(B102="","Enter date",IF(OR(B102&lt;$AC$2,B102&gt;$AC$3),"Date not in May",IF(D102="","Pick project",IF(ISNA(MATCH(D102,ProjNames,0)),"Project not in list",IF(G102="","Add task description",IF(H102="","Pick NTIME or P6",IF(N(I102)&lt;=0,"Enter hours",IF(AND(AllowOT&lt;&gt;"Yes",SUMIF($B$7:$B$256,B102,$I$7:$I$256)&gt;INDEX($O$58:$O$88,DAY(B102))),"Day over "&amp;INDEX($O$58:$O$88,DAY(B102))&amp;" h","✓")))))))))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tr">
        <f aca="false">IF(Projects!B100="","",Projects!B100)</f>
        <v/>
      </c>
      <c r="X102" s="1" t="n">
        <f aca="false">IF(W102="",0,SUMIFS($I$7:$I$256,$D$7:$D$256,W102,$H$7:$H$256,"NTIME"))</f>
        <v>0</v>
      </c>
      <c r="Y102" s="1" t="n">
        <f aca="false">IF(W102="",0,SUMIFS($I$7:$I$256,$D$7:$D$256,W102,$H$7:$H$256,"P6"))</f>
        <v>0</v>
      </c>
      <c r="Z102" s="1" t="n">
        <f aca="false">X102+Y102</f>
        <v>0</v>
      </c>
      <c r="AA102" s="1" t="n">
        <f aca="false">IF(Z102&gt;0,Z102+(201-96)/10^6,0)</f>
        <v>0</v>
      </c>
      <c r="AB102" s="1"/>
      <c r="AC102" s="1"/>
      <c r="AD102" s="1"/>
      <c r="AE102" s="1"/>
      <c r="AF102" s="1"/>
      <c r="AG102" s="1"/>
      <c r="AH102" s="1"/>
    </row>
    <row r="103" customFormat="false" ht="15" hidden="false" customHeight="false" outlineLevel="0" collapsed="false">
      <c r="A103" s="1"/>
      <c r="B103" s="10"/>
      <c r="C103" s="31" t="str">
        <f aca="false">IF(B103="","",TEXT(B103,"ddd"))</f>
        <v/>
      </c>
      <c r="D103" s="11"/>
      <c r="E103" s="8" t="str">
        <f aca="false">IF(D103="","",IFERROR(INDEX(ProjNumbers,MATCH(D103,ProjNames,0)),""))</f>
        <v/>
      </c>
      <c r="F103" s="8" t="str">
        <f aca="false">IF(D103="","",IFERROR(INDEX(ProjCodes,MATCH(D103,ProjNames,0)),""))</f>
        <v/>
      </c>
      <c r="G103" s="32"/>
      <c r="H103" s="11"/>
      <c r="I103" s="33"/>
      <c r="J103" s="8" t="str">
        <f aca="false">IF(COUNTA(B103,D103,G103,H103,I103)=0,"",IF(B103="","Enter date",IF(OR(B103&lt;$AC$2,B103&gt;$AC$3),"Date not in May",IF(D103="","Pick project",IF(ISNA(MATCH(D103,ProjNames,0)),"Project not in list",IF(G103="","Add task description",IF(H103="","Pick NTIME or P6",IF(N(I103)&lt;=0,"Enter hours",IF(AND(AllowOT&lt;&gt;"Yes",SUMIF($B$7:$B$256,B103,$I$7:$I$256)&gt;INDEX($O$58:$O$88,DAY(B103))),"Day over "&amp;INDEX($O$58:$O$88,DAY(B103))&amp;" h","✓")))))))))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tr">
        <f aca="false">IF(Projects!B101="","",Projects!B101)</f>
        <v/>
      </c>
      <c r="X103" s="1" t="n">
        <f aca="false">IF(W103="",0,SUMIFS($I$7:$I$256,$D$7:$D$256,W103,$H$7:$H$256,"NTIME"))</f>
        <v>0</v>
      </c>
      <c r="Y103" s="1" t="n">
        <f aca="false">IF(W103="",0,SUMIFS($I$7:$I$256,$D$7:$D$256,W103,$H$7:$H$256,"P6"))</f>
        <v>0</v>
      </c>
      <c r="Z103" s="1" t="n">
        <f aca="false">X103+Y103</f>
        <v>0</v>
      </c>
      <c r="AA103" s="1" t="n">
        <f aca="false">IF(Z103&gt;0,Z103+(201-97)/10^6,0)</f>
        <v>0</v>
      </c>
      <c r="AB103" s="1"/>
      <c r="AC103" s="1"/>
      <c r="AD103" s="1"/>
      <c r="AE103" s="1"/>
      <c r="AF103" s="1"/>
      <c r="AG103" s="1"/>
      <c r="AH103" s="1"/>
    </row>
    <row r="104" customFormat="false" ht="15" hidden="false" customHeight="false" outlineLevel="0" collapsed="false">
      <c r="A104" s="1"/>
      <c r="B104" s="10"/>
      <c r="C104" s="31" t="str">
        <f aca="false">IF(B104="","",TEXT(B104,"ddd"))</f>
        <v/>
      </c>
      <c r="D104" s="11"/>
      <c r="E104" s="8" t="str">
        <f aca="false">IF(D104="","",IFERROR(INDEX(ProjNumbers,MATCH(D104,ProjNames,0)),""))</f>
        <v/>
      </c>
      <c r="F104" s="8" t="str">
        <f aca="false">IF(D104="","",IFERROR(INDEX(ProjCodes,MATCH(D104,ProjNames,0)),""))</f>
        <v/>
      </c>
      <c r="G104" s="32"/>
      <c r="H104" s="11"/>
      <c r="I104" s="33"/>
      <c r="J104" s="8" t="str">
        <f aca="false">IF(COUNTA(B104,D104,G104,H104,I104)=0,"",IF(B104="","Enter date",IF(OR(B104&lt;$AC$2,B104&gt;$AC$3),"Date not in May",IF(D104="","Pick project",IF(ISNA(MATCH(D104,ProjNames,0)),"Project not in list",IF(G104="","Add task description",IF(H104="","Pick NTIME or P6",IF(N(I104)&lt;=0,"Enter hours",IF(AND(AllowOT&lt;&gt;"Yes",SUMIF($B$7:$B$256,B104,$I$7:$I$256)&gt;INDEX($O$58:$O$88,DAY(B104))),"Day over "&amp;INDEX($O$58:$O$88,DAY(B104))&amp;" h","✓")))))))))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tr">
        <f aca="false">IF(Projects!B102="","",Projects!B102)</f>
        <v/>
      </c>
      <c r="X104" s="1" t="n">
        <f aca="false">IF(W104="",0,SUMIFS($I$7:$I$256,$D$7:$D$256,W104,$H$7:$H$256,"NTIME"))</f>
        <v>0</v>
      </c>
      <c r="Y104" s="1" t="n">
        <f aca="false">IF(W104="",0,SUMIFS($I$7:$I$256,$D$7:$D$256,W104,$H$7:$H$256,"P6"))</f>
        <v>0</v>
      </c>
      <c r="Z104" s="1" t="n">
        <f aca="false">X104+Y104</f>
        <v>0</v>
      </c>
      <c r="AA104" s="1" t="n">
        <f aca="false">IF(Z104&gt;0,Z104+(201-98)/10^6,0)</f>
        <v>0</v>
      </c>
      <c r="AB104" s="1"/>
      <c r="AC104" s="1"/>
      <c r="AD104" s="1"/>
      <c r="AE104" s="1"/>
      <c r="AF104" s="1"/>
      <c r="AG104" s="1"/>
      <c r="AH104" s="1"/>
    </row>
    <row r="105" customFormat="false" ht="15" hidden="false" customHeight="false" outlineLevel="0" collapsed="false">
      <c r="A105" s="1"/>
      <c r="B105" s="10"/>
      <c r="C105" s="31" t="str">
        <f aca="false">IF(B105="","",TEXT(B105,"ddd"))</f>
        <v/>
      </c>
      <c r="D105" s="11"/>
      <c r="E105" s="8" t="str">
        <f aca="false">IF(D105="","",IFERROR(INDEX(ProjNumbers,MATCH(D105,ProjNames,0)),""))</f>
        <v/>
      </c>
      <c r="F105" s="8" t="str">
        <f aca="false">IF(D105="","",IFERROR(INDEX(ProjCodes,MATCH(D105,ProjNames,0)),""))</f>
        <v/>
      </c>
      <c r="G105" s="32"/>
      <c r="H105" s="11"/>
      <c r="I105" s="33"/>
      <c r="J105" s="8" t="str">
        <f aca="false">IF(COUNTA(B105,D105,G105,H105,I105)=0,"",IF(B105="","Enter date",IF(OR(B105&lt;$AC$2,B105&gt;$AC$3),"Date not in May",IF(D105="","Pick project",IF(ISNA(MATCH(D105,ProjNames,0)),"Project not in list",IF(G105="","Add task description",IF(H105="","Pick NTIME or P6",IF(N(I105)&lt;=0,"Enter hours",IF(AND(AllowOT&lt;&gt;"Yes",SUMIF($B$7:$B$256,B105,$I$7:$I$256)&gt;INDEX($O$58:$O$88,DAY(B105))),"Day over "&amp;INDEX($O$58:$O$88,DAY(B105))&amp;" h","✓")))))))))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tr">
        <f aca="false">IF(Projects!B103="","",Projects!B103)</f>
        <v/>
      </c>
      <c r="X105" s="1" t="n">
        <f aca="false">IF(W105="",0,SUMIFS($I$7:$I$256,$D$7:$D$256,W105,$H$7:$H$256,"NTIME"))</f>
        <v>0</v>
      </c>
      <c r="Y105" s="1" t="n">
        <f aca="false">IF(W105="",0,SUMIFS($I$7:$I$256,$D$7:$D$256,W105,$H$7:$H$256,"P6"))</f>
        <v>0</v>
      </c>
      <c r="Z105" s="1" t="n">
        <f aca="false">X105+Y105</f>
        <v>0</v>
      </c>
      <c r="AA105" s="1" t="n">
        <f aca="false">IF(Z105&gt;0,Z105+(201-99)/10^6,0)</f>
        <v>0</v>
      </c>
      <c r="AB105" s="1"/>
      <c r="AC105" s="1"/>
      <c r="AD105" s="1"/>
      <c r="AE105" s="1"/>
      <c r="AF105" s="1"/>
      <c r="AG105" s="1"/>
      <c r="AH105" s="1"/>
    </row>
    <row r="106" customFormat="false" ht="15" hidden="false" customHeight="false" outlineLevel="0" collapsed="false">
      <c r="A106" s="1"/>
      <c r="B106" s="10"/>
      <c r="C106" s="31" t="str">
        <f aca="false">IF(B106="","",TEXT(B106,"ddd"))</f>
        <v/>
      </c>
      <c r="D106" s="11"/>
      <c r="E106" s="8" t="str">
        <f aca="false">IF(D106="","",IFERROR(INDEX(ProjNumbers,MATCH(D106,ProjNames,0)),""))</f>
        <v/>
      </c>
      <c r="F106" s="8" t="str">
        <f aca="false">IF(D106="","",IFERROR(INDEX(ProjCodes,MATCH(D106,ProjNames,0)),""))</f>
        <v/>
      </c>
      <c r="G106" s="32"/>
      <c r="H106" s="11"/>
      <c r="I106" s="33"/>
      <c r="J106" s="8" t="str">
        <f aca="false">IF(COUNTA(B106,D106,G106,H106,I106)=0,"",IF(B106="","Enter date",IF(OR(B106&lt;$AC$2,B106&gt;$AC$3),"Date not in May",IF(D106="","Pick project",IF(ISNA(MATCH(D106,ProjNames,0)),"Project not in list",IF(G106="","Add task description",IF(H106="","Pick NTIME or P6",IF(N(I106)&lt;=0,"Enter hours",IF(AND(AllowOT&lt;&gt;"Yes",SUMIF($B$7:$B$256,B106,$I$7:$I$256)&gt;INDEX($O$58:$O$88,DAY(B106))),"Day over "&amp;INDEX($O$58:$O$88,DAY(B106))&amp;" h","✓")))))))))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tr">
        <f aca="false">IF(Projects!B104="","",Projects!B104)</f>
        <v/>
      </c>
      <c r="X106" s="1" t="n">
        <f aca="false">IF(W106="",0,SUMIFS($I$7:$I$256,$D$7:$D$256,W106,$H$7:$H$256,"NTIME"))</f>
        <v>0</v>
      </c>
      <c r="Y106" s="1" t="n">
        <f aca="false">IF(W106="",0,SUMIFS($I$7:$I$256,$D$7:$D$256,W106,$H$7:$H$256,"P6"))</f>
        <v>0</v>
      </c>
      <c r="Z106" s="1" t="n">
        <f aca="false">X106+Y106</f>
        <v>0</v>
      </c>
      <c r="AA106" s="1" t="n">
        <f aca="false">IF(Z106&gt;0,Z106+(201-100)/10^6,0)</f>
        <v>0</v>
      </c>
      <c r="AB106" s="1"/>
      <c r="AC106" s="1"/>
      <c r="AD106" s="1"/>
      <c r="AE106" s="1"/>
      <c r="AF106" s="1"/>
      <c r="AG106" s="1"/>
      <c r="AH106" s="1"/>
    </row>
    <row r="107" customFormat="false" ht="15" hidden="false" customHeight="false" outlineLevel="0" collapsed="false">
      <c r="A107" s="1"/>
      <c r="B107" s="10"/>
      <c r="C107" s="31" t="str">
        <f aca="false">IF(B107="","",TEXT(B107,"ddd"))</f>
        <v/>
      </c>
      <c r="D107" s="11"/>
      <c r="E107" s="8" t="str">
        <f aca="false">IF(D107="","",IFERROR(INDEX(ProjNumbers,MATCH(D107,ProjNames,0)),""))</f>
        <v/>
      </c>
      <c r="F107" s="8" t="str">
        <f aca="false">IF(D107="","",IFERROR(INDEX(ProjCodes,MATCH(D107,ProjNames,0)),""))</f>
        <v/>
      </c>
      <c r="G107" s="32"/>
      <c r="H107" s="11"/>
      <c r="I107" s="33"/>
      <c r="J107" s="8" t="str">
        <f aca="false">IF(COUNTA(B107,D107,G107,H107,I107)=0,"",IF(B107="","Enter date",IF(OR(B107&lt;$AC$2,B107&gt;$AC$3),"Date not in May",IF(D107="","Pick project",IF(ISNA(MATCH(D107,ProjNames,0)),"Project not in list",IF(G107="","Add task description",IF(H107="","Pick NTIME or P6",IF(N(I107)&lt;=0,"Enter hours",IF(AND(AllowOT&lt;&gt;"Yes",SUMIF($B$7:$B$256,B107,$I$7:$I$256)&gt;INDEX($O$58:$O$88,DAY(B107))),"Day over "&amp;INDEX($O$58:$O$88,DAY(B107))&amp;" h","✓")))))))))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tr">
        <f aca="false">IF(Projects!B105="","",Projects!B105)</f>
        <v/>
      </c>
      <c r="X107" s="1" t="n">
        <f aca="false">IF(W107="",0,SUMIFS($I$7:$I$256,$D$7:$D$256,W107,$H$7:$H$256,"NTIME"))</f>
        <v>0</v>
      </c>
      <c r="Y107" s="1" t="n">
        <f aca="false">IF(W107="",0,SUMIFS($I$7:$I$256,$D$7:$D$256,W107,$H$7:$H$256,"P6"))</f>
        <v>0</v>
      </c>
      <c r="Z107" s="1" t="n">
        <f aca="false">X107+Y107</f>
        <v>0</v>
      </c>
      <c r="AA107" s="1" t="n">
        <f aca="false">IF(Z107&gt;0,Z107+(201-101)/10^6,0)</f>
        <v>0</v>
      </c>
      <c r="AB107" s="1"/>
      <c r="AC107" s="1"/>
      <c r="AD107" s="1"/>
      <c r="AE107" s="1"/>
      <c r="AF107" s="1"/>
      <c r="AG107" s="1"/>
      <c r="AH107" s="1"/>
    </row>
    <row r="108" customFormat="false" ht="15" hidden="false" customHeight="false" outlineLevel="0" collapsed="false">
      <c r="A108" s="1"/>
      <c r="B108" s="10"/>
      <c r="C108" s="31" t="str">
        <f aca="false">IF(B108="","",TEXT(B108,"ddd"))</f>
        <v/>
      </c>
      <c r="D108" s="11"/>
      <c r="E108" s="8" t="str">
        <f aca="false">IF(D108="","",IFERROR(INDEX(ProjNumbers,MATCH(D108,ProjNames,0)),""))</f>
        <v/>
      </c>
      <c r="F108" s="8" t="str">
        <f aca="false">IF(D108="","",IFERROR(INDEX(ProjCodes,MATCH(D108,ProjNames,0)),""))</f>
        <v/>
      </c>
      <c r="G108" s="32"/>
      <c r="H108" s="11"/>
      <c r="I108" s="33"/>
      <c r="J108" s="8" t="str">
        <f aca="false">IF(COUNTA(B108,D108,G108,H108,I108)=0,"",IF(B108="","Enter date",IF(OR(B108&lt;$AC$2,B108&gt;$AC$3),"Date not in May",IF(D108="","Pick project",IF(ISNA(MATCH(D108,ProjNames,0)),"Project not in list",IF(G108="","Add task description",IF(H108="","Pick NTIME or P6",IF(N(I108)&lt;=0,"Enter hours",IF(AND(AllowOT&lt;&gt;"Yes",SUMIF($B$7:$B$256,B108,$I$7:$I$256)&gt;INDEX($O$58:$O$88,DAY(B108))),"Day over "&amp;INDEX($O$58:$O$88,DAY(B108))&amp;" h","✓")))))))))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aca="false">IF(Projects!B106="","",Projects!B106)</f>
        <v/>
      </c>
      <c r="X108" s="1" t="n">
        <f aca="false">IF(W108="",0,SUMIFS($I$7:$I$256,$D$7:$D$256,W108,$H$7:$H$256,"NTIME"))</f>
        <v>0</v>
      </c>
      <c r="Y108" s="1" t="n">
        <f aca="false">IF(W108="",0,SUMIFS($I$7:$I$256,$D$7:$D$256,W108,$H$7:$H$256,"P6"))</f>
        <v>0</v>
      </c>
      <c r="Z108" s="1" t="n">
        <f aca="false">X108+Y108</f>
        <v>0</v>
      </c>
      <c r="AA108" s="1" t="n">
        <f aca="false">IF(Z108&gt;0,Z108+(201-102)/10^6,0)</f>
        <v>0</v>
      </c>
      <c r="AB108" s="1"/>
      <c r="AC108" s="1"/>
      <c r="AD108" s="1"/>
      <c r="AE108" s="1"/>
      <c r="AF108" s="1"/>
      <c r="AG108" s="1"/>
      <c r="AH108" s="1"/>
    </row>
    <row r="109" customFormat="false" ht="15" hidden="false" customHeight="false" outlineLevel="0" collapsed="false">
      <c r="A109" s="1"/>
      <c r="B109" s="10"/>
      <c r="C109" s="31" t="str">
        <f aca="false">IF(B109="","",TEXT(B109,"ddd"))</f>
        <v/>
      </c>
      <c r="D109" s="11"/>
      <c r="E109" s="8" t="str">
        <f aca="false">IF(D109="","",IFERROR(INDEX(ProjNumbers,MATCH(D109,ProjNames,0)),""))</f>
        <v/>
      </c>
      <c r="F109" s="8" t="str">
        <f aca="false">IF(D109="","",IFERROR(INDEX(ProjCodes,MATCH(D109,ProjNames,0)),""))</f>
        <v/>
      </c>
      <c r="G109" s="32"/>
      <c r="H109" s="11"/>
      <c r="I109" s="33"/>
      <c r="J109" s="8" t="str">
        <f aca="false">IF(COUNTA(B109,D109,G109,H109,I109)=0,"",IF(B109="","Enter date",IF(OR(B109&lt;$AC$2,B109&gt;$AC$3),"Date not in May",IF(D109="","Pick project",IF(ISNA(MATCH(D109,ProjNames,0)),"Project not in list",IF(G109="","Add task description",IF(H109="","Pick NTIME or P6",IF(N(I109)&lt;=0,"Enter hours",IF(AND(AllowOT&lt;&gt;"Yes",SUMIF($B$7:$B$256,B109,$I$7:$I$256)&gt;INDEX($O$58:$O$88,DAY(B109))),"Day over "&amp;INDEX($O$58:$O$88,DAY(B109))&amp;" h","✓")))))))))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tr">
        <f aca="false">IF(Projects!B107="","",Projects!B107)</f>
        <v/>
      </c>
      <c r="X109" s="1" t="n">
        <f aca="false">IF(W109="",0,SUMIFS($I$7:$I$256,$D$7:$D$256,W109,$H$7:$H$256,"NTIME"))</f>
        <v>0</v>
      </c>
      <c r="Y109" s="1" t="n">
        <f aca="false">IF(W109="",0,SUMIFS($I$7:$I$256,$D$7:$D$256,W109,$H$7:$H$256,"P6"))</f>
        <v>0</v>
      </c>
      <c r="Z109" s="1" t="n">
        <f aca="false">X109+Y109</f>
        <v>0</v>
      </c>
      <c r="AA109" s="1" t="n">
        <f aca="false">IF(Z109&gt;0,Z109+(201-103)/10^6,0)</f>
        <v>0</v>
      </c>
      <c r="AB109" s="1"/>
      <c r="AC109" s="1"/>
      <c r="AD109" s="1"/>
      <c r="AE109" s="1"/>
      <c r="AF109" s="1"/>
      <c r="AG109" s="1"/>
      <c r="AH109" s="1"/>
    </row>
    <row r="110" customFormat="false" ht="15" hidden="false" customHeight="false" outlineLevel="0" collapsed="false">
      <c r="A110" s="1"/>
      <c r="B110" s="10"/>
      <c r="C110" s="31" t="str">
        <f aca="false">IF(B110="","",TEXT(B110,"ddd"))</f>
        <v/>
      </c>
      <c r="D110" s="11"/>
      <c r="E110" s="8" t="str">
        <f aca="false">IF(D110="","",IFERROR(INDEX(ProjNumbers,MATCH(D110,ProjNames,0)),""))</f>
        <v/>
      </c>
      <c r="F110" s="8" t="str">
        <f aca="false">IF(D110="","",IFERROR(INDEX(ProjCodes,MATCH(D110,ProjNames,0)),""))</f>
        <v/>
      </c>
      <c r="G110" s="32"/>
      <c r="H110" s="11"/>
      <c r="I110" s="33"/>
      <c r="J110" s="8" t="str">
        <f aca="false">IF(COUNTA(B110,D110,G110,H110,I110)=0,"",IF(B110="","Enter date",IF(OR(B110&lt;$AC$2,B110&gt;$AC$3),"Date not in May",IF(D110="","Pick project",IF(ISNA(MATCH(D110,ProjNames,0)),"Project not in list",IF(G110="","Add task description",IF(H110="","Pick NTIME or P6",IF(N(I110)&lt;=0,"Enter hours",IF(AND(AllowOT&lt;&gt;"Yes",SUMIF($B$7:$B$256,B110,$I$7:$I$256)&gt;INDEX($O$58:$O$88,DAY(B110))),"Day over "&amp;INDEX($O$58:$O$88,DAY(B110))&amp;" h","✓")))))))))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tr">
        <f aca="false">IF(Projects!B108="","",Projects!B108)</f>
        <v/>
      </c>
      <c r="X110" s="1" t="n">
        <f aca="false">IF(W110="",0,SUMIFS($I$7:$I$256,$D$7:$D$256,W110,$H$7:$H$256,"NTIME"))</f>
        <v>0</v>
      </c>
      <c r="Y110" s="1" t="n">
        <f aca="false">IF(W110="",0,SUMIFS($I$7:$I$256,$D$7:$D$256,W110,$H$7:$H$256,"P6"))</f>
        <v>0</v>
      </c>
      <c r="Z110" s="1" t="n">
        <f aca="false">X110+Y110</f>
        <v>0</v>
      </c>
      <c r="AA110" s="1" t="n">
        <f aca="false">IF(Z110&gt;0,Z110+(201-104)/10^6,0)</f>
        <v>0</v>
      </c>
      <c r="AB110" s="1"/>
      <c r="AC110" s="1"/>
      <c r="AD110" s="1"/>
      <c r="AE110" s="1"/>
      <c r="AF110" s="1"/>
      <c r="AG110" s="1"/>
      <c r="AH110" s="1"/>
    </row>
    <row r="111" customFormat="false" ht="15" hidden="false" customHeight="false" outlineLevel="0" collapsed="false">
      <c r="A111" s="1"/>
      <c r="B111" s="10"/>
      <c r="C111" s="31" t="str">
        <f aca="false">IF(B111="","",TEXT(B111,"ddd"))</f>
        <v/>
      </c>
      <c r="D111" s="11"/>
      <c r="E111" s="8" t="str">
        <f aca="false">IF(D111="","",IFERROR(INDEX(ProjNumbers,MATCH(D111,ProjNames,0)),""))</f>
        <v/>
      </c>
      <c r="F111" s="8" t="str">
        <f aca="false">IF(D111="","",IFERROR(INDEX(ProjCodes,MATCH(D111,ProjNames,0)),""))</f>
        <v/>
      </c>
      <c r="G111" s="32"/>
      <c r="H111" s="11"/>
      <c r="I111" s="33"/>
      <c r="J111" s="8" t="str">
        <f aca="false">IF(COUNTA(B111,D111,G111,H111,I111)=0,"",IF(B111="","Enter date",IF(OR(B111&lt;$AC$2,B111&gt;$AC$3),"Date not in May",IF(D111="","Pick project",IF(ISNA(MATCH(D111,ProjNames,0)),"Project not in list",IF(G111="","Add task description",IF(H111="","Pick NTIME or P6",IF(N(I111)&lt;=0,"Enter hours",IF(AND(AllowOT&lt;&gt;"Yes",SUMIF($B$7:$B$256,B111,$I$7:$I$256)&gt;INDEX($O$58:$O$88,DAY(B111))),"Day over "&amp;INDEX($O$58:$O$88,DAY(B111))&amp;" h","✓")))))))))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tr">
        <f aca="false">IF(Projects!B109="","",Projects!B109)</f>
        <v/>
      </c>
      <c r="X111" s="1" t="n">
        <f aca="false">IF(W111="",0,SUMIFS($I$7:$I$256,$D$7:$D$256,W111,$H$7:$H$256,"NTIME"))</f>
        <v>0</v>
      </c>
      <c r="Y111" s="1" t="n">
        <f aca="false">IF(W111="",0,SUMIFS($I$7:$I$256,$D$7:$D$256,W111,$H$7:$H$256,"P6"))</f>
        <v>0</v>
      </c>
      <c r="Z111" s="1" t="n">
        <f aca="false">X111+Y111</f>
        <v>0</v>
      </c>
      <c r="AA111" s="1" t="n">
        <f aca="false">IF(Z111&gt;0,Z111+(201-105)/10^6,0)</f>
        <v>0</v>
      </c>
      <c r="AB111" s="1"/>
      <c r="AC111" s="1"/>
      <c r="AD111" s="1"/>
      <c r="AE111" s="1"/>
      <c r="AF111" s="1"/>
      <c r="AG111" s="1"/>
      <c r="AH111" s="1"/>
    </row>
    <row r="112" customFormat="false" ht="15" hidden="false" customHeight="false" outlineLevel="0" collapsed="false">
      <c r="A112" s="1"/>
      <c r="B112" s="10"/>
      <c r="C112" s="31" t="str">
        <f aca="false">IF(B112="","",TEXT(B112,"ddd"))</f>
        <v/>
      </c>
      <c r="D112" s="11"/>
      <c r="E112" s="8" t="str">
        <f aca="false">IF(D112="","",IFERROR(INDEX(ProjNumbers,MATCH(D112,ProjNames,0)),""))</f>
        <v/>
      </c>
      <c r="F112" s="8" t="str">
        <f aca="false">IF(D112="","",IFERROR(INDEX(ProjCodes,MATCH(D112,ProjNames,0)),""))</f>
        <v/>
      </c>
      <c r="G112" s="32"/>
      <c r="H112" s="11"/>
      <c r="I112" s="33"/>
      <c r="J112" s="8" t="str">
        <f aca="false">IF(COUNTA(B112,D112,G112,H112,I112)=0,"",IF(B112="","Enter date",IF(OR(B112&lt;$AC$2,B112&gt;$AC$3),"Date not in May",IF(D112="","Pick project",IF(ISNA(MATCH(D112,ProjNames,0)),"Project not in list",IF(G112="","Add task description",IF(H112="","Pick NTIME or P6",IF(N(I112)&lt;=0,"Enter hours",IF(AND(AllowOT&lt;&gt;"Yes",SUMIF($B$7:$B$256,B112,$I$7:$I$256)&gt;INDEX($O$58:$O$88,DAY(B112))),"Day over "&amp;INDEX($O$58:$O$88,DAY(B112))&amp;" h","✓")))))))))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tr">
        <f aca="false">IF(Projects!B110="","",Projects!B110)</f>
        <v/>
      </c>
      <c r="X112" s="1" t="n">
        <f aca="false">IF(W112="",0,SUMIFS($I$7:$I$256,$D$7:$D$256,W112,$H$7:$H$256,"NTIME"))</f>
        <v>0</v>
      </c>
      <c r="Y112" s="1" t="n">
        <f aca="false">IF(W112="",0,SUMIFS($I$7:$I$256,$D$7:$D$256,W112,$H$7:$H$256,"P6"))</f>
        <v>0</v>
      </c>
      <c r="Z112" s="1" t="n">
        <f aca="false">X112+Y112</f>
        <v>0</v>
      </c>
      <c r="AA112" s="1" t="n">
        <f aca="false">IF(Z112&gt;0,Z112+(201-106)/10^6,0)</f>
        <v>0</v>
      </c>
      <c r="AB112" s="1"/>
      <c r="AC112" s="1"/>
      <c r="AD112" s="1"/>
      <c r="AE112" s="1"/>
      <c r="AF112" s="1"/>
      <c r="AG112" s="1"/>
      <c r="AH112" s="1"/>
    </row>
    <row r="113" customFormat="false" ht="15" hidden="false" customHeight="false" outlineLevel="0" collapsed="false">
      <c r="A113" s="1"/>
      <c r="B113" s="10"/>
      <c r="C113" s="31" t="str">
        <f aca="false">IF(B113="","",TEXT(B113,"ddd"))</f>
        <v/>
      </c>
      <c r="D113" s="11"/>
      <c r="E113" s="8" t="str">
        <f aca="false">IF(D113="","",IFERROR(INDEX(ProjNumbers,MATCH(D113,ProjNames,0)),""))</f>
        <v/>
      </c>
      <c r="F113" s="8" t="str">
        <f aca="false">IF(D113="","",IFERROR(INDEX(ProjCodes,MATCH(D113,ProjNames,0)),""))</f>
        <v/>
      </c>
      <c r="G113" s="32"/>
      <c r="H113" s="11"/>
      <c r="I113" s="33"/>
      <c r="J113" s="8" t="str">
        <f aca="false">IF(COUNTA(B113,D113,G113,H113,I113)=0,"",IF(B113="","Enter date",IF(OR(B113&lt;$AC$2,B113&gt;$AC$3),"Date not in May",IF(D113="","Pick project",IF(ISNA(MATCH(D113,ProjNames,0)),"Project not in list",IF(G113="","Add task description",IF(H113="","Pick NTIME or P6",IF(N(I113)&lt;=0,"Enter hours",IF(AND(AllowOT&lt;&gt;"Yes",SUMIF($B$7:$B$256,B113,$I$7:$I$256)&gt;INDEX($O$58:$O$88,DAY(B113))),"Day over "&amp;INDEX($O$58:$O$88,DAY(B113))&amp;" h","✓")))))))))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tr">
        <f aca="false">IF(Projects!B111="","",Projects!B111)</f>
        <v/>
      </c>
      <c r="X113" s="1" t="n">
        <f aca="false">IF(W113="",0,SUMIFS($I$7:$I$256,$D$7:$D$256,W113,$H$7:$H$256,"NTIME"))</f>
        <v>0</v>
      </c>
      <c r="Y113" s="1" t="n">
        <f aca="false">IF(W113="",0,SUMIFS($I$7:$I$256,$D$7:$D$256,W113,$H$7:$H$256,"P6"))</f>
        <v>0</v>
      </c>
      <c r="Z113" s="1" t="n">
        <f aca="false">X113+Y113</f>
        <v>0</v>
      </c>
      <c r="AA113" s="1" t="n">
        <f aca="false">IF(Z113&gt;0,Z113+(201-107)/10^6,0)</f>
        <v>0</v>
      </c>
      <c r="AB113" s="1"/>
      <c r="AC113" s="1"/>
      <c r="AD113" s="1"/>
      <c r="AE113" s="1"/>
      <c r="AF113" s="1"/>
      <c r="AG113" s="1"/>
      <c r="AH113" s="1"/>
    </row>
    <row r="114" customFormat="false" ht="15" hidden="false" customHeight="false" outlineLevel="0" collapsed="false">
      <c r="A114" s="1"/>
      <c r="B114" s="10"/>
      <c r="C114" s="31" t="str">
        <f aca="false">IF(B114="","",TEXT(B114,"ddd"))</f>
        <v/>
      </c>
      <c r="D114" s="11"/>
      <c r="E114" s="8" t="str">
        <f aca="false">IF(D114="","",IFERROR(INDEX(ProjNumbers,MATCH(D114,ProjNames,0)),""))</f>
        <v/>
      </c>
      <c r="F114" s="8" t="str">
        <f aca="false">IF(D114="","",IFERROR(INDEX(ProjCodes,MATCH(D114,ProjNames,0)),""))</f>
        <v/>
      </c>
      <c r="G114" s="32"/>
      <c r="H114" s="11"/>
      <c r="I114" s="33"/>
      <c r="J114" s="8" t="str">
        <f aca="false">IF(COUNTA(B114,D114,G114,H114,I114)=0,"",IF(B114="","Enter date",IF(OR(B114&lt;$AC$2,B114&gt;$AC$3),"Date not in May",IF(D114="","Pick project",IF(ISNA(MATCH(D114,ProjNames,0)),"Project not in list",IF(G114="","Add task description",IF(H114="","Pick NTIME or P6",IF(N(I114)&lt;=0,"Enter hours",IF(AND(AllowOT&lt;&gt;"Yes",SUMIF($B$7:$B$256,B114,$I$7:$I$256)&gt;INDEX($O$58:$O$88,DAY(B114))),"Day over "&amp;INDEX($O$58:$O$88,DAY(B114))&amp;" h","✓")))))))))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tr">
        <f aca="false">IF(Projects!B112="","",Projects!B112)</f>
        <v/>
      </c>
      <c r="X114" s="1" t="n">
        <f aca="false">IF(W114="",0,SUMIFS($I$7:$I$256,$D$7:$D$256,W114,$H$7:$H$256,"NTIME"))</f>
        <v>0</v>
      </c>
      <c r="Y114" s="1" t="n">
        <f aca="false">IF(W114="",0,SUMIFS($I$7:$I$256,$D$7:$D$256,W114,$H$7:$H$256,"P6"))</f>
        <v>0</v>
      </c>
      <c r="Z114" s="1" t="n">
        <f aca="false">X114+Y114</f>
        <v>0</v>
      </c>
      <c r="AA114" s="1" t="n">
        <f aca="false">IF(Z114&gt;0,Z114+(201-108)/10^6,0)</f>
        <v>0</v>
      </c>
      <c r="AB114" s="1"/>
      <c r="AC114" s="1"/>
      <c r="AD114" s="1"/>
      <c r="AE114" s="1"/>
      <c r="AF114" s="1"/>
      <c r="AG114" s="1"/>
      <c r="AH114" s="1"/>
    </row>
    <row r="115" customFormat="false" ht="15" hidden="false" customHeight="false" outlineLevel="0" collapsed="false">
      <c r="A115" s="1"/>
      <c r="B115" s="10"/>
      <c r="C115" s="31" t="str">
        <f aca="false">IF(B115="","",TEXT(B115,"ddd"))</f>
        <v/>
      </c>
      <c r="D115" s="11"/>
      <c r="E115" s="8" t="str">
        <f aca="false">IF(D115="","",IFERROR(INDEX(ProjNumbers,MATCH(D115,ProjNames,0)),""))</f>
        <v/>
      </c>
      <c r="F115" s="8" t="str">
        <f aca="false">IF(D115="","",IFERROR(INDEX(ProjCodes,MATCH(D115,ProjNames,0)),""))</f>
        <v/>
      </c>
      <c r="G115" s="32"/>
      <c r="H115" s="11"/>
      <c r="I115" s="33"/>
      <c r="J115" s="8" t="str">
        <f aca="false">IF(COUNTA(B115,D115,G115,H115,I115)=0,"",IF(B115="","Enter date",IF(OR(B115&lt;$AC$2,B115&gt;$AC$3),"Date not in May",IF(D115="","Pick project",IF(ISNA(MATCH(D115,ProjNames,0)),"Project not in list",IF(G115="","Add task description",IF(H115="","Pick NTIME or P6",IF(N(I115)&lt;=0,"Enter hours",IF(AND(AllowOT&lt;&gt;"Yes",SUMIF($B$7:$B$256,B115,$I$7:$I$256)&gt;INDEX($O$58:$O$88,DAY(B115))),"Day over "&amp;INDEX($O$58:$O$88,DAY(B115))&amp;" h","✓")))))))))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tr">
        <f aca="false">IF(Projects!B113="","",Projects!B113)</f>
        <v/>
      </c>
      <c r="X115" s="1" t="n">
        <f aca="false">IF(W115="",0,SUMIFS($I$7:$I$256,$D$7:$D$256,W115,$H$7:$H$256,"NTIME"))</f>
        <v>0</v>
      </c>
      <c r="Y115" s="1" t="n">
        <f aca="false">IF(W115="",0,SUMIFS($I$7:$I$256,$D$7:$D$256,W115,$H$7:$H$256,"P6"))</f>
        <v>0</v>
      </c>
      <c r="Z115" s="1" t="n">
        <f aca="false">X115+Y115</f>
        <v>0</v>
      </c>
      <c r="AA115" s="1" t="n">
        <f aca="false">IF(Z115&gt;0,Z115+(201-109)/10^6,0)</f>
        <v>0</v>
      </c>
      <c r="AB115" s="1"/>
      <c r="AC115" s="1"/>
      <c r="AD115" s="1"/>
      <c r="AE115" s="1"/>
      <c r="AF115" s="1"/>
      <c r="AG115" s="1"/>
      <c r="AH115" s="1"/>
    </row>
    <row r="116" customFormat="false" ht="15" hidden="false" customHeight="false" outlineLevel="0" collapsed="false">
      <c r="A116" s="1"/>
      <c r="B116" s="10"/>
      <c r="C116" s="31" t="str">
        <f aca="false">IF(B116="","",TEXT(B116,"ddd"))</f>
        <v/>
      </c>
      <c r="D116" s="11"/>
      <c r="E116" s="8" t="str">
        <f aca="false">IF(D116="","",IFERROR(INDEX(ProjNumbers,MATCH(D116,ProjNames,0)),""))</f>
        <v/>
      </c>
      <c r="F116" s="8" t="str">
        <f aca="false">IF(D116="","",IFERROR(INDEX(ProjCodes,MATCH(D116,ProjNames,0)),""))</f>
        <v/>
      </c>
      <c r="G116" s="32"/>
      <c r="H116" s="11"/>
      <c r="I116" s="33"/>
      <c r="J116" s="8" t="str">
        <f aca="false">IF(COUNTA(B116,D116,G116,H116,I116)=0,"",IF(B116="","Enter date",IF(OR(B116&lt;$AC$2,B116&gt;$AC$3),"Date not in May",IF(D116="","Pick project",IF(ISNA(MATCH(D116,ProjNames,0)),"Project not in list",IF(G116="","Add task description",IF(H116="","Pick NTIME or P6",IF(N(I116)&lt;=0,"Enter hours",IF(AND(AllowOT&lt;&gt;"Yes",SUMIF($B$7:$B$256,B116,$I$7:$I$256)&gt;INDEX($O$58:$O$88,DAY(B116))),"Day over "&amp;INDEX($O$58:$O$88,DAY(B116))&amp;" h","✓")))))))))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tr">
        <f aca="false">IF(Projects!B114="","",Projects!B114)</f>
        <v/>
      </c>
      <c r="X116" s="1" t="n">
        <f aca="false">IF(W116="",0,SUMIFS($I$7:$I$256,$D$7:$D$256,W116,$H$7:$H$256,"NTIME"))</f>
        <v>0</v>
      </c>
      <c r="Y116" s="1" t="n">
        <f aca="false">IF(W116="",0,SUMIFS($I$7:$I$256,$D$7:$D$256,W116,$H$7:$H$256,"P6"))</f>
        <v>0</v>
      </c>
      <c r="Z116" s="1" t="n">
        <f aca="false">X116+Y116</f>
        <v>0</v>
      </c>
      <c r="AA116" s="1" t="n">
        <f aca="false">IF(Z116&gt;0,Z116+(201-110)/10^6,0)</f>
        <v>0</v>
      </c>
      <c r="AB116" s="1"/>
      <c r="AC116" s="1"/>
      <c r="AD116" s="1"/>
      <c r="AE116" s="1"/>
      <c r="AF116" s="1"/>
      <c r="AG116" s="1"/>
      <c r="AH116" s="1"/>
    </row>
    <row r="117" customFormat="false" ht="15" hidden="false" customHeight="false" outlineLevel="0" collapsed="false">
      <c r="A117" s="1"/>
      <c r="B117" s="10"/>
      <c r="C117" s="31" t="str">
        <f aca="false">IF(B117="","",TEXT(B117,"ddd"))</f>
        <v/>
      </c>
      <c r="D117" s="11"/>
      <c r="E117" s="8" t="str">
        <f aca="false">IF(D117="","",IFERROR(INDEX(ProjNumbers,MATCH(D117,ProjNames,0)),""))</f>
        <v/>
      </c>
      <c r="F117" s="8" t="str">
        <f aca="false">IF(D117="","",IFERROR(INDEX(ProjCodes,MATCH(D117,ProjNames,0)),""))</f>
        <v/>
      </c>
      <c r="G117" s="32"/>
      <c r="H117" s="11"/>
      <c r="I117" s="33"/>
      <c r="J117" s="8" t="str">
        <f aca="false">IF(COUNTA(B117,D117,G117,H117,I117)=0,"",IF(B117="","Enter date",IF(OR(B117&lt;$AC$2,B117&gt;$AC$3),"Date not in May",IF(D117="","Pick project",IF(ISNA(MATCH(D117,ProjNames,0)),"Project not in list",IF(G117="","Add task description",IF(H117="","Pick NTIME or P6",IF(N(I117)&lt;=0,"Enter hours",IF(AND(AllowOT&lt;&gt;"Yes",SUMIF($B$7:$B$256,B117,$I$7:$I$256)&gt;INDEX($O$58:$O$88,DAY(B117))),"Day over "&amp;INDEX($O$58:$O$88,DAY(B117))&amp;" h","✓")))))))))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tr">
        <f aca="false">IF(Projects!B115="","",Projects!B115)</f>
        <v/>
      </c>
      <c r="X117" s="1" t="n">
        <f aca="false">IF(W117="",0,SUMIFS($I$7:$I$256,$D$7:$D$256,W117,$H$7:$H$256,"NTIME"))</f>
        <v>0</v>
      </c>
      <c r="Y117" s="1" t="n">
        <f aca="false">IF(W117="",0,SUMIFS($I$7:$I$256,$D$7:$D$256,W117,$H$7:$H$256,"P6"))</f>
        <v>0</v>
      </c>
      <c r="Z117" s="1" t="n">
        <f aca="false">X117+Y117</f>
        <v>0</v>
      </c>
      <c r="AA117" s="1" t="n">
        <f aca="false">IF(Z117&gt;0,Z117+(201-111)/10^6,0)</f>
        <v>0</v>
      </c>
      <c r="AB117" s="1"/>
      <c r="AC117" s="1"/>
      <c r="AD117" s="1"/>
      <c r="AE117" s="1"/>
      <c r="AF117" s="1"/>
      <c r="AG117" s="1"/>
      <c r="AH117" s="1"/>
    </row>
    <row r="118" customFormat="false" ht="15" hidden="false" customHeight="false" outlineLevel="0" collapsed="false">
      <c r="A118" s="1"/>
      <c r="B118" s="10"/>
      <c r="C118" s="31" t="str">
        <f aca="false">IF(B118="","",TEXT(B118,"ddd"))</f>
        <v/>
      </c>
      <c r="D118" s="11"/>
      <c r="E118" s="8" t="str">
        <f aca="false">IF(D118="","",IFERROR(INDEX(ProjNumbers,MATCH(D118,ProjNames,0)),""))</f>
        <v/>
      </c>
      <c r="F118" s="8" t="str">
        <f aca="false">IF(D118="","",IFERROR(INDEX(ProjCodes,MATCH(D118,ProjNames,0)),""))</f>
        <v/>
      </c>
      <c r="G118" s="32"/>
      <c r="H118" s="11"/>
      <c r="I118" s="33"/>
      <c r="J118" s="8" t="str">
        <f aca="false">IF(COUNTA(B118,D118,G118,H118,I118)=0,"",IF(B118="","Enter date",IF(OR(B118&lt;$AC$2,B118&gt;$AC$3),"Date not in May",IF(D118="","Pick project",IF(ISNA(MATCH(D118,ProjNames,0)),"Project not in list",IF(G118="","Add task description",IF(H118="","Pick NTIME or P6",IF(N(I118)&lt;=0,"Enter hours",IF(AND(AllowOT&lt;&gt;"Yes",SUMIF($B$7:$B$256,B118,$I$7:$I$256)&gt;INDEX($O$58:$O$88,DAY(B118))),"Day over "&amp;INDEX($O$58:$O$88,DAY(B118))&amp;" h","✓")))))))))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tr">
        <f aca="false">IF(Projects!B116="","",Projects!B116)</f>
        <v/>
      </c>
      <c r="X118" s="1" t="n">
        <f aca="false">IF(W118="",0,SUMIFS($I$7:$I$256,$D$7:$D$256,W118,$H$7:$H$256,"NTIME"))</f>
        <v>0</v>
      </c>
      <c r="Y118" s="1" t="n">
        <f aca="false">IF(W118="",0,SUMIFS($I$7:$I$256,$D$7:$D$256,W118,$H$7:$H$256,"P6"))</f>
        <v>0</v>
      </c>
      <c r="Z118" s="1" t="n">
        <f aca="false">X118+Y118</f>
        <v>0</v>
      </c>
      <c r="AA118" s="1" t="n">
        <f aca="false">IF(Z118&gt;0,Z118+(201-112)/10^6,0)</f>
        <v>0</v>
      </c>
      <c r="AB118" s="1"/>
      <c r="AC118" s="1"/>
      <c r="AD118" s="1"/>
      <c r="AE118" s="1"/>
      <c r="AF118" s="1"/>
      <c r="AG118" s="1"/>
      <c r="AH118" s="1"/>
    </row>
    <row r="119" customFormat="false" ht="15" hidden="false" customHeight="false" outlineLevel="0" collapsed="false">
      <c r="A119" s="1"/>
      <c r="B119" s="10"/>
      <c r="C119" s="31" t="str">
        <f aca="false">IF(B119="","",TEXT(B119,"ddd"))</f>
        <v/>
      </c>
      <c r="D119" s="11"/>
      <c r="E119" s="8" t="str">
        <f aca="false">IF(D119="","",IFERROR(INDEX(ProjNumbers,MATCH(D119,ProjNames,0)),""))</f>
        <v/>
      </c>
      <c r="F119" s="8" t="str">
        <f aca="false">IF(D119="","",IFERROR(INDEX(ProjCodes,MATCH(D119,ProjNames,0)),""))</f>
        <v/>
      </c>
      <c r="G119" s="32"/>
      <c r="H119" s="11"/>
      <c r="I119" s="33"/>
      <c r="J119" s="8" t="str">
        <f aca="false">IF(COUNTA(B119,D119,G119,H119,I119)=0,"",IF(B119="","Enter date",IF(OR(B119&lt;$AC$2,B119&gt;$AC$3),"Date not in May",IF(D119="","Pick project",IF(ISNA(MATCH(D119,ProjNames,0)),"Project not in list",IF(G119="","Add task description",IF(H119="","Pick NTIME or P6",IF(N(I119)&lt;=0,"Enter hours",IF(AND(AllowOT&lt;&gt;"Yes",SUMIF($B$7:$B$256,B119,$I$7:$I$256)&gt;INDEX($O$58:$O$88,DAY(B119))),"Day over "&amp;INDEX($O$58:$O$88,DAY(B119))&amp;" h","✓")))))))))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 aca="false">IF(Projects!B117="","",Projects!B117)</f>
        <v/>
      </c>
      <c r="X119" s="1" t="n">
        <f aca="false">IF(W119="",0,SUMIFS($I$7:$I$256,$D$7:$D$256,W119,$H$7:$H$256,"NTIME"))</f>
        <v>0</v>
      </c>
      <c r="Y119" s="1" t="n">
        <f aca="false">IF(W119="",0,SUMIFS($I$7:$I$256,$D$7:$D$256,W119,$H$7:$H$256,"P6"))</f>
        <v>0</v>
      </c>
      <c r="Z119" s="1" t="n">
        <f aca="false">X119+Y119</f>
        <v>0</v>
      </c>
      <c r="AA119" s="1" t="n">
        <f aca="false">IF(Z119&gt;0,Z119+(201-113)/10^6,0)</f>
        <v>0</v>
      </c>
      <c r="AB119" s="1"/>
      <c r="AC119" s="1"/>
      <c r="AD119" s="1"/>
      <c r="AE119" s="1"/>
      <c r="AF119" s="1"/>
      <c r="AG119" s="1"/>
      <c r="AH119" s="1"/>
    </row>
    <row r="120" customFormat="false" ht="15" hidden="false" customHeight="false" outlineLevel="0" collapsed="false">
      <c r="A120" s="1"/>
      <c r="B120" s="10"/>
      <c r="C120" s="31" t="str">
        <f aca="false">IF(B120="","",TEXT(B120,"ddd"))</f>
        <v/>
      </c>
      <c r="D120" s="11"/>
      <c r="E120" s="8" t="str">
        <f aca="false">IF(D120="","",IFERROR(INDEX(ProjNumbers,MATCH(D120,ProjNames,0)),""))</f>
        <v/>
      </c>
      <c r="F120" s="8" t="str">
        <f aca="false">IF(D120="","",IFERROR(INDEX(ProjCodes,MATCH(D120,ProjNames,0)),""))</f>
        <v/>
      </c>
      <c r="G120" s="32"/>
      <c r="H120" s="11"/>
      <c r="I120" s="33"/>
      <c r="J120" s="8" t="str">
        <f aca="false">IF(COUNTA(B120,D120,G120,H120,I120)=0,"",IF(B120="","Enter date",IF(OR(B120&lt;$AC$2,B120&gt;$AC$3),"Date not in May",IF(D120="","Pick project",IF(ISNA(MATCH(D120,ProjNames,0)),"Project not in list",IF(G120="","Add task description",IF(H120="","Pick NTIME or P6",IF(N(I120)&lt;=0,"Enter hours",IF(AND(AllowOT&lt;&gt;"Yes",SUMIF($B$7:$B$256,B120,$I$7:$I$256)&gt;INDEX($O$58:$O$88,DAY(B120))),"Day over "&amp;INDEX($O$58:$O$88,DAY(B120))&amp;" h","✓")))))))))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tr">
        <f aca="false">IF(Projects!B118="","",Projects!B118)</f>
        <v/>
      </c>
      <c r="X120" s="1" t="n">
        <f aca="false">IF(W120="",0,SUMIFS($I$7:$I$256,$D$7:$D$256,W120,$H$7:$H$256,"NTIME"))</f>
        <v>0</v>
      </c>
      <c r="Y120" s="1" t="n">
        <f aca="false">IF(W120="",0,SUMIFS($I$7:$I$256,$D$7:$D$256,W120,$H$7:$H$256,"P6"))</f>
        <v>0</v>
      </c>
      <c r="Z120" s="1" t="n">
        <f aca="false">X120+Y120</f>
        <v>0</v>
      </c>
      <c r="AA120" s="1" t="n">
        <f aca="false">IF(Z120&gt;0,Z120+(201-114)/10^6,0)</f>
        <v>0</v>
      </c>
      <c r="AB120" s="1"/>
      <c r="AC120" s="1"/>
      <c r="AD120" s="1"/>
      <c r="AE120" s="1"/>
      <c r="AF120" s="1"/>
      <c r="AG120" s="1"/>
      <c r="AH120" s="1"/>
    </row>
    <row r="121" customFormat="false" ht="15" hidden="false" customHeight="false" outlineLevel="0" collapsed="false">
      <c r="A121" s="1"/>
      <c r="B121" s="10"/>
      <c r="C121" s="31" t="str">
        <f aca="false">IF(B121="","",TEXT(B121,"ddd"))</f>
        <v/>
      </c>
      <c r="D121" s="11"/>
      <c r="E121" s="8" t="str">
        <f aca="false">IF(D121="","",IFERROR(INDEX(ProjNumbers,MATCH(D121,ProjNames,0)),""))</f>
        <v/>
      </c>
      <c r="F121" s="8" t="str">
        <f aca="false">IF(D121="","",IFERROR(INDEX(ProjCodes,MATCH(D121,ProjNames,0)),""))</f>
        <v/>
      </c>
      <c r="G121" s="32"/>
      <c r="H121" s="11"/>
      <c r="I121" s="33"/>
      <c r="J121" s="8" t="str">
        <f aca="false">IF(COUNTA(B121,D121,G121,H121,I121)=0,"",IF(B121="","Enter date",IF(OR(B121&lt;$AC$2,B121&gt;$AC$3),"Date not in May",IF(D121="","Pick project",IF(ISNA(MATCH(D121,ProjNames,0)),"Project not in list",IF(G121="","Add task description",IF(H121="","Pick NTIME or P6",IF(N(I121)&lt;=0,"Enter hours",IF(AND(AllowOT&lt;&gt;"Yes",SUMIF($B$7:$B$256,B121,$I$7:$I$256)&gt;INDEX($O$58:$O$88,DAY(B121))),"Day over "&amp;INDEX($O$58:$O$88,DAY(B121))&amp;" h","✓")))))))))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tr">
        <f aca="false">IF(Projects!B119="","",Projects!B119)</f>
        <v/>
      </c>
      <c r="X121" s="1" t="n">
        <f aca="false">IF(W121="",0,SUMIFS($I$7:$I$256,$D$7:$D$256,W121,$H$7:$H$256,"NTIME"))</f>
        <v>0</v>
      </c>
      <c r="Y121" s="1" t="n">
        <f aca="false">IF(W121="",0,SUMIFS($I$7:$I$256,$D$7:$D$256,W121,$H$7:$H$256,"P6"))</f>
        <v>0</v>
      </c>
      <c r="Z121" s="1" t="n">
        <f aca="false">X121+Y121</f>
        <v>0</v>
      </c>
      <c r="AA121" s="1" t="n">
        <f aca="false">IF(Z121&gt;0,Z121+(201-115)/10^6,0)</f>
        <v>0</v>
      </c>
      <c r="AB121" s="1"/>
      <c r="AC121" s="1"/>
      <c r="AD121" s="1"/>
      <c r="AE121" s="1"/>
      <c r="AF121" s="1"/>
      <c r="AG121" s="1"/>
      <c r="AH121" s="1"/>
    </row>
    <row r="122" customFormat="false" ht="15" hidden="false" customHeight="false" outlineLevel="0" collapsed="false">
      <c r="A122" s="1"/>
      <c r="B122" s="10"/>
      <c r="C122" s="31" t="str">
        <f aca="false">IF(B122="","",TEXT(B122,"ddd"))</f>
        <v/>
      </c>
      <c r="D122" s="11"/>
      <c r="E122" s="8" t="str">
        <f aca="false">IF(D122="","",IFERROR(INDEX(ProjNumbers,MATCH(D122,ProjNames,0)),""))</f>
        <v/>
      </c>
      <c r="F122" s="8" t="str">
        <f aca="false">IF(D122="","",IFERROR(INDEX(ProjCodes,MATCH(D122,ProjNames,0)),""))</f>
        <v/>
      </c>
      <c r="G122" s="32"/>
      <c r="H122" s="11"/>
      <c r="I122" s="33"/>
      <c r="J122" s="8" t="str">
        <f aca="false">IF(COUNTA(B122,D122,G122,H122,I122)=0,"",IF(B122="","Enter date",IF(OR(B122&lt;$AC$2,B122&gt;$AC$3),"Date not in May",IF(D122="","Pick project",IF(ISNA(MATCH(D122,ProjNames,0)),"Project not in list",IF(G122="","Add task description",IF(H122="","Pick NTIME or P6",IF(N(I122)&lt;=0,"Enter hours",IF(AND(AllowOT&lt;&gt;"Yes",SUMIF($B$7:$B$256,B122,$I$7:$I$256)&gt;INDEX($O$58:$O$88,DAY(B122))),"Day over "&amp;INDEX($O$58:$O$88,DAY(B122))&amp;" h","✓")))))))))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tr">
        <f aca="false">IF(Projects!B120="","",Projects!B120)</f>
        <v/>
      </c>
      <c r="X122" s="1" t="n">
        <f aca="false">IF(W122="",0,SUMIFS($I$7:$I$256,$D$7:$D$256,W122,$H$7:$H$256,"NTIME"))</f>
        <v>0</v>
      </c>
      <c r="Y122" s="1" t="n">
        <f aca="false">IF(W122="",0,SUMIFS($I$7:$I$256,$D$7:$D$256,W122,$H$7:$H$256,"P6"))</f>
        <v>0</v>
      </c>
      <c r="Z122" s="1" t="n">
        <f aca="false">X122+Y122</f>
        <v>0</v>
      </c>
      <c r="AA122" s="1" t="n">
        <f aca="false">IF(Z122&gt;0,Z122+(201-116)/10^6,0)</f>
        <v>0</v>
      </c>
      <c r="AB122" s="1"/>
      <c r="AC122" s="1"/>
      <c r="AD122" s="1"/>
      <c r="AE122" s="1"/>
      <c r="AF122" s="1"/>
      <c r="AG122" s="1"/>
      <c r="AH122" s="1"/>
    </row>
    <row r="123" customFormat="false" ht="15" hidden="false" customHeight="false" outlineLevel="0" collapsed="false">
      <c r="A123" s="1"/>
      <c r="B123" s="10"/>
      <c r="C123" s="31" t="str">
        <f aca="false">IF(B123="","",TEXT(B123,"ddd"))</f>
        <v/>
      </c>
      <c r="D123" s="11"/>
      <c r="E123" s="8" t="str">
        <f aca="false">IF(D123="","",IFERROR(INDEX(ProjNumbers,MATCH(D123,ProjNames,0)),""))</f>
        <v/>
      </c>
      <c r="F123" s="8" t="str">
        <f aca="false">IF(D123="","",IFERROR(INDEX(ProjCodes,MATCH(D123,ProjNames,0)),""))</f>
        <v/>
      </c>
      <c r="G123" s="32"/>
      <c r="H123" s="11"/>
      <c r="I123" s="33"/>
      <c r="J123" s="8" t="str">
        <f aca="false">IF(COUNTA(B123,D123,G123,H123,I123)=0,"",IF(B123="","Enter date",IF(OR(B123&lt;$AC$2,B123&gt;$AC$3),"Date not in May",IF(D123="","Pick project",IF(ISNA(MATCH(D123,ProjNames,0)),"Project not in list",IF(G123="","Add task description",IF(H123="","Pick NTIME or P6",IF(N(I123)&lt;=0,"Enter hours",IF(AND(AllowOT&lt;&gt;"Yes",SUMIF($B$7:$B$256,B123,$I$7:$I$256)&gt;INDEX($O$58:$O$88,DAY(B123))),"Day over "&amp;INDEX($O$58:$O$88,DAY(B123))&amp;" h","✓")))))))))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tr">
        <f aca="false">IF(Projects!B121="","",Projects!B121)</f>
        <v/>
      </c>
      <c r="X123" s="1" t="n">
        <f aca="false">IF(W123="",0,SUMIFS($I$7:$I$256,$D$7:$D$256,W123,$H$7:$H$256,"NTIME"))</f>
        <v>0</v>
      </c>
      <c r="Y123" s="1" t="n">
        <f aca="false">IF(W123="",0,SUMIFS($I$7:$I$256,$D$7:$D$256,W123,$H$7:$H$256,"P6"))</f>
        <v>0</v>
      </c>
      <c r="Z123" s="1" t="n">
        <f aca="false">X123+Y123</f>
        <v>0</v>
      </c>
      <c r="AA123" s="1" t="n">
        <f aca="false">IF(Z123&gt;0,Z123+(201-117)/10^6,0)</f>
        <v>0</v>
      </c>
      <c r="AB123" s="1"/>
      <c r="AC123" s="1"/>
      <c r="AD123" s="1"/>
      <c r="AE123" s="1"/>
      <c r="AF123" s="1"/>
      <c r="AG123" s="1"/>
      <c r="AH123" s="1"/>
    </row>
    <row r="124" customFormat="false" ht="15" hidden="false" customHeight="false" outlineLevel="0" collapsed="false">
      <c r="A124" s="1"/>
      <c r="B124" s="10"/>
      <c r="C124" s="31" t="str">
        <f aca="false">IF(B124="","",TEXT(B124,"ddd"))</f>
        <v/>
      </c>
      <c r="D124" s="11"/>
      <c r="E124" s="8" t="str">
        <f aca="false">IF(D124="","",IFERROR(INDEX(ProjNumbers,MATCH(D124,ProjNames,0)),""))</f>
        <v/>
      </c>
      <c r="F124" s="8" t="str">
        <f aca="false">IF(D124="","",IFERROR(INDEX(ProjCodes,MATCH(D124,ProjNames,0)),""))</f>
        <v/>
      </c>
      <c r="G124" s="32"/>
      <c r="H124" s="11"/>
      <c r="I124" s="33"/>
      <c r="J124" s="8" t="str">
        <f aca="false">IF(COUNTA(B124,D124,G124,H124,I124)=0,"",IF(B124="","Enter date",IF(OR(B124&lt;$AC$2,B124&gt;$AC$3),"Date not in May",IF(D124="","Pick project",IF(ISNA(MATCH(D124,ProjNames,0)),"Project not in list",IF(G124="","Add task description",IF(H124="","Pick NTIME or P6",IF(N(I124)&lt;=0,"Enter hours",IF(AND(AllowOT&lt;&gt;"Yes",SUMIF($B$7:$B$256,B124,$I$7:$I$256)&gt;INDEX($O$58:$O$88,DAY(B124))),"Day over "&amp;INDEX($O$58:$O$88,DAY(B124))&amp;" h","✓")))))))))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tr">
        <f aca="false">IF(Projects!B122="","",Projects!B122)</f>
        <v/>
      </c>
      <c r="X124" s="1" t="n">
        <f aca="false">IF(W124="",0,SUMIFS($I$7:$I$256,$D$7:$D$256,W124,$H$7:$H$256,"NTIME"))</f>
        <v>0</v>
      </c>
      <c r="Y124" s="1" t="n">
        <f aca="false">IF(W124="",0,SUMIFS($I$7:$I$256,$D$7:$D$256,W124,$H$7:$H$256,"P6"))</f>
        <v>0</v>
      </c>
      <c r="Z124" s="1" t="n">
        <f aca="false">X124+Y124</f>
        <v>0</v>
      </c>
      <c r="AA124" s="1" t="n">
        <f aca="false">IF(Z124&gt;0,Z124+(201-118)/10^6,0)</f>
        <v>0</v>
      </c>
      <c r="AB124" s="1"/>
      <c r="AC124" s="1"/>
      <c r="AD124" s="1"/>
      <c r="AE124" s="1"/>
      <c r="AF124" s="1"/>
      <c r="AG124" s="1"/>
      <c r="AH124" s="1"/>
    </row>
    <row r="125" customFormat="false" ht="15" hidden="false" customHeight="false" outlineLevel="0" collapsed="false">
      <c r="A125" s="1"/>
      <c r="B125" s="10"/>
      <c r="C125" s="31" t="str">
        <f aca="false">IF(B125="","",TEXT(B125,"ddd"))</f>
        <v/>
      </c>
      <c r="D125" s="11"/>
      <c r="E125" s="8" t="str">
        <f aca="false">IF(D125="","",IFERROR(INDEX(ProjNumbers,MATCH(D125,ProjNames,0)),""))</f>
        <v/>
      </c>
      <c r="F125" s="8" t="str">
        <f aca="false">IF(D125="","",IFERROR(INDEX(ProjCodes,MATCH(D125,ProjNames,0)),""))</f>
        <v/>
      </c>
      <c r="G125" s="32"/>
      <c r="H125" s="11"/>
      <c r="I125" s="33"/>
      <c r="J125" s="8" t="str">
        <f aca="false">IF(COUNTA(B125,D125,G125,H125,I125)=0,"",IF(B125="","Enter date",IF(OR(B125&lt;$AC$2,B125&gt;$AC$3),"Date not in May",IF(D125="","Pick project",IF(ISNA(MATCH(D125,ProjNames,0)),"Project not in list",IF(G125="","Add task description",IF(H125="","Pick NTIME or P6",IF(N(I125)&lt;=0,"Enter hours",IF(AND(AllowOT&lt;&gt;"Yes",SUMIF($B$7:$B$256,B125,$I$7:$I$256)&gt;INDEX($O$58:$O$88,DAY(B125))),"Day over "&amp;INDEX($O$58:$O$88,DAY(B125))&amp;" h","✓")))))))))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tr">
        <f aca="false">IF(Projects!B123="","",Projects!B123)</f>
        <v/>
      </c>
      <c r="X125" s="1" t="n">
        <f aca="false">IF(W125="",0,SUMIFS($I$7:$I$256,$D$7:$D$256,W125,$H$7:$H$256,"NTIME"))</f>
        <v>0</v>
      </c>
      <c r="Y125" s="1" t="n">
        <f aca="false">IF(W125="",0,SUMIFS($I$7:$I$256,$D$7:$D$256,W125,$H$7:$H$256,"P6"))</f>
        <v>0</v>
      </c>
      <c r="Z125" s="1" t="n">
        <f aca="false">X125+Y125</f>
        <v>0</v>
      </c>
      <c r="AA125" s="1" t="n">
        <f aca="false">IF(Z125&gt;0,Z125+(201-119)/10^6,0)</f>
        <v>0</v>
      </c>
      <c r="AB125" s="1"/>
      <c r="AC125" s="1"/>
      <c r="AD125" s="1"/>
      <c r="AE125" s="1"/>
      <c r="AF125" s="1"/>
      <c r="AG125" s="1"/>
      <c r="AH125" s="1"/>
    </row>
    <row r="126" customFormat="false" ht="15" hidden="false" customHeight="false" outlineLevel="0" collapsed="false">
      <c r="A126" s="1"/>
      <c r="B126" s="10"/>
      <c r="C126" s="31" t="str">
        <f aca="false">IF(B126="","",TEXT(B126,"ddd"))</f>
        <v/>
      </c>
      <c r="D126" s="11"/>
      <c r="E126" s="8" t="str">
        <f aca="false">IF(D126="","",IFERROR(INDEX(ProjNumbers,MATCH(D126,ProjNames,0)),""))</f>
        <v/>
      </c>
      <c r="F126" s="8" t="str">
        <f aca="false">IF(D126="","",IFERROR(INDEX(ProjCodes,MATCH(D126,ProjNames,0)),""))</f>
        <v/>
      </c>
      <c r="G126" s="32"/>
      <c r="H126" s="11"/>
      <c r="I126" s="33"/>
      <c r="J126" s="8" t="str">
        <f aca="false">IF(COUNTA(B126,D126,G126,H126,I126)=0,"",IF(B126="","Enter date",IF(OR(B126&lt;$AC$2,B126&gt;$AC$3),"Date not in May",IF(D126="","Pick project",IF(ISNA(MATCH(D126,ProjNames,0)),"Project not in list",IF(G126="","Add task description",IF(H126="","Pick NTIME or P6",IF(N(I126)&lt;=0,"Enter hours",IF(AND(AllowOT&lt;&gt;"Yes",SUMIF($B$7:$B$256,B126,$I$7:$I$256)&gt;INDEX($O$58:$O$88,DAY(B126))),"Day over "&amp;INDEX($O$58:$O$88,DAY(B126))&amp;" h","✓")))))))))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tr">
        <f aca="false">IF(Projects!B124="","",Projects!B124)</f>
        <v/>
      </c>
      <c r="X126" s="1" t="n">
        <f aca="false">IF(W126="",0,SUMIFS($I$7:$I$256,$D$7:$D$256,W126,$H$7:$H$256,"NTIME"))</f>
        <v>0</v>
      </c>
      <c r="Y126" s="1" t="n">
        <f aca="false">IF(W126="",0,SUMIFS($I$7:$I$256,$D$7:$D$256,W126,$H$7:$H$256,"P6"))</f>
        <v>0</v>
      </c>
      <c r="Z126" s="1" t="n">
        <f aca="false">X126+Y126</f>
        <v>0</v>
      </c>
      <c r="AA126" s="1" t="n">
        <f aca="false">IF(Z126&gt;0,Z126+(201-120)/10^6,0)</f>
        <v>0</v>
      </c>
      <c r="AB126" s="1"/>
      <c r="AC126" s="1"/>
      <c r="AD126" s="1"/>
      <c r="AE126" s="1"/>
      <c r="AF126" s="1"/>
      <c r="AG126" s="1"/>
      <c r="AH126" s="1"/>
    </row>
    <row r="127" customFormat="false" ht="15" hidden="false" customHeight="false" outlineLevel="0" collapsed="false">
      <c r="A127" s="1"/>
      <c r="B127" s="10"/>
      <c r="C127" s="31" t="str">
        <f aca="false">IF(B127="","",TEXT(B127,"ddd"))</f>
        <v/>
      </c>
      <c r="D127" s="11"/>
      <c r="E127" s="8" t="str">
        <f aca="false">IF(D127="","",IFERROR(INDEX(ProjNumbers,MATCH(D127,ProjNames,0)),""))</f>
        <v/>
      </c>
      <c r="F127" s="8" t="str">
        <f aca="false">IF(D127="","",IFERROR(INDEX(ProjCodes,MATCH(D127,ProjNames,0)),""))</f>
        <v/>
      </c>
      <c r="G127" s="32"/>
      <c r="H127" s="11"/>
      <c r="I127" s="33"/>
      <c r="J127" s="8" t="str">
        <f aca="false">IF(COUNTA(B127,D127,G127,H127,I127)=0,"",IF(B127="","Enter date",IF(OR(B127&lt;$AC$2,B127&gt;$AC$3),"Date not in May",IF(D127="","Pick project",IF(ISNA(MATCH(D127,ProjNames,0)),"Project not in list",IF(G127="","Add task description",IF(H127="","Pick NTIME or P6",IF(N(I127)&lt;=0,"Enter hours",IF(AND(AllowOT&lt;&gt;"Yes",SUMIF($B$7:$B$256,B127,$I$7:$I$256)&gt;INDEX($O$58:$O$88,DAY(B127))),"Day over "&amp;INDEX($O$58:$O$88,DAY(B127))&amp;" h","✓")))))))))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tr">
        <f aca="false">IF(Projects!B125="","",Projects!B125)</f>
        <v/>
      </c>
      <c r="X127" s="1" t="n">
        <f aca="false">IF(W127="",0,SUMIFS($I$7:$I$256,$D$7:$D$256,W127,$H$7:$H$256,"NTIME"))</f>
        <v>0</v>
      </c>
      <c r="Y127" s="1" t="n">
        <f aca="false">IF(W127="",0,SUMIFS($I$7:$I$256,$D$7:$D$256,W127,$H$7:$H$256,"P6"))</f>
        <v>0</v>
      </c>
      <c r="Z127" s="1" t="n">
        <f aca="false">X127+Y127</f>
        <v>0</v>
      </c>
      <c r="AA127" s="1" t="n">
        <f aca="false">IF(Z127&gt;0,Z127+(201-121)/10^6,0)</f>
        <v>0</v>
      </c>
      <c r="AB127" s="1"/>
      <c r="AC127" s="1"/>
      <c r="AD127" s="1"/>
      <c r="AE127" s="1"/>
      <c r="AF127" s="1"/>
      <c r="AG127" s="1"/>
      <c r="AH127" s="1"/>
    </row>
    <row r="128" customFormat="false" ht="15" hidden="false" customHeight="false" outlineLevel="0" collapsed="false">
      <c r="A128" s="1"/>
      <c r="B128" s="10"/>
      <c r="C128" s="31" t="str">
        <f aca="false">IF(B128="","",TEXT(B128,"ddd"))</f>
        <v/>
      </c>
      <c r="D128" s="11"/>
      <c r="E128" s="8" t="str">
        <f aca="false">IF(D128="","",IFERROR(INDEX(ProjNumbers,MATCH(D128,ProjNames,0)),""))</f>
        <v/>
      </c>
      <c r="F128" s="8" t="str">
        <f aca="false">IF(D128="","",IFERROR(INDEX(ProjCodes,MATCH(D128,ProjNames,0)),""))</f>
        <v/>
      </c>
      <c r="G128" s="32"/>
      <c r="H128" s="11"/>
      <c r="I128" s="33"/>
      <c r="J128" s="8" t="str">
        <f aca="false">IF(COUNTA(B128,D128,G128,H128,I128)=0,"",IF(B128="","Enter date",IF(OR(B128&lt;$AC$2,B128&gt;$AC$3),"Date not in May",IF(D128="","Pick project",IF(ISNA(MATCH(D128,ProjNames,0)),"Project not in list",IF(G128="","Add task description",IF(H128="","Pick NTIME or P6",IF(N(I128)&lt;=0,"Enter hours",IF(AND(AllowOT&lt;&gt;"Yes",SUMIF($B$7:$B$256,B128,$I$7:$I$256)&gt;INDEX($O$58:$O$88,DAY(B128))),"Day over "&amp;INDEX($O$58:$O$88,DAY(B128))&amp;" h","✓")))))))))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tr">
        <f aca="false">IF(Projects!B126="","",Projects!B126)</f>
        <v/>
      </c>
      <c r="X128" s="1" t="n">
        <f aca="false">IF(W128="",0,SUMIFS($I$7:$I$256,$D$7:$D$256,W128,$H$7:$H$256,"NTIME"))</f>
        <v>0</v>
      </c>
      <c r="Y128" s="1" t="n">
        <f aca="false">IF(W128="",0,SUMIFS($I$7:$I$256,$D$7:$D$256,W128,$H$7:$H$256,"P6"))</f>
        <v>0</v>
      </c>
      <c r="Z128" s="1" t="n">
        <f aca="false">X128+Y128</f>
        <v>0</v>
      </c>
      <c r="AA128" s="1" t="n">
        <f aca="false">IF(Z128&gt;0,Z128+(201-122)/10^6,0)</f>
        <v>0</v>
      </c>
      <c r="AB128" s="1"/>
      <c r="AC128" s="1"/>
      <c r="AD128" s="1"/>
      <c r="AE128" s="1"/>
      <c r="AF128" s="1"/>
      <c r="AG128" s="1"/>
      <c r="AH128" s="1"/>
    </row>
    <row r="129" customFormat="false" ht="15" hidden="false" customHeight="false" outlineLevel="0" collapsed="false">
      <c r="A129" s="1"/>
      <c r="B129" s="10"/>
      <c r="C129" s="31" t="str">
        <f aca="false">IF(B129="","",TEXT(B129,"ddd"))</f>
        <v/>
      </c>
      <c r="D129" s="11"/>
      <c r="E129" s="8" t="str">
        <f aca="false">IF(D129="","",IFERROR(INDEX(ProjNumbers,MATCH(D129,ProjNames,0)),""))</f>
        <v/>
      </c>
      <c r="F129" s="8" t="str">
        <f aca="false">IF(D129="","",IFERROR(INDEX(ProjCodes,MATCH(D129,ProjNames,0)),""))</f>
        <v/>
      </c>
      <c r="G129" s="32"/>
      <c r="H129" s="11"/>
      <c r="I129" s="33"/>
      <c r="J129" s="8" t="str">
        <f aca="false">IF(COUNTA(B129,D129,G129,H129,I129)=0,"",IF(B129="","Enter date",IF(OR(B129&lt;$AC$2,B129&gt;$AC$3),"Date not in May",IF(D129="","Pick project",IF(ISNA(MATCH(D129,ProjNames,0)),"Project not in list",IF(G129="","Add task description",IF(H129="","Pick NTIME or P6",IF(N(I129)&lt;=0,"Enter hours",IF(AND(AllowOT&lt;&gt;"Yes",SUMIF($B$7:$B$256,B129,$I$7:$I$256)&gt;INDEX($O$58:$O$88,DAY(B129))),"Day over "&amp;INDEX($O$58:$O$88,DAY(B129))&amp;" h","✓")))))))))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tr">
        <f aca="false">IF(Projects!B127="","",Projects!B127)</f>
        <v/>
      </c>
      <c r="X129" s="1" t="n">
        <f aca="false">IF(W129="",0,SUMIFS($I$7:$I$256,$D$7:$D$256,W129,$H$7:$H$256,"NTIME"))</f>
        <v>0</v>
      </c>
      <c r="Y129" s="1" t="n">
        <f aca="false">IF(W129="",0,SUMIFS($I$7:$I$256,$D$7:$D$256,W129,$H$7:$H$256,"P6"))</f>
        <v>0</v>
      </c>
      <c r="Z129" s="1" t="n">
        <f aca="false">X129+Y129</f>
        <v>0</v>
      </c>
      <c r="AA129" s="1" t="n">
        <f aca="false">IF(Z129&gt;0,Z129+(201-123)/10^6,0)</f>
        <v>0</v>
      </c>
      <c r="AB129" s="1"/>
      <c r="AC129" s="1"/>
      <c r="AD129" s="1"/>
      <c r="AE129" s="1"/>
      <c r="AF129" s="1"/>
      <c r="AG129" s="1"/>
      <c r="AH129" s="1"/>
    </row>
    <row r="130" customFormat="false" ht="15" hidden="false" customHeight="false" outlineLevel="0" collapsed="false">
      <c r="A130" s="1"/>
      <c r="B130" s="10"/>
      <c r="C130" s="31" t="str">
        <f aca="false">IF(B130="","",TEXT(B130,"ddd"))</f>
        <v/>
      </c>
      <c r="D130" s="11"/>
      <c r="E130" s="8" t="str">
        <f aca="false">IF(D130="","",IFERROR(INDEX(ProjNumbers,MATCH(D130,ProjNames,0)),""))</f>
        <v/>
      </c>
      <c r="F130" s="8" t="str">
        <f aca="false">IF(D130="","",IFERROR(INDEX(ProjCodes,MATCH(D130,ProjNames,0)),""))</f>
        <v/>
      </c>
      <c r="G130" s="32"/>
      <c r="H130" s="11"/>
      <c r="I130" s="33"/>
      <c r="J130" s="8" t="str">
        <f aca="false">IF(COUNTA(B130,D130,G130,H130,I130)=0,"",IF(B130="","Enter date",IF(OR(B130&lt;$AC$2,B130&gt;$AC$3),"Date not in May",IF(D130="","Pick project",IF(ISNA(MATCH(D130,ProjNames,0)),"Project not in list",IF(G130="","Add task description",IF(H130="","Pick NTIME or P6",IF(N(I130)&lt;=0,"Enter hours",IF(AND(AllowOT&lt;&gt;"Yes",SUMIF($B$7:$B$256,B130,$I$7:$I$256)&gt;INDEX($O$58:$O$88,DAY(B130))),"Day over "&amp;INDEX($O$58:$O$88,DAY(B130))&amp;" h","✓")))))))))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tr">
        <f aca="false">IF(Projects!B128="","",Projects!B128)</f>
        <v/>
      </c>
      <c r="X130" s="1" t="n">
        <f aca="false">IF(W130="",0,SUMIFS($I$7:$I$256,$D$7:$D$256,W130,$H$7:$H$256,"NTIME"))</f>
        <v>0</v>
      </c>
      <c r="Y130" s="1" t="n">
        <f aca="false">IF(W130="",0,SUMIFS($I$7:$I$256,$D$7:$D$256,W130,$H$7:$H$256,"P6"))</f>
        <v>0</v>
      </c>
      <c r="Z130" s="1" t="n">
        <f aca="false">X130+Y130</f>
        <v>0</v>
      </c>
      <c r="AA130" s="1" t="n">
        <f aca="false">IF(Z130&gt;0,Z130+(201-124)/10^6,0)</f>
        <v>0</v>
      </c>
      <c r="AB130" s="1"/>
      <c r="AC130" s="1"/>
      <c r="AD130" s="1"/>
      <c r="AE130" s="1"/>
      <c r="AF130" s="1"/>
      <c r="AG130" s="1"/>
      <c r="AH130" s="1"/>
    </row>
    <row r="131" customFormat="false" ht="15" hidden="false" customHeight="false" outlineLevel="0" collapsed="false">
      <c r="A131" s="1"/>
      <c r="B131" s="10"/>
      <c r="C131" s="31" t="str">
        <f aca="false">IF(B131="","",TEXT(B131,"ddd"))</f>
        <v/>
      </c>
      <c r="D131" s="11"/>
      <c r="E131" s="8" t="str">
        <f aca="false">IF(D131="","",IFERROR(INDEX(ProjNumbers,MATCH(D131,ProjNames,0)),""))</f>
        <v/>
      </c>
      <c r="F131" s="8" t="str">
        <f aca="false">IF(D131="","",IFERROR(INDEX(ProjCodes,MATCH(D131,ProjNames,0)),""))</f>
        <v/>
      </c>
      <c r="G131" s="32"/>
      <c r="H131" s="11"/>
      <c r="I131" s="33"/>
      <c r="J131" s="8" t="str">
        <f aca="false">IF(COUNTA(B131,D131,G131,H131,I131)=0,"",IF(B131="","Enter date",IF(OR(B131&lt;$AC$2,B131&gt;$AC$3),"Date not in May",IF(D131="","Pick project",IF(ISNA(MATCH(D131,ProjNames,0)),"Project not in list",IF(G131="","Add task description",IF(H131="","Pick NTIME or P6",IF(N(I131)&lt;=0,"Enter hours",IF(AND(AllowOT&lt;&gt;"Yes",SUMIF($B$7:$B$256,B131,$I$7:$I$256)&gt;INDEX($O$58:$O$88,DAY(B131))),"Day over "&amp;INDEX($O$58:$O$88,DAY(B131))&amp;" h","✓")))))))))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tr">
        <f aca="false">IF(Projects!B129="","",Projects!B129)</f>
        <v/>
      </c>
      <c r="X131" s="1" t="n">
        <f aca="false">IF(W131="",0,SUMIFS($I$7:$I$256,$D$7:$D$256,W131,$H$7:$H$256,"NTIME"))</f>
        <v>0</v>
      </c>
      <c r="Y131" s="1" t="n">
        <f aca="false">IF(W131="",0,SUMIFS($I$7:$I$256,$D$7:$D$256,W131,$H$7:$H$256,"P6"))</f>
        <v>0</v>
      </c>
      <c r="Z131" s="1" t="n">
        <f aca="false">X131+Y131</f>
        <v>0</v>
      </c>
      <c r="AA131" s="1" t="n">
        <f aca="false">IF(Z131&gt;0,Z131+(201-125)/10^6,0)</f>
        <v>0</v>
      </c>
      <c r="AB131" s="1"/>
      <c r="AC131" s="1"/>
      <c r="AD131" s="1"/>
      <c r="AE131" s="1"/>
      <c r="AF131" s="1"/>
      <c r="AG131" s="1"/>
      <c r="AH131" s="1"/>
    </row>
    <row r="132" customFormat="false" ht="15" hidden="false" customHeight="false" outlineLevel="0" collapsed="false">
      <c r="A132" s="1"/>
      <c r="B132" s="10"/>
      <c r="C132" s="31" t="str">
        <f aca="false">IF(B132="","",TEXT(B132,"ddd"))</f>
        <v/>
      </c>
      <c r="D132" s="11"/>
      <c r="E132" s="8" t="str">
        <f aca="false">IF(D132="","",IFERROR(INDEX(ProjNumbers,MATCH(D132,ProjNames,0)),""))</f>
        <v/>
      </c>
      <c r="F132" s="8" t="str">
        <f aca="false">IF(D132="","",IFERROR(INDEX(ProjCodes,MATCH(D132,ProjNames,0)),""))</f>
        <v/>
      </c>
      <c r="G132" s="32"/>
      <c r="H132" s="11"/>
      <c r="I132" s="33"/>
      <c r="J132" s="8" t="str">
        <f aca="false">IF(COUNTA(B132,D132,G132,H132,I132)=0,"",IF(B132="","Enter date",IF(OR(B132&lt;$AC$2,B132&gt;$AC$3),"Date not in May",IF(D132="","Pick project",IF(ISNA(MATCH(D132,ProjNames,0)),"Project not in list",IF(G132="","Add task description",IF(H132="","Pick NTIME or P6",IF(N(I132)&lt;=0,"Enter hours",IF(AND(AllowOT&lt;&gt;"Yes",SUMIF($B$7:$B$256,B132,$I$7:$I$256)&gt;INDEX($O$58:$O$88,DAY(B132))),"Day over "&amp;INDEX($O$58:$O$88,DAY(B132))&amp;" h","✓")))))))))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tr">
        <f aca="false">IF(Projects!B130="","",Projects!B130)</f>
        <v/>
      </c>
      <c r="X132" s="1" t="n">
        <f aca="false">IF(W132="",0,SUMIFS($I$7:$I$256,$D$7:$D$256,W132,$H$7:$H$256,"NTIME"))</f>
        <v>0</v>
      </c>
      <c r="Y132" s="1" t="n">
        <f aca="false">IF(W132="",0,SUMIFS($I$7:$I$256,$D$7:$D$256,W132,$H$7:$H$256,"P6"))</f>
        <v>0</v>
      </c>
      <c r="Z132" s="1" t="n">
        <f aca="false">X132+Y132</f>
        <v>0</v>
      </c>
      <c r="AA132" s="1" t="n">
        <f aca="false">IF(Z132&gt;0,Z132+(201-126)/10^6,0)</f>
        <v>0</v>
      </c>
      <c r="AB132" s="1"/>
      <c r="AC132" s="1"/>
      <c r="AD132" s="1"/>
      <c r="AE132" s="1"/>
      <c r="AF132" s="1"/>
      <c r="AG132" s="1"/>
      <c r="AH132" s="1"/>
    </row>
    <row r="133" customFormat="false" ht="15" hidden="false" customHeight="false" outlineLevel="0" collapsed="false">
      <c r="A133" s="1"/>
      <c r="B133" s="10"/>
      <c r="C133" s="31" t="str">
        <f aca="false">IF(B133="","",TEXT(B133,"ddd"))</f>
        <v/>
      </c>
      <c r="D133" s="11"/>
      <c r="E133" s="8" t="str">
        <f aca="false">IF(D133="","",IFERROR(INDEX(ProjNumbers,MATCH(D133,ProjNames,0)),""))</f>
        <v/>
      </c>
      <c r="F133" s="8" t="str">
        <f aca="false">IF(D133="","",IFERROR(INDEX(ProjCodes,MATCH(D133,ProjNames,0)),""))</f>
        <v/>
      </c>
      <c r="G133" s="32"/>
      <c r="H133" s="11"/>
      <c r="I133" s="33"/>
      <c r="J133" s="8" t="str">
        <f aca="false">IF(COUNTA(B133,D133,G133,H133,I133)=0,"",IF(B133="","Enter date",IF(OR(B133&lt;$AC$2,B133&gt;$AC$3),"Date not in May",IF(D133="","Pick project",IF(ISNA(MATCH(D133,ProjNames,0)),"Project not in list",IF(G133="","Add task description",IF(H133="","Pick NTIME or P6",IF(N(I133)&lt;=0,"Enter hours",IF(AND(AllowOT&lt;&gt;"Yes",SUMIF($B$7:$B$256,B133,$I$7:$I$256)&gt;INDEX($O$58:$O$88,DAY(B133))),"Day over "&amp;INDEX($O$58:$O$88,DAY(B133))&amp;" h","✓")))))))))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tr">
        <f aca="false">IF(Projects!B131="","",Projects!B131)</f>
        <v/>
      </c>
      <c r="X133" s="1" t="n">
        <f aca="false">IF(W133="",0,SUMIFS($I$7:$I$256,$D$7:$D$256,W133,$H$7:$H$256,"NTIME"))</f>
        <v>0</v>
      </c>
      <c r="Y133" s="1" t="n">
        <f aca="false">IF(W133="",0,SUMIFS($I$7:$I$256,$D$7:$D$256,W133,$H$7:$H$256,"P6"))</f>
        <v>0</v>
      </c>
      <c r="Z133" s="1" t="n">
        <f aca="false">X133+Y133</f>
        <v>0</v>
      </c>
      <c r="AA133" s="1" t="n">
        <f aca="false">IF(Z133&gt;0,Z133+(201-127)/10^6,0)</f>
        <v>0</v>
      </c>
      <c r="AB133" s="1"/>
      <c r="AC133" s="1"/>
      <c r="AD133" s="1"/>
      <c r="AE133" s="1"/>
      <c r="AF133" s="1"/>
      <c r="AG133" s="1"/>
      <c r="AH133" s="1"/>
    </row>
    <row r="134" customFormat="false" ht="15" hidden="false" customHeight="false" outlineLevel="0" collapsed="false">
      <c r="A134" s="1"/>
      <c r="B134" s="10"/>
      <c r="C134" s="31" t="str">
        <f aca="false">IF(B134="","",TEXT(B134,"ddd"))</f>
        <v/>
      </c>
      <c r="D134" s="11"/>
      <c r="E134" s="8" t="str">
        <f aca="false">IF(D134="","",IFERROR(INDEX(ProjNumbers,MATCH(D134,ProjNames,0)),""))</f>
        <v/>
      </c>
      <c r="F134" s="8" t="str">
        <f aca="false">IF(D134="","",IFERROR(INDEX(ProjCodes,MATCH(D134,ProjNames,0)),""))</f>
        <v/>
      </c>
      <c r="G134" s="32"/>
      <c r="H134" s="11"/>
      <c r="I134" s="33"/>
      <c r="J134" s="8" t="str">
        <f aca="false">IF(COUNTA(B134,D134,G134,H134,I134)=0,"",IF(B134="","Enter date",IF(OR(B134&lt;$AC$2,B134&gt;$AC$3),"Date not in May",IF(D134="","Pick project",IF(ISNA(MATCH(D134,ProjNames,0)),"Project not in list",IF(G134="","Add task description",IF(H134="","Pick NTIME or P6",IF(N(I134)&lt;=0,"Enter hours",IF(AND(AllowOT&lt;&gt;"Yes",SUMIF($B$7:$B$256,B134,$I$7:$I$256)&gt;INDEX($O$58:$O$88,DAY(B134))),"Day over "&amp;INDEX($O$58:$O$88,DAY(B134))&amp;" h","✓")))))))))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tr">
        <f aca="false">IF(Projects!B132="","",Projects!B132)</f>
        <v/>
      </c>
      <c r="X134" s="1" t="n">
        <f aca="false">IF(W134="",0,SUMIFS($I$7:$I$256,$D$7:$D$256,W134,$H$7:$H$256,"NTIME"))</f>
        <v>0</v>
      </c>
      <c r="Y134" s="1" t="n">
        <f aca="false">IF(W134="",0,SUMIFS($I$7:$I$256,$D$7:$D$256,W134,$H$7:$H$256,"P6"))</f>
        <v>0</v>
      </c>
      <c r="Z134" s="1" t="n">
        <f aca="false">X134+Y134</f>
        <v>0</v>
      </c>
      <c r="AA134" s="1" t="n">
        <f aca="false">IF(Z134&gt;0,Z134+(201-128)/10^6,0)</f>
        <v>0</v>
      </c>
      <c r="AB134" s="1"/>
      <c r="AC134" s="1"/>
      <c r="AD134" s="1"/>
      <c r="AE134" s="1"/>
      <c r="AF134" s="1"/>
      <c r="AG134" s="1"/>
      <c r="AH134" s="1"/>
    </row>
    <row r="135" customFormat="false" ht="15" hidden="false" customHeight="false" outlineLevel="0" collapsed="false">
      <c r="A135" s="1"/>
      <c r="B135" s="10"/>
      <c r="C135" s="31" t="str">
        <f aca="false">IF(B135="","",TEXT(B135,"ddd"))</f>
        <v/>
      </c>
      <c r="D135" s="11"/>
      <c r="E135" s="8" t="str">
        <f aca="false">IF(D135="","",IFERROR(INDEX(ProjNumbers,MATCH(D135,ProjNames,0)),""))</f>
        <v/>
      </c>
      <c r="F135" s="8" t="str">
        <f aca="false">IF(D135="","",IFERROR(INDEX(ProjCodes,MATCH(D135,ProjNames,0)),""))</f>
        <v/>
      </c>
      <c r="G135" s="32"/>
      <c r="H135" s="11"/>
      <c r="I135" s="33"/>
      <c r="J135" s="8" t="str">
        <f aca="false">IF(COUNTA(B135,D135,G135,H135,I135)=0,"",IF(B135="","Enter date",IF(OR(B135&lt;$AC$2,B135&gt;$AC$3),"Date not in May",IF(D135="","Pick project",IF(ISNA(MATCH(D135,ProjNames,0)),"Project not in list",IF(G135="","Add task description",IF(H135="","Pick NTIME or P6",IF(N(I135)&lt;=0,"Enter hours",IF(AND(AllowOT&lt;&gt;"Yes",SUMIF($B$7:$B$256,B135,$I$7:$I$256)&gt;INDEX($O$58:$O$88,DAY(B135))),"Day over "&amp;INDEX($O$58:$O$88,DAY(B135))&amp;" h","✓")))))))))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tr">
        <f aca="false">IF(Projects!B133="","",Projects!B133)</f>
        <v/>
      </c>
      <c r="X135" s="1" t="n">
        <f aca="false">IF(W135="",0,SUMIFS($I$7:$I$256,$D$7:$D$256,W135,$H$7:$H$256,"NTIME"))</f>
        <v>0</v>
      </c>
      <c r="Y135" s="1" t="n">
        <f aca="false">IF(W135="",0,SUMIFS($I$7:$I$256,$D$7:$D$256,W135,$H$7:$H$256,"P6"))</f>
        <v>0</v>
      </c>
      <c r="Z135" s="1" t="n">
        <f aca="false">X135+Y135</f>
        <v>0</v>
      </c>
      <c r="AA135" s="1" t="n">
        <f aca="false">IF(Z135&gt;0,Z135+(201-129)/10^6,0)</f>
        <v>0</v>
      </c>
      <c r="AB135" s="1"/>
      <c r="AC135" s="1"/>
      <c r="AD135" s="1"/>
      <c r="AE135" s="1"/>
      <c r="AF135" s="1"/>
      <c r="AG135" s="1"/>
      <c r="AH135" s="1"/>
    </row>
    <row r="136" customFormat="false" ht="15" hidden="false" customHeight="false" outlineLevel="0" collapsed="false">
      <c r="A136" s="1"/>
      <c r="B136" s="10"/>
      <c r="C136" s="31" t="str">
        <f aca="false">IF(B136="","",TEXT(B136,"ddd"))</f>
        <v/>
      </c>
      <c r="D136" s="11"/>
      <c r="E136" s="8" t="str">
        <f aca="false">IF(D136="","",IFERROR(INDEX(ProjNumbers,MATCH(D136,ProjNames,0)),""))</f>
        <v/>
      </c>
      <c r="F136" s="8" t="str">
        <f aca="false">IF(D136="","",IFERROR(INDEX(ProjCodes,MATCH(D136,ProjNames,0)),""))</f>
        <v/>
      </c>
      <c r="G136" s="32"/>
      <c r="H136" s="11"/>
      <c r="I136" s="33"/>
      <c r="J136" s="8" t="str">
        <f aca="false">IF(COUNTA(B136,D136,G136,H136,I136)=0,"",IF(B136="","Enter date",IF(OR(B136&lt;$AC$2,B136&gt;$AC$3),"Date not in May",IF(D136="","Pick project",IF(ISNA(MATCH(D136,ProjNames,0)),"Project not in list",IF(G136="","Add task description",IF(H136="","Pick NTIME or P6",IF(N(I136)&lt;=0,"Enter hours",IF(AND(AllowOT&lt;&gt;"Yes",SUMIF($B$7:$B$256,B136,$I$7:$I$256)&gt;INDEX($O$58:$O$88,DAY(B136))),"Day over "&amp;INDEX($O$58:$O$88,DAY(B136))&amp;" h","✓")))))))))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tr">
        <f aca="false">IF(Projects!B134="","",Projects!B134)</f>
        <v/>
      </c>
      <c r="X136" s="1" t="n">
        <f aca="false">IF(W136="",0,SUMIFS($I$7:$I$256,$D$7:$D$256,W136,$H$7:$H$256,"NTIME"))</f>
        <v>0</v>
      </c>
      <c r="Y136" s="1" t="n">
        <f aca="false">IF(W136="",0,SUMIFS($I$7:$I$256,$D$7:$D$256,W136,$H$7:$H$256,"P6"))</f>
        <v>0</v>
      </c>
      <c r="Z136" s="1" t="n">
        <f aca="false">X136+Y136</f>
        <v>0</v>
      </c>
      <c r="AA136" s="1" t="n">
        <f aca="false">IF(Z136&gt;0,Z136+(201-130)/10^6,0)</f>
        <v>0</v>
      </c>
      <c r="AB136" s="1"/>
      <c r="AC136" s="1"/>
      <c r="AD136" s="1"/>
      <c r="AE136" s="1"/>
      <c r="AF136" s="1"/>
      <c r="AG136" s="1"/>
      <c r="AH136" s="1"/>
    </row>
    <row r="137" customFormat="false" ht="15" hidden="false" customHeight="false" outlineLevel="0" collapsed="false">
      <c r="A137" s="1"/>
      <c r="B137" s="10"/>
      <c r="C137" s="31" t="str">
        <f aca="false">IF(B137="","",TEXT(B137,"ddd"))</f>
        <v/>
      </c>
      <c r="D137" s="11"/>
      <c r="E137" s="8" t="str">
        <f aca="false">IF(D137="","",IFERROR(INDEX(ProjNumbers,MATCH(D137,ProjNames,0)),""))</f>
        <v/>
      </c>
      <c r="F137" s="8" t="str">
        <f aca="false">IF(D137="","",IFERROR(INDEX(ProjCodes,MATCH(D137,ProjNames,0)),""))</f>
        <v/>
      </c>
      <c r="G137" s="32"/>
      <c r="H137" s="11"/>
      <c r="I137" s="33"/>
      <c r="J137" s="8" t="str">
        <f aca="false">IF(COUNTA(B137,D137,G137,H137,I137)=0,"",IF(B137="","Enter date",IF(OR(B137&lt;$AC$2,B137&gt;$AC$3),"Date not in May",IF(D137="","Pick project",IF(ISNA(MATCH(D137,ProjNames,0)),"Project not in list",IF(G137="","Add task description",IF(H137="","Pick NTIME or P6",IF(N(I137)&lt;=0,"Enter hours",IF(AND(AllowOT&lt;&gt;"Yes",SUMIF($B$7:$B$256,B137,$I$7:$I$256)&gt;INDEX($O$58:$O$88,DAY(B137))),"Day over "&amp;INDEX($O$58:$O$88,DAY(B137))&amp;" h","✓")))))))))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tr">
        <f aca="false">IF(Projects!B135="","",Projects!B135)</f>
        <v/>
      </c>
      <c r="X137" s="1" t="n">
        <f aca="false">IF(W137="",0,SUMIFS($I$7:$I$256,$D$7:$D$256,W137,$H$7:$H$256,"NTIME"))</f>
        <v>0</v>
      </c>
      <c r="Y137" s="1" t="n">
        <f aca="false">IF(W137="",0,SUMIFS($I$7:$I$256,$D$7:$D$256,W137,$H$7:$H$256,"P6"))</f>
        <v>0</v>
      </c>
      <c r="Z137" s="1" t="n">
        <f aca="false">X137+Y137</f>
        <v>0</v>
      </c>
      <c r="AA137" s="1" t="n">
        <f aca="false">IF(Z137&gt;0,Z137+(201-131)/10^6,0)</f>
        <v>0</v>
      </c>
      <c r="AB137" s="1"/>
      <c r="AC137" s="1"/>
      <c r="AD137" s="1"/>
      <c r="AE137" s="1"/>
      <c r="AF137" s="1"/>
      <c r="AG137" s="1"/>
      <c r="AH137" s="1"/>
    </row>
    <row r="138" customFormat="false" ht="15" hidden="false" customHeight="false" outlineLevel="0" collapsed="false">
      <c r="A138" s="1"/>
      <c r="B138" s="10"/>
      <c r="C138" s="31" t="str">
        <f aca="false">IF(B138="","",TEXT(B138,"ddd"))</f>
        <v/>
      </c>
      <c r="D138" s="11"/>
      <c r="E138" s="8" t="str">
        <f aca="false">IF(D138="","",IFERROR(INDEX(ProjNumbers,MATCH(D138,ProjNames,0)),""))</f>
        <v/>
      </c>
      <c r="F138" s="8" t="str">
        <f aca="false">IF(D138="","",IFERROR(INDEX(ProjCodes,MATCH(D138,ProjNames,0)),""))</f>
        <v/>
      </c>
      <c r="G138" s="32"/>
      <c r="H138" s="11"/>
      <c r="I138" s="33"/>
      <c r="J138" s="8" t="str">
        <f aca="false">IF(COUNTA(B138,D138,G138,H138,I138)=0,"",IF(B138="","Enter date",IF(OR(B138&lt;$AC$2,B138&gt;$AC$3),"Date not in May",IF(D138="","Pick project",IF(ISNA(MATCH(D138,ProjNames,0)),"Project not in list",IF(G138="","Add task description",IF(H138="","Pick NTIME or P6",IF(N(I138)&lt;=0,"Enter hours",IF(AND(AllowOT&lt;&gt;"Yes",SUMIF($B$7:$B$256,B138,$I$7:$I$256)&gt;INDEX($O$58:$O$88,DAY(B138))),"Day over "&amp;INDEX($O$58:$O$88,DAY(B138))&amp;" h","✓")))))))))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tr">
        <f aca="false">IF(Projects!B136="","",Projects!B136)</f>
        <v/>
      </c>
      <c r="X138" s="1" t="n">
        <f aca="false">IF(W138="",0,SUMIFS($I$7:$I$256,$D$7:$D$256,W138,$H$7:$H$256,"NTIME"))</f>
        <v>0</v>
      </c>
      <c r="Y138" s="1" t="n">
        <f aca="false">IF(W138="",0,SUMIFS($I$7:$I$256,$D$7:$D$256,W138,$H$7:$H$256,"P6"))</f>
        <v>0</v>
      </c>
      <c r="Z138" s="1" t="n">
        <f aca="false">X138+Y138</f>
        <v>0</v>
      </c>
      <c r="AA138" s="1" t="n">
        <f aca="false">IF(Z138&gt;0,Z138+(201-132)/10^6,0)</f>
        <v>0</v>
      </c>
      <c r="AB138" s="1"/>
      <c r="AC138" s="1"/>
      <c r="AD138" s="1"/>
      <c r="AE138" s="1"/>
      <c r="AF138" s="1"/>
      <c r="AG138" s="1"/>
      <c r="AH138" s="1"/>
    </row>
    <row r="139" customFormat="false" ht="15" hidden="false" customHeight="false" outlineLevel="0" collapsed="false">
      <c r="A139" s="1"/>
      <c r="B139" s="10"/>
      <c r="C139" s="31" t="str">
        <f aca="false">IF(B139="","",TEXT(B139,"ddd"))</f>
        <v/>
      </c>
      <c r="D139" s="11"/>
      <c r="E139" s="8" t="str">
        <f aca="false">IF(D139="","",IFERROR(INDEX(ProjNumbers,MATCH(D139,ProjNames,0)),""))</f>
        <v/>
      </c>
      <c r="F139" s="8" t="str">
        <f aca="false">IF(D139="","",IFERROR(INDEX(ProjCodes,MATCH(D139,ProjNames,0)),""))</f>
        <v/>
      </c>
      <c r="G139" s="32"/>
      <c r="H139" s="11"/>
      <c r="I139" s="33"/>
      <c r="J139" s="8" t="str">
        <f aca="false">IF(COUNTA(B139,D139,G139,H139,I139)=0,"",IF(B139="","Enter date",IF(OR(B139&lt;$AC$2,B139&gt;$AC$3),"Date not in May",IF(D139="","Pick project",IF(ISNA(MATCH(D139,ProjNames,0)),"Project not in list",IF(G139="","Add task description",IF(H139="","Pick NTIME or P6",IF(N(I139)&lt;=0,"Enter hours",IF(AND(AllowOT&lt;&gt;"Yes",SUMIF($B$7:$B$256,B139,$I$7:$I$256)&gt;INDEX($O$58:$O$88,DAY(B139))),"Day over "&amp;INDEX($O$58:$O$88,DAY(B139))&amp;" h","✓")))))))))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tr">
        <f aca="false">IF(Projects!B137="","",Projects!B137)</f>
        <v/>
      </c>
      <c r="X139" s="1" t="n">
        <f aca="false">IF(W139="",0,SUMIFS($I$7:$I$256,$D$7:$D$256,W139,$H$7:$H$256,"NTIME"))</f>
        <v>0</v>
      </c>
      <c r="Y139" s="1" t="n">
        <f aca="false">IF(W139="",0,SUMIFS($I$7:$I$256,$D$7:$D$256,W139,$H$7:$H$256,"P6"))</f>
        <v>0</v>
      </c>
      <c r="Z139" s="1" t="n">
        <f aca="false">X139+Y139</f>
        <v>0</v>
      </c>
      <c r="AA139" s="1" t="n">
        <f aca="false">IF(Z139&gt;0,Z139+(201-133)/10^6,0)</f>
        <v>0</v>
      </c>
      <c r="AB139" s="1"/>
      <c r="AC139" s="1"/>
      <c r="AD139" s="1"/>
      <c r="AE139" s="1"/>
      <c r="AF139" s="1"/>
      <c r="AG139" s="1"/>
      <c r="AH139" s="1"/>
    </row>
    <row r="140" customFormat="false" ht="15" hidden="false" customHeight="false" outlineLevel="0" collapsed="false">
      <c r="A140" s="1"/>
      <c r="B140" s="10"/>
      <c r="C140" s="31" t="str">
        <f aca="false">IF(B140="","",TEXT(B140,"ddd"))</f>
        <v/>
      </c>
      <c r="D140" s="11"/>
      <c r="E140" s="8" t="str">
        <f aca="false">IF(D140="","",IFERROR(INDEX(ProjNumbers,MATCH(D140,ProjNames,0)),""))</f>
        <v/>
      </c>
      <c r="F140" s="8" t="str">
        <f aca="false">IF(D140="","",IFERROR(INDEX(ProjCodes,MATCH(D140,ProjNames,0)),""))</f>
        <v/>
      </c>
      <c r="G140" s="32"/>
      <c r="H140" s="11"/>
      <c r="I140" s="33"/>
      <c r="J140" s="8" t="str">
        <f aca="false">IF(COUNTA(B140,D140,G140,H140,I140)=0,"",IF(B140="","Enter date",IF(OR(B140&lt;$AC$2,B140&gt;$AC$3),"Date not in May",IF(D140="","Pick project",IF(ISNA(MATCH(D140,ProjNames,0)),"Project not in list",IF(G140="","Add task description",IF(H140="","Pick NTIME or P6",IF(N(I140)&lt;=0,"Enter hours",IF(AND(AllowOT&lt;&gt;"Yes",SUMIF($B$7:$B$256,B140,$I$7:$I$256)&gt;INDEX($O$58:$O$88,DAY(B140))),"Day over "&amp;INDEX($O$58:$O$88,DAY(B140))&amp;" h","✓")))))))))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tr">
        <f aca="false">IF(Projects!B138="","",Projects!B138)</f>
        <v/>
      </c>
      <c r="X140" s="1" t="n">
        <f aca="false">IF(W140="",0,SUMIFS($I$7:$I$256,$D$7:$D$256,W140,$H$7:$H$256,"NTIME"))</f>
        <v>0</v>
      </c>
      <c r="Y140" s="1" t="n">
        <f aca="false">IF(W140="",0,SUMIFS($I$7:$I$256,$D$7:$D$256,W140,$H$7:$H$256,"P6"))</f>
        <v>0</v>
      </c>
      <c r="Z140" s="1" t="n">
        <f aca="false">X140+Y140</f>
        <v>0</v>
      </c>
      <c r="AA140" s="1" t="n">
        <f aca="false">IF(Z140&gt;0,Z140+(201-134)/10^6,0)</f>
        <v>0</v>
      </c>
      <c r="AB140" s="1"/>
      <c r="AC140" s="1"/>
      <c r="AD140" s="1"/>
      <c r="AE140" s="1"/>
      <c r="AF140" s="1"/>
      <c r="AG140" s="1"/>
      <c r="AH140" s="1"/>
    </row>
    <row r="141" customFormat="false" ht="15" hidden="false" customHeight="false" outlineLevel="0" collapsed="false">
      <c r="A141" s="1"/>
      <c r="B141" s="10"/>
      <c r="C141" s="31" t="str">
        <f aca="false">IF(B141="","",TEXT(B141,"ddd"))</f>
        <v/>
      </c>
      <c r="D141" s="11"/>
      <c r="E141" s="8" t="str">
        <f aca="false">IF(D141="","",IFERROR(INDEX(ProjNumbers,MATCH(D141,ProjNames,0)),""))</f>
        <v/>
      </c>
      <c r="F141" s="8" t="str">
        <f aca="false">IF(D141="","",IFERROR(INDEX(ProjCodes,MATCH(D141,ProjNames,0)),""))</f>
        <v/>
      </c>
      <c r="G141" s="32"/>
      <c r="H141" s="11"/>
      <c r="I141" s="33"/>
      <c r="J141" s="8" t="str">
        <f aca="false">IF(COUNTA(B141,D141,G141,H141,I141)=0,"",IF(B141="","Enter date",IF(OR(B141&lt;$AC$2,B141&gt;$AC$3),"Date not in May",IF(D141="","Pick project",IF(ISNA(MATCH(D141,ProjNames,0)),"Project not in list",IF(G141="","Add task description",IF(H141="","Pick NTIME or P6",IF(N(I141)&lt;=0,"Enter hours",IF(AND(AllowOT&lt;&gt;"Yes",SUMIF($B$7:$B$256,B141,$I$7:$I$256)&gt;INDEX($O$58:$O$88,DAY(B141))),"Day over "&amp;INDEX($O$58:$O$88,DAY(B141))&amp;" h","✓")))))))))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tr">
        <f aca="false">IF(Projects!B139="","",Projects!B139)</f>
        <v/>
      </c>
      <c r="X141" s="1" t="n">
        <f aca="false">IF(W141="",0,SUMIFS($I$7:$I$256,$D$7:$D$256,W141,$H$7:$H$256,"NTIME"))</f>
        <v>0</v>
      </c>
      <c r="Y141" s="1" t="n">
        <f aca="false">IF(W141="",0,SUMIFS($I$7:$I$256,$D$7:$D$256,W141,$H$7:$H$256,"P6"))</f>
        <v>0</v>
      </c>
      <c r="Z141" s="1" t="n">
        <f aca="false">X141+Y141</f>
        <v>0</v>
      </c>
      <c r="AA141" s="1" t="n">
        <f aca="false">IF(Z141&gt;0,Z141+(201-135)/10^6,0)</f>
        <v>0</v>
      </c>
      <c r="AB141" s="1"/>
      <c r="AC141" s="1"/>
      <c r="AD141" s="1"/>
      <c r="AE141" s="1"/>
      <c r="AF141" s="1"/>
      <c r="AG141" s="1"/>
      <c r="AH141" s="1"/>
    </row>
    <row r="142" customFormat="false" ht="15" hidden="false" customHeight="false" outlineLevel="0" collapsed="false">
      <c r="A142" s="1"/>
      <c r="B142" s="10"/>
      <c r="C142" s="31" t="str">
        <f aca="false">IF(B142="","",TEXT(B142,"ddd"))</f>
        <v/>
      </c>
      <c r="D142" s="11"/>
      <c r="E142" s="8" t="str">
        <f aca="false">IF(D142="","",IFERROR(INDEX(ProjNumbers,MATCH(D142,ProjNames,0)),""))</f>
        <v/>
      </c>
      <c r="F142" s="8" t="str">
        <f aca="false">IF(D142="","",IFERROR(INDEX(ProjCodes,MATCH(D142,ProjNames,0)),""))</f>
        <v/>
      </c>
      <c r="G142" s="32"/>
      <c r="H142" s="11"/>
      <c r="I142" s="33"/>
      <c r="J142" s="8" t="str">
        <f aca="false">IF(COUNTA(B142,D142,G142,H142,I142)=0,"",IF(B142="","Enter date",IF(OR(B142&lt;$AC$2,B142&gt;$AC$3),"Date not in May",IF(D142="","Pick project",IF(ISNA(MATCH(D142,ProjNames,0)),"Project not in list",IF(G142="","Add task description",IF(H142="","Pick NTIME or P6",IF(N(I142)&lt;=0,"Enter hours",IF(AND(AllowOT&lt;&gt;"Yes",SUMIF($B$7:$B$256,B142,$I$7:$I$256)&gt;INDEX($O$58:$O$88,DAY(B142))),"Day over "&amp;INDEX($O$58:$O$88,DAY(B142))&amp;" h","✓")))))))))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tr">
        <f aca="false">IF(Projects!B140="","",Projects!B140)</f>
        <v/>
      </c>
      <c r="X142" s="1" t="n">
        <f aca="false">IF(W142="",0,SUMIFS($I$7:$I$256,$D$7:$D$256,W142,$H$7:$H$256,"NTIME"))</f>
        <v>0</v>
      </c>
      <c r="Y142" s="1" t="n">
        <f aca="false">IF(W142="",0,SUMIFS($I$7:$I$256,$D$7:$D$256,W142,$H$7:$H$256,"P6"))</f>
        <v>0</v>
      </c>
      <c r="Z142" s="1" t="n">
        <f aca="false">X142+Y142</f>
        <v>0</v>
      </c>
      <c r="AA142" s="1" t="n">
        <f aca="false">IF(Z142&gt;0,Z142+(201-136)/10^6,0)</f>
        <v>0</v>
      </c>
      <c r="AB142" s="1"/>
      <c r="AC142" s="1"/>
      <c r="AD142" s="1"/>
      <c r="AE142" s="1"/>
      <c r="AF142" s="1"/>
      <c r="AG142" s="1"/>
      <c r="AH142" s="1"/>
    </row>
    <row r="143" customFormat="false" ht="15" hidden="false" customHeight="false" outlineLevel="0" collapsed="false">
      <c r="A143" s="1"/>
      <c r="B143" s="10"/>
      <c r="C143" s="31" t="str">
        <f aca="false">IF(B143="","",TEXT(B143,"ddd"))</f>
        <v/>
      </c>
      <c r="D143" s="11"/>
      <c r="E143" s="8" t="str">
        <f aca="false">IF(D143="","",IFERROR(INDEX(ProjNumbers,MATCH(D143,ProjNames,0)),""))</f>
        <v/>
      </c>
      <c r="F143" s="8" t="str">
        <f aca="false">IF(D143="","",IFERROR(INDEX(ProjCodes,MATCH(D143,ProjNames,0)),""))</f>
        <v/>
      </c>
      <c r="G143" s="32"/>
      <c r="H143" s="11"/>
      <c r="I143" s="33"/>
      <c r="J143" s="8" t="str">
        <f aca="false">IF(COUNTA(B143,D143,G143,H143,I143)=0,"",IF(B143="","Enter date",IF(OR(B143&lt;$AC$2,B143&gt;$AC$3),"Date not in May",IF(D143="","Pick project",IF(ISNA(MATCH(D143,ProjNames,0)),"Project not in list",IF(G143="","Add task description",IF(H143="","Pick NTIME or P6",IF(N(I143)&lt;=0,"Enter hours",IF(AND(AllowOT&lt;&gt;"Yes",SUMIF($B$7:$B$256,B143,$I$7:$I$256)&gt;INDEX($O$58:$O$88,DAY(B143))),"Day over "&amp;INDEX($O$58:$O$88,DAY(B143))&amp;" h","✓")))))))))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tr">
        <f aca="false">IF(Projects!B141="","",Projects!B141)</f>
        <v/>
      </c>
      <c r="X143" s="1" t="n">
        <f aca="false">IF(W143="",0,SUMIFS($I$7:$I$256,$D$7:$D$256,W143,$H$7:$H$256,"NTIME"))</f>
        <v>0</v>
      </c>
      <c r="Y143" s="1" t="n">
        <f aca="false">IF(W143="",0,SUMIFS($I$7:$I$256,$D$7:$D$256,W143,$H$7:$H$256,"P6"))</f>
        <v>0</v>
      </c>
      <c r="Z143" s="1" t="n">
        <f aca="false">X143+Y143</f>
        <v>0</v>
      </c>
      <c r="AA143" s="1" t="n">
        <f aca="false">IF(Z143&gt;0,Z143+(201-137)/10^6,0)</f>
        <v>0</v>
      </c>
      <c r="AB143" s="1"/>
      <c r="AC143" s="1"/>
      <c r="AD143" s="1"/>
      <c r="AE143" s="1"/>
      <c r="AF143" s="1"/>
      <c r="AG143" s="1"/>
      <c r="AH143" s="1"/>
    </row>
    <row r="144" customFormat="false" ht="15" hidden="false" customHeight="false" outlineLevel="0" collapsed="false">
      <c r="A144" s="1"/>
      <c r="B144" s="10"/>
      <c r="C144" s="31" t="str">
        <f aca="false">IF(B144="","",TEXT(B144,"ddd"))</f>
        <v/>
      </c>
      <c r="D144" s="11"/>
      <c r="E144" s="8" t="str">
        <f aca="false">IF(D144="","",IFERROR(INDEX(ProjNumbers,MATCH(D144,ProjNames,0)),""))</f>
        <v/>
      </c>
      <c r="F144" s="8" t="str">
        <f aca="false">IF(D144="","",IFERROR(INDEX(ProjCodes,MATCH(D144,ProjNames,0)),""))</f>
        <v/>
      </c>
      <c r="G144" s="32"/>
      <c r="H144" s="11"/>
      <c r="I144" s="33"/>
      <c r="J144" s="8" t="str">
        <f aca="false">IF(COUNTA(B144,D144,G144,H144,I144)=0,"",IF(B144="","Enter date",IF(OR(B144&lt;$AC$2,B144&gt;$AC$3),"Date not in May",IF(D144="","Pick project",IF(ISNA(MATCH(D144,ProjNames,0)),"Project not in list",IF(G144="","Add task description",IF(H144="","Pick NTIME or P6",IF(N(I144)&lt;=0,"Enter hours",IF(AND(AllowOT&lt;&gt;"Yes",SUMIF($B$7:$B$256,B144,$I$7:$I$256)&gt;INDEX($O$58:$O$88,DAY(B144))),"Day over "&amp;INDEX($O$58:$O$88,DAY(B144))&amp;" h","✓")))))))))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tr">
        <f aca="false">IF(Projects!B142="","",Projects!B142)</f>
        <v/>
      </c>
      <c r="X144" s="1" t="n">
        <f aca="false">IF(W144="",0,SUMIFS($I$7:$I$256,$D$7:$D$256,W144,$H$7:$H$256,"NTIME"))</f>
        <v>0</v>
      </c>
      <c r="Y144" s="1" t="n">
        <f aca="false">IF(W144="",0,SUMIFS($I$7:$I$256,$D$7:$D$256,W144,$H$7:$H$256,"P6"))</f>
        <v>0</v>
      </c>
      <c r="Z144" s="1" t="n">
        <f aca="false">X144+Y144</f>
        <v>0</v>
      </c>
      <c r="AA144" s="1" t="n">
        <f aca="false">IF(Z144&gt;0,Z144+(201-138)/10^6,0)</f>
        <v>0</v>
      </c>
      <c r="AB144" s="1"/>
      <c r="AC144" s="1"/>
      <c r="AD144" s="1"/>
      <c r="AE144" s="1"/>
      <c r="AF144" s="1"/>
      <c r="AG144" s="1"/>
      <c r="AH144" s="1"/>
    </row>
    <row r="145" customFormat="false" ht="15" hidden="false" customHeight="false" outlineLevel="0" collapsed="false">
      <c r="A145" s="1"/>
      <c r="B145" s="10"/>
      <c r="C145" s="31" t="str">
        <f aca="false">IF(B145="","",TEXT(B145,"ddd"))</f>
        <v/>
      </c>
      <c r="D145" s="11"/>
      <c r="E145" s="8" t="str">
        <f aca="false">IF(D145="","",IFERROR(INDEX(ProjNumbers,MATCH(D145,ProjNames,0)),""))</f>
        <v/>
      </c>
      <c r="F145" s="8" t="str">
        <f aca="false">IF(D145="","",IFERROR(INDEX(ProjCodes,MATCH(D145,ProjNames,0)),""))</f>
        <v/>
      </c>
      <c r="G145" s="32"/>
      <c r="H145" s="11"/>
      <c r="I145" s="33"/>
      <c r="J145" s="8" t="str">
        <f aca="false">IF(COUNTA(B145,D145,G145,H145,I145)=0,"",IF(B145="","Enter date",IF(OR(B145&lt;$AC$2,B145&gt;$AC$3),"Date not in May",IF(D145="","Pick project",IF(ISNA(MATCH(D145,ProjNames,0)),"Project not in list",IF(G145="","Add task description",IF(H145="","Pick NTIME or P6",IF(N(I145)&lt;=0,"Enter hours",IF(AND(AllowOT&lt;&gt;"Yes",SUMIF($B$7:$B$256,B145,$I$7:$I$256)&gt;INDEX($O$58:$O$88,DAY(B145))),"Day over "&amp;INDEX($O$58:$O$88,DAY(B145))&amp;" h","✓")))))))))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tr">
        <f aca="false">IF(Projects!B143="","",Projects!B143)</f>
        <v/>
      </c>
      <c r="X145" s="1" t="n">
        <f aca="false">IF(W145="",0,SUMIFS($I$7:$I$256,$D$7:$D$256,W145,$H$7:$H$256,"NTIME"))</f>
        <v>0</v>
      </c>
      <c r="Y145" s="1" t="n">
        <f aca="false">IF(W145="",0,SUMIFS($I$7:$I$256,$D$7:$D$256,W145,$H$7:$H$256,"P6"))</f>
        <v>0</v>
      </c>
      <c r="Z145" s="1" t="n">
        <f aca="false">X145+Y145</f>
        <v>0</v>
      </c>
      <c r="AA145" s="1" t="n">
        <f aca="false">IF(Z145&gt;0,Z145+(201-139)/10^6,0)</f>
        <v>0</v>
      </c>
      <c r="AB145" s="1"/>
      <c r="AC145" s="1"/>
      <c r="AD145" s="1"/>
      <c r="AE145" s="1"/>
      <c r="AF145" s="1"/>
      <c r="AG145" s="1"/>
      <c r="AH145" s="1"/>
    </row>
    <row r="146" customFormat="false" ht="15" hidden="false" customHeight="false" outlineLevel="0" collapsed="false">
      <c r="A146" s="1"/>
      <c r="B146" s="10"/>
      <c r="C146" s="31" t="str">
        <f aca="false">IF(B146="","",TEXT(B146,"ddd"))</f>
        <v/>
      </c>
      <c r="D146" s="11"/>
      <c r="E146" s="8" t="str">
        <f aca="false">IF(D146="","",IFERROR(INDEX(ProjNumbers,MATCH(D146,ProjNames,0)),""))</f>
        <v/>
      </c>
      <c r="F146" s="8" t="str">
        <f aca="false">IF(D146="","",IFERROR(INDEX(ProjCodes,MATCH(D146,ProjNames,0)),""))</f>
        <v/>
      </c>
      <c r="G146" s="32"/>
      <c r="H146" s="11"/>
      <c r="I146" s="33"/>
      <c r="J146" s="8" t="str">
        <f aca="false">IF(COUNTA(B146,D146,G146,H146,I146)=0,"",IF(B146="","Enter date",IF(OR(B146&lt;$AC$2,B146&gt;$AC$3),"Date not in May",IF(D146="","Pick project",IF(ISNA(MATCH(D146,ProjNames,0)),"Project not in list",IF(G146="","Add task description",IF(H146="","Pick NTIME or P6",IF(N(I146)&lt;=0,"Enter hours",IF(AND(AllowOT&lt;&gt;"Yes",SUMIF($B$7:$B$256,B146,$I$7:$I$256)&gt;INDEX($O$58:$O$88,DAY(B146))),"Day over "&amp;INDEX($O$58:$O$88,DAY(B146))&amp;" h","✓")))))))))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tr">
        <f aca="false">IF(Projects!B144="","",Projects!B144)</f>
        <v/>
      </c>
      <c r="X146" s="1" t="n">
        <f aca="false">IF(W146="",0,SUMIFS($I$7:$I$256,$D$7:$D$256,W146,$H$7:$H$256,"NTIME"))</f>
        <v>0</v>
      </c>
      <c r="Y146" s="1" t="n">
        <f aca="false">IF(W146="",0,SUMIFS($I$7:$I$256,$D$7:$D$256,W146,$H$7:$H$256,"P6"))</f>
        <v>0</v>
      </c>
      <c r="Z146" s="1" t="n">
        <f aca="false">X146+Y146</f>
        <v>0</v>
      </c>
      <c r="AA146" s="1" t="n">
        <f aca="false">IF(Z146&gt;0,Z146+(201-140)/10^6,0)</f>
        <v>0</v>
      </c>
      <c r="AB146" s="1"/>
      <c r="AC146" s="1"/>
      <c r="AD146" s="1"/>
      <c r="AE146" s="1"/>
      <c r="AF146" s="1"/>
      <c r="AG146" s="1"/>
      <c r="AH146" s="1"/>
    </row>
    <row r="147" customFormat="false" ht="15" hidden="false" customHeight="false" outlineLevel="0" collapsed="false">
      <c r="A147" s="1"/>
      <c r="B147" s="10"/>
      <c r="C147" s="31" t="str">
        <f aca="false">IF(B147="","",TEXT(B147,"ddd"))</f>
        <v/>
      </c>
      <c r="D147" s="11"/>
      <c r="E147" s="8" t="str">
        <f aca="false">IF(D147="","",IFERROR(INDEX(ProjNumbers,MATCH(D147,ProjNames,0)),""))</f>
        <v/>
      </c>
      <c r="F147" s="8" t="str">
        <f aca="false">IF(D147="","",IFERROR(INDEX(ProjCodes,MATCH(D147,ProjNames,0)),""))</f>
        <v/>
      </c>
      <c r="G147" s="32"/>
      <c r="H147" s="11"/>
      <c r="I147" s="33"/>
      <c r="J147" s="8" t="str">
        <f aca="false">IF(COUNTA(B147,D147,G147,H147,I147)=0,"",IF(B147="","Enter date",IF(OR(B147&lt;$AC$2,B147&gt;$AC$3),"Date not in May",IF(D147="","Pick project",IF(ISNA(MATCH(D147,ProjNames,0)),"Project not in list",IF(G147="","Add task description",IF(H147="","Pick NTIME or P6",IF(N(I147)&lt;=0,"Enter hours",IF(AND(AllowOT&lt;&gt;"Yes",SUMIF($B$7:$B$256,B147,$I$7:$I$256)&gt;INDEX($O$58:$O$88,DAY(B147))),"Day over "&amp;INDEX($O$58:$O$88,DAY(B147))&amp;" h","✓")))))))))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tr">
        <f aca="false">IF(Projects!B145="","",Projects!B145)</f>
        <v/>
      </c>
      <c r="X147" s="1" t="n">
        <f aca="false">IF(W147="",0,SUMIFS($I$7:$I$256,$D$7:$D$256,W147,$H$7:$H$256,"NTIME"))</f>
        <v>0</v>
      </c>
      <c r="Y147" s="1" t="n">
        <f aca="false">IF(W147="",0,SUMIFS($I$7:$I$256,$D$7:$D$256,W147,$H$7:$H$256,"P6"))</f>
        <v>0</v>
      </c>
      <c r="Z147" s="1" t="n">
        <f aca="false">X147+Y147</f>
        <v>0</v>
      </c>
      <c r="AA147" s="1" t="n">
        <f aca="false">IF(Z147&gt;0,Z147+(201-141)/10^6,0)</f>
        <v>0</v>
      </c>
      <c r="AB147" s="1"/>
      <c r="AC147" s="1"/>
      <c r="AD147" s="1"/>
      <c r="AE147" s="1"/>
      <c r="AF147" s="1"/>
      <c r="AG147" s="1"/>
      <c r="AH147" s="1"/>
    </row>
    <row r="148" customFormat="false" ht="15" hidden="false" customHeight="false" outlineLevel="0" collapsed="false">
      <c r="A148" s="1"/>
      <c r="B148" s="10"/>
      <c r="C148" s="31" t="str">
        <f aca="false">IF(B148="","",TEXT(B148,"ddd"))</f>
        <v/>
      </c>
      <c r="D148" s="11"/>
      <c r="E148" s="8" t="str">
        <f aca="false">IF(D148="","",IFERROR(INDEX(ProjNumbers,MATCH(D148,ProjNames,0)),""))</f>
        <v/>
      </c>
      <c r="F148" s="8" t="str">
        <f aca="false">IF(D148="","",IFERROR(INDEX(ProjCodes,MATCH(D148,ProjNames,0)),""))</f>
        <v/>
      </c>
      <c r="G148" s="32"/>
      <c r="H148" s="11"/>
      <c r="I148" s="33"/>
      <c r="J148" s="8" t="str">
        <f aca="false">IF(COUNTA(B148,D148,G148,H148,I148)=0,"",IF(B148="","Enter date",IF(OR(B148&lt;$AC$2,B148&gt;$AC$3),"Date not in May",IF(D148="","Pick project",IF(ISNA(MATCH(D148,ProjNames,0)),"Project not in list",IF(G148="","Add task description",IF(H148="","Pick NTIME or P6",IF(N(I148)&lt;=0,"Enter hours",IF(AND(AllowOT&lt;&gt;"Yes",SUMIF($B$7:$B$256,B148,$I$7:$I$256)&gt;INDEX($O$58:$O$88,DAY(B148))),"Day over "&amp;INDEX($O$58:$O$88,DAY(B148))&amp;" h","✓")))))))))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tr">
        <f aca="false">IF(Projects!B146="","",Projects!B146)</f>
        <v/>
      </c>
      <c r="X148" s="1" t="n">
        <f aca="false">IF(W148="",0,SUMIFS($I$7:$I$256,$D$7:$D$256,W148,$H$7:$H$256,"NTIME"))</f>
        <v>0</v>
      </c>
      <c r="Y148" s="1" t="n">
        <f aca="false">IF(W148="",0,SUMIFS($I$7:$I$256,$D$7:$D$256,W148,$H$7:$H$256,"P6"))</f>
        <v>0</v>
      </c>
      <c r="Z148" s="1" t="n">
        <f aca="false">X148+Y148</f>
        <v>0</v>
      </c>
      <c r="AA148" s="1" t="n">
        <f aca="false">IF(Z148&gt;0,Z148+(201-142)/10^6,0)</f>
        <v>0</v>
      </c>
      <c r="AB148" s="1"/>
      <c r="AC148" s="1"/>
      <c r="AD148" s="1"/>
      <c r="AE148" s="1"/>
      <c r="AF148" s="1"/>
      <c r="AG148" s="1"/>
      <c r="AH148" s="1"/>
    </row>
    <row r="149" customFormat="false" ht="15" hidden="false" customHeight="false" outlineLevel="0" collapsed="false">
      <c r="A149" s="1"/>
      <c r="B149" s="10"/>
      <c r="C149" s="31" t="str">
        <f aca="false">IF(B149="","",TEXT(B149,"ddd"))</f>
        <v/>
      </c>
      <c r="D149" s="11"/>
      <c r="E149" s="8" t="str">
        <f aca="false">IF(D149="","",IFERROR(INDEX(ProjNumbers,MATCH(D149,ProjNames,0)),""))</f>
        <v/>
      </c>
      <c r="F149" s="8" t="str">
        <f aca="false">IF(D149="","",IFERROR(INDEX(ProjCodes,MATCH(D149,ProjNames,0)),""))</f>
        <v/>
      </c>
      <c r="G149" s="32"/>
      <c r="H149" s="11"/>
      <c r="I149" s="33"/>
      <c r="J149" s="8" t="str">
        <f aca="false">IF(COUNTA(B149,D149,G149,H149,I149)=0,"",IF(B149="","Enter date",IF(OR(B149&lt;$AC$2,B149&gt;$AC$3),"Date not in May",IF(D149="","Pick project",IF(ISNA(MATCH(D149,ProjNames,0)),"Project not in list",IF(G149="","Add task description",IF(H149="","Pick NTIME or P6",IF(N(I149)&lt;=0,"Enter hours",IF(AND(AllowOT&lt;&gt;"Yes",SUMIF($B$7:$B$256,B149,$I$7:$I$256)&gt;INDEX($O$58:$O$88,DAY(B149))),"Day over "&amp;INDEX($O$58:$O$88,DAY(B149))&amp;" h","✓")))))))))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tr">
        <f aca="false">IF(Projects!B147="","",Projects!B147)</f>
        <v/>
      </c>
      <c r="X149" s="1" t="n">
        <f aca="false">IF(W149="",0,SUMIFS($I$7:$I$256,$D$7:$D$256,W149,$H$7:$H$256,"NTIME"))</f>
        <v>0</v>
      </c>
      <c r="Y149" s="1" t="n">
        <f aca="false">IF(W149="",0,SUMIFS($I$7:$I$256,$D$7:$D$256,W149,$H$7:$H$256,"P6"))</f>
        <v>0</v>
      </c>
      <c r="Z149" s="1" t="n">
        <f aca="false">X149+Y149</f>
        <v>0</v>
      </c>
      <c r="AA149" s="1" t="n">
        <f aca="false">IF(Z149&gt;0,Z149+(201-143)/10^6,0)</f>
        <v>0</v>
      </c>
      <c r="AB149" s="1"/>
      <c r="AC149" s="1"/>
      <c r="AD149" s="1"/>
      <c r="AE149" s="1"/>
      <c r="AF149" s="1"/>
      <c r="AG149" s="1"/>
      <c r="AH149" s="1"/>
    </row>
    <row r="150" customFormat="false" ht="15" hidden="false" customHeight="false" outlineLevel="0" collapsed="false">
      <c r="A150" s="1"/>
      <c r="B150" s="10"/>
      <c r="C150" s="31" t="str">
        <f aca="false">IF(B150="","",TEXT(B150,"ddd"))</f>
        <v/>
      </c>
      <c r="D150" s="11"/>
      <c r="E150" s="8" t="str">
        <f aca="false">IF(D150="","",IFERROR(INDEX(ProjNumbers,MATCH(D150,ProjNames,0)),""))</f>
        <v/>
      </c>
      <c r="F150" s="8" t="str">
        <f aca="false">IF(D150="","",IFERROR(INDEX(ProjCodes,MATCH(D150,ProjNames,0)),""))</f>
        <v/>
      </c>
      <c r="G150" s="32"/>
      <c r="H150" s="11"/>
      <c r="I150" s="33"/>
      <c r="J150" s="8" t="str">
        <f aca="false">IF(COUNTA(B150,D150,G150,H150,I150)=0,"",IF(B150="","Enter date",IF(OR(B150&lt;$AC$2,B150&gt;$AC$3),"Date not in May",IF(D150="","Pick project",IF(ISNA(MATCH(D150,ProjNames,0)),"Project not in list",IF(G150="","Add task description",IF(H150="","Pick NTIME or P6",IF(N(I150)&lt;=0,"Enter hours",IF(AND(AllowOT&lt;&gt;"Yes",SUMIF($B$7:$B$256,B150,$I$7:$I$256)&gt;INDEX($O$58:$O$88,DAY(B150))),"Day over "&amp;INDEX($O$58:$O$88,DAY(B150))&amp;" h","✓")))))))))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tr">
        <f aca="false">IF(Projects!B148="","",Projects!B148)</f>
        <v/>
      </c>
      <c r="X150" s="1" t="n">
        <f aca="false">IF(W150="",0,SUMIFS($I$7:$I$256,$D$7:$D$256,W150,$H$7:$H$256,"NTIME"))</f>
        <v>0</v>
      </c>
      <c r="Y150" s="1" t="n">
        <f aca="false">IF(W150="",0,SUMIFS($I$7:$I$256,$D$7:$D$256,W150,$H$7:$H$256,"P6"))</f>
        <v>0</v>
      </c>
      <c r="Z150" s="1" t="n">
        <f aca="false">X150+Y150</f>
        <v>0</v>
      </c>
      <c r="AA150" s="1" t="n">
        <f aca="false">IF(Z150&gt;0,Z150+(201-144)/10^6,0)</f>
        <v>0</v>
      </c>
      <c r="AB150" s="1"/>
      <c r="AC150" s="1"/>
      <c r="AD150" s="1"/>
      <c r="AE150" s="1"/>
      <c r="AF150" s="1"/>
      <c r="AG150" s="1"/>
      <c r="AH150" s="1"/>
    </row>
    <row r="151" customFormat="false" ht="15" hidden="false" customHeight="false" outlineLevel="0" collapsed="false">
      <c r="A151" s="1"/>
      <c r="B151" s="10"/>
      <c r="C151" s="31" t="str">
        <f aca="false">IF(B151="","",TEXT(B151,"ddd"))</f>
        <v/>
      </c>
      <c r="D151" s="11"/>
      <c r="E151" s="8" t="str">
        <f aca="false">IF(D151="","",IFERROR(INDEX(ProjNumbers,MATCH(D151,ProjNames,0)),""))</f>
        <v/>
      </c>
      <c r="F151" s="8" t="str">
        <f aca="false">IF(D151="","",IFERROR(INDEX(ProjCodes,MATCH(D151,ProjNames,0)),""))</f>
        <v/>
      </c>
      <c r="G151" s="32"/>
      <c r="H151" s="11"/>
      <c r="I151" s="33"/>
      <c r="J151" s="8" t="str">
        <f aca="false">IF(COUNTA(B151,D151,G151,H151,I151)=0,"",IF(B151="","Enter date",IF(OR(B151&lt;$AC$2,B151&gt;$AC$3),"Date not in May",IF(D151="","Pick project",IF(ISNA(MATCH(D151,ProjNames,0)),"Project not in list",IF(G151="","Add task description",IF(H151="","Pick NTIME or P6",IF(N(I151)&lt;=0,"Enter hours",IF(AND(AllowOT&lt;&gt;"Yes",SUMIF($B$7:$B$256,B151,$I$7:$I$256)&gt;INDEX($O$58:$O$88,DAY(B151))),"Day over "&amp;INDEX($O$58:$O$88,DAY(B151))&amp;" h","✓")))))))))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tr">
        <f aca="false">IF(Projects!B149="","",Projects!B149)</f>
        <v/>
      </c>
      <c r="X151" s="1" t="n">
        <f aca="false">IF(W151="",0,SUMIFS($I$7:$I$256,$D$7:$D$256,W151,$H$7:$H$256,"NTIME"))</f>
        <v>0</v>
      </c>
      <c r="Y151" s="1" t="n">
        <f aca="false">IF(W151="",0,SUMIFS($I$7:$I$256,$D$7:$D$256,W151,$H$7:$H$256,"P6"))</f>
        <v>0</v>
      </c>
      <c r="Z151" s="1" t="n">
        <f aca="false">X151+Y151</f>
        <v>0</v>
      </c>
      <c r="AA151" s="1" t="n">
        <f aca="false">IF(Z151&gt;0,Z151+(201-145)/10^6,0)</f>
        <v>0</v>
      </c>
      <c r="AB151" s="1"/>
      <c r="AC151" s="1"/>
      <c r="AD151" s="1"/>
      <c r="AE151" s="1"/>
      <c r="AF151" s="1"/>
      <c r="AG151" s="1"/>
      <c r="AH151" s="1"/>
    </row>
    <row r="152" customFormat="false" ht="15" hidden="false" customHeight="false" outlineLevel="0" collapsed="false">
      <c r="A152" s="1"/>
      <c r="B152" s="10"/>
      <c r="C152" s="31" t="str">
        <f aca="false">IF(B152="","",TEXT(B152,"ddd"))</f>
        <v/>
      </c>
      <c r="D152" s="11"/>
      <c r="E152" s="8" t="str">
        <f aca="false">IF(D152="","",IFERROR(INDEX(ProjNumbers,MATCH(D152,ProjNames,0)),""))</f>
        <v/>
      </c>
      <c r="F152" s="8" t="str">
        <f aca="false">IF(D152="","",IFERROR(INDEX(ProjCodes,MATCH(D152,ProjNames,0)),""))</f>
        <v/>
      </c>
      <c r="G152" s="32"/>
      <c r="H152" s="11"/>
      <c r="I152" s="33"/>
      <c r="J152" s="8" t="str">
        <f aca="false">IF(COUNTA(B152,D152,G152,H152,I152)=0,"",IF(B152="","Enter date",IF(OR(B152&lt;$AC$2,B152&gt;$AC$3),"Date not in May",IF(D152="","Pick project",IF(ISNA(MATCH(D152,ProjNames,0)),"Project not in list",IF(G152="","Add task description",IF(H152="","Pick NTIME or P6",IF(N(I152)&lt;=0,"Enter hours",IF(AND(AllowOT&lt;&gt;"Yes",SUMIF($B$7:$B$256,B152,$I$7:$I$256)&gt;INDEX($O$58:$O$88,DAY(B152))),"Day over "&amp;INDEX($O$58:$O$88,DAY(B152))&amp;" h","✓")))))))))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tr">
        <f aca="false">IF(Projects!B150="","",Projects!B150)</f>
        <v/>
      </c>
      <c r="X152" s="1" t="n">
        <f aca="false">IF(W152="",0,SUMIFS($I$7:$I$256,$D$7:$D$256,W152,$H$7:$H$256,"NTIME"))</f>
        <v>0</v>
      </c>
      <c r="Y152" s="1" t="n">
        <f aca="false">IF(W152="",0,SUMIFS($I$7:$I$256,$D$7:$D$256,W152,$H$7:$H$256,"P6"))</f>
        <v>0</v>
      </c>
      <c r="Z152" s="1" t="n">
        <f aca="false">X152+Y152</f>
        <v>0</v>
      </c>
      <c r="AA152" s="1" t="n">
        <f aca="false">IF(Z152&gt;0,Z152+(201-146)/10^6,0)</f>
        <v>0</v>
      </c>
      <c r="AB152" s="1"/>
      <c r="AC152" s="1"/>
      <c r="AD152" s="1"/>
      <c r="AE152" s="1"/>
      <c r="AF152" s="1"/>
      <c r="AG152" s="1"/>
      <c r="AH152" s="1"/>
    </row>
    <row r="153" customFormat="false" ht="15" hidden="false" customHeight="false" outlineLevel="0" collapsed="false">
      <c r="A153" s="1"/>
      <c r="B153" s="10"/>
      <c r="C153" s="31" t="str">
        <f aca="false">IF(B153="","",TEXT(B153,"ddd"))</f>
        <v/>
      </c>
      <c r="D153" s="11"/>
      <c r="E153" s="8" t="str">
        <f aca="false">IF(D153="","",IFERROR(INDEX(ProjNumbers,MATCH(D153,ProjNames,0)),""))</f>
        <v/>
      </c>
      <c r="F153" s="8" t="str">
        <f aca="false">IF(D153="","",IFERROR(INDEX(ProjCodes,MATCH(D153,ProjNames,0)),""))</f>
        <v/>
      </c>
      <c r="G153" s="32"/>
      <c r="H153" s="11"/>
      <c r="I153" s="33"/>
      <c r="J153" s="8" t="str">
        <f aca="false">IF(COUNTA(B153,D153,G153,H153,I153)=0,"",IF(B153="","Enter date",IF(OR(B153&lt;$AC$2,B153&gt;$AC$3),"Date not in May",IF(D153="","Pick project",IF(ISNA(MATCH(D153,ProjNames,0)),"Project not in list",IF(G153="","Add task description",IF(H153="","Pick NTIME or P6",IF(N(I153)&lt;=0,"Enter hours",IF(AND(AllowOT&lt;&gt;"Yes",SUMIF($B$7:$B$256,B153,$I$7:$I$256)&gt;INDEX($O$58:$O$88,DAY(B153))),"Day over "&amp;INDEX($O$58:$O$88,DAY(B153))&amp;" h","✓")))))))))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tr">
        <f aca="false">IF(Projects!B151="","",Projects!B151)</f>
        <v/>
      </c>
      <c r="X153" s="1" t="n">
        <f aca="false">IF(W153="",0,SUMIFS($I$7:$I$256,$D$7:$D$256,W153,$H$7:$H$256,"NTIME"))</f>
        <v>0</v>
      </c>
      <c r="Y153" s="1" t="n">
        <f aca="false">IF(W153="",0,SUMIFS($I$7:$I$256,$D$7:$D$256,W153,$H$7:$H$256,"P6"))</f>
        <v>0</v>
      </c>
      <c r="Z153" s="1" t="n">
        <f aca="false">X153+Y153</f>
        <v>0</v>
      </c>
      <c r="AA153" s="1" t="n">
        <f aca="false">IF(Z153&gt;0,Z153+(201-147)/10^6,0)</f>
        <v>0</v>
      </c>
      <c r="AB153" s="1"/>
      <c r="AC153" s="1"/>
      <c r="AD153" s="1"/>
      <c r="AE153" s="1"/>
      <c r="AF153" s="1"/>
      <c r="AG153" s="1"/>
      <c r="AH153" s="1"/>
    </row>
    <row r="154" customFormat="false" ht="15" hidden="false" customHeight="false" outlineLevel="0" collapsed="false">
      <c r="A154" s="1"/>
      <c r="B154" s="10"/>
      <c r="C154" s="31" t="str">
        <f aca="false">IF(B154="","",TEXT(B154,"ddd"))</f>
        <v/>
      </c>
      <c r="D154" s="11"/>
      <c r="E154" s="8" t="str">
        <f aca="false">IF(D154="","",IFERROR(INDEX(ProjNumbers,MATCH(D154,ProjNames,0)),""))</f>
        <v/>
      </c>
      <c r="F154" s="8" t="str">
        <f aca="false">IF(D154="","",IFERROR(INDEX(ProjCodes,MATCH(D154,ProjNames,0)),""))</f>
        <v/>
      </c>
      <c r="G154" s="32"/>
      <c r="H154" s="11"/>
      <c r="I154" s="33"/>
      <c r="J154" s="8" t="str">
        <f aca="false">IF(COUNTA(B154,D154,G154,H154,I154)=0,"",IF(B154="","Enter date",IF(OR(B154&lt;$AC$2,B154&gt;$AC$3),"Date not in May",IF(D154="","Pick project",IF(ISNA(MATCH(D154,ProjNames,0)),"Project not in list",IF(G154="","Add task description",IF(H154="","Pick NTIME or P6",IF(N(I154)&lt;=0,"Enter hours",IF(AND(AllowOT&lt;&gt;"Yes",SUMIF($B$7:$B$256,B154,$I$7:$I$256)&gt;INDEX($O$58:$O$88,DAY(B154))),"Day over "&amp;INDEX($O$58:$O$88,DAY(B154))&amp;" h","✓")))))))))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tr">
        <f aca="false">IF(Projects!B152="","",Projects!B152)</f>
        <v/>
      </c>
      <c r="X154" s="1" t="n">
        <f aca="false">IF(W154="",0,SUMIFS($I$7:$I$256,$D$7:$D$256,W154,$H$7:$H$256,"NTIME"))</f>
        <v>0</v>
      </c>
      <c r="Y154" s="1" t="n">
        <f aca="false">IF(W154="",0,SUMIFS($I$7:$I$256,$D$7:$D$256,W154,$H$7:$H$256,"P6"))</f>
        <v>0</v>
      </c>
      <c r="Z154" s="1" t="n">
        <f aca="false">X154+Y154</f>
        <v>0</v>
      </c>
      <c r="AA154" s="1" t="n">
        <f aca="false">IF(Z154&gt;0,Z154+(201-148)/10^6,0)</f>
        <v>0</v>
      </c>
      <c r="AB154" s="1"/>
      <c r="AC154" s="1"/>
      <c r="AD154" s="1"/>
      <c r="AE154" s="1"/>
      <c r="AF154" s="1"/>
      <c r="AG154" s="1"/>
      <c r="AH154" s="1"/>
    </row>
    <row r="155" customFormat="false" ht="15" hidden="false" customHeight="false" outlineLevel="0" collapsed="false">
      <c r="A155" s="1"/>
      <c r="B155" s="10"/>
      <c r="C155" s="31" t="str">
        <f aca="false">IF(B155="","",TEXT(B155,"ddd"))</f>
        <v/>
      </c>
      <c r="D155" s="11"/>
      <c r="E155" s="8" t="str">
        <f aca="false">IF(D155="","",IFERROR(INDEX(ProjNumbers,MATCH(D155,ProjNames,0)),""))</f>
        <v/>
      </c>
      <c r="F155" s="8" t="str">
        <f aca="false">IF(D155="","",IFERROR(INDEX(ProjCodes,MATCH(D155,ProjNames,0)),""))</f>
        <v/>
      </c>
      <c r="G155" s="32"/>
      <c r="H155" s="11"/>
      <c r="I155" s="33"/>
      <c r="J155" s="8" t="str">
        <f aca="false">IF(COUNTA(B155,D155,G155,H155,I155)=0,"",IF(B155="","Enter date",IF(OR(B155&lt;$AC$2,B155&gt;$AC$3),"Date not in May",IF(D155="","Pick project",IF(ISNA(MATCH(D155,ProjNames,0)),"Project not in list",IF(G155="","Add task description",IF(H155="","Pick NTIME or P6",IF(N(I155)&lt;=0,"Enter hours",IF(AND(AllowOT&lt;&gt;"Yes",SUMIF($B$7:$B$256,B155,$I$7:$I$256)&gt;INDEX($O$58:$O$88,DAY(B155))),"Day over "&amp;INDEX($O$58:$O$88,DAY(B155))&amp;" h","✓")))))))))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tr">
        <f aca="false">IF(Projects!B153="","",Projects!B153)</f>
        <v/>
      </c>
      <c r="X155" s="1" t="n">
        <f aca="false">IF(W155="",0,SUMIFS($I$7:$I$256,$D$7:$D$256,W155,$H$7:$H$256,"NTIME"))</f>
        <v>0</v>
      </c>
      <c r="Y155" s="1" t="n">
        <f aca="false">IF(W155="",0,SUMIFS($I$7:$I$256,$D$7:$D$256,W155,$H$7:$H$256,"P6"))</f>
        <v>0</v>
      </c>
      <c r="Z155" s="1" t="n">
        <f aca="false">X155+Y155</f>
        <v>0</v>
      </c>
      <c r="AA155" s="1" t="n">
        <f aca="false">IF(Z155&gt;0,Z155+(201-149)/10^6,0)</f>
        <v>0</v>
      </c>
      <c r="AB155" s="1"/>
      <c r="AC155" s="1"/>
      <c r="AD155" s="1"/>
      <c r="AE155" s="1"/>
      <c r="AF155" s="1"/>
      <c r="AG155" s="1"/>
      <c r="AH155" s="1"/>
    </row>
    <row r="156" customFormat="false" ht="15" hidden="false" customHeight="false" outlineLevel="0" collapsed="false">
      <c r="A156" s="1"/>
      <c r="B156" s="10"/>
      <c r="C156" s="31" t="str">
        <f aca="false">IF(B156="","",TEXT(B156,"ddd"))</f>
        <v/>
      </c>
      <c r="D156" s="11"/>
      <c r="E156" s="8" t="str">
        <f aca="false">IF(D156="","",IFERROR(INDEX(ProjNumbers,MATCH(D156,ProjNames,0)),""))</f>
        <v/>
      </c>
      <c r="F156" s="8" t="str">
        <f aca="false">IF(D156="","",IFERROR(INDEX(ProjCodes,MATCH(D156,ProjNames,0)),""))</f>
        <v/>
      </c>
      <c r="G156" s="32"/>
      <c r="H156" s="11"/>
      <c r="I156" s="33"/>
      <c r="J156" s="8" t="str">
        <f aca="false">IF(COUNTA(B156,D156,G156,H156,I156)=0,"",IF(B156="","Enter date",IF(OR(B156&lt;$AC$2,B156&gt;$AC$3),"Date not in May",IF(D156="","Pick project",IF(ISNA(MATCH(D156,ProjNames,0)),"Project not in list",IF(G156="","Add task description",IF(H156="","Pick NTIME or P6",IF(N(I156)&lt;=0,"Enter hours",IF(AND(AllowOT&lt;&gt;"Yes",SUMIF($B$7:$B$256,B156,$I$7:$I$256)&gt;INDEX($O$58:$O$88,DAY(B156))),"Day over "&amp;INDEX($O$58:$O$88,DAY(B156))&amp;" h","✓")))))))))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tr">
        <f aca="false">IF(Projects!B154="","",Projects!B154)</f>
        <v/>
      </c>
      <c r="X156" s="1" t="n">
        <f aca="false">IF(W156="",0,SUMIFS($I$7:$I$256,$D$7:$D$256,W156,$H$7:$H$256,"NTIME"))</f>
        <v>0</v>
      </c>
      <c r="Y156" s="1" t="n">
        <f aca="false">IF(W156="",0,SUMIFS($I$7:$I$256,$D$7:$D$256,W156,$H$7:$H$256,"P6"))</f>
        <v>0</v>
      </c>
      <c r="Z156" s="1" t="n">
        <f aca="false">X156+Y156</f>
        <v>0</v>
      </c>
      <c r="AA156" s="1" t="n">
        <f aca="false">IF(Z156&gt;0,Z156+(201-150)/10^6,0)</f>
        <v>0</v>
      </c>
      <c r="AB156" s="1"/>
      <c r="AC156" s="1"/>
      <c r="AD156" s="1"/>
      <c r="AE156" s="1"/>
      <c r="AF156" s="1"/>
      <c r="AG156" s="1"/>
      <c r="AH156" s="1"/>
    </row>
    <row r="157" customFormat="false" ht="15" hidden="false" customHeight="false" outlineLevel="0" collapsed="false">
      <c r="A157" s="1"/>
      <c r="B157" s="10"/>
      <c r="C157" s="31" t="str">
        <f aca="false">IF(B157="","",TEXT(B157,"ddd"))</f>
        <v/>
      </c>
      <c r="D157" s="11"/>
      <c r="E157" s="8" t="str">
        <f aca="false">IF(D157="","",IFERROR(INDEX(ProjNumbers,MATCH(D157,ProjNames,0)),""))</f>
        <v/>
      </c>
      <c r="F157" s="8" t="str">
        <f aca="false">IF(D157="","",IFERROR(INDEX(ProjCodes,MATCH(D157,ProjNames,0)),""))</f>
        <v/>
      </c>
      <c r="G157" s="32"/>
      <c r="H157" s="11"/>
      <c r="I157" s="33"/>
      <c r="J157" s="8" t="str">
        <f aca="false">IF(COUNTA(B157,D157,G157,H157,I157)=0,"",IF(B157="","Enter date",IF(OR(B157&lt;$AC$2,B157&gt;$AC$3),"Date not in May",IF(D157="","Pick project",IF(ISNA(MATCH(D157,ProjNames,0)),"Project not in list",IF(G157="","Add task description",IF(H157="","Pick NTIME or P6",IF(N(I157)&lt;=0,"Enter hours",IF(AND(AllowOT&lt;&gt;"Yes",SUMIF($B$7:$B$256,B157,$I$7:$I$256)&gt;INDEX($O$58:$O$88,DAY(B157))),"Day over "&amp;INDEX($O$58:$O$88,DAY(B157))&amp;" h","✓")))))))))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tr">
        <f aca="false">IF(Projects!B155="","",Projects!B155)</f>
        <v/>
      </c>
      <c r="X157" s="1" t="n">
        <f aca="false">IF(W157="",0,SUMIFS($I$7:$I$256,$D$7:$D$256,W157,$H$7:$H$256,"NTIME"))</f>
        <v>0</v>
      </c>
      <c r="Y157" s="1" t="n">
        <f aca="false">IF(W157="",0,SUMIFS($I$7:$I$256,$D$7:$D$256,W157,$H$7:$H$256,"P6"))</f>
        <v>0</v>
      </c>
      <c r="Z157" s="1" t="n">
        <f aca="false">X157+Y157</f>
        <v>0</v>
      </c>
      <c r="AA157" s="1" t="n">
        <f aca="false">IF(Z157&gt;0,Z157+(201-151)/10^6,0)</f>
        <v>0</v>
      </c>
      <c r="AB157" s="1"/>
      <c r="AC157" s="1"/>
      <c r="AD157" s="1"/>
      <c r="AE157" s="1"/>
      <c r="AF157" s="1"/>
      <c r="AG157" s="1"/>
      <c r="AH157" s="1"/>
    </row>
    <row r="158" customFormat="false" ht="15" hidden="false" customHeight="false" outlineLevel="0" collapsed="false">
      <c r="A158" s="1"/>
      <c r="B158" s="10"/>
      <c r="C158" s="31" t="str">
        <f aca="false">IF(B158="","",TEXT(B158,"ddd"))</f>
        <v/>
      </c>
      <c r="D158" s="11"/>
      <c r="E158" s="8" t="str">
        <f aca="false">IF(D158="","",IFERROR(INDEX(ProjNumbers,MATCH(D158,ProjNames,0)),""))</f>
        <v/>
      </c>
      <c r="F158" s="8" t="str">
        <f aca="false">IF(D158="","",IFERROR(INDEX(ProjCodes,MATCH(D158,ProjNames,0)),""))</f>
        <v/>
      </c>
      <c r="G158" s="32"/>
      <c r="H158" s="11"/>
      <c r="I158" s="33"/>
      <c r="J158" s="8" t="str">
        <f aca="false">IF(COUNTA(B158,D158,G158,H158,I158)=0,"",IF(B158="","Enter date",IF(OR(B158&lt;$AC$2,B158&gt;$AC$3),"Date not in May",IF(D158="","Pick project",IF(ISNA(MATCH(D158,ProjNames,0)),"Project not in list",IF(G158="","Add task description",IF(H158="","Pick NTIME or P6",IF(N(I158)&lt;=0,"Enter hours",IF(AND(AllowOT&lt;&gt;"Yes",SUMIF($B$7:$B$256,B158,$I$7:$I$256)&gt;INDEX($O$58:$O$88,DAY(B158))),"Day over "&amp;INDEX($O$58:$O$88,DAY(B158))&amp;" h","✓")))))))))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tr">
        <f aca="false">IF(Projects!B156="","",Projects!B156)</f>
        <v/>
      </c>
      <c r="X158" s="1" t="n">
        <f aca="false">IF(W158="",0,SUMIFS($I$7:$I$256,$D$7:$D$256,W158,$H$7:$H$256,"NTIME"))</f>
        <v>0</v>
      </c>
      <c r="Y158" s="1" t="n">
        <f aca="false">IF(W158="",0,SUMIFS($I$7:$I$256,$D$7:$D$256,W158,$H$7:$H$256,"P6"))</f>
        <v>0</v>
      </c>
      <c r="Z158" s="1" t="n">
        <f aca="false">X158+Y158</f>
        <v>0</v>
      </c>
      <c r="AA158" s="1" t="n">
        <f aca="false">IF(Z158&gt;0,Z158+(201-152)/10^6,0)</f>
        <v>0</v>
      </c>
      <c r="AB158" s="1"/>
      <c r="AC158" s="1"/>
      <c r="AD158" s="1"/>
      <c r="AE158" s="1"/>
      <c r="AF158" s="1"/>
      <c r="AG158" s="1"/>
      <c r="AH158" s="1"/>
    </row>
    <row r="159" customFormat="false" ht="15" hidden="false" customHeight="false" outlineLevel="0" collapsed="false">
      <c r="A159" s="1"/>
      <c r="B159" s="10"/>
      <c r="C159" s="31" t="str">
        <f aca="false">IF(B159="","",TEXT(B159,"ddd"))</f>
        <v/>
      </c>
      <c r="D159" s="11"/>
      <c r="E159" s="8" t="str">
        <f aca="false">IF(D159="","",IFERROR(INDEX(ProjNumbers,MATCH(D159,ProjNames,0)),""))</f>
        <v/>
      </c>
      <c r="F159" s="8" t="str">
        <f aca="false">IF(D159="","",IFERROR(INDEX(ProjCodes,MATCH(D159,ProjNames,0)),""))</f>
        <v/>
      </c>
      <c r="G159" s="32"/>
      <c r="H159" s="11"/>
      <c r="I159" s="33"/>
      <c r="J159" s="8" t="str">
        <f aca="false">IF(COUNTA(B159,D159,G159,H159,I159)=0,"",IF(B159="","Enter date",IF(OR(B159&lt;$AC$2,B159&gt;$AC$3),"Date not in May",IF(D159="","Pick project",IF(ISNA(MATCH(D159,ProjNames,0)),"Project not in list",IF(G159="","Add task description",IF(H159="","Pick NTIME or P6",IF(N(I159)&lt;=0,"Enter hours",IF(AND(AllowOT&lt;&gt;"Yes",SUMIF($B$7:$B$256,B159,$I$7:$I$256)&gt;INDEX($O$58:$O$88,DAY(B159))),"Day over "&amp;INDEX($O$58:$O$88,DAY(B159))&amp;" h","✓")))))))))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tr">
        <f aca="false">IF(Projects!B157="","",Projects!B157)</f>
        <v/>
      </c>
      <c r="X159" s="1" t="n">
        <f aca="false">IF(W159="",0,SUMIFS($I$7:$I$256,$D$7:$D$256,W159,$H$7:$H$256,"NTIME"))</f>
        <v>0</v>
      </c>
      <c r="Y159" s="1" t="n">
        <f aca="false">IF(W159="",0,SUMIFS($I$7:$I$256,$D$7:$D$256,W159,$H$7:$H$256,"P6"))</f>
        <v>0</v>
      </c>
      <c r="Z159" s="1" t="n">
        <f aca="false">X159+Y159</f>
        <v>0</v>
      </c>
      <c r="AA159" s="1" t="n">
        <f aca="false">IF(Z159&gt;0,Z159+(201-153)/10^6,0)</f>
        <v>0</v>
      </c>
      <c r="AB159" s="1"/>
      <c r="AC159" s="1"/>
      <c r="AD159" s="1"/>
      <c r="AE159" s="1"/>
      <c r="AF159" s="1"/>
      <c r="AG159" s="1"/>
      <c r="AH159" s="1"/>
    </row>
    <row r="160" customFormat="false" ht="15" hidden="false" customHeight="false" outlineLevel="0" collapsed="false">
      <c r="A160" s="1"/>
      <c r="B160" s="10"/>
      <c r="C160" s="31" t="str">
        <f aca="false">IF(B160="","",TEXT(B160,"ddd"))</f>
        <v/>
      </c>
      <c r="D160" s="11"/>
      <c r="E160" s="8" t="str">
        <f aca="false">IF(D160="","",IFERROR(INDEX(ProjNumbers,MATCH(D160,ProjNames,0)),""))</f>
        <v/>
      </c>
      <c r="F160" s="8" t="str">
        <f aca="false">IF(D160="","",IFERROR(INDEX(ProjCodes,MATCH(D160,ProjNames,0)),""))</f>
        <v/>
      </c>
      <c r="G160" s="32"/>
      <c r="H160" s="11"/>
      <c r="I160" s="33"/>
      <c r="J160" s="8" t="str">
        <f aca="false">IF(COUNTA(B160,D160,G160,H160,I160)=0,"",IF(B160="","Enter date",IF(OR(B160&lt;$AC$2,B160&gt;$AC$3),"Date not in May",IF(D160="","Pick project",IF(ISNA(MATCH(D160,ProjNames,0)),"Project not in list",IF(G160="","Add task description",IF(H160="","Pick NTIME or P6",IF(N(I160)&lt;=0,"Enter hours",IF(AND(AllowOT&lt;&gt;"Yes",SUMIF($B$7:$B$256,B160,$I$7:$I$256)&gt;INDEX($O$58:$O$88,DAY(B160))),"Day over "&amp;INDEX($O$58:$O$88,DAY(B160))&amp;" h","✓")))))))))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tr">
        <f aca="false">IF(Projects!B158="","",Projects!B158)</f>
        <v/>
      </c>
      <c r="X160" s="1" t="n">
        <f aca="false">IF(W160="",0,SUMIFS($I$7:$I$256,$D$7:$D$256,W160,$H$7:$H$256,"NTIME"))</f>
        <v>0</v>
      </c>
      <c r="Y160" s="1" t="n">
        <f aca="false">IF(W160="",0,SUMIFS($I$7:$I$256,$D$7:$D$256,W160,$H$7:$H$256,"P6"))</f>
        <v>0</v>
      </c>
      <c r="Z160" s="1" t="n">
        <f aca="false">X160+Y160</f>
        <v>0</v>
      </c>
      <c r="AA160" s="1" t="n">
        <f aca="false">IF(Z160&gt;0,Z160+(201-154)/10^6,0)</f>
        <v>0</v>
      </c>
      <c r="AB160" s="1"/>
      <c r="AC160" s="1"/>
      <c r="AD160" s="1"/>
      <c r="AE160" s="1"/>
      <c r="AF160" s="1"/>
      <c r="AG160" s="1"/>
      <c r="AH160" s="1"/>
    </row>
    <row r="161" customFormat="false" ht="15" hidden="false" customHeight="false" outlineLevel="0" collapsed="false">
      <c r="A161" s="1"/>
      <c r="B161" s="10"/>
      <c r="C161" s="31" t="str">
        <f aca="false">IF(B161="","",TEXT(B161,"ddd"))</f>
        <v/>
      </c>
      <c r="D161" s="11"/>
      <c r="E161" s="8" t="str">
        <f aca="false">IF(D161="","",IFERROR(INDEX(ProjNumbers,MATCH(D161,ProjNames,0)),""))</f>
        <v/>
      </c>
      <c r="F161" s="8" t="str">
        <f aca="false">IF(D161="","",IFERROR(INDEX(ProjCodes,MATCH(D161,ProjNames,0)),""))</f>
        <v/>
      </c>
      <c r="G161" s="32"/>
      <c r="H161" s="11"/>
      <c r="I161" s="33"/>
      <c r="J161" s="8" t="str">
        <f aca="false">IF(COUNTA(B161,D161,G161,H161,I161)=0,"",IF(B161="","Enter date",IF(OR(B161&lt;$AC$2,B161&gt;$AC$3),"Date not in May",IF(D161="","Pick project",IF(ISNA(MATCH(D161,ProjNames,0)),"Project not in list",IF(G161="","Add task description",IF(H161="","Pick NTIME or P6",IF(N(I161)&lt;=0,"Enter hours",IF(AND(AllowOT&lt;&gt;"Yes",SUMIF($B$7:$B$256,B161,$I$7:$I$256)&gt;INDEX($O$58:$O$88,DAY(B161))),"Day over "&amp;INDEX($O$58:$O$88,DAY(B161))&amp;" h","✓")))))))))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tr">
        <f aca="false">IF(Projects!B159="","",Projects!B159)</f>
        <v/>
      </c>
      <c r="X161" s="1" t="n">
        <f aca="false">IF(W161="",0,SUMIFS($I$7:$I$256,$D$7:$D$256,W161,$H$7:$H$256,"NTIME"))</f>
        <v>0</v>
      </c>
      <c r="Y161" s="1" t="n">
        <f aca="false">IF(W161="",0,SUMIFS($I$7:$I$256,$D$7:$D$256,W161,$H$7:$H$256,"P6"))</f>
        <v>0</v>
      </c>
      <c r="Z161" s="1" t="n">
        <f aca="false">X161+Y161</f>
        <v>0</v>
      </c>
      <c r="AA161" s="1" t="n">
        <f aca="false">IF(Z161&gt;0,Z161+(201-155)/10^6,0)</f>
        <v>0</v>
      </c>
      <c r="AB161" s="1"/>
      <c r="AC161" s="1"/>
      <c r="AD161" s="1"/>
      <c r="AE161" s="1"/>
      <c r="AF161" s="1"/>
      <c r="AG161" s="1"/>
      <c r="AH161" s="1"/>
    </row>
    <row r="162" customFormat="false" ht="15" hidden="false" customHeight="false" outlineLevel="0" collapsed="false">
      <c r="A162" s="1"/>
      <c r="B162" s="10"/>
      <c r="C162" s="31" t="str">
        <f aca="false">IF(B162="","",TEXT(B162,"ddd"))</f>
        <v/>
      </c>
      <c r="D162" s="11"/>
      <c r="E162" s="8" t="str">
        <f aca="false">IF(D162="","",IFERROR(INDEX(ProjNumbers,MATCH(D162,ProjNames,0)),""))</f>
        <v/>
      </c>
      <c r="F162" s="8" t="str">
        <f aca="false">IF(D162="","",IFERROR(INDEX(ProjCodes,MATCH(D162,ProjNames,0)),""))</f>
        <v/>
      </c>
      <c r="G162" s="32"/>
      <c r="H162" s="11"/>
      <c r="I162" s="33"/>
      <c r="J162" s="8" t="str">
        <f aca="false">IF(COUNTA(B162,D162,G162,H162,I162)=0,"",IF(B162="","Enter date",IF(OR(B162&lt;$AC$2,B162&gt;$AC$3),"Date not in May",IF(D162="","Pick project",IF(ISNA(MATCH(D162,ProjNames,0)),"Project not in list",IF(G162="","Add task description",IF(H162="","Pick NTIME or P6",IF(N(I162)&lt;=0,"Enter hours",IF(AND(AllowOT&lt;&gt;"Yes",SUMIF($B$7:$B$256,B162,$I$7:$I$256)&gt;INDEX($O$58:$O$88,DAY(B162))),"Day over "&amp;INDEX($O$58:$O$88,DAY(B162))&amp;" h","✓")))))))))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tr">
        <f aca="false">IF(Projects!B160="","",Projects!B160)</f>
        <v/>
      </c>
      <c r="X162" s="1" t="n">
        <f aca="false">IF(W162="",0,SUMIFS($I$7:$I$256,$D$7:$D$256,W162,$H$7:$H$256,"NTIME"))</f>
        <v>0</v>
      </c>
      <c r="Y162" s="1" t="n">
        <f aca="false">IF(W162="",0,SUMIFS($I$7:$I$256,$D$7:$D$256,W162,$H$7:$H$256,"P6"))</f>
        <v>0</v>
      </c>
      <c r="Z162" s="1" t="n">
        <f aca="false">X162+Y162</f>
        <v>0</v>
      </c>
      <c r="AA162" s="1" t="n">
        <f aca="false">IF(Z162&gt;0,Z162+(201-156)/10^6,0)</f>
        <v>0</v>
      </c>
      <c r="AB162" s="1"/>
      <c r="AC162" s="1"/>
      <c r="AD162" s="1"/>
      <c r="AE162" s="1"/>
      <c r="AF162" s="1"/>
      <c r="AG162" s="1"/>
      <c r="AH162" s="1"/>
    </row>
    <row r="163" customFormat="false" ht="15" hidden="false" customHeight="false" outlineLevel="0" collapsed="false">
      <c r="A163" s="1"/>
      <c r="B163" s="10"/>
      <c r="C163" s="31" t="str">
        <f aca="false">IF(B163="","",TEXT(B163,"ddd"))</f>
        <v/>
      </c>
      <c r="D163" s="11"/>
      <c r="E163" s="8" t="str">
        <f aca="false">IF(D163="","",IFERROR(INDEX(ProjNumbers,MATCH(D163,ProjNames,0)),""))</f>
        <v/>
      </c>
      <c r="F163" s="8" t="str">
        <f aca="false">IF(D163="","",IFERROR(INDEX(ProjCodes,MATCH(D163,ProjNames,0)),""))</f>
        <v/>
      </c>
      <c r="G163" s="32"/>
      <c r="H163" s="11"/>
      <c r="I163" s="33"/>
      <c r="J163" s="8" t="str">
        <f aca="false">IF(COUNTA(B163,D163,G163,H163,I163)=0,"",IF(B163="","Enter date",IF(OR(B163&lt;$AC$2,B163&gt;$AC$3),"Date not in May",IF(D163="","Pick project",IF(ISNA(MATCH(D163,ProjNames,0)),"Project not in list",IF(G163="","Add task description",IF(H163="","Pick NTIME or P6",IF(N(I163)&lt;=0,"Enter hours",IF(AND(AllowOT&lt;&gt;"Yes",SUMIF($B$7:$B$256,B163,$I$7:$I$256)&gt;INDEX($O$58:$O$88,DAY(B163))),"Day over "&amp;INDEX($O$58:$O$88,DAY(B163))&amp;" h","✓")))))))))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tr">
        <f aca="false">IF(Projects!B161="","",Projects!B161)</f>
        <v/>
      </c>
      <c r="X163" s="1" t="n">
        <f aca="false">IF(W163="",0,SUMIFS($I$7:$I$256,$D$7:$D$256,W163,$H$7:$H$256,"NTIME"))</f>
        <v>0</v>
      </c>
      <c r="Y163" s="1" t="n">
        <f aca="false">IF(W163="",0,SUMIFS($I$7:$I$256,$D$7:$D$256,W163,$H$7:$H$256,"P6"))</f>
        <v>0</v>
      </c>
      <c r="Z163" s="1" t="n">
        <f aca="false">X163+Y163</f>
        <v>0</v>
      </c>
      <c r="AA163" s="1" t="n">
        <f aca="false">IF(Z163&gt;0,Z163+(201-157)/10^6,0)</f>
        <v>0</v>
      </c>
      <c r="AB163" s="1"/>
      <c r="AC163" s="1"/>
      <c r="AD163" s="1"/>
      <c r="AE163" s="1"/>
      <c r="AF163" s="1"/>
      <c r="AG163" s="1"/>
      <c r="AH163" s="1"/>
    </row>
    <row r="164" customFormat="false" ht="15" hidden="false" customHeight="false" outlineLevel="0" collapsed="false">
      <c r="A164" s="1"/>
      <c r="B164" s="10"/>
      <c r="C164" s="31" t="str">
        <f aca="false">IF(B164="","",TEXT(B164,"ddd"))</f>
        <v/>
      </c>
      <c r="D164" s="11"/>
      <c r="E164" s="8" t="str">
        <f aca="false">IF(D164="","",IFERROR(INDEX(ProjNumbers,MATCH(D164,ProjNames,0)),""))</f>
        <v/>
      </c>
      <c r="F164" s="8" t="str">
        <f aca="false">IF(D164="","",IFERROR(INDEX(ProjCodes,MATCH(D164,ProjNames,0)),""))</f>
        <v/>
      </c>
      <c r="G164" s="32"/>
      <c r="H164" s="11"/>
      <c r="I164" s="33"/>
      <c r="J164" s="8" t="str">
        <f aca="false">IF(COUNTA(B164,D164,G164,H164,I164)=0,"",IF(B164="","Enter date",IF(OR(B164&lt;$AC$2,B164&gt;$AC$3),"Date not in May",IF(D164="","Pick project",IF(ISNA(MATCH(D164,ProjNames,0)),"Project not in list",IF(G164="","Add task description",IF(H164="","Pick NTIME or P6",IF(N(I164)&lt;=0,"Enter hours",IF(AND(AllowOT&lt;&gt;"Yes",SUMIF($B$7:$B$256,B164,$I$7:$I$256)&gt;INDEX($O$58:$O$88,DAY(B164))),"Day over "&amp;INDEX($O$58:$O$88,DAY(B164))&amp;" h","✓")))))))))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tr">
        <f aca="false">IF(Projects!B162="","",Projects!B162)</f>
        <v/>
      </c>
      <c r="X164" s="1" t="n">
        <f aca="false">IF(W164="",0,SUMIFS($I$7:$I$256,$D$7:$D$256,W164,$H$7:$H$256,"NTIME"))</f>
        <v>0</v>
      </c>
      <c r="Y164" s="1" t="n">
        <f aca="false">IF(W164="",0,SUMIFS($I$7:$I$256,$D$7:$D$256,W164,$H$7:$H$256,"P6"))</f>
        <v>0</v>
      </c>
      <c r="Z164" s="1" t="n">
        <f aca="false">X164+Y164</f>
        <v>0</v>
      </c>
      <c r="AA164" s="1" t="n">
        <f aca="false">IF(Z164&gt;0,Z164+(201-158)/10^6,0)</f>
        <v>0</v>
      </c>
      <c r="AB164" s="1"/>
      <c r="AC164" s="1"/>
      <c r="AD164" s="1"/>
      <c r="AE164" s="1"/>
      <c r="AF164" s="1"/>
      <c r="AG164" s="1"/>
      <c r="AH164" s="1"/>
    </row>
    <row r="165" customFormat="false" ht="15" hidden="false" customHeight="false" outlineLevel="0" collapsed="false">
      <c r="A165" s="1"/>
      <c r="B165" s="10"/>
      <c r="C165" s="31" t="str">
        <f aca="false">IF(B165="","",TEXT(B165,"ddd"))</f>
        <v/>
      </c>
      <c r="D165" s="11"/>
      <c r="E165" s="8" t="str">
        <f aca="false">IF(D165="","",IFERROR(INDEX(ProjNumbers,MATCH(D165,ProjNames,0)),""))</f>
        <v/>
      </c>
      <c r="F165" s="8" t="str">
        <f aca="false">IF(D165="","",IFERROR(INDEX(ProjCodes,MATCH(D165,ProjNames,0)),""))</f>
        <v/>
      </c>
      <c r="G165" s="32"/>
      <c r="H165" s="11"/>
      <c r="I165" s="33"/>
      <c r="J165" s="8" t="str">
        <f aca="false">IF(COUNTA(B165,D165,G165,H165,I165)=0,"",IF(B165="","Enter date",IF(OR(B165&lt;$AC$2,B165&gt;$AC$3),"Date not in May",IF(D165="","Pick project",IF(ISNA(MATCH(D165,ProjNames,0)),"Project not in list",IF(G165="","Add task description",IF(H165="","Pick NTIME or P6",IF(N(I165)&lt;=0,"Enter hours",IF(AND(AllowOT&lt;&gt;"Yes",SUMIF($B$7:$B$256,B165,$I$7:$I$256)&gt;INDEX($O$58:$O$88,DAY(B165))),"Day over "&amp;INDEX($O$58:$O$88,DAY(B165))&amp;" h","✓")))))))))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tr">
        <f aca="false">IF(Projects!B163="","",Projects!B163)</f>
        <v/>
      </c>
      <c r="X165" s="1" t="n">
        <f aca="false">IF(W165="",0,SUMIFS($I$7:$I$256,$D$7:$D$256,W165,$H$7:$H$256,"NTIME"))</f>
        <v>0</v>
      </c>
      <c r="Y165" s="1" t="n">
        <f aca="false">IF(W165="",0,SUMIFS($I$7:$I$256,$D$7:$D$256,W165,$H$7:$H$256,"P6"))</f>
        <v>0</v>
      </c>
      <c r="Z165" s="1" t="n">
        <f aca="false">X165+Y165</f>
        <v>0</v>
      </c>
      <c r="AA165" s="1" t="n">
        <f aca="false">IF(Z165&gt;0,Z165+(201-159)/10^6,0)</f>
        <v>0</v>
      </c>
      <c r="AB165" s="1"/>
      <c r="AC165" s="1"/>
      <c r="AD165" s="1"/>
      <c r="AE165" s="1"/>
      <c r="AF165" s="1"/>
      <c r="AG165" s="1"/>
      <c r="AH165" s="1"/>
    </row>
    <row r="166" customFormat="false" ht="15" hidden="false" customHeight="false" outlineLevel="0" collapsed="false">
      <c r="A166" s="1"/>
      <c r="B166" s="10"/>
      <c r="C166" s="31" t="str">
        <f aca="false">IF(B166="","",TEXT(B166,"ddd"))</f>
        <v/>
      </c>
      <c r="D166" s="11"/>
      <c r="E166" s="8" t="str">
        <f aca="false">IF(D166="","",IFERROR(INDEX(ProjNumbers,MATCH(D166,ProjNames,0)),""))</f>
        <v/>
      </c>
      <c r="F166" s="8" t="str">
        <f aca="false">IF(D166="","",IFERROR(INDEX(ProjCodes,MATCH(D166,ProjNames,0)),""))</f>
        <v/>
      </c>
      <c r="G166" s="32"/>
      <c r="H166" s="11"/>
      <c r="I166" s="33"/>
      <c r="J166" s="8" t="str">
        <f aca="false">IF(COUNTA(B166,D166,G166,H166,I166)=0,"",IF(B166="","Enter date",IF(OR(B166&lt;$AC$2,B166&gt;$AC$3),"Date not in May",IF(D166="","Pick project",IF(ISNA(MATCH(D166,ProjNames,0)),"Project not in list",IF(G166="","Add task description",IF(H166="","Pick NTIME or P6",IF(N(I166)&lt;=0,"Enter hours",IF(AND(AllowOT&lt;&gt;"Yes",SUMIF($B$7:$B$256,B166,$I$7:$I$256)&gt;INDEX($O$58:$O$88,DAY(B166))),"Day over "&amp;INDEX($O$58:$O$88,DAY(B166))&amp;" h","✓")))))))))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tr">
        <f aca="false">IF(Projects!B164="","",Projects!B164)</f>
        <v/>
      </c>
      <c r="X166" s="1" t="n">
        <f aca="false">IF(W166="",0,SUMIFS($I$7:$I$256,$D$7:$D$256,W166,$H$7:$H$256,"NTIME"))</f>
        <v>0</v>
      </c>
      <c r="Y166" s="1" t="n">
        <f aca="false">IF(W166="",0,SUMIFS($I$7:$I$256,$D$7:$D$256,W166,$H$7:$H$256,"P6"))</f>
        <v>0</v>
      </c>
      <c r="Z166" s="1" t="n">
        <f aca="false">X166+Y166</f>
        <v>0</v>
      </c>
      <c r="AA166" s="1" t="n">
        <f aca="false">IF(Z166&gt;0,Z166+(201-160)/10^6,0)</f>
        <v>0</v>
      </c>
      <c r="AB166" s="1"/>
      <c r="AC166" s="1"/>
      <c r="AD166" s="1"/>
      <c r="AE166" s="1"/>
      <c r="AF166" s="1"/>
      <c r="AG166" s="1"/>
      <c r="AH166" s="1"/>
    </row>
    <row r="167" customFormat="false" ht="15" hidden="false" customHeight="false" outlineLevel="0" collapsed="false">
      <c r="A167" s="1"/>
      <c r="B167" s="10"/>
      <c r="C167" s="31" t="str">
        <f aca="false">IF(B167="","",TEXT(B167,"ddd"))</f>
        <v/>
      </c>
      <c r="D167" s="11"/>
      <c r="E167" s="8" t="str">
        <f aca="false">IF(D167="","",IFERROR(INDEX(ProjNumbers,MATCH(D167,ProjNames,0)),""))</f>
        <v/>
      </c>
      <c r="F167" s="8" t="str">
        <f aca="false">IF(D167="","",IFERROR(INDEX(ProjCodes,MATCH(D167,ProjNames,0)),""))</f>
        <v/>
      </c>
      <c r="G167" s="32"/>
      <c r="H167" s="11"/>
      <c r="I167" s="33"/>
      <c r="J167" s="8" t="str">
        <f aca="false">IF(COUNTA(B167,D167,G167,H167,I167)=0,"",IF(B167="","Enter date",IF(OR(B167&lt;$AC$2,B167&gt;$AC$3),"Date not in May",IF(D167="","Pick project",IF(ISNA(MATCH(D167,ProjNames,0)),"Project not in list",IF(G167="","Add task description",IF(H167="","Pick NTIME or P6",IF(N(I167)&lt;=0,"Enter hours",IF(AND(AllowOT&lt;&gt;"Yes",SUMIF($B$7:$B$256,B167,$I$7:$I$256)&gt;INDEX($O$58:$O$88,DAY(B167))),"Day over "&amp;INDEX($O$58:$O$88,DAY(B167))&amp;" h","✓")))))))))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 aca="false">IF(Projects!B165="","",Projects!B165)</f>
        <v/>
      </c>
      <c r="X167" s="1" t="n">
        <f aca="false">IF(W167="",0,SUMIFS($I$7:$I$256,$D$7:$D$256,W167,$H$7:$H$256,"NTIME"))</f>
        <v>0</v>
      </c>
      <c r="Y167" s="1" t="n">
        <f aca="false">IF(W167="",0,SUMIFS($I$7:$I$256,$D$7:$D$256,W167,$H$7:$H$256,"P6"))</f>
        <v>0</v>
      </c>
      <c r="Z167" s="1" t="n">
        <f aca="false">X167+Y167</f>
        <v>0</v>
      </c>
      <c r="AA167" s="1" t="n">
        <f aca="false">IF(Z167&gt;0,Z167+(201-161)/10^6,0)</f>
        <v>0</v>
      </c>
      <c r="AB167" s="1"/>
      <c r="AC167" s="1"/>
      <c r="AD167" s="1"/>
      <c r="AE167" s="1"/>
      <c r="AF167" s="1"/>
      <c r="AG167" s="1"/>
      <c r="AH167" s="1"/>
    </row>
    <row r="168" customFormat="false" ht="15" hidden="false" customHeight="false" outlineLevel="0" collapsed="false">
      <c r="A168" s="1"/>
      <c r="B168" s="10"/>
      <c r="C168" s="31" t="str">
        <f aca="false">IF(B168="","",TEXT(B168,"ddd"))</f>
        <v/>
      </c>
      <c r="D168" s="11"/>
      <c r="E168" s="8" t="str">
        <f aca="false">IF(D168="","",IFERROR(INDEX(ProjNumbers,MATCH(D168,ProjNames,0)),""))</f>
        <v/>
      </c>
      <c r="F168" s="8" t="str">
        <f aca="false">IF(D168="","",IFERROR(INDEX(ProjCodes,MATCH(D168,ProjNames,0)),""))</f>
        <v/>
      </c>
      <c r="G168" s="32"/>
      <c r="H168" s="11"/>
      <c r="I168" s="33"/>
      <c r="J168" s="8" t="str">
        <f aca="false">IF(COUNTA(B168,D168,G168,H168,I168)=0,"",IF(B168="","Enter date",IF(OR(B168&lt;$AC$2,B168&gt;$AC$3),"Date not in May",IF(D168="","Pick project",IF(ISNA(MATCH(D168,ProjNames,0)),"Project not in list",IF(G168="","Add task description",IF(H168="","Pick NTIME or P6",IF(N(I168)&lt;=0,"Enter hours",IF(AND(AllowOT&lt;&gt;"Yes",SUMIF($B$7:$B$256,B168,$I$7:$I$256)&gt;INDEX($O$58:$O$88,DAY(B168))),"Day over "&amp;INDEX($O$58:$O$88,DAY(B168))&amp;" h","✓")))))))))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tr">
        <f aca="false">IF(Projects!B166="","",Projects!B166)</f>
        <v/>
      </c>
      <c r="X168" s="1" t="n">
        <f aca="false">IF(W168="",0,SUMIFS($I$7:$I$256,$D$7:$D$256,W168,$H$7:$H$256,"NTIME"))</f>
        <v>0</v>
      </c>
      <c r="Y168" s="1" t="n">
        <f aca="false">IF(W168="",0,SUMIFS($I$7:$I$256,$D$7:$D$256,W168,$H$7:$H$256,"P6"))</f>
        <v>0</v>
      </c>
      <c r="Z168" s="1" t="n">
        <f aca="false">X168+Y168</f>
        <v>0</v>
      </c>
      <c r="AA168" s="1" t="n">
        <f aca="false">IF(Z168&gt;0,Z168+(201-162)/10^6,0)</f>
        <v>0</v>
      </c>
      <c r="AB168" s="1"/>
      <c r="AC168" s="1"/>
      <c r="AD168" s="1"/>
      <c r="AE168" s="1"/>
      <c r="AF168" s="1"/>
      <c r="AG168" s="1"/>
      <c r="AH168" s="1"/>
    </row>
    <row r="169" customFormat="false" ht="15" hidden="false" customHeight="false" outlineLevel="0" collapsed="false">
      <c r="A169" s="1"/>
      <c r="B169" s="10"/>
      <c r="C169" s="31" t="str">
        <f aca="false">IF(B169="","",TEXT(B169,"ddd"))</f>
        <v/>
      </c>
      <c r="D169" s="11"/>
      <c r="E169" s="8" t="str">
        <f aca="false">IF(D169="","",IFERROR(INDEX(ProjNumbers,MATCH(D169,ProjNames,0)),""))</f>
        <v/>
      </c>
      <c r="F169" s="8" t="str">
        <f aca="false">IF(D169="","",IFERROR(INDEX(ProjCodes,MATCH(D169,ProjNames,0)),""))</f>
        <v/>
      </c>
      <c r="G169" s="32"/>
      <c r="H169" s="11"/>
      <c r="I169" s="33"/>
      <c r="J169" s="8" t="str">
        <f aca="false">IF(COUNTA(B169,D169,G169,H169,I169)=0,"",IF(B169="","Enter date",IF(OR(B169&lt;$AC$2,B169&gt;$AC$3),"Date not in May",IF(D169="","Pick project",IF(ISNA(MATCH(D169,ProjNames,0)),"Project not in list",IF(G169="","Add task description",IF(H169="","Pick NTIME or P6",IF(N(I169)&lt;=0,"Enter hours",IF(AND(AllowOT&lt;&gt;"Yes",SUMIF($B$7:$B$256,B169,$I$7:$I$256)&gt;INDEX($O$58:$O$88,DAY(B169))),"Day over "&amp;INDEX($O$58:$O$88,DAY(B169))&amp;" h","✓")))))))))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tr">
        <f aca="false">IF(Projects!B167="","",Projects!B167)</f>
        <v/>
      </c>
      <c r="X169" s="1" t="n">
        <f aca="false">IF(W169="",0,SUMIFS($I$7:$I$256,$D$7:$D$256,W169,$H$7:$H$256,"NTIME"))</f>
        <v>0</v>
      </c>
      <c r="Y169" s="1" t="n">
        <f aca="false">IF(W169="",0,SUMIFS($I$7:$I$256,$D$7:$D$256,W169,$H$7:$H$256,"P6"))</f>
        <v>0</v>
      </c>
      <c r="Z169" s="1" t="n">
        <f aca="false">X169+Y169</f>
        <v>0</v>
      </c>
      <c r="AA169" s="1" t="n">
        <f aca="false">IF(Z169&gt;0,Z169+(201-163)/10^6,0)</f>
        <v>0</v>
      </c>
      <c r="AB169" s="1"/>
      <c r="AC169" s="1"/>
      <c r="AD169" s="1"/>
      <c r="AE169" s="1"/>
      <c r="AF169" s="1"/>
      <c r="AG169" s="1"/>
      <c r="AH169" s="1"/>
    </row>
    <row r="170" customFormat="false" ht="15" hidden="false" customHeight="false" outlineLevel="0" collapsed="false">
      <c r="A170" s="1"/>
      <c r="B170" s="10"/>
      <c r="C170" s="31" t="str">
        <f aca="false">IF(B170="","",TEXT(B170,"ddd"))</f>
        <v/>
      </c>
      <c r="D170" s="11"/>
      <c r="E170" s="8" t="str">
        <f aca="false">IF(D170="","",IFERROR(INDEX(ProjNumbers,MATCH(D170,ProjNames,0)),""))</f>
        <v/>
      </c>
      <c r="F170" s="8" t="str">
        <f aca="false">IF(D170="","",IFERROR(INDEX(ProjCodes,MATCH(D170,ProjNames,0)),""))</f>
        <v/>
      </c>
      <c r="G170" s="32"/>
      <c r="H170" s="11"/>
      <c r="I170" s="33"/>
      <c r="J170" s="8" t="str">
        <f aca="false">IF(COUNTA(B170,D170,G170,H170,I170)=0,"",IF(B170="","Enter date",IF(OR(B170&lt;$AC$2,B170&gt;$AC$3),"Date not in May",IF(D170="","Pick project",IF(ISNA(MATCH(D170,ProjNames,0)),"Project not in list",IF(G170="","Add task description",IF(H170="","Pick NTIME or P6",IF(N(I170)&lt;=0,"Enter hours",IF(AND(AllowOT&lt;&gt;"Yes",SUMIF($B$7:$B$256,B170,$I$7:$I$256)&gt;INDEX($O$58:$O$88,DAY(B170))),"Day over "&amp;INDEX($O$58:$O$88,DAY(B170))&amp;" h","✓")))))))))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tr">
        <f aca="false">IF(Projects!B168="","",Projects!B168)</f>
        <v/>
      </c>
      <c r="X170" s="1" t="n">
        <f aca="false">IF(W170="",0,SUMIFS($I$7:$I$256,$D$7:$D$256,W170,$H$7:$H$256,"NTIME"))</f>
        <v>0</v>
      </c>
      <c r="Y170" s="1" t="n">
        <f aca="false">IF(W170="",0,SUMIFS($I$7:$I$256,$D$7:$D$256,W170,$H$7:$H$256,"P6"))</f>
        <v>0</v>
      </c>
      <c r="Z170" s="1" t="n">
        <f aca="false">X170+Y170</f>
        <v>0</v>
      </c>
      <c r="AA170" s="1" t="n">
        <f aca="false">IF(Z170&gt;0,Z170+(201-164)/10^6,0)</f>
        <v>0</v>
      </c>
      <c r="AB170" s="1"/>
      <c r="AC170" s="1"/>
      <c r="AD170" s="1"/>
      <c r="AE170" s="1"/>
      <c r="AF170" s="1"/>
      <c r="AG170" s="1"/>
      <c r="AH170" s="1"/>
    </row>
    <row r="171" customFormat="false" ht="15" hidden="false" customHeight="false" outlineLevel="0" collapsed="false">
      <c r="A171" s="1"/>
      <c r="B171" s="10"/>
      <c r="C171" s="31" t="str">
        <f aca="false">IF(B171="","",TEXT(B171,"ddd"))</f>
        <v/>
      </c>
      <c r="D171" s="11"/>
      <c r="E171" s="8" t="str">
        <f aca="false">IF(D171="","",IFERROR(INDEX(ProjNumbers,MATCH(D171,ProjNames,0)),""))</f>
        <v/>
      </c>
      <c r="F171" s="8" t="str">
        <f aca="false">IF(D171="","",IFERROR(INDEX(ProjCodes,MATCH(D171,ProjNames,0)),""))</f>
        <v/>
      </c>
      <c r="G171" s="32"/>
      <c r="H171" s="11"/>
      <c r="I171" s="33"/>
      <c r="J171" s="8" t="str">
        <f aca="false">IF(COUNTA(B171,D171,G171,H171,I171)=0,"",IF(B171="","Enter date",IF(OR(B171&lt;$AC$2,B171&gt;$AC$3),"Date not in May",IF(D171="","Pick project",IF(ISNA(MATCH(D171,ProjNames,0)),"Project not in list",IF(G171="","Add task description",IF(H171="","Pick NTIME or P6",IF(N(I171)&lt;=0,"Enter hours",IF(AND(AllowOT&lt;&gt;"Yes",SUMIF($B$7:$B$256,B171,$I$7:$I$256)&gt;INDEX($O$58:$O$88,DAY(B171))),"Day over "&amp;INDEX($O$58:$O$88,DAY(B171))&amp;" h","✓")))))))))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tr">
        <f aca="false">IF(Projects!B169="","",Projects!B169)</f>
        <v/>
      </c>
      <c r="X171" s="1" t="n">
        <f aca="false">IF(W171="",0,SUMIFS($I$7:$I$256,$D$7:$D$256,W171,$H$7:$H$256,"NTIME"))</f>
        <v>0</v>
      </c>
      <c r="Y171" s="1" t="n">
        <f aca="false">IF(W171="",0,SUMIFS($I$7:$I$256,$D$7:$D$256,W171,$H$7:$H$256,"P6"))</f>
        <v>0</v>
      </c>
      <c r="Z171" s="1" t="n">
        <f aca="false">X171+Y171</f>
        <v>0</v>
      </c>
      <c r="AA171" s="1" t="n">
        <f aca="false">IF(Z171&gt;0,Z171+(201-165)/10^6,0)</f>
        <v>0</v>
      </c>
      <c r="AB171" s="1"/>
      <c r="AC171" s="1"/>
      <c r="AD171" s="1"/>
      <c r="AE171" s="1"/>
      <c r="AF171" s="1"/>
      <c r="AG171" s="1"/>
      <c r="AH171" s="1"/>
    </row>
    <row r="172" customFormat="false" ht="15" hidden="false" customHeight="false" outlineLevel="0" collapsed="false">
      <c r="A172" s="1"/>
      <c r="B172" s="10"/>
      <c r="C172" s="31" t="str">
        <f aca="false">IF(B172="","",TEXT(B172,"ddd"))</f>
        <v/>
      </c>
      <c r="D172" s="11"/>
      <c r="E172" s="8" t="str">
        <f aca="false">IF(D172="","",IFERROR(INDEX(ProjNumbers,MATCH(D172,ProjNames,0)),""))</f>
        <v/>
      </c>
      <c r="F172" s="8" t="str">
        <f aca="false">IF(D172="","",IFERROR(INDEX(ProjCodes,MATCH(D172,ProjNames,0)),""))</f>
        <v/>
      </c>
      <c r="G172" s="32"/>
      <c r="H172" s="11"/>
      <c r="I172" s="33"/>
      <c r="J172" s="8" t="str">
        <f aca="false">IF(COUNTA(B172,D172,G172,H172,I172)=0,"",IF(B172="","Enter date",IF(OR(B172&lt;$AC$2,B172&gt;$AC$3),"Date not in May",IF(D172="","Pick project",IF(ISNA(MATCH(D172,ProjNames,0)),"Project not in list",IF(G172="","Add task description",IF(H172="","Pick NTIME or P6",IF(N(I172)&lt;=0,"Enter hours",IF(AND(AllowOT&lt;&gt;"Yes",SUMIF($B$7:$B$256,B172,$I$7:$I$256)&gt;INDEX($O$58:$O$88,DAY(B172))),"Day over "&amp;INDEX($O$58:$O$88,DAY(B172))&amp;" h","✓")))))))))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tr">
        <f aca="false">IF(Projects!B170="","",Projects!B170)</f>
        <v/>
      </c>
      <c r="X172" s="1" t="n">
        <f aca="false">IF(W172="",0,SUMIFS($I$7:$I$256,$D$7:$D$256,W172,$H$7:$H$256,"NTIME"))</f>
        <v>0</v>
      </c>
      <c r="Y172" s="1" t="n">
        <f aca="false">IF(W172="",0,SUMIFS($I$7:$I$256,$D$7:$D$256,W172,$H$7:$H$256,"P6"))</f>
        <v>0</v>
      </c>
      <c r="Z172" s="1" t="n">
        <f aca="false">X172+Y172</f>
        <v>0</v>
      </c>
      <c r="AA172" s="1" t="n">
        <f aca="false">IF(Z172&gt;0,Z172+(201-166)/10^6,0)</f>
        <v>0</v>
      </c>
      <c r="AB172" s="1"/>
      <c r="AC172" s="1"/>
      <c r="AD172" s="1"/>
      <c r="AE172" s="1"/>
      <c r="AF172" s="1"/>
      <c r="AG172" s="1"/>
      <c r="AH172" s="1"/>
    </row>
    <row r="173" customFormat="false" ht="15" hidden="false" customHeight="false" outlineLevel="0" collapsed="false">
      <c r="A173" s="1"/>
      <c r="B173" s="10"/>
      <c r="C173" s="31" t="str">
        <f aca="false">IF(B173="","",TEXT(B173,"ddd"))</f>
        <v/>
      </c>
      <c r="D173" s="11"/>
      <c r="E173" s="8" t="str">
        <f aca="false">IF(D173="","",IFERROR(INDEX(ProjNumbers,MATCH(D173,ProjNames,0)),""))</f>
        <v/>
      </c>
      <c r="F173" s="8" t="str">
        <f aca="false">IF(D173="","",IFERROR(INDEX(ProjCodes,MATCH(D173,ProjNames,0)),""))</f>
        <v/>
      </c>
      <c r="G173" s="32"/>
      <c r="H173" s="11"/>
      <c r="I173" s="33"/>
      <c r="J173" s="8" t="str">
        <f aca="false">IF(COUNTA(B173,D173,G173,H173,I173)=0,"",IF(B173="","Enter date",IF(OR(B173&lt;$AC$2,B173&gt;$AC$3),"Date not in May",IF(D173="","Pick project",IF(ISNA(MATCH(D173,ProjNames,0)),"Project not in list",IF(G173="","Add task description",IF(H173="","Pick NTIME or P6",IF(N(I173)&lt;=0,"Enter hours",IF(AND(AllowOT&lt;&gt;"Yes",SUMIF($B$7:$B$256,B173,$I$7:$I$256)&gt;INDEX($O$58:$O$88,DAY(B173))),"Day over "&amp;INDEX($O$58:$O$88,DAY(B173))&amp;" h","✓")))))))))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tr">
        <f aca="false">IF(Projects!B171="","",Projects!B171)</f>
        <v/>
      </c>
      <c r="X173" s="1" t="n">
        <f aca="false">IF(W173="",0,SUMIFS($I$7:$I$256,$D$7:$D$256,W173,$H$7:$H$256,"NTIME"))</f>
        <v>0</v>
      </c>
      <c r="Y173" s="1" t="n">
        <f aca="false">IF(W173="",0,SUMIFS($I$7:$I$256,$D$7:$D$256,W173,$H$7:$H$256,"P6"))</f>
        <v>0</v>
      </c>
      <c r="Z173" s="1" t="n">
        <f aca="false">X173+Y173</f>
        <v>0</v>
      </c>
      <c r="AA173" s="1" t="n">
        <f aca="false">IF(Z173&gt;0,Z173+(201-167)/10^6,0)</f>
        <v>0</v>
      </c>
      <c r="AB173" s="1"/>
      <c r="AC173" s="1"/>
      <c r="AD173" s="1"/>
      <c r="AE173" s="1"/>
      <c r="AF173" s="1"/>
      <c r="AG173" s="1"/>
      <c r="AH173" s="1"/>
    </row>
    <row r="174" customFormat="false" ht="15" hidden="false" customHeight="false" outlineLevel="0" collapsed="false">
      <c r="A174" s="1"/>
      <c r="B174" s="10"/>
      <c r="C174" s="31" t="str">
        <f aca="false">IF(B174="","",TEXT(B174,"ddd"))</f>
        <v/>
      </c>
      <c r="D174" s="11"/>
      <c r="E174" s="8" t="str">
        <f aca="false">IF(D174="","",IFERROR(INDEX(ProjNumbers,MATCH(D174,ProjNames,0)),""))</f>
        <v/>
      </c>
      <c r="F174" s="8" t="str">
        <f aca="false">IF(D174="","",IFERROR(INDEX(ProjCodes,MATCH(D174,ProjNames,0)),""))</f>
        <v/>
      </c>
      <c r="G174" s="32"/>
      <c r="H174" s="11"/>
      <c r="I174" s="33"/>
      <c r="J174" s="8" t="str">
        <f aca="false">IF(COUNTA(B174,D174,G174,H174,I174)=0,"",IF(B174="","Enter date",IF(OR(B174&lt;$AC$2,B174&gt;$AC$3),"Date not in May",IF(D174="","Pick project",IF(ISNA(MATCH(D174,ProjNames,0)),"Project not in list",IF(G174="","Add task description",IF(H174="","Pick NTIME or P6",IF(N(I174)&lt;=0,"Enter hours",IF(AND(AllowOT&lt;&gt;"Yes",SUMIF($B$7:$B$256,B174,$I$7:$I$256)&gt;INDEX($O$58:$O$88,DAY(B174))),"Day over "&amp;INDEX($O$58:$O$88,DAY(B174))&amp;" h","✓")))))))))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tr">
        <f aca="false">IF(Projects!B172="","",Projects!B172)</f>
        <v/>
      </c>
      <c r="X174" s="1" t="n">
        <f aca="false">IF(W174="",0,SUMIFS($I$7:$I$256,$D$7:$D$256,W174,$H$7:$H$256,"NTIME"))</f>
        <v>0</v>
      </c>
      <c r="Y174" s="1" t="n">
        <f aca="false">IF(W174="",0,SUMIFS($I$7:$I$256,$D$7:$D$256,W174,$H$7:$H$256,"P6"))</f>
        <v>0</v>
      </c>
      <c r="Z174" s="1" t="n">
        <f aca="false">X174+Y174</f>
        <v>0</v>
      </c>
      <c r="AA174" s="1" t="n">
        <f aca="false">IF(Z174&gt;0,Z174+(201-168)/10^6,0)</f>
        <v>0</v>
      </c>
      <c r="AB174" s="1"/>
      <c r="AC174" s="1"/>
      <c r="AD174" s="1"/>
      <c r="AE174" s="1"/>
      <c r="AF174" s="1"/>
      <c r="AG174" s="1"/>
      <c r="AH174" s="1"/>
    </row>
    <row r="175" customFormat="false" ht="15" hidden="false" customHeight="false" outlineLevel="0" collapsed="false">
      <c r="A175" s="1"/>
      <c r="B175" s="10"/>
      <c r="C175" s="31" t="str">
        <f aca="false">IF(B175="","",TEXT(B175,"ddd"))</f>
        <v/>
      </c>
      <c r="D175" s="11"/>
      <c r="E175" s="8" t="str">
        <f aca="false">IF(D175="","",IFERROR(INDEX(ProjNumbers,MATCH(D175,ProjNames,0)),""))</f>
        <v/>
      </c>
      <c r="F175" s="8" t="str">
        <f aca="false">IF(D175="","",IFERROR(INDEX(ProjCodes,MATCH(D175,ProjNames,0)),""))</f>
        <v/>
      </c>
      <c r="G175" s="32"/>
      <c r="H175" s="11"/>
      <c r="I175" s="33"/>
      <c r="J175" s="8" t="str">
        <f aca="false">IF(COUNTA(B175,D175,G175,H175,I175)=0,"",IF(B175="","Enter date",IF(OR(B175&lt;$AC$2,B175&gt;$AC$3),"Date not in May",IF(D175="","Pick project",IF(ISNA(MATCH(D175,ProjNames,0)),"Project not in list",IF(G175="","Add task description",IF(H175="","Pick NTIME or P6",IF(N(I175)&lt;=0,"Enter hours",IF(AND(AllowOT&lt;&gt;"Yes",SUMIF($B$7:$B$256,B175,$I$7:$I$256)&gt;INDEX($O$58:$O$88,DAY(B175))),"Day over "&amp;INDEX($O$58:$O$88,DAY(B175))&amp;" h","✓")))))))))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tr">
        <f aca="false">IF(Projects!B173="","",Projects!B173)</f>
        <v/>
      </c>
      <c r="X175" s="1" t="n">
        <f aca="false">IF(W175="",0,SUMIFS($I$7:$I$256,$D$7:$D$256,W175,$H$7:$H$256,"NTIME"))</f>
        <v>0</v>
      </c>
      <c r="Y175" s="1" t="n">
        <f aca="false">IF(W175="",0,SUMIFS($I$7:$I$256,$D$7:$D$256,W175,$H$7:$H$256,"P6"))</f>
        <v>0</v>
      </c>
      <c r="Z175" s="1" t="n">
        <f aca="false">X175+Y175</f>
        <v>0</v>
      </c>
      <c r="AA175" s="1" t="n">
        <f aca="false">IF(Z175&gt;0,Z175+(201-169)/10^6,0)</f>
        <v>0</v>
      </c>
      <c r="AB175" s="1"/>
      <c r="AC175" s="1"/>
      <c r="AD175" s="1"/>
      <c r="AE175" s="1"/>
      <c r="AF175" s="1"/>
      <c r="AG175" s="1"/>
      <c r="AH175" s="1"/>
    </row>
    <row r="176" customFormat="false" ht="15" hidden="false" customHeight="false" outlineLevel="0" collapsed="false">
      <c r="A176" s="1"/>
      <c r="B176" s="10"/>
      <c r="C176" s="31" t="str">
        <f aca="false">IF(B176="","",TEXT(B176,"ddd"))</f>
        <v/>
      </c>
      <c r="D176" s="11"/>
      <c r="E176" s="8" t="str">
        <f aca="false">IF(D176="","",IFERROR(INDEX(ProjNumbers,MATCH(D176,ProjNames,0)),""))</f>
        <v/>
      </c>
      <c r="F176" s="8" t="str">
        <f aca="false">IF(D176="","",IFERROR(INDEX(ProjCodes,MATCH(D176,ProjNames,0)),""))</f>
        <v/>
      </c>
      <c r="G176" s="32"/>
      <c r="H176" s="11"/>
      <c r="I176" s="33"/>
      <c r="J176" s="8" t="str">
        <f aca="false">IF(COUNTA(B176,D176,G176,H176,I176)=0,"",IF(B176="","Enter date",IF(OR(B176&lt;$AC$2,B176&gt;$AC$3),"Date not in May",IF(D176="","Pick project",IF(ISNA(MATCH(D176,ProjNames,0)),"Project not in list",IF(G176="","Add task description",IF(H176="","Pick NTIME or P6",IF(N(I176)&lt;=0,"Enter hours",IF(AND(AllowOT&lt;&gt;"Yes",SUMIF($B$7:$B$256,B176,$I$7:$I$256)&gt;INDEX($O$58:$O$88,DAY(B176))),"Day over "&amp;INDEX($O$58:$O$88,DAY(B176))&amp;" h","✓")))))))))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tr">
        <f aca="false">IF(Projects!B174="","",Projects!B174)</f>
        <v/>
      </c>
      <c r="X176" s="1" t="n">
        <f aca="false">IF(W176="",0,SUMIFS($I$7:$I$256,$D$7:$D$256,W176,$H$7:$H$256,"NTIME"))</f>
        <v>0</v>
      </c>
      <c r="Y176" s="1" t="n">
        <f aca="false">IF(W176="",0,SUMIFS($I$7:$I$256,$D$7:$D$256,W176,$H$7:$H$256,"P6"))</f>
        <v>0</v>
      </c>
      <c r="Z176" s="1" t="n">
        <f aca="false">X176+Y176</f>
        <v>0</v>
      </c>
      <c r="AA176" s="1" t="n">
        <f aca="false">IF(Z176&gt;0,Z176+(201-170)/10^6,0)</f>
        <v>0</v>
      </c>
      <c r="AB176" s="1"/>
      <c r="AC176" s="1"/>
      <c r="AD176" s="1"/>
      <c r="AE176" s="1"/>
      <c r="AF176" s="1"/>
      <c r="AG176" s="1"/>
      <c r="AH176" s="1"/>
    </row>
    <row r="177" customFormat="false" ht="15" hidden="false" customHeight="false" outlineLevel="0" collapsed="false">
      <c r="A177" s="1"/>
      <c r="B177" s="10"/>
      <c r="C177" s="31" t="str">
        <f aca="false">IF(B177="","",TEXT(B177,"ddd"))</f>
        <v/>
      </c>
      <c r="D177" s="11"/>
      <c r="E177" s="8" t="str">
        <f aca="false">IF(D177="","",IFERROR(INDEX(ProjNumbers,MATCH(D177,ProjNames,0)),""))</f>
        <v/>
      </c>
      <c r="F177" s="8" t="str">
        <f aca="false">IF(D177="","",IFERROR(INDEX(ProjCodes,MATCH(D177,ProjNames,0)),""))</f>
        <v/>
      </c>
      <c r="G177" s="32"/>
      <c r="H177" s="11"/>
      <c r="I177" s="33"/>
      <c r="J177" s="8" t="str">
        <f aca="false">IF(COUNTA(B177,D177,G177,H177,I177)=0,"",IF(B177="","Enter date",IF(OR(B177&lt;$AC$2,B177&gt;$AC$3),"Date not in May",IF(D177="","Pick project",IF(ISNA(MATCH(D177,ProjNames,0)),"Project not in list",IF(G177="","Add task description",IF(H177="","Pick NTIME or P6",IF(N(I177)&lt;=0,"Enter hours",IF(AND(AllowOT&lt;&gt;"Yes",SUMIF($B$7:$B$256,B177,$I$7:$I$256)&gt;INDEX($O$58:$O$88,DAY(B177))),"Day over "&amp;INDEX($O$58:$O$88,DAY(B177))&amp;" h","✓")))))))))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tr">
        <f aca="false">IF(Projects!B175="","",Projects!B175)</f>
        <v/>
      </c>
      <c r="X177" s="1" t="n">
        <f aca="false">IF(W177="",0,SUMIFS($I$7:$I$256,$D$7:$D$256,W177,$H$7:$H$256,"NTIME"))</f>
        <v>0</v>
      </c>
      <c r="Y177" s="1" t="n">
        <f aca="false">IF(W177="",0,SUMIFS($I$7:$I$256,$D$7:$D$256,W177,$H$7:$H$256,"P6"))</f>
        <v>0</v>
      </c>
      <c r="Z177" s="1" t="n">
        <f aca="false">X177+Y177</f>
        <v>0</v>
      </c>
      <c r="AA177" s="1" t="n">
        <f aca="false">IF(Z177&gt;0,Z177+(201-171)/10^6,0)</f>
        <v>0</v>
      </c>
      <c r="AB177" s="1"/>
      <c r="AC177" s="1"/>
      <c r="AD177" s="1"/>
      <c r="AE177" s="1"/>
      <c r="AF177" s="1"/>
      <c r="AG177" s="1"/>
      <c r="AH177" s="1"/>
    </row>
    <row r="178" customFormat="false" ht="15" hidden="false" customHeight="false" outlineLevel="0" collapsed="false">
      <c r="A178" s="1"/>
      <c r="B178" s="10"/>
      <c r="C178" s="31" t="str">
        <f aca="false">IF(B178="","",TEXT(B178,"ddd"))</f>
        <v/>
      </c>
      <c r="D178" s="11"/>
      <c r="E178" s="8" t="str">
        <f aca="false">IF(D178="","",IFERROR(INDEX(ProjNumbers,MATCH(D178,ProjNames,0)),""))</f>
        <v/>
      </c>
      <c r="F178" s="8" t="str">
        <f aca="false">IF(D178="","",IFERROR(INDEX(ProjCodes,MATCH(D178,ProjNames,0)),""))</f>
        <v/>
      </c>
      <c r="G178" s="32"/>
      <c r="H178" s="11"/>
      <c r="I178" s="33"/>
      <c r="J178" s="8" t="str">
        <f aca="false">IF(COUNTA(B178,D178,G178,H178,I178)=0,"",IF(B178="","Enter date",IF(OR(B178&lt;$AC$2,B178&gt;$AC$3),"Date not in May",IF(D178="","Pick project",IF(ISNA(MATCH(D178,ProjNames,0)),"Project not in list",IF(G178="","Add task description",IF(H178="","Pick NTIME or P6",IF(N(I178)&lt;=0,"Enter hours",IF(AND(AllowOT&lt;&gt;"Yes",SUMIF($B$7:$B$256,B178,$I$7:$I$256)&gt;INDEX($O$58:$O$88,DAY(B178))),"Day over "&amp;INDEX($O$58:$O$88,DAY(B178))&amp;" h","✓")))))))))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tr">
        <f aca="false">IF(Projects!B176="","",Projects!B176)</f>
        <v/>
      </c>
      <c r="X178" s="1" t="n">
        <f aca="false">IF(W178="",0,SUMIFS($I$7:$I$256,$D$7:$D$256,W178,$H$7:$H$256,"NTIME"))</f>
        <v>0</v>
      </c>
      <c r="Y178" s="1" t="n">
        <f aca="false">IF(W178="",0,SUMIFS($I$7:$I$256,$D$7:$D$256,W178,$H$7:$H$256,"P6"))</f>
        <v>0</v>
      </c>
      <c r="Z178" s="1" t="n">
        <f aca="false">X178+Y178</f>
        <v>0</v>
      </c>
      <c r="AA178" s="1" t="n">
        <f aca="false">IF(Z178&gt;0,Z178+(201-172)/10^6,0)</f>
        <v>0</v>
      </c>
      <c r="AB178" s="1"/>
      <c r="AC178" s="1"/>
      <c r="AD178" s="1"/>
      <c r="AE178" s="1"/>
      <c r="AF178" s="1"/>
      <c r="AG178" s="1"/>
      <c r="AH178" s="1"/>
    </row>
    <row r="179" customFormat="false" ht="15" hidden="false" customHeight="false" outlineLevel="0" collapsed="false">
      <c r="A179" s="1"/>
      <c r="B179" s="10"/>
      <c r="C179" s="31" t="str">
        <f aca="false">IF(B179="","",TEXT(B179,"ddd"))</f>
        <v/>
      </c>
      <c r="D179" s="11"/>
      <c r="E179" s="8" t="str">
        <f aca="false">IF(D179="","",IFERROR(INDEX(ProjNumbers,MATCH(D179,ProjNames,0)),""))</f>
        <v/>
      </c>
      <c r="F179" s="8" t="str">
        <f aca="false">IF(D179="","",IFERROR(INDEX(ProjCodes,MATCH(D179,ProjNames,0)),""))</f>
        <v/>
      </c>
      <c r="G179" s="32"/>
      <c r="H179" s="11"/>
      <c r="I179" s="33"/>
      <c r="J179" s="8" t="str">
        <f aca="false">IF(COUNTA(B179,D179,G179,H179,I179)=0,"",IF(B179="","Enter date",IF(OR(B179&lt;$AC$2,B179&gt;$AC$3),"Date not in May",IF(D179="","Pick project",IF(ISNA(MATCH(D179,ProjNames,0)),"Project not in list",IF(G179="","Add task description",IF(H179="","Pick NTIME or P6",IF(N(I179)&lt;=0,"Enter hours",IF(AND(AllowOT&lt;&gt;"Yes",SUMIF($B$7:$B$256,B179,$I$7:$I$256)&gt;INDEX($O$58:$O$88,DAY(B179))),"Day over "&amp;INDEX($O$58:$O$88,DAY(B179))&amp;" h","✓")))))))))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tr">
        <f aca="false">IF(Projects!B177="","",Projects!B177)</f>
        <v/>
      </c>
      <c r="X179" s="1" t="n">
        <f aca="false">IF(W179="",0,SUMIFS($I$7:$I$256,$D$7:$D$256,W179,$H$7:$H$256,"NTIME"))</f>
        <v>0</v>
      </c>
      <c r="Y179" s="1" t="n">
        <f aca="false">IF(W179="",0,SUMIFS($I$7:$I$256,$D$7:$D$256,W179,$H$7:$H$256,"P6"))</f>
        <v>0</v>
      </c>
      <c r="Z179" s="1" t="n">
        <f aca="false">X179+Y179</f>
        <v>0</v>
      </c>
      <c r="AA179" s="1" t="n">
        <f aca="false">IF(Z179&gt;0,Z179+(201-173)/10^6,0)</f>
        <v>0</v>
      </c>
      <c r="AB179" s="1"/>
      <c r="AC179" s="1"/>
      <c r="AD179" s="1"/>
      <c r="AE179" s="1"/>
      <c r="AF179" s="1"/>
      <c r="AG179" s="1"/>
      <c r="AH179" s="1"/>
    </row>
    <row r="180" customFormat="false" ht="15" hidden="false" customHeight="false" outlineLevel="0" collapsed="false">
      <c r="A180" s="1"/>
      <c r="B180" s="10"/>
      <c r="C180" s="31" t="str">
        <f aca="false">IF(B180="","",TEXT(B180,"ddd"))</f>
        <v/>
      </c>
      <c r="D180" s="11"/>
      <c r="E180" s="8" t="str">
        <f aca="false">IF(D180="","",IFERROR(INDEX(ProjNumbers,MATCH(D180,ProjNames,0)),""))</f>
        <v/>
      </c>
      <c r="F180" s="8" t="str">
        <f aca="false">IF(D180="","",IFERROR(INDEX(ProjCodes,MATCH(D180,ProjNames,0)),""))</f>
        <v/>
      </c>
      <c r="G180" s="32"/>
      <c r="H180" s="11"/>
      <c r="I180" s="33"/>
      <c r="J180" s="8" t="str">
        <f aca="false">IF(COUNTA(B180,D180,G180,H180,I180)=0,"",IF(B180="","Enter date",IF(OR(B180&lt;$AC$2,B180&gt;$AC$3),"Date not in May",IF(D180="","Pick project",IF(ISNA(MATCH(D180,ProjNames,0)),"Project not in list",IF(G180="","Add task description",IF(H180="","Pick NTIME or P6",IF(N(I180)&lt;=0,"Enter hours",IF(AND(AllowOT&lt;&gt;"Yes",SUMIF($B$7:$B$256,B180,$I$7:$I$256)&gt;INDEX($O$58:$O$88,DAY(B180))),"Day over "&amp;INDEX($O$58:$O$88,DAY(B180))&amp;" h","✓")))))))))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tr">
        <f aca="false">IF(Projects!B178="","",Projects!B178)</f>
        <v/>
      </c>
      <c r="X180" s="1" t="n">
        <f aca="false">IF(W180="",0,SUMIFS($I$7:$I$256,$D$7:$D$256,W180,$H$7:$H$256,"NTIME"))</f>
        <v>0</v>
      </c>
      <c r="Y180" s="1" t="n">
        <f aca="false">IF(W180="",0,SUMIFS($I$7:$I$256,$D$7:$D$256,W180,$H$7:$H$256,"P6"))</f>
        <v>0</v>
      </c>
      <c r="Z180" s="1" t="n">
        <f aca="false">X180+Y180</f>
        <v>0</v>
      </c>
      <c r="AA180" s="1" t="n">
        <f aca="false">IF(Z180&gt;0,Z180+(201-174)/10^6,0)</f>
        <v>0</v>
      </c>
      <c r="AB180" s="1"/>
      <c r="AC180" s="1"/>
      <c r="AD180" s="1"/>
      <c r="AE180" s="1"/>
      <c r="AF180" s="1"/>
      <c r="AG180" s="1"/>
      <c r="AH180" s="1"/>
    </row>
    <row r="181" customFormat="false" ht="15" hidden="false" customHeight="false" outlineLevel="0" collapsed="false">
      <c r="A181" s="1"/>
      <c r="B181" s="10"/>
      <c r="C181" s="31" t="str">
        <f aca="false">IF(B181="","",TEXT(B181,"ddd"))</f>
        <v/>
      </c>
      <c r="D181" s="11"/>
      <c r="E181" s="8" t="str">
        <f aca="false">IF(D181="","",IFERROR(INDEX(ProjNumbers,MATCH(D181,ProjNames,0)),""))</f>
        <v/>
      </c>
      <c r="F181" s="8" t="str">
        <f aca="false">IF(D181="","",IFERROR(INDEX(ProjCodes,MATCH(D181,ProjNames,0)),""))</f>
        <v/>
      </c>
      <c r="G181" s="32"/>
      <c r="H181" s="11"/>
      <c r="I181" s="33"/>
      <c r="J181" s="8" t="str">
        <f aca="false">IF(COUNTA(B181,D181,G181,H181,I181)=0,"",IF(B181="","Enter date",IF(OR(B181&lt;$AC$2,B181&gt;$AC$3),"Date not in May",IF(D181="","Pick project",IF(ISNA(MATCH(D181,ProjNames,0)),"Project not in list",IF(G181="","Add task description",IF(H181="","Pick NTIME or P6",IF(N(I181)&lt;=0,"Enter hours",IF(AND(AllowOT&lt;&gt;"Yes",SUMIF($B$7:$B$256,B181,$I$7:$I$256)&gt;INDEX($O$58:$O$88,DAY(B181))),"Day over "&amp;INDEX($O$58:$O$88,DAY(B181))&amp;" h","✓")))))))))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tr">
        <f aca="false">IF(Projects!B179="","",Projects!B179)</f>
        <v/>
      </c>
      <c r="X181" s="1" t="n">
        <f aca="false">IF(W181="",0,SUMIFS($I$7:$I$256,$D$7:$D$256,W181,$H$7:$H$256,"NTIME"))</f>
        <v>0</v>
      </c>
      <c r="Y181" s="1" t="n">
        <f aca="false">IF(W181="",0,SUMIFS($I$7:$I$256,$D$7:$D$256,W181,$H$7:$H$256,"P6"))</f>
        <v>0</v>
      </c>
      <c r="Z181" s="1" t="n">
        <f aca="false">X181+Y181</f>
        <v>0</v>
      </c>
      <c r="AA181" s="1" t="n">
        <f aca="false">IF(Z181&gt;0,Z181+(201-175)/10^6,0)</f>
        <v>0</v>
      </c>
      <c r="AB181" s="1"/>
      <c r="AC181" s="1"/>
      <c r="AD181" s="1"/>
      <c r="AE181" s="1"/>
      <c r="AF181" s="1"/>
      <c r="AG181" s="1"/>
      <c r="AH181" s="1"/>
    </row>
    <row r="182" customFormat="false" ht="15" hidden="false" customHeight="false" outlineLevel="0" collapsed="false">
      <c r="A182" s="1"/>
      <c r="B182" s="10"/>
      <c r="C182" s="31" t="str">
        <f aca="false">IF(B182="","",TEXT(B182,"ddd"))</f>
        <v/>
      </c>
      <c r="D182" s="11"/>
      <c r="E182" s="8" t="str">
        <f aca="false">IF(D182="","",IFERROR(INDEX(ProjNumbers,MATCH(D182,ProjNames,0)),""))</f>
        <v/>
      </c>
      <c r="F182" s="8" t="str">
        <f aca="false">IF(D182="","",IFERROR(INDEX(ProjCodes,MATCH(D182,ProjNames,0)),""))</f>
        <v/>
      </c>
      <c r="G182" s="32"/>
      <c r="H182" s="11"/>
      <c r="I182" s="33"/>
      <c r="J182" s="8" t="str">
        <f aca="false">IF(COUNTA(B182,D182,G182,H182,I182)=0,"",IF(B182="","Enter date",IF(OR(B182&lt;$AC$2,B182&gt;$AC$3),"Date not in May",IF(D182="","Pick project",IF(ISNA(MATCH(D182,ProjNames,0)),"Project not in list",IF(G182="","Add task description",IF(H182="","Pick NTIME or P6",IF(N(I182)&lt;=0,"Enter hours",IF(AND(AllowOT&lt;&gt;"Yes",SUMIF($B$7:$B$256,B182,$I$7:$I$256)&gt;INDEX($O$58:$O$88,DAY(B182))),"Day over "&amp;INDEX($O$58:$O$88,DAY(B182))&amp;" h","✓")))))))))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tr">
        <f aca="false">IF(Projects!B180="","",Projects!B180)</f>
        <v/>
      </c>
      <c r="X182" s="1" t="n">
        <f aca="false">IF(W182="",0,SUMIFS($I$7:$I$256,$D$7:$D$256,W182,$H$7:$H$256,"NTIME"))</f>
        <v>0</v>
      </c>
      <c r="Y182" s="1" t="n">
        <f aca="false">IF(W182="",0,SUMIFS($I$7:$I$256,$D$7:$D$256,W182,$H$7:$H$256,"P6"))</f>
        <v>0</v>
      </c>
      <c r="Z182" s="1" t="n">
        <f aca="false">X182+Y182</f>
        <v>0</v>
      </c>
      <c r="AA182" s="1" t="n">
        <f aca="false">IF(Z182&gt;0,Z182+(201-176)/10^6,0)</f>
        <v>0</v>
      </c>
      <c r="AB182" s="1"/>
      <c r="AC182" s="1"/>
      <c r="AD182" s="1"/>
      <c r="AE182" s="1"/>
      <c r="AF182" s="1"/>
      <c r="AG182" s="1"/>
      <c r="AH182" s="1"/>
    </row>
    <row r="183" customFormat="false" ht="15" hidden="false" customHeight="false" outlineLevel="0" collapsed="false">
      <c r="A183" s="1"/>
      <c r="B183" s="10"/>
      <c r="C183" s="31" t="str">
        <f aca="false">IF(B183="","",TEXT(B183,"ddd"))</f>
        <v/>
      </c>
      <c r="D183" s="11"/>
      <c r="E183" s="8" t="str">
        <f aca="false">IF(D183="","",IFERROR(INDEX(ProjNumbers,MATCH(D183,ProjNames,0)),""))</f>
        <v/>
      </c>
      <c r="F183" s="8" t="str">
        <f aca="false">IF(D183="","",IFERROR(INDEX(ProjCodes,MATCH(D183,ProjNames,0)),""))</f>
        <v/>
      </c>
      <c r="G183" s="32"/>
      <c r="H183" s="11"/>
      <c r="I183" s="33"/>
      <c r="J183" s="8" t="str">
        <f aca="false">IF(COUNTA(B183,D183,G183,H183,I183)=0,"",IF(B183="","Enter date",IF(OR(B183&lt;$AC$2,B183&gt;$AC$3),"Date not in May",IF(D183="","Pick project",IF(ISNA(MATCH(D183,ProjNames,0)),"Project not in list",IF(G183="","Add task description",IF(H183="","Pick NTIME or P6",IF(N(I183)&lt;=0,"Enter hours",IF(AND(AllowOT&lt;&gt;"Yes",SUMIF($B$7:$B$256,B183,$I$7:$I$256)&gt;INDEX($O$58:$O$88,DAY(B183))),"Day over "&amp;INDEX($O$58:$O$88,DAY(B183))&amp;" h","✓")))))))))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tr">
        <f aca="false">IF(Projects!B181="","",Projects!B181)</f>
        <v/>
      </c>
      <c r="X183" s="1" t="n">
        <f aca="false">IF(W183="",0,SUMIFS($I$7:$I$256,$D$7:$D$256,W183,$H$7:$H$256,"NTIME"))</f>
        <v>0</v>
      </c>
      <c r="Y183" s="1" t="n">
        <f aca="false">IF(W183="",0,SUMIFS($I$7:$I$256,$D$7:$D$256,W183,$H$7:$H$256,"P6"))</f>
        <v>0</v>
      </c>
      <c r="Z183" s="1" t="n">
        <f aca="false">X183+Y183</f>
        <v>0</v>
      </c>
      <c r="AA183" s="1" t="n">
        <f aca="false">IF(Z183&gt;0,Z183+(201-177)/10^6,0)</f>
        <v>0</v>
      </c>
      <c r="AB183" s="1"/>
      <c r="AC183" s="1"/>
      <c r="AD183" s="1"/>
      <c r="AE183" s="1"/>
      <c r="AF183" s="1"/>
      <c r="AG183" s="1"/>
      <c r="AH183" s="1"/>
    </row>
    <row r="184" customFormat="false" ht="15" hidden="false" customHeight="false" outlineLevel="0" collapsed="false">
      <c r="A184" s="1"/>
      <c r="B184" s="10"/>
      <c r="C184" s="31" t="str">
        <f aca="false">IF(B184="","",TEXT(B184,"ddd"))</f>
        <v/>
      </c>
      <c r="D184" s="11"/>
      <c r="E184" s="8" t="str">
        <f aca="false">IF(D184="","",IFERROR(INDEX(ProjNumbers,MATCH(D184,ProjNames,0)),""))</f>
        <v/>
      </c>
      <c r="F184" s="8" t="str">
        <f aca="false">IF(D184="","",IFERROR(INDEX(ProjCodes,MATCH(D184,ProjNames,0)),""))</f>
        <v/>
      </c>
      <c r="G184" s="32"/>
      <c r="H184" s="11"/>
      <c r="I184" s="33"/>
      <c r="J184" s="8" t="str">
        <f aca="false">IF(COUNTA(B184,D184,G184,H184,I184)=0,"",IF(B184="","Enter date",IF(OR(B184&lt;$AC$2,B184&gt;$AC$3),"Date not in May",IF(D184="","Pick project",IF(ISNA(MATCH(D184,ProjNames,0)),"Project not in list",IF(G184="","Add task description",IF(H184="","Pick NTIME or P6",IF(N(I184)&lt;=0,"Enter hours",IF(AND(AllowOT&lt;&gt;"Yes",SUMIF($B$7:$B$256,B184,$I$7:$I$256)&gt;INDEX($O$58:$O$88,DAY(B184))),"Day over "&amp;INDEX($O$58:$O$88,DAY(B184))&amp;" h","✓")))))))))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tr">
        <f aca="false">IF(Projects!B182="","",Projects!B182)</f>
        <v/>
      </c>
      <c r="X184" s="1" t="n">
        <f aca="false">IF(W184="",0,SUMIFS($I$7:$I$256,$D$7:$D$256,W184,$H$7:$H$256,"NTIME"))</f>
        <v>0</v>
      </c>
      <c r="Y184" s="1" t="n">
        <f aca="false">IF(W184="",0,SUMIFS($I$7:$I$256,$D$7:$D$256,W184,$H$7:$H$256,"P6"))</f>
        <v>0</v>
      </c>
      <c r="Z184" s="1" t="n">
        <f aca="false">X184+Y184</f>
        <v>0</v>
      </c>
      <c r="AA184" s="1" t="n">
        <f aca="false">IF(Z184&gt;0,Z184+(201-178)/10^6,0)</f>
        <v>0</v>
      </c>
      <c r="AB184" s="1"/>
      <c r="AC184" s="1"/>
      <c r="AD184" s="1"/>
      <c r="AE184" s="1"/>
      <c r="AF184" s="1"/>
      <c r="AG184" s="1"/>
      <c r="AH184" s="1"/>
    </row>
    <row r="185" customFormat="false" ht="15" hidden="false" customHeight="false" outlineLevel="0" collapsed="false">
      <c r="A185" s="1"/>
      <c r="B185" s="10"/>
      <c r="C185" s="31" t="str">
        <f aca="false">IF(B185="","",TEXT(B185,"ddd"))</f>
        <v/>
      </c>
      <c r="D185" s="11"/>
      <c r="E185" s="8" t="str">
        <f aca="false">IF(D185="","",IFERROR(INDEX(ProjNumbers,MATCH(D185,ProjNames,0)),""))</f>
        <v/>
      </c>
      <c r="F185" s="8" t="str">
        <f aca="false">IF(D185="","",IFERROR(INDEX(ProjCodes,MATCH(D185,ProjNames,0)),""))</f>
        <v/>
      </c>
      <c r="G185" s="32"/>
      <c r="H185" s="11"/>
      <c r="I185" s="33"/>
      <c r="J185" s="8" t="str">
        <f aca="false">IF(COUNTA(B185,D185,G185,H185,I185)=0,"",IF(B185="","Enter date",IF(OR(B185&lt;$AC$2,B185&gt;$AC$3),"Date not in May",IF(D185="","Pick project",IF(ISNA(MATCH(D185,ProjNames,0)),"Project not in list",IF(G185="","Add task description",IF(H185="","Pick NTIME or P6",IF(N(I185)&lt;=0,"Enter hours",IF(AND(AllowOT&lt;&gt;"Yes",SUMIF($B$7:$B$256,B185,$I$7:$I$256)&gt;INDEX($O$58:$O$88,DAY(B185))),"Day over "&amp;INDEX($O$58:$O$88,DAY(B185))&amp;" h","✓")))))))))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tr">
        <f aca="false">IF(Projects!B183="","",Projects!B183)</f>
        <v/>
      </c>
      <c r="X185" s="1" t="n">
        <f aca="false">IF(W185="",0,SUMIFS($I$7:$I$256,$D$7:$D$256,W185,$H$7:$H$256,"NTIME"))</f>
        <v>0</v>
      </c>
      <c r="Y185" s="1" t="n">
        <f aca="false">IF(W185="",0,SUMIFS($I$7:$I$256,$D$7:$D$256,W185,$H$7:$H$256,"P6"))</f>
        <v>0</v>
      </c>
      <c r="Z185" s="1" t="n">
        <f aca="false">X185+Y185</f>
        <v>0</v>
      </c>
      <c r="AA185" s="1" t="n">
        <f aca="false">IF(Z185&gt;0,Z185+(201-179)/10^6,0)</f>
        <v>0</v>
      </c>
      <c r="AB185" s="1"/>
      <c r="AC185" s="1"/>
      <c r="AD185" s="1"/>
      <c r="AE185" s="1"/>
      <c r="AF185" s="1"/>
      <c r="AG185" s="1"/>
      <c r="AH185" s="1"/>
    </row>
    <row r="186" customFormat="false" ht="15" hidden="false" customHeight="false" outlineLevel="0" collapsed="false">
      <c r="A186" s="1"/>
      <c r="B186" s="10"/>
      <c r="C186" s="31" t="str">
        <f aca="false">IF(B186="","",TEXT(B186,"ddd"))</f>
        <v/>
      </c>
      <c r="D186" s="11"/>
      <c r="E186" s="8" t="str">
        <f aca="false">IF(D186="","",IFERROR(INDEX(ProjNumbers,MATCH(D186,ProjNames,0)),""))</f>
        <v/>
      </c>
      <c r="F186" s="8" t="str">
        <f aca="false">IF(D186="","",IFERROR(INDEX(ProjCodes,MATCH(D186,ProjNames,0)),""))</f>
        <v/>
      </c>
      <c r="G186" s="32"/>
      <c r="H186" s="11"/>
      <c r="I186" s="33"/>
      <c r="J186" s="8" t="str">
        <f aca="false">IF(COUNTA(B186,D186,G186,H186,I186)=0,"",IF(B186="","Enter date",IF(OR(B186&lt;$AC$2,B186&gt;$AC$3),"Date not in May",IF(D186="","Pick project",IF(ISNA(MATCH(D186,ProjNames,0)),"Project not in list",IF(G186="","Add task description",IF(H186="","Pick NTIME or P6",IF(N(I186)&lt;=0,"Enter hours",IF(AND(AllowOT&lt;&gt;"Yes",SUMIF($B$7:$B$256,B186,$I$7:$I$256)&gt;INDEX($O$58:$O$88,DAY(B186))),"Day over "&amp;INDEX($O$58:$O$88,DAY(B186))&amp;" h","✓")))))))))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tr">
        <f aca="false">IF(Projects!B184="","",Projects!B184)</f>
        <v/>
      </c>
      <c r="X186" s="1" t="n">
        <f aca="false">IF(W186="",0,SUMIFS($I$7:$I$256,$D$7:$D$256,W186,$H$7:$H$256,"NTIME"))</f>
        <v>0</v>
      </c>
      <c r="Y186" s="1" t="n">
        <f aca="false">IF(W186="",0,SUMIFS($I$7:$I$256,$D$7:$D$256,W186,$H$7:$H$256,"P6"))</f>
        <v>0</v>
      </c>
      <c r="Z186" s="1" t="n">
        <f aca="false">X186+Y186</f>
        <v>0</v>
      </c>
      <c r="AA186" s="1" t="n">
        <f aca="false">IF(Z186&gt;0,Z186+(201-180)/10^6,0)</f>
        <v>0</v>
      </c>
      <c r="AB186" s="1"/>
      <c r="AC186" s="1"/>
      <c r="AD186" s="1"/>
      <c r="AE186" s="1"/>
      <c r="AF186" s="1"/>
      <c r="AG186" s="1"/>
      <c r="AH186" s="1"/>
    </row>
    <row r="187" customFormat="false" ht="15" hidden="false" customHeight="false" outlineLevel="0" collapsed="false">
      <c r="A187" s="1"/>
      <c r="B187" s="10"/>
      <c r="C187" s="31" t="str">
        <f aca="false">IF(B187="","",TEXT(B187,"ddd"))</f>
        <v/>
      </c>
      <c r="D187" s="11"/>
      <c r="E187" s="8" t="str">
        <f aca="false">IF(D187="","",IFERROR(INDEX(ProjNumbers,MATCH(D187,ProjNames,0)),""))</f>
        <v/>
      </c>
      <c r="F187" s="8" t="str">
        <f aca="false">IF(D187="","",IFERROR(INDEX(ProjCodes,MATCH(D187,ProjNames,0)),""))</f>
        <v/>
      </c>
      <c r="G187" s="32"/>
      <c r="H187" s="11"/>
      <c r="I187" s="33"/>
      <c r="J187" s="8" t="str">
        <f aca="false">IF(COUNTA(B187,D187,G187,H187,I187)=0,"",IF(B187="","Enter date",IF(OR(B187&lt;$AC$2,B187&gt;$AC$3),"Date not in May",IF(D187="","Pick project",IF(ISNA(MATCH(D187,ProjNames,0)),"Project not in list",IF(G187="","Add task description",IF(H187="","Pick NTIME or P6",IF(N(I187)&lt;=0,"Enter hours",IF(AND(AllowOT&lt;&gt;"Yes",SUMIF($B$7:$B$256,B187,$I$7:$I$256)&gt;INDEX($O$58:$O$88,DAY(B187))),"Day over "&amp;INDEX($O$58:$O$88,DAY(B187))&amp;" h","✓")))))))))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tr">
        <f aca="false">IF(Projects!B185="","",Projects!B185)</f>
        <v/>
      </c>
      <c r="X187" s="1" t="n">
        <f aca="false">IF(W187="",0,SUMIFS($I$7:$I$256,$D$7:$D$256,W187,$H$7:$H$256,"NTIME"))</f>
        <v>0</v>
      </c>
      <c r="Y187" s="1" t="n">
        <f aca="false">IF(W187="",0,SUMIFS($I$7:$I$256,$D$7:$D$256,W187,$H$7:$H$256,"P6"))</f>
        <v>0</v>
      </c>
      <c r="Z187" s="1" t="n">
        <f aca="false">X187+Y187</f>
        <v>0</v>
      </c>
      <c r="AA187" s="1" t="n">
        <f aca="false">IF(Z187&gt;0,Z187+(201-181)/10^6,0)</f>
        <v>0</v>
      </c>
      <c r="AB187" s="1"/>
      <c r="AC187" s="1"/>
      <c r="AD187" s="1"/>
      <c r="AE187" s="1"/>
      <c r="AF187" s="1"/>
      <c r="AG187" s="1"/>
      <c r="AH187" s="1"/>
    </row>
    <row r="188" customFormat="false" ht="15" hidden="false" customHeight="false" outlineLevel="0" collapsed="false">
      <c r="A188" s="1"/>
      <c r="B188" s="10"/>
      <c r="C188" s="31" t="str">
        <f aca="false">IF(B188="","",TEXT(B188,"ddd"))</f>
        <v/>
      </c>
      <c r="D188" s="11"/>
      <c r="E188" s="8" t="str">
        <f aca="false">IF(D188="","",IFERROR(INDEX(ProjNumbers,MATCH(D188,ProjNames,0)),""))</f>
        <v/>
      </c>
      <c r="F188" s="8" t="str">
        <f aca="false">IF(D188="","",IFERROR(INDEX(ProjCodes,MATCH(D188,ProjNames,0)),""))</f>
        <v/>
      </c>
      <c r="G188" s="32"/>
      <c r="H188" s="11"/>
      <c r="I188" s="33"/>
      <c r="J188" s="8" t="str">
        <f aca="false">IF(COUNTA(B188,D188,G188,H188,I188)=0,"",IF(B188="","Enter date",IF(OR(B188&lt;$AC$2,B188&gt;$AC$3),"Date not in May",IF(D188="","Pick project",IF(ISNA(MATCH(D188,ProjNames,0)),"Project not in list",IF(G188="","Add task description",IF(H188="","Pick NTIME or P6",IF(N(I188)&lt;=0,"Enter hours",IF(AND(AllowOT&lt;&gt;"Yes",SUMIF($B$7:$B$256,B188,$I$7:$I$256)&gt;INDEX($O$58:$O$88,DAY(B188))),"Day over "&amp;INDEX($O$58:$O$88,DAY(B188))&amp;" h","✓")))))))))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tr">
        <f aca="false">IF(Projects!B186="","",Projects!B186)</f>
        <v/>
      </c>
      <c r="X188" s="1" t="n">
        <f aca="false">IF(W188="",0,SUMIFS($I$7:$I$256,$D$7:$D$256,W188,$H$7:$H$256,"NTIME"))</f>
        <v>0</v>
      </c>
      <c r="Y188" s="1" t="n">
        <f aca="false">IF(W188="",0,SUMIFS($I$7:$I$256,$D$7:$D$256,W188,$H$7:$H$256,"P6"))</f>
        <v>0</v>
      </c>
      <c r="Z188" s="1" t="n">
        <f aca="false">X188+Y188</f>
        <v>0</v>
      </c>
      <c r="AA188" s="1" t="n">
        <f aca="false">IF(Z188&gt;0,Z188+(201-182)/10^6,0)</f>
        <v>0</v>
      </c>
      <c r="AB188" s="1"/>
      <c r="AC188" s="1"/>
      <c r="AD188" s="1"/>
      <c r="AE188" s="1"/>
      <c r="AF188" s="1"/>
      <c r="AG188" s="1"/>
      <c r="AH188" s="1"/>
    </row>
    <row r="189" customFormat="false" ht="15" hidden="false" customHeight="false" outlineLevel="0" collapsed="false">
      <c r="A189" s="1"/>
      <c r="B189" s="10"/>
      <c r="C189" s="31" t="str">
        <f aca="false">IF(B189="","",TEXT(B189,"ddd"))</f>
        <v/>
      </c>
      <c r="D189" s="11"/>
      <c r="E189" s="8" t="str">
        <f aca="false">IF(D189="","",IFERROR(INDEX(ProjNumbers,MATCH(D189,ProjNames,0)),""))</f>
        <v/>
      </c>
      <c r="F189" s="8" t="str">
        <f aca="false">IF(D189="","",IFERROR(INDEX(ProjCodes,MATCH(D189,ProjNames,0)),""))</f>
        <v/>
      </c>
      <c r="G189" s="32"/>
      <c r="H189" s="11"/>
      <c r="I189" s="33"/>
      <c r="J189" s="8" t="str">
        <f aca="false">IF(COUNTA(B189,D189,G189,H189,I189)=0,"",IF(B189="","Enter date",IF(OR(B189&lt;$AC$2,B189&gt;$AC$3),"Date not in May",IF(D189="","Pick project",IF(ISNA(MATCH(D189,ProjNames,0)),"Project not in list",IF(G189="","Add task description",IF(H189="","Pick NTIME or P6",IF(N(I189)&lt;=0,"Enter hours",IF(AND(AllowOT&lt;&gt;"Yes",SUMIF($B$7:$B$256,B189,$I$7:$I$256)&gt;INDEX($O$58:$O$88,DAY(B189))),"Day over "&amp;INDEX($O$58:$O$88,DAY(B189))&amp;" h","✓")))))))))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tr">
        <f aca="false">IF(Projects!B187="","",Projects!B187)</f>
        <v/>
      </c>
      <c r="X189" s="1" t="n">
        <f aca="false">IF(W189="",0,SUMIFS($I$7:$I$256,$D$7:$D$256,W189,$H$7:$H$256,"NTIME"))</f>
        <v>0</v>
      </c>
      <c r="Y189" s="1" t="n">
        <f aca="false">IF(W189="",0,SUMIFS($I$7:$I$256,$D$7:$D$256,W189,$H$7:$H$256,"P6"))</f>
        <v>0</v>
      </c>
      <c r="Z189" s="1" t="n">
        <f aca="false">X189+Y189</f>
        <v>0</v>
      </c>
      <c r="AA189" s="1" t="n">
        <f aca="false">IF(Z189&gt;0,Z189+(201-183)/10^6,0)</f>
        <v>0</v>
      </c>
      <c r="AB189" s="1"/>
      <c r="AC189" s="1"/>
      <c r="AD189" s="1"/>
      <c r="AE189" s="1"/>
      <c r="AF189" s="1"/>
      <c r="AG189" s="1"/>
      <c r="AH189" s="1"/>
    </row>
    <row r="190" customFormat="false" ht="15" hidden="false" customHeight="false" outlineLevel="0" collapsed="false">
      <c r="A190" s="1"/>
      <c r="B190" s="10"/>
      <c r="C190" s="31" t="str">
        <f aca="false">IF(B190="","",TEXT(B190,"ddd"))</f>
        <v/>
      </c>
      <c r="D190" s="11"/>
      <c r="E190" s="8" t="str">
        <f aca="false">IF(D190="","",IFERROR(INDEX(ProjNumbers,MATCH(D190,ProjNames,0)),""))</f>
        <v/>
      </c>
      <c r="F190" s="8" t="str">
        <f aca="false">IF(D190="","",IFERROR(INDEX(ProjCodes,MATCH(D190,ProjNames,0)),""))</f>
        <v/>
      </c>
      <c r="G190" s="32"/>
      <c r="H190" s="11"/>
      <c r="I190" s="33"/>
      <c r="J190" s="8" t="str">
        <f aca="false">IF(COUNTA(B190,D190,G190,H190,I190)=0,"",IF(B190="","Enter date",IF(OR(B190&lt;$AC$2,B190&gt;$AC$3),"Date not in May",IF(D190="","Pick project",IF(ISNA(MATCH(D190,ProjNames,0)),"Project not in list",IF(G190="","Add task description",IF(H190="","Pick NTIME or P6",IF(N(I190)&lt;=0,"Enter hours",IF(AND(AllowOT&lt;&gt;"Yes",SUMIF($B$7:$B$256,B190,$I$7:$I$256)&gt;INDEX($O$58:$O$88,DAY(B190))),"Day over "&amp;INDEX($O$58:$O$88,DAY(B190))&amp;" h","✓")))))))))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tr">
        <f aca="false">IF(Projects!B188="","",Projects!B188)</f>
        <v/>
      </c>
      <c r="X190" s="1" t="n">
        <f aca="false">IF(W190="",0,SUMIFS($I$7:$I$256,$D$7:$D$256,W190,$H$7:$H$256,"NTIME"))</f>
        <v>0</v>
      </c>
      <c r="Y190" s="1" t="n">
        <f aca="false">IF(W190="",0,SUMIFS($I$7:$I$256,$D$7:$D$256,W190,$H$7:$H$256,"P6"))</f>
        <v>0</v>
      </c>
      <c r="Z190" s="1" t="n">
        <f aca="false">X190+Y190</f>
        <v>0</v>
      </c>
      <c r="AA190" s="1" t="n">
        <f aca="false">IF(Z190&gt;0,Z190+(201-184)/10^6,0)</f>
        <v>0</v>
      </c>
      <c r="AB190" s="1"/>
      <c r="AC190" s="1"/>
      <c r="AD190" s="1"/>
      <c r="AE190" s="1"/>
      <c r="AF190" s="1"/>
      <c r="AG190" s="1"/>
      <c r="AH190" s="1"/>
    </row>
    <row r="191" customFormat="false" ht="15" hidden="false" customHeight="false" outlineLevel="0" collapsed="false">
      <c r="A191" s="1"/>
      <c r="B191" s="10"/>
      <c r="C191" s="31" t="str">
        <f aca="false">IF(B191="","",TEXT(B191,"ddd"))</f>
        <v/>
      </c>
      <c r="D191" s="11"/>
      <c r="E191" s="8" t="str">
        <f aca="false">IF(D191="","",IFERROR(INDEX(ProjNumbers,MATCH(D191,ProjNames,0)),""))</f>
        <v/>
      </c>
      <c r="F191" s="8" t="str">
        <f aca="false">IF(D191="","",IFERROR(INDEX(ProjCodes,MATCH(D191,ProjNames,0)),""))</f>
        <v/>
      </c>
      <c r="G191" s="32"/>
      <c r="H191" s="11"/>
      <c r="I191" s="33"/>
      <c r="J191" s="8" t="str">
        <f aca="false">IF(COUNTA(B191,D191,G191,H191,I191)=0,"",IF(B191="","Enter date",IF(OR(B191&lt;$AC$2,B191&gt;$AC$3),"Date not in May",IF(D191="","Pick project",IF(ISNA(MATCH(D191,ProjNames,0)),"Project not in list",IF(G191="","Add task description",IF(H191="","Pick NTIME or P6",IF(N(I191)&lt;=0,"Enter hours",IF(AND(AllowOT&lt;&gt;"Yes",SUMIF($B$7:$B$256,B191,$I$7:$I$256)&gt;INDEX($O$58:$O$88,DAY(B191))),"Day over "&amp;INDEX($O$58:$O$88,DAY(B191))&amp;" h","✓")))))))))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tr">
        <f aca="false">IF(Projects!B189="","",Projects!B189)</f>
        <v/>
      </c>
      <c r="X191" s="1" t="n">
        <f aca="false">IF(W191="",0,SUMIFS($I$7:$I$256,$D$7:$D$256,W191,$H$7:$H$256,"NTIME"))</f>
        <v>0</v>
      </c>
      <c r="Y191" s="1" t="n">
        <f aca="false">IF(W191="",0,SUMIFS($I$7:$I$256,$D$7:$D$256,W191,$H$7:$H$256,"P6"))</f>
        <v>0</v>
      </c>
      <c r="Z191" s="1" t="n">
        <f aca="false">X191+Y191</f>
        <v>0</v>
      </c>
      <c r="AA191" s="1" t="n">
        <f aca="false">IF(Z191&gt;0,Z191+(201-185)/10^6,0)</f>
        <v>0</v>
      </c>
      <c r="AB191" s="1"/>
      <c r="AC191" s="1"/>
      <c r="AD191" s="1"/>
      <c r="AE191" s="1"/>
      <c r="AF191" s="1"/>
      <c r="AG191" s="1"/>
      <c r="AH191" s="1"/>
    </row>
    <row r="192" customFormat="false" ht="15" hidden="false" customHeight="false" outlineLevel="0" collapsed="false">
      <c r="A192" s="1"/>
      <c r="B192" s="10"/>
      <c r="C192" s="31" t="str">
        <f aca="false">IF(B192="","",TEXT(B192,"ddd"))</f>
        <v/>
      </c>
      <c r="D192" s="11"/>
      <c r="E192" s="8" t="str">
        <f aca="false">IF(D192="","",IFERROR(INDEX(ProjNumbers,MATCH(D192,ProjNames,0)),""))</f>
        <v/>
      </c>
      <c r="F192" s="8" t="str">
        <f aca="false">IF(D192="","",IFERROR(INDEX(ProjCodes,MATCH(D192,ProjNames,0)),""))</f>
        <v/>
      </c>
      <c r="G192" s="32"/>
      <c r="H192" s="11"/>
      <c r="I192" s="33"/>
      <c r="J192" s="8" t="str">
        <f aca="false">IF(COUNTA(B192,D192,G192,H192,I192)=0,"",IF(B192="","Enter date",IF(OR(B192&lt;$AC$2,B192&gt;$AC$3),"Date not in May",IF(D192="","Pick project",IF(ISNA(MATCH(D192,ProjNames,0)),"Project not in list",IF(G192="","Add task description",IF(H192="","Pick NTIME or P6",IF(N(I192)&lt;=0,"Enter hours",IF(AND(AllowOT&lt;&gt;"Yes",SUMIF($B$7:$B$256,B192,$I$7:$I$256)&gt;INDEX($O$58:$O$88,DAY(B192))),"Day over "&amp;INDEX($O$58:$O$88,DAY(B192))&amp;" h","✓")))))))))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tr">
        <f aca="false">IF(Projects!B190="","",Projects!B190)</f>
        <v/>
      </c>
      <c r="X192" s="1" t="n">
        <f aca="false">IF(W192="",0,SUMIFS($I$7:$I$256,$D$7:$D$256,W192,$H$7:$H$256,"NTIME"))</f>
        <v>0</v>
      </c>
      <c r="Y192" s="1" t="n">
        <f aca="false">IF(W192="",0,SUMIFS($I$7:$I$256,$D$7:$D$256,W192,$H$7:$H$256,"P6"))</f>
        <v>0</v>
      </c>
      <c r="Z192" s="1" t="n">
        <f aca="false">X192+Y192</f>
        <v>0</v>
      </c>
      <c r="AA192" s="1" t="n">
        <f aca="false">IF(Z192&gt;0,Z192+(201-186)/10^6,0)</f>
        <v>0</v>
      </c>
      <c r="AB192" s="1"/>
      <c r="AC192" s="1"/>
      <c r="AD192" s="1"/>
      <c r="AE192" s="1"/>
      <c r="AF192" s="1"/>
      <c r="AG192" s="1"/>
      <c r="AH192" s="1"/>
    </row>
    <row r="193" customFormat="false" ht="15" hidden="false" customHeight="false" outlineLevel="0" collapsed="false">
      <c r="A193" s="1"/>
      <c r="B193" s="10"/>
      <c r="C193" s="31" t="str">
        <f aca="false">IF(B193="","",TEXT(B193,"ddd"))</f>
        <v/>
      </c>
      <c r="D193" s="11"/>
      <c r="E193" s="8" t="str">
        <f aca="false">IF(D193="","",IFERROR(INDEX(ProjNumbers,MATCH(D193,ProjNames,0)),""))</f>
        <v/>
      </c>
      <c r="F193" s="8" t="str">
        <f aca="false">IF(D193="","",IFERROR(INDEX(ProjCodes,MATCH(D193,ProjNames,0)),""))</f>
        <v/>
      </c>
      <c r="G193" s="32"/>
      <c r="H193" s="11"/>
      <c r="I193" s="33"/>
      <c r="J193" s="8" t="str">
        <f aca="false">IF(COUNTA(B193,D193,G193,H193,I193)=0,"",IF(B193="","Enter date",IF(OR(B193&lt;$AC$2,B193&gt;$AC$3),"Date not in May",IF(D193="","Pick project",IF(ISNA(MATCH(D193,ProjNames,0)),"Project not in list",IF(G193="","Add task description",IF(H193="","Pick NTIME or P6",IF(N(I193)&lt;=0,"Enter hours",IF(AND(AllowOT&lt;&gt;"Yes",SUMIF($B$7:$B$256,B193,$I$7:$I$256)&gt;INDEX($O$58:$O$88,DAY(B193))),"Day over "&amp;INDEX($O$58:$O$88,DAY(B193))&amp;" h","✓")))))))))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tr">
        <f aca="false">IF(Projects!B191="","",Projects!B191)</f>
        <v/>
      </c>
      <c r="X193" s="1" t="n">
        <f aca="false">IF(W193="",0,SUMIFS($I$7:$I$256,$D$7:$D$256,W193,$H$7:$H$256,"NTIME"))</f>
        <v>0</v>
      </c>
      <c r="Y193" s="1" t="n">
        <f aca="false">IF(W193="",0,SUMIFS($I$7:$I$256,$D$7:$D$256,W193,$H$7:$H$256,"P6"))</f>
        <v>0</v>
      </c>
      <c r="Z193" s="1" t="n">
        <f aca="false">X193+Y193</f>
        <v>0</v>
      </c>
      <c r="AA193" s="1" t="n">
        <f aca="false">IF(Z193&gt;0,Z193+(201-187)/10^6,0)</f>
        <v>0</v>
      </c>
      <c r="AB193" s="1"/>
      <c r="AC193" s="1"/>
      <c r="AD193" s="1"/>
      <c r="AE193" s="1"/>
      <c r="AF193" s="1"/>
      <c r="AG193" s="1"/>
      <c r="AH193" s="1"/>
    </row>
    <row r="194" customFormat="false" ht="15" hidden="false" customHeight="false" outlineLevel="0" collapsed="false">
      <c r="A194" s="1"/>
      <c r="B194" s="10"/>
      <c r="C194" s="31" t="str">
        <f aca="false">IF(B194="","",TEXT(B194,"ddd"))</f>
        <v/>
      </c>
      <c r="D194" s="11"/>
      <c r="E194" s="8" t="str">
        <f aca="false">IF(D194="","",IFERROR(INDEX(ProjNumbers,MATCH(D194,ProjNames,0)),""))</f>
        <v/>
      </c>
      <c r="F194" s="8" t="str">
        <f aca="false">IF(D194="","",IFERROR(INDEX(ProjCodes,MATCH(D194,ProjNames,0)),""))</f>
        <v/>
      </c>
      <c r="G194" s="32"/>
      <c r="H194" s="11"/>
      <c r="I194" s="33"/>
      <c r="J194" s="8" t="str">
        <f aca="false">IF(COUNTA(B194,D194,G194,H194,I194)=0,"",IF(B194="","Enter date",IF(OR(B194&lt;$AC$2,B194&gt;$AC$3),"Date not in May",IF(D194="","Pick project",IF(ISNA(MATCH(D194,ProjNames,0)),"Project not in list",IF(G194="","Add task description",IF(H194="","Pick NTIME or P6",IF(N(I194)&lt;=0,"Enter hours",IF(AND(AllowOT&lt;&gt;"Yes",SUMIF($B$7:$B$256,B194,$I$7:$I$256)&gt;INDEX($O$58:$O$88,DAY(B194))),"Day over "&amp;INDEX($O$58:$O$88,DAY(B194))&amp;" h","✓")))))))))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tr">
        <f aca="false">IF(Projects!B192="","",Projects!B192)</f>
        <v/>
      </c>
      <c r="X194" s="1" t="n">
        <f aca="false">IF(W194="",0,SUMIFS($I$7:$I$256,$D$7:$D$256,W194,$H$7:$H$256,"NTIME"))</f>
        <v>0</v>
      </c>
      <c r="Y194" s="1" t="n">
        <f aca="false">IF(W194="",0,SUMIFS($I$7:$I$256,$D$7:$D$256,W194,$H$7:$H$256,"P6"))</f>
        <v>0</v>
      </c>
      <c r="Z194" s="1" t="n">
        <f aca="false">X194+Y194</f>
        <v>0</v>
      </c>
      <c r="AA194" s="1" t="n">
        <f aca="false">IF(Z194&gt;0,Z194+(201-188)/10^6,0)</f>
        <v>0</v>
      </c>
      <c r="AB194" s="1"/>
      <c r="AC194" s="1"/>
      <c r="AD194" s="1"/>
      <c r="AE194" s="1"/>
      <c r="AF194" s="1"/>
      <c r="AG194" s="1"/>
      <c r="AH194" s="1"/>
    </row>
    <row r="195" customFormat="false" ht="15" hidden="false" customHeight="false" outlineLevel="0" collapsed="false">
      <c r="A195" s="1"/>
      <c r="B195" s="10"/>
      <c r="C195" s="31" t="str">
        <f aca="false">IF(B195="","",TEXT(B195,"ddd"))</f>
        <v/>
      </c>
      <c r="D195" s="11"/>
      <c r="E195" s="8" t="str">
        <f aca="false">IF(D195="","",IFERROR(INDEX(ProjNumbers,MATCH(D195,ProjNames,0)),""))</f>
        <v/>
      </c>
      <c r="F195" s="8" t="str">
        <f aca="false">IF(D195="","",IFERROR(INDEX(ProjCodes,MATCH(D195,ProjNames,0)),""))</f>
        <v/>
      </c>
      <c r="G195" s="32"/>
      <c r="H195" s="11"/>
      <c r="I195" s="33"/>
      <c r="J195" s="8" t="str">
        <f aca="false">IF(COUNTA(B195,D195,G195,H195,I195)=0,"",IF(B195="","Enter date",IF(OR(B195&lt;$AC$2,B195&gt;$AC$3),"Date not in May",IF(D195="","Pick project",IF(ISNA(MATCH(D195,ProjNames,0)),"Project not in list",IF(G195="","Add task description",IF(H195="","Pick NTIME or P6",IF(N(I195)&lt;=0,"Enter hours",IF(AND(AllowOT&lt;&gt;"Yes",SUMIF($B$7:$B$256,B195,$I$7:$I$256)&gt;INDEX($O$58:$O$88,DAY(B195))),"Day over "&amp;INDEX($O$58:$O$88,DAY(B195))&amp;" h","✓")))))))))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tr">
        <f aca="false">IF(Projects!B193="","",Projects!B193)</f>
        <v/>
      </c>
      <c r="X195" s="1" t="n">
        <f aca="false">IF(W195="",0,SUMIFS($I$7:$I$256,$D$7:$D$256,W195,$H$7:$H$256,"NTIME"))</f>
        <v>0</v>
      </c>
      <c r="Y195" s="1" t="n">
        <f aca="false">IF(W195="",0,SUMIFS($I$7:$I$256,$D$7:$D$256,W195,$H$7:$H$256,"P6"))</f>
        <v>0</v>
      </c>
      <c r="Z195" s="1" t="n">
        <f aca="false">X195+Y195</f>
        <v>0</v>
      </c>
      <c r="AA195" s="1" t="n">
        <f aca="false">IF(Z195&gt;0,Z195+(201-189)/10^6,0)</f>
        <v>0</v>
      </c>
      <c r="AB195" s="1"/>
      <c r="AC195" s="1"/>
      <c r="AD195" s="1"/>
      <c r="AE195" s="1"/>
      <c r="AF195" s="1"/>
      <c r="AG195" s="1"/>
      <c r="AH195" s="1"/>
    </row>
    <row r="196" customFormat="false" ht="15" hidden="false" customHeight="false" outlineLevel="0" collapsed="false">
      <c r="A196" s="1"/>
      <c r="B196" s="10"/>
      <c r="C196" s="31" t="str">
        <f aca="false">IF(B196="","",TEXT(B196,"ddd"))</f>
        <v/>
      </c>
      <c r="D196" s="11"/>
      <c r="E196" s="8" t="str">
        <f aca="false">IF(D196="","",IFERROR(INDEX(ProjNumbers,MATCH(D196,ProjNames,0)),""))</f>
        <v/>
      </c>
      <c r="F196" s="8" t="str">
        <f aca="false">IF(D196="","",IFERROR(INDEX(ProjCodes,MATCH(D196,ProjNames,0)),""))</f>
        <v/>
      </c>
      <c r="G196" s="32"/>
      <c r="H196" s="11"/>
      <c r="I196" s="33"/>
      <c r="J196" s="8" t="str">
        <f aca="false">IF(COUNTA(B196,D196,G196,H196,I196)=0,"",IF(B196="","Enter date",IF(OR(B196&lt;$AC$2,B196&gt;$AC$3),"Date not in May",IF(D196="","Pick project",IF(ISNA(MATCH(D196,ProjNames,0)),"Project not in list",IF(G196="","Add task description",IF(H196="","Pick NTIME or P6",IF(N(I196)&lt;=0,"Enter hours",IF(AND(AllowOT&lt;&gt;"Yes",SUMIF($B$7:$B$256,B196,$I$7:$I$256)&gt;INDEX($O$58:$O$88,DAY(B196))),"Day over "&amp;INDEX($O$58:$O$88,DAY(B196))&amp;" h","✓")))))))))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tr">
        <f aca="false">IF(Projects!B194="","",Projects!B194)</f>
        <v/>
      </c>
      <c r="X196" s="1" t="n">
        <f aca="false">IF(W196="",0,SUMIFS($I$7:$I$256,$D$7:$D$256,W196,$H$7:$H$256,"NTIME"))</f>
        <v>0</v>
      </c>
      <c r="Y196" s="1" t="n">
        <f aca="false">IF(W196="",0,SUMIFS($I$7:$I$256,$D$7:$D$256,W196,$H$7:$H$256,"P6"))</f>
        <v>0</v>
      </c>
      <c r="Z196" s="1" t="n">
        <f aca="false">X196+Y196</f>
        <v>0</v>
      </c>
      <c r="AA196" s="1" t="n">
        <f aca="false">IF(Z196&gt;0,Z196+(201-190)/10^6,0)</f>
        <v>0</v>
      </c>
      <c r="AB196" s="1"/>
      <c r="AC196" s="1"/>
      <c r="AD196" s="1"/>
      <c r="AE196" s="1"/>
      <c r="AF196" s="1"/>
      <c r="AG196" s="1"/>
      <c r="AH196" s="1"/>
    </row>
    <row r="197" customFormat="false" ht="15" hidden="false" customHeight="false" outlineLevel="0" collapsed="false">
      <c r="A197" s="1"/>
      <c r="B197" s="10"/>
      <c r="C197" s="31" t="str">
        <f aca="false">IF(B197="","",TEXT(B197,"ddd"))</f>
        <v/>
      </c>
      <c r="D197" s="11"/>
      <c r="E197" s="8" t="str">
        <f aca="false">IF(D197="","",IFERROR(INDEX(ProjNumbers,MATCH(D197,ProjNames,0)),""))</f>
        <v/>
      </c>
      <c r="F197" s="8" t="str">
        <f aca="false">IF(D197="","",IFERROR(INDEX(ProjCodes,MATCH(D197,ProjNames,0)),""))</f>
        <v/>
      </c>
      <c r="G197" s="32"/>
      <c r="H197" s="11"/>
      <c r="I197" s="33"/>
      <c r="J197" s="8" t="str">
        <f aca="false">IF(COUNTA(B197,D197,G197,H197,I197)=0,"",IF(B197="","Enter date",IF(OR(B197&lt;$AC$2,B197&gt;$AC$3),"Date not in May",IF(D197="","Pick project",IF(ISNA(MATCH(D197,ProjNames,0)),"Project not in list",IF(G197="","Add task description",IF(H197="","Pick NTIME or P6",IF(N(I197)&lt;=0,"Enter hours",IF(AND(AllowOT&lt;&gt;"Yes",SUMIF($B$7:$B$256,B197,$I$7:$I$256)&gt;INDEX($O$58:$O$88,DAY(B197))),"Day over "&amp;INDEX($O$58:$O$88,DAY(B197))&amp;" h","✓")))))))))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tr">
        <f aca="false">IF(Projects!B195="","",Projects!B195)</f>
        <v/>
      </c>
      <c r="X197" s="1" t="n">
        <f aca="false">IF(W197="",0,SUMIFS($I$7:$I$256,$D$7:$D$256,W197,$H$7:$H$256,"NTIME"))</f>
        <v>0</v>
      </c>
      <c r="Y197" s="1" t="n">
        <f aca="false">IF(W197="",0,SUMIFS($I$7:$I$256,$D$7:$D$256,W197,$H$7:$H$256,"P6"))</f>
        <v>0</v>
      </c>
      <c r="Z197" s="1" t="n">
        <f aca="false">X197+Y197</f>
        <v>0</v>
      </c>
      <c r="AA197" s="1" t="n">
        <f aca="false">IF(Z197&gt;0,Z197+(201-191)/10^6,0)</f>
        <v>0</v>
      </c>
      <c r="AB197" s="1"/>
      <c r="AC197" s="1"/>
      <c r="AD197" s="1"/>
      <c r="AE197" s="1"/>
      <c r="AF197" s="1"/>
      <c r="AG197" s="1"/>
      <c r="AH197" s="1"/>
    </row>
    <row r="198" customFormat="false" ht="15" hidden="false" customHeight="false" outlineLevel="0" collapsed="false">
      <c r="A198" s="1"/>
      <c r="B198" s="10"/>
      <c r="C198" s="31" t="str">
        <f aca="false">IF(B198="","",TEXT(B198,"ddd"))</f>
        <v/>
      </c>
      <c r="D198" s="11"/>
      <c r="E198" s="8" t="str">
        <f aca="false">IF(D198="","",IFERROR(INDEX(ProjNumbers,MATCH(D198,ProjNames,0)),""))</f>
        <v/>
      </c>
      <c r="F198" s="8" t="str">
        <f aca="false">IF(D198="","",IFERROR(INDEX(ProjCodes,MATCH(D198,ProjNames,0)),""))</f>
        <v/>
      </c>
      <c r="G198" s="32"/>
      <c r="H198" s="11"/>
      <c r="I198" s="33"/>
      <c r="J198" s="8" t="str">
        <f aca="false">IF(COUNTA(B198,D198,G198,H198,I198)=0,"",IF(B198="","Enter date",IF(OR(B198&lt;$AC$2,B198&gt;$AC$3),"Date not in May",IF(D198="","Pick project",IF(ISNA(MATCH(D198,ProjNames,0)),"Project not in list",IF(G198="","Add task description",IF(H198="","Pick NTIME or P6",IF(N(I198)&lt;=0,"Enter hours",IF(AND(AllowOT&lt;&gt;"Yes",SUMIF($B$7:$B$256,B198,$I$7:$I$256)&gt;INDEX($O$58:$O$88,DAY(B198))),"Day over "&amp;INDEX($O$58:$O$88,DAY(B198))&amp;" h","✓")))))))))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tr">
        <f aca="false">IF(Projects!B196="","",Projects!B196)</f>
        <v/>
      </c>
      <c r="X198" s="1" t="n">
        <f aca="false">IF(W198="",0,SUMIFS($I$7:$I$256,$D$7:$D$256,W198,$H$7:$H$256,"NTIME"))</f>
        <v>0</v>
      </c>
      <c r="Y198" s="1" t="n">
        <f aca="false">IF(W198="",0,SUMIFS($I$7:$I$256,$D$7:$D$256,W198,$H$7:$H$256,"P6"))</f>
        <v>0</v>
      </c>
      <c r="Z198" s="1" t="n">
        <f aca="false">X198+Y198</f>
        <v>0</v>
      </c>
      <c r="AA198" s="1" t="n">
        <f aca="false">IF(Z198&gt;0,Z198+(201-192)/10^6,0)</f>
        <v>0</v>
      </c>
      <c r="AB198" s="1"/>
      <c r="AC198" s="1"/>
      <c r="AD198" s="1"/>
      <c r="AE198" s="1"/>
      <c r="AF198" s="1"/>
      <c r="AG198" s="1"/>
      <c r="AH198" s="1"/>
    </row>
    <row r="199" customFormat="false" ht="15" hidden="false" customHeight="false" outlineLevel="0" collapsed="false">
      <c r="A199" s="1"/>
      <c r="B199" s="10"/>
      <c r="C199" s="31" t="str">
        <f aca="false">IF(B199="","",TEXT(B199,"ddd"))</f>
        <v/>
      </c>
      <c r="D199" s="11"/>
      <c r="E199" s="8" t="str">
        <f aca="false">IF(D199="","",IFERROR(INDEX(ProjNumbers,MATCH(D199,ProjNames,0)),""))</f>
        <v/>
      </c>
      <c r="F199" s="8" t="str">
        <f aca="false">IF(D199="","",IFERROR(INDEX(ProjCodes,MATCH(D199,ProjNames,0)),""))</f>
        <v/>
      </c>
      <c r="G199" s="32"/>
      <c r="H199" s="11"/>
      <c r="I199" s="33"/>
      <c r="J199" s="8" t="str">
        <f aca="false">IF(COUNTA(B199,D199,G199,H199,I199)=0,"",IF(B199="","Enter date",IF(OR(B199&lt;$AC$2,B199&gt;$AC$3),"Date not in May",IF(D199="","Pick project",IF(ISNA(MATCH(D199,ProjNames,0)),"Project not in list",IF(G199="","Add task description",IF(H199="","Pick NTIME or P6",IF(N(I199)&lt;=0,"Enter hours",IF(AND(AllowOT&lt;&gt;"Yes",SUMIF($B$7:$B$256,B199,$I$7:$I$256)&gt;INDEX($O$58:$O$88,DAY(B199))),"Day over "&amp;INDEX($O$58:$O$88,DAY(B199))&amp;" h","✓")))))))))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tr">
        <f aca="false">IF(Projects!B197="","",Projects!B197)</f>
        <v/>
      </c>
      <c r="X199" s="1" t="n">
        <f aca="false">IF(W199="",0,SUMIFS($I$7:$I$256,$D$7:$D$256,W199,$H$7:$H$256,"NTIME"))</f>
        <v>0</v>
      </c>
      <c r="Y199" s="1" t="n">
        <f aca="false">IF(W199="",0,SUMIFS($I$7:$I$256,$D$7:$D$256,W199,$H$7:$H$256,"P6"))</f>
        <v>0</v>
      </c>
      <c r="Z199" s="1" t="n">
        <f aca="false">X199+Y199</f>
        <v>0</v>
      </c>
      <c r="AA199" s="1" t="n">
        <f aca="false">IF(Z199&gt;0,Z199+(201-193)/10^6,0)</f>
        <v>0</v>
      </c>
      <c r="AB199" s="1"/>
      <c r="AC199" s="1"/>
      <c r="AD199" s="1"/>
      <c r="AE199" s="1"/>
      <c r="AF199" s="1"/>
      <c r="AG199" s="1"/>
      <c r="AH199" s="1"/>
    </row>
    <row r="200" customFormat="false" ht="15" hidden="false" customHeight="false" outlineLevel="0" collapsed="false">
      <c r="A200" s="1"/>
      <c r="B200" s="10"/>
      <c r="C200" s="31" t="str">
        <f aca="false">IF(B200="","",TEXT(B200,"ddd"))</f>
        <v/>
      </c>
      <c r="D200" s="11"/>
      <c r="E200" s="8" t="str">
        <f aca="false">IF(D200="","",IFERROR(INDEX(ProjNumbers,MATCH(D200,ProjNames,0)),""))</f>
        <v/>
      </c>
      <c r="F200" s="8" t="str">
        <f aca="false">IF(D200="","",IFERROR(INDEX(ProjCodes,MATCH(D200,ProjNames,0)),""))</f>
        <v/>
      </c>
      <c r="G200" s="32"/>
      <c r="H200" s="11"/>
      <c r="I200" s="33"/>
      <c r="J200" s="8" t="str">
        <f aca="false">IF(COUNTA(B200,D200,G200,H200,I200)=0,"",IF(B200="","Enter date",IF(OR(B200&lt;$AC$2,B200&gt;$AC$3),"Date not in May",IF(D200="","Pick project",IF(ISNA(MATCH(D200,ProjNames,0)),"Project not in list",IF(G200="","Add task description",IF(H200="","Pick NTIME or P6",IF(N(I200)&lt;=0,"Enter hours",IF(AND(AllowOT&lt;&gt;"Yes",SUMIF($B$7:$B$256,B200,$I$7:$I$256)&gt;INDEX($O$58:$O$88,DAY(B200))),"Day over "&amp;INDEX($O$58:$O$88,DAY(B200))&amp;" h","✓")))))))))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tr">
        <f aca="false">IF(Projects!B198="","",Projects!B198)</f>
        <v/>
      </c>
      <c r="X200" s="1" t="n">
        <f aca="false">IF(W200="",0,SUMIFS($I$7:$I$256,$D$7:$D$256,W200,$H$7:$H$256,"NTIME"))</f>
        <v>0</v>
      </c>
      <c r="Y200" s="1" t="n">
        <f aca="false">IF(W200="",0,SUMIFS($I$7:$I$256,$D$7:$D$256,W200,$H$7:$H$256,"P6"))</f>
        <v>0</v>
      </c>
      <c r="Z200" s="1" t="n">
        <f aca="false">X200+Y200</f>
        <v>0</v>
      </c>
      <c r="AA200" s="1" t="n">
        <f aca="false">IF(Z200&gt;0,Z200+(201-194)/10^6,0)</f>
        <v>0</v>
      </c>
      <c r="AB200" s="1"/>
      <c r="AC200" s="1"/>
      <c r="AD200" s="1"/>
      <c r="AE200" s="1"/>
      <c r="AF200" s="1"/>
      <c r="AG200" s="1"/>
      <c r="AH200" s="1"/>
    </row>
    <row r="201" customFormat="false" ht="15" hidden="false" customHeight="false" outlineLevel="0" collapsed="false">
      <c r="A201" s="1"/>
      <c r="B201" s="10"/>
      <c r="C201" s="31" t="str">
        <f aca="false">IF(B201="","",TEXT(B201,"ddd"))</f>
        <v/>
      </c>
      <c r="D201" s="11"/>
      <c r="E201" s="8" t="str">
        <f aca="false">IF(D201="","",IFERROR(INDEX(ProjNumbers,MATCH(D201,ProjNames,0)),""))</f>
        <v/>
      </c>
      <c r="F201" s="8" t="str">
        <f aca="false">IF(D201="","",IFERROR(INDEX(ProjCodes,MATCH(D201,ProjNames,0)),""))</f>
        <v/>
      </c>
      <c r="G201" s="32"/>
      <c r="H201" s="11"/>
      <c r="I201" s="33"/>
      <c r="J201" s="8" t="str">
        <f aca="false">IF(COUNTA(B201,D201,G201,H201,I201)=0,"",IF(B201="","Enter date",IF(OR(B201&lt;$AC$2,B201&gt;$AC$3),"Date not in May",IF(D201="","Pick project",IF(ISNA(MATCH(D201,ProjNames,0)),"Project not in list",IF(G201="","Add task description",IF(H201="","Pick NTIME or P6",IF(N(I201)&lt;=0,"Enter hours",IF(AND(AllowOT&lt;&gt;"Yes",SUMIF($B$7:$B$256,B201,$I$7:$I$256)&gt;INDEX($O$58:$O$88,DAY(B201))),"Day over "&amp;INDEX($O$58:$O$88,DAY(B201))&amp;" h","✓")))))))))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tr">
        <f aca="false">IF(Projects!B199="","",Projects!B199)</f>
        <v/>
      </c>
      <c r="X201" s="1" t="n">
        <f aca="false">IF(W201="",0,SUMIFS($I$7:$I$256,$D$7:$D$256,W201,$H$7:$H$256,"NTIME"))</f>
        <v>0</v>
      </c>
      <c r="Y201" s="1" t="n">
        <f aca="false">IF(W201="",0,SUMIFS($I$7:$I$256,$D$7:$D$256,W201,$H$7:$H$256,"P6"))</f>
        <v>0</v>
      </c>
      <c r="Z201" s="1" t="n">
        <f aca="false">X201+Y201</f>
        <v>0</v>
      </c>
      <c r="AA201" s="1" t="n">
        <f aca="false">IF(Z201&gt;0,Z201+(201-195)/10^6,0)</f>
        <v>0</v>
      </c>
      <c r="AB201" s="1"/>
      <c r="AC201" s="1"/>
      <c r="AD201" s="1"/>
      <c r="AE201" s="1"/>
      <c r="AF201" s="1"/>
      <c r="AG201" s="1"/>
      <c r="AH201" s="1"/>
    </row>
    <row r="202" customFormat="false" ht="15" hidden="false" customHeight="false" outlineLevel="0" collapsed="false">
      <c r="A202" s="1"/>
      <c r="B202" s="10"/>
      <c r="C202" s="31" t="str">
        <f aca="false">IF(B202="","",TEXT(B202,"ddd"))</f>
        <v/>
      </c>
      <c r="D202" s="11"/>
      <c r="E202" s="8" t="str">
        <f aca="false">IF(D202="","",IFERROR(INDEX(ProjNumbers,MATCH(D202,ProjNames,0)),""))</f>
        <v/>
      </c>
      <c r="F202" s="8" t="str">
        <f aca="false">IF(D202="","",IFERROR(INDEX(ProjCodes,MATCH(D202,ProjNames,0)),""))</f>
        <v/>
      </c>
      <c r="G202" s="32"/>
      <c r="H202" s="11"/>
      <c r="I202" s="33"/>
      <c r="J202" s="8" t="str">
        <f aca="false">IF(COUNTA(B202,D202,G202,H202,I202)=0,"",IF(B202="","Enter date",IF(OR(B202&lt;$AC$2,B202&gt;$AC$3),"Date not in May",IF(D202="","Pick project",IF(ISNA(MATCH(D202,ProjNames,0)),"Project not in list",IF(G202="","Add task description",IF(H202="","Pick NTIME or P6",IF(N(I202)&lt;=0,"Enter hours",IF(AND(AllowOT&lt;&gt;"Yes",SUMIF($B$7:$B$256,B202,$I$7:$I$256)&gt;INDEX($O$58:$O$88,DAY(B202))),"Day over "&amp;INDEX($O$58:$O$88,DAY(B202))&amp;" h","✓")))))))))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tr">
        <f aca="false">IF(Projects!B200="","",Projects!B200)</f>
        <v/>
      </c>
      <c r="X202" s="1" t="n">
        <f aca="false">IF(W202="",0,SUMIFS($I$7:$I$256,$D$7:$D$256,W202,$H$7:$H$256,"NTIME"))</f>
        <v>0</v>
      </c>
      <c r="Y202" s="1" t="n">
        <f aca="false">IF(W202="",0,SUMIFS($I$7:$I$256,$D$7:$D$256,W202,$H$7:$H$256,"P6"))</f>
        <v>0</v>
      </c>
      <c r="Z202" s="1" t="n">
        <f aca="false">X202+Y202</f>
        <v>0</v>
      </c>
      <c r="AA202" s="1" t="n">
        <f aca="false">IF(Z202&gt;0,Z202+(201-196)/10^6,0)</f>
        <v>0</v>
      </c>
      <c r="AB202" s="1"/>
      <c r="AC202" s="1"/>
      <c r="AD202" s="1"/>
      <c r="AE202" s="1"/>
      <c r="AF202" s="1"/>
      <c r="AG202" s="1"/>
      <c r="AH202" s="1"/>
    </row>
    <row r="203" customFormat="false" ht="15" hidden="false" customHeight="false" outlineLevel="0" collapsed="false">
      <c r="A203" s="1"/>
      <c r="B203" s="10"/>
      <c r="C203" s="31" t="str">
        <f aca="false">IF(B203="","",TEXT(B203,"ddd"))</f>
        <v/>
      </c>
      <c r="D203" s="11"/>
      <c r="E203" s="8" t="str">
        <f aca="false">IF(D203="","",IFERROR(INDEX(ProjNumbers,MATCH(D203,ProjNames,0)),""))</f>
        <v/>
      </c>
      <c r="F203" s="8" t="str">
        <f aca="false">IF(D203="","",IFERROR(INDEX(ProjCodes,MATCH(D203,ProjNames,0)),""))</f>
        <v/>
      </c>
      <c r="G203" s="32"/>
      <c r="H203" s="11"/>
      <c r="I203" s="33"/>
      <c r="J203" s="8" t="str">
        <f aca="false">IF(COUNTA(B203,D203,G203,H203,I203)=0,"",IF(B203="","Enter date",IF(OR(B203&lt;$AC$2,B203&gt;$AC$3),"Date not in May",IF(D203="","Pick project",IF(ISNA(MATCH(D203,ProjNames,0)),"Project not in list",IF(G203="","Add task description",IF(H203="","Pick NTIME or P6",IF(N(I203)&lt;=0,"Enter hours",IF(AND(AllowOT&lt;&gt;"Yes",SUMIF($B$7:$B$256,B203,$I$7:$I$256)&gt;INDEX($O$58:$O$88,DAY(B203))),"Day over "&amp;INDEX($O$58:$O$88,DAY(B203))&amp;" h","✓")))))))))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tr">
        <f aca="false">IF(Projects!B201="","",Projects!B201)</f>
        <v/>
      </c>
      <c r="X203" s="1" t="n">
        <f aca="false">IF(W203="",0,SUMIFS($I$7:$I$256,$D$7:$D$256,W203,$H$7:$H$256,"NTIME"))</f>
        <v>0</v>
      </c>
      <c r="Y203" s="1" t="n">
        <f aca="false">IF(W203="",0,SUMIFS($I$7:$I$256,$D$7:$D$256,W203,$H$7:$H$256,"P6"))</f>
        <v>0</v>
      </c>
      <c r="Z203" s="1" t="n">
        <f aca="false">X203+Y203</f>
        <v>0</v>
      </c>
      <c r="AA203" s="1" t="n">
        <f aca="false">IF(Z203&gt;0,Z203+(201-197)/10^6,0)</f>
        <v>0</v>
      </c>
      <c r="AB203" s="1"/>
      <c r="AC203" s="1"/>
      <c r="AD203" s="1"/>
      <c r="AE203" s="1"/>
      <c r="AF203" s="1"/>
      <c r="AG203" s="1"/>
      <c r="AH203" s="1"/>
    </row>
    <row r="204" customFormat="false" ht="15" hidden="false" customHeight="false" outlineLevel="0" collapsed="false">
      <c r="A204" s="1"/>
      <c r="B204" s="10"/>
      <c r="C204" s="31" t="str">
        <f aca="false">IF(B204="","",TEXT(B204,"ddd"))</f>
        <v/>
      </c>
      <c r="D204" s="11"/>
      <c r="E204" s="8" t="str">
        <f aca="false">IF(D204="","",IFERROR(INDEX(ProjNumbers,MATCH(D204,ProjNames,0)),""))</f>
        <v/>
      </c>
      <c r="F204" s="8" t="str">
        <f aca="false">IF(D204="","",IFERROR(INDEX(ProjCodes,MATCH(D204,ProjNames,0)),""))</f>
        <v/>
      </c>
      <c r="G204" s="32"/>
      <c r="H204" s="11"/>
      <c r="I204" s="33"/>
      <c r="J204" s="8" t="str">
        <f aca="false">IF(COUNTA(B204,D204,G204,H204,I204)=0,"",IF(B204="","Enter date",IF(OR(B204&lt;$AC$2,B204&gt;$AC$3),"Date not in May",IF(D204="","Pick project",IF(ISNA(MATCH(D204,ProjNames,0)),"Project not in list",IF(G204="","Add task description",IF(H204="","Pick NTIME or P6",IF(N(I204)&lt;=0,"Enter hours",IF(AND(AllowOT&lt;&gt;"Yes",SUMIF($B$7:$B$256,B204,$I$7:$I$256)&gt;INDEX($O$58:$O$88,DAY(B204))),"Day over "&amp;INDEX($O$58:$O$88,DAY(B204))&amp;" h","✓")))))))))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tr">
        <f aca="false">IF(Projects!B202="","",Projects!B202)</f>
        <v/>
      </c>
      <c r="X204" s="1" t="n">
        <f aca="false">IF(W204="",0,SUMIFS($I$7:$I$256,$D$7:$D$256,W204,$H$7:$H$256,"NTIME"))</f>
        <v>0</v>
      </c>
      <c r="Y204" s="1" t="n">
        <f aca="false">IF(W204="",0,SUMIFS($I$7:$I$256,$D$7:$D$256,W204,$H$7:$H$256,"P6"))</f>
        <v>0</v>
      </c>
      <c r="Z204" s="1" t="n">
        <f aca="false">X204+Y204</f>
        <v>0</v>
      </c>
      <c r="AA204" s="1" t="n">
        <f aca="false">IF(Z204&gt;0,Z204+(201-198)/10^6,0)</f>
        <v>0</v>
      </c>
      <c r="AB204" s="1"/>
      <c r="AC204" s="1"/>
      <c r="AD204" s="1"/>
      <c r="AE204" s="1"/>
      <c r="AF204" s="1"/>
      <c r="AG204" s="1"/>
      <c r="AH204" s="1"/>
    </row>
    <row r="205" customFormat="false" ht="15" hidden="false" customHeight="false" outlineLevel="0" collapsed="false">
      <c r="A205" s="1"/>
      <c r="B205" s="10"/>
      <c r="C205" s="31" t="str">
        <f aca="false">IF(B205="","",TEXT(B205,"ddd"))</f>
        <v/>
      </c>
      <c r="D205" s="11"/>
      <c r="E205" s="8" t="str">
        <f aca="false">IF(D205="","",IFERROR(INDEX(ProjNumbers,MATCH(D205,ProjNames,0)),""))</f>
        <v/>
      </c>
      <c r="F205" s="8" t="str">
        <f aca="false">IF(D205="","",IFERROR(INDEX(ProjCodes,MATCH(D205,ProjNames,0)),""))</f>
        <v/>
      </c>
      <c r="G205" s="32"/>
      <c r="H205" s="11"/>
      <c r="I205" s="33"/>
      <c r="J205" s="8" t="str">
        <f aca="false">IF(COUNTA(B205,D205,G205,H205,I205)=0,"",IF(B205="","Enter date",IF(OR(B205&lt;$AC$2,B205&gt;$AC$3),"Date not in May",IF(D205="","Pick project",IF(ISNA(MATCH(D205,ProjNames,0)),"Project not in list",IF(G205="","Add task description",IF(H205="","Pick NTIME or P6",IF(N(I205)&lt;=0,"Enter hours",IF(AND(AllowOT&lt;&gt;"Yes",SUMIF($B$7:$B$256,B205,$I$7:$I$256)&gt;INDEX($O$58:$O$88,DAY(B205))),"Day over "&amp;INDEX($O$58:$O$88,DAY(B205))&amp;" h","✓")))))))))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tr">
        <f aca="false">IF(Projects!B203="","",Projects!B203)</f>
        <v/>
      </c>
      <c r="X205" s="1" t="n">
        <f aca="false">IF(W205="",0,SUMIFS($I$7:$I$256,$D$7:$D$256,W205,$H$7:$H$256,"NTIME"))</f>
        <v>0</v>
      </c>
      <c r="Y205" s="1" t="n">
        <f aca="false">IF(W205="",0,SUMIFS($I$7:$I$256,$D$7:$D$256,W205,$H$7:$H$256,"P6"))</f>
        <v>0</v>
      </c>
      <c r="Z205" s="1" t="n">
        <f aca="false">X205+Y205</f>
        <v>0</v>
      </c>
      <c r="AA205" s="1" t="n">
        <f aca="false">IF(Z205&gt;0,Z205+(201-199)/10^6,0)</f>
        <v>0</v>
      </c>
      <c r="AB205" s="1"/>
      <c r="AC205" s="1"/>
      <c r="AD205" s="1"/>
      <c r="AE205" s="1"/>
      <c r="AF205" s="1"/>
      <c r="AG205" s="1"/>
      <c r="AH205" s="1"/>
    </row>
    <row r="206" customFormat="false" ht="15" hidden="false" customHeight="false" outlineLevel="0" collapsed="false">
      <c r="A206" s="1"/>
      <c r="B206" s="10"/>
      <c r="C206" s="31" t="str">
        <f aca="false">IF(B206="","",TEXT(B206,"ddd"))</f>
        <v/>
      </c>
      <c r="D206" s="11"/>
      <c r="E206" s="8" t="str">
        <f aca="false">IF(D206="","",IFERROR(INDEX(ProjNumbers,MATCH(D206,ProjNames,0)),""))</f>
        <v/>
      </c>
      <c r="F206" s="8" t="str">
        <f aca="false">IF(D206="","",IFERROR(INDEX(ProjCodes,MATCH(D206,ProjNames,0)),""))</f>
        <v/>
      </c>
      <c r="G206" s="32"/>
      <c r="H206" s="11"/>
      <c r="I206" s="33"/>
      <c r="J206" s="8" t="str">
        <f aca="false">IF(COUNTA(B206,D206,G206,H206,I206)=0,"",IF(B206="","Enter date",IF(OR(B206&lt;$AC$2,B206&gt;$AC$3),"Date not in May",IF(D206="","Pick project",IF(ISNA(MATCH(D206,ProjNames,0)),"Project not in list",IF(G206="","Add task description",IF(H206="","Pick NTIME or P6",IF(N(I206)&lt;=0,"Enter hours",IF(AND(AllowOT&lt;&gt;"Yes",SUMIF($B$7:$B$256,B206,$I$7:$I$256)&gt;INDEX($O$58:$O$88,DAY(B206))),"Day over "&amp;INDEX($O$58:$O$88,DAY(B206))&amp;" h","✓")))))))))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tr">
        <f aca="false">IF(Projects!B204="","",Projects!B204)</f>
        <v/>
      </c>
      <c r="X206" s="1" t="n">
        <f aca="false">IF(W206="",0,SUMIFS($I$7:$I$256,$D$7:$D$256,W206,$H$7:$H$256,"NTIME"))</f>
        <v>0</v>
      </c>
      <c r="Y206" s="1" t="n">
        <f aca="false">IF(W206="",0,SUMIFS($I$7:$I$256,$D$7:$D$256,W206,$H$7:$H$256,"P6"))</f>
        <v>0</v>
      </c>
      <c r="Z206" s="1" t="n">
        <f aca="false">X206+Y206</f>
        <v>0</v>
      </c>
      <c r="AA206" s="1" t="n">
        <f aca="false">IF(Z206&gt;0,Z206+(201-200)/10^6,0)</f>
        <v>0</v>
      </c>
      <c r="AB206" s="1"/>
      <c r="AC206" s="1"/>
      <c r="AD206" s="1"/>
      <c r="AE206" s="1"/>
      <c r="AF206" s="1"/>
      <c r="AG206" s="1"/>
      <c r="AH206" s="1"/>
    </row>
    <row r="207" customFormat="false" ht="15" hidden="false" customHeight="false" outlineLevel="0" collapsed="false">
      <c r="A207" s="1"/>
      <c r="B207" s="10"/>
      <c r="C207" s="31" t="str">
        <f aca="false">IF(B207="","",TEXT(B207,"ddd"))</f>
        <v/>
      </c>
      <c r="D207" s="11"/>
      <c r="E207" s="8" t="str">
        <f aca="false">IF(D207="","",IFERROR(INDEX(ProjNumbers,MATCH(D207,ProjNames,0)),""))</f>
        <v/>
      </c>
      <c r="F207" s="8" t="str">
        <f aca="false">IF(D207="","",IFERROR(INDEX(ProjCodes,MATCH(D207,ProjNames,0)),""))</f>
        <v/>
      </c>
      <c r="G207" s="32"/>
      <c r="H207" s="11"/>
      <c r="I207" s="33"/>
      <c r="J207" s="8" t="str">
        <f aca="false">IF(COUNTA(B207,D207,G207,H207,I207)=0,"",IF(B207="","Enter date",IF(OR(B207&lt;$AC$2,B207&gt;$AC$3),"Date not in May",IF(D207="","Pick project",IF(ISNA(MATCH(D207,ProjNames,0)),"Project not in list",IF(G207="","Add task description",IF(H207="","Pick NTIME or P6",IF(N(I207)&lt;=0,"Enter hours",IF(AND(AllowOT&lt;&gt;"Yes",SUMIF($B$7:$B$256,B207,$I$7:$I$256)&gt;INDEX($O$58:$O$88,DAY(B207))),"Day over "&amp;INDEX($O$58:$O$88,DAY(B207))&amp;" h","✓")))))))))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5" hidden="false" customHeight="false" outlineLevel="0" collapsed="false">
      <c r="A208" s="1"/>
      <c r="B208" s="10"/>
      <c r="C208" s="31" t="str">
        <f aca="false">IF(B208="","",TEXT(B208,"ddd"))</f>
        <v/>
      </c>
      <c r="D208" s="11"/>
      <c r="E208" s="8" t="str">
        <f aca="false">IF(D208="","",IFERROR(INDEX(ProjNumbers,MATCH(D208,ProjNames,0)),""))</f>
        <v/>
      </c>
      <c r="F208" s="8" t="str">
        <f aca="false">IF(D208="","",IFERROR(INDEX(ProjCodes,MATCH(D208,ProjNames,0)),""))</f>
        <v/>
      </c>
      <c r="G208" s="32"/>
      <c r="H208" s="11"/>
      <c r="I208" s="33"/>
      <c r="J208" s="8" t="str">
        <f aca="false">IF(COUNTA(B208,D208,G208,H208,I208)=0,"",IF(B208="","Enter date",IF(OR(B208&lt;$AC$2,B208&gt;$AC$3),"Date not in May",IF(D208="","Pick project",IF(ISNA(MATCH(D208,ProjNames,0)),"Project not in list",IF(G208="","Add task description",IF(H208="","Pick NTIME or P6",IF(N(I208)&lt;=0,"Enter hours",IF(AND(AllowOT&lt;&gt;"Yes",SUMIF($B$7:$B$256,B208,$I$7:$I$256)&gt;INDEX($O$58:$O$88,DAY(B208))),"Day over "&amp;INDEX($O$58:$O$88,DAY(B208))&amp;" h","✓")))))))))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5" hidden="false" customHeight="false" outlineLevel="0" collapsed="false">
      <c r="A209" s="1"/>
      <c r="B209" s="10"/>
      <c r="C209" s="31" t="str">
        <f aca="false">IF(B209="","",TEXT(B209,"ddd"))</f>
        <v/>
      </c>
      <c r="D209" s="11"/>
      <c r="E209" s="8" t="str">
        <f aca="false">IF(D209="","",IFERROR(INDEX(ProjNumbers,MATCH(D209,ProjNames,0)),""))</f>
        <v/>
      </c>
      <c r="F209" s="8" t="str">
        <f aca="false">IF(D209="","",IFERROR(INDEX(ProjCodes,MATCH(D209,ProjNames,0)),""))</f>
        <v/>
      </c>
      <c r="G209" s="32"/>
      <c r="H209" s="11"/>
      <c r="I209" s="33"/>
      <c r="J209" s="8" t="str">
        <f aca="false">IF(COUNTA(B209,D209,G209,H209,I209)=0,"",IF(B209="","Enter date",IF(OR(B209&lt;$AC$2,B209&gt;$AC$3),"Date not in May",IF(D209="","Pick project",IF(ISNA(MATCH(D209,ProjNames,0)),"Project not in list",IF(G209="","Add task description",IF(H209="","Pick NTIME or P6",IF(N(I209)&lt;=0,"Enter hours",IF(AND(AllowOT&lt;&gt;"Yes",SUMIF($B$7:$B$256,B209,$I$7:$I$256)&gt;INDEX($O$58:$O$88,DAY(B209))),"Day over "&amp;INDEX($O$58:$O$88,DAY(B209))&amp;" h","✓")))))))))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5" hidden="false" customHeight="false" outlineLevel="0" collapsed="false">
      <c r="A210" s="1"/>
      <c r="B210" s="10"/>
      <c r="C210" s="31" t="str">
        <f aca="false">IF(B210="","",TEXT(B210,"ddd"))</f>
        <v/>
      </c>
      <c r="D210" s="11"/>
      <c r="E210" s="8" t="str">
        <f aca="false">IF(D210="","",IFERROR(INDEX(ProjNumbers,MATCH(D210,ProjNames,0)),""))</f>
        <v/>
      </c>
      <c r="F210" s="8" t="str">
        <f aca="false">IF(D210="","",IFERROR(INDEX(ProjCodes,MATCH(D210,ProjNames,0)),""))</f>
        <v/>
      </c>
      <c r="G210" s="32"/>
      <c r="H210" s="11"/>
      <c r="I210" s="33"/>
      <c r="J210" s="8" t="str">
        <f aca="false">IF(COUNTA(B210,D210,G210,H210,I210)=0,"",IF(B210="","Enter date",IF(OR(B210&lt;$AC$2,B210&gt;$AC$3),"Date not in May",IF(D210="","Pick project",IF(ISNA(MATCH(D210,ProjNames,0)),"Project not in list",IF(G210="","Add task description",IF(H210="","Pick NTIME or P6",IF(N(I210)&lt;=0,"Enter hours",IF(AND(AllowOT&lt;&gt;"Yes",SUMIF($B$7:$B$256,B210,$I$7:$I$256)&gt;INDEX($O$58:$O$88,DAY(B210))),"Day over "&amp;INDEX($O$58:$O$88,DAY(B210))&amp;" h","✓")))))))))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5" hidden="false" customHeight="false" outlineLevel="0" collapsed="false">
      <c r="A211" s="1"/>
      <c r="B211" s="10"/>
      <c r="C211" s="31" t="str">
        <f aca="false">IF(B211="","",TEXT(B211,"ddd"))</f>
        <v/>
      </c>
      <c r="D211" s="11"/>
      <c r="E211" s="8" t="str">
        <f aca="false">IF(D211="","",IFERROR(INDEX(ProjNumbers,MATCH(D211,ProjNames,0)),""))</f>
        <v/>
      </c>
      <c r="F211" s="8" t="str">
        <f aca="false">IF(D211="","",IFERROR(INDEX(ProjCodes,MATCH(D211,ProjNames,0)),""))</f>
        <v/>
      </c>
      <c r="G211" s="32"/>
      <c r="H211" s="11"/>
      <c r="I211" s="33"/>
      <c r="J211" s="8" t="str">
        <f aca="false">IF(COUNTA(B211,D211,G211,H211,I211)=0,"",IF(B211="","Enter date",IF(OR(B211&lt;$AC$2,B211&gt;$AC$3),"Date not in May",IF(D211="","Pick project",IF(ISNA(MATCH(D211,ProjNames,0)),"Project not in list",IF(G211="","Add task description",IF(H211="","Pick NTIME or P6",IF(N(I211)&lt;=0,"Enter hours",IF(AND(AllowOT&lt;&gt;"Yes",SUMIF($B$7:$B$256,B211,$I$7:$I$256)&gt;INDEX($O$58:$O$88,DAY(B211))),"Day over "&amp;INDEX($O$58:$O$88,DAY(B211))&amp;" h","✓")))))))))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5" hidden="false" customHeight="false" outlineLevel="0" collapsed="false">
      <c r="A212" s="1"/>
      <c r="B212" s="10"/>
      <c r="C212" s="31" t="str">
        <f aca="false">IF(B212="","",TEXT(B212,"ddd"))</f>
        <v/>
      </c>
      <c r="D212" s="11"/>
      <c r="E212" s="8" t="str">
        <f aca="false">IF(D212="","",IFERROR(INDEX(ProjNumbers,MATCH(D212,ProjNames,0)),""))</f>
        <v/>
      </c>
      <c r="F212" s="8" t="str">
        <f aca="false">IF(D212="","",IFERROR(INDEX(ProjCodes,MATCH(D212,ProjNames,0)),""))</f>
        <v/>
      </c>
      <c r="G212" s="32"/>
      <c r="H212" s="11"/>
      <c r="I212" s="33"/>
      <c r="J212" s="8" t="str">
        <f aca="false">IF(COUNTA(B212,D212,G212,H212,I212)=0,"",IF(B212="","Enter date",IF(OR(B212&lt;$AC$2,B212&gt;$AC$3),"Date not in May",IF(D212="","Pick project",IF(ISNA(MATCH(D212,ProjNames,0)),"Project not in list",IF(G212="","Add task description",IF(H212="","Pick NTIME or P6",IF(N(I212)&lt;=0,"Enter hours",IF(AND(AllowOT&lt;&gt;"Yes",SUMIF($B$7:$B$256,B212,$I$7:$I$256)&gt;INDEX($O$58:$O$88,DAY(B212))),"Day over "&amp;INDEX($O$58:$O$88,DAY(B212))&amp;" h","✓")))))))))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5" hidden="false" customHeight="false" outlineLevel="0" collapsed="false">
      <c r="A213" s="1"/>
      <c r="B213" s="10"/>
      <c r="C213" s="31" t="str">
        <f aca="false">IF(B213="","",TEXT(B213,"ddd"))</f>
        <v/>
      </c>
      <c r="D213" s="11"/>
      <c r="E213" s="8" t="str">
        <f aca="false">IF(D213="","",IFERROR(INDEX(ProjNumbers,MATCH(D213,ProjNames,0)),""))</f>
        <v/>
      </c>
      <c r="F213" s="8" t="str">
        <f aca="false">IF(D213="","",IFERROR(INDEX(ProjCodes,MATCH(D213,ProjNames,0)),""))</f>
        <v/>
      </c>
      <c r="G213" s="32"/>
      <c r="H213" s="11"/>
      <c r="I213" s="33"/>
      <c r="J213" s="8" t="str">
        <f aca="false">IF(COUNTA(B213,D213,G213,H213,I213)=0,"",IF(B213="","Enter date",IF(OR(B213&lt;$AC$2,B213&gt;$AC$3),"Date not in May",IF(D213="","Pick project",IF(ISNA(MATCH(D213,ProjNames,0)),"Project not in list",IF(G213="","Add task description",IF(H213="","Pick NTIME or P6",IF(N(I213)&lt;=0,"Enter hours",IF(AND(AllowOT&lt;&gt;"Yes",SUMIF($B$7:$B$256,B213,$I$7:$I$256)&gt;INDEX($O$58:$O$88,DAY(B213))),"Day over "&amp;INDEX($O$58:$O$88,DAY(B213))&amp;" h","✓")))))))))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5" hidden="false" customHeight="false" outlineLevel="0" collapsed="false">
      <c r="A214" s="1"/>
      <c r="B214" s="10"/>
      <c r="C214" s="31" t="str">
        <f aca="false">IF(B214="","",TEXT(B214,"ddd"))</f>
        <v/>
      </c>
      <c r="D214" s="11"/>
      <c r="E214" s="8" t="str">
        <f aca="false">IF(D214="","",IFERROR(INDEX(ProjNumbers,MATCH(D214,ProjNames,0)),""))</f>
        <v/>
      </c>
      <c r="F214" s="8" t="str">
        <f aca="false">IF(D214="","",IFERROR(INDEX(ProjCodes,MATCH(D214,ProjNames,0)),""))</f>
        <v/>
      </c>
      <c r="G214" s="32"/>
      <c r="H214" s="11"/>
      <c r="I214" s="33"/>
      <c r="J214" s="8" t="str">
        <f aca="false">IF(COUNTA(B214,D214,G214,H214,I214)=0,"",IF(B214="","Enter date",IF(OR(B214&lt;$AC$2,B214&gt;$AC$3),"Date not in May",IF(D214="","Pick project",IF(ISNA(MATCH(D214,ProjNames,0)),"Project not in list",IF(G214="","Add task description",IF(H214="","Pick NTIME or P6",IF(N(I214)&lt;=0,"Enter hours",IF(AND(AllowOT&lt;&gt;"Yes",SUMIF($B$7:$B$256,B214,$I$7:$I$256)&gt;INDEX($O$58:$O$88,DAY(B214))),"Day over "&amp;INDEX($O$58:$O$88,DAY(B214))&amp;" h","✓")))))))))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5" hidden="false" customHeight="false" outlineLevel="0" collapsed="false">
      <c r="A215" s="1"/>
      <c r="B215" s="10"/>
      <c r="C215" s="31" t="str">
        <f aca="false">IF(B215="","",TEXT(B215,"ddd"))</f>
        <v/>
      </c>
      <c r="D215" s="11"/>
      <c r="E215" s="8" t="str">
        <f aca="false">IF(D215="","",IFERROR(INDEX(ProjNumbers,MATCH(D215,ProjNames,0)),""))</f>
        <v/>
      </c>
      <c r="F215" s="8" t="str">
        <f aca="false">IF(D215="","",IFERROR(INDEX(ProjCodes,MATCH(D215,ProjNames,0)),""))</f>
        <v/>
      </c>
      <c r="G215" s="32"/>
      <c r="H215" s="11"/>
      <c r="I215" s="33"/>
      <c r="J215" s="8" t="str">
        <f aca="false">IF(COUNTA(B215,D215,G215,H215,I215)=0,"",IF(B215="","Enter date",IF(OR(B215&lt;$AC$2,B215&gt;$AC$3),"Date not in May",IF(D215="","Pick project",IF(ISNA(MATCH(D215,ProjNames,0)),"Project not in list",IF(G215="","Add task description",IF(H215="","Pick NTIME or P6",IF(N(I215)&lt;=0,"Enter hours",IF(AND(AllowOT&lt;&gt;"Yes",SUMIF($B$7:$B$256,B215,$I$7:$I$256)&gt;INDEX($O$58:$O$88,DAY(B215))),"Day over "&amp;INDEX($O$58:$O$88,DAY(B215))&amp;" h","✓")))))))))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5" hidden="false" customHeight="false" outlineLevel="0" collapsed="false">
      <c r="A216" s="1"/>
      <c r="B216" s="10"/>
      <c r="C216" s="31" t="str">
        <f aca="false">IF(B216="","",TEXT(B216,"ddd"))</f>
        <v/>
      </c>
      <c r="D216" s="11"/>
      <c r="E216" s="8" t="str">
        <f aca="false">IF(D216="","",IFERROR(INDEX(ProjNumbers,MATCH(D216,ProjNames,0)),""))</f>
        <v/>
      </c>
      <c r="F216" s="8" t="str">
        <f aca="false">IF(D216="","",IFERROR(INDEX(ProjCodes,MATCH(D216,ProjNames,0)),""))</f>
        <v/>
      </c>
      <c r="G216" s="32"/>
      <c r="H216" s="11"/>
      <c r="I216" s="33"/>
      <c r="J216" s="8" t="str">
        <f aca="false">IF(COUNTA(B216,D216,G216,H216,I216)=0,"",IF(B216="","Enter date",IF(OR(B216&lt;$AC$2,B216&gt;$AC$3),"Date not in May",IF(D216="","Pick project",IF(ISNA(MATCH(D216,ProjNames,0)),"Project not in list",IF(G216="","Add task description",IF(H216="","Pick NTIME or P6",IF(N(I216)&lt;=0,"Enter hours",IF(AND(AllowOT&lt;&gt;"Yes",SUMIF($B$7:$B$256,B216,$I$7:$I$256)&gt;INDEX($O$58:$O$88,DAY(B216))),"Day over "&amp;INDEX($O$58:$O$88,DAY(B216))&amp;" h","✓")))))))))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5" hidden="false" customHeight="false" outlineLevel="0" collapsed="false">
      <c r="A217" s="1"/>
      <c r="B217" s="10"/>
      <c r="C217" s="31" t="str">
        <f aca="false">IF(B217="","",TEXT(B217,"ddd"))</f>
        <v/>
      </c>
      <c r="D217" s="11"/>
      <c r="E217" s="8" t="str">
        <f aca="false">IF(D217="","",IFERROR(INDEX(ProjNumbers,MATCH(D217,ProjNames,0)),""))</f>
        <v/>
      </c>
      <c r="F217" s="8" t="str">
        <f aca="false">IF(D217="","",IFERROR(INDEX(ProjCodes,MATCH(D217,ProjNames,0)),""))</f>
        <v/>
      </c>
      <c r="G217" s="32"/>
      <c r="H217" s="11"/>
      <c r="I217" s="33"/>
      <c r="J217" s="8" t="str">
        <f aca="false">IF(COUNTA(B217,D217,G217,H217,I217)=0,"",IF(B217="","Enter date",IF(OR(B217&lt;$AC$2,B217&gt;$AC$3),"Date not in May",IF(D217="","Pick project",IF(ISNA(MATCH(D217,ProjNames,0)),"Project not in list",IF(G217="","Add task description",IF(H217="","Pick NTIME or P6",IF(N(I217)&lt;=0,"Enter hours",IF(AND(AllowOT&lt;&gt;"Yes",SUMIF($B$7:$B$256,B217,$I$7:$I$256)&gt;INDEX($O$58:$O$88,DAY(B217))),"Day over "&amp;INDEX($O$58:$O$88,DAY(B217))&amp;" h","✓")))))))))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5" hidden="false" customHeight="false" outlineLevel="0" collapsed="false">
      <c r="A218" s="1"/>
      <c r="B218" s="10"/>
      <c r="C218" s="31" t="str">
        <f aca="false">IF(B218="","",TEXT(B218,"ddd"))</f>
        <v/>
      </c>
      <c r="D218" s="11"/>
      <c r="E218" s="8" t="str">
        <f aca="false">IF(D218="","",IFERROR(INDEX(ProjNumbers,MATCH(D218,ProjNames,0)),""))</f>
        <v/>
      </c>
      <c r="F218" s="8" t="str">
        <f aca="false">IF(D218="","",IFERROR(INDEX(ProjCodes,MATCH(D218,ProjNames,0)),""))</f>
        <v/>
      </c>
      <c r="G218" s="32"/>
      <c r="H218" s="11"/>
      <c r="I218" s="33"/>
      <c r="J218" s="8" t="str">
        <f aca="false">IF(COUNTA(B218,D218,G218,H218,I218)=0,"",IF(B218="","Enter date",IF(OR(B218&lt;$AC$2,B218&gt;$AC$3),"Date not in May",IF(D218="","Pick project",IF(ISNA(MATCH(D218,ProjNames,0)),"Project not in list",IF(G218="","Add task description",IF(H218="","Pick NTIME or P6",IF(N(I218)&lt;=0,"Enter hours",IF(AND(AllowOT&lt;&gt;"Yes",SUMIF($B$7:$B$256,B218,$I$7:$I$256)&gt;INDEX($O$58:$O$88,DAY(B218))),"Day over "&amp;INDEX($O$58:$O$88,DAY(B218))&amp;" h","✓")))))))))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5" hidden="false" customHeight="false" outlineLevel="0" collapsed="false">
      <c r="A219" s="1"/>
      <c r="B219" s="10"/>
      <c r="C219" s="31" t="str">
        <f aca="false">IF(B219="","",TEXT(B219,"ddd"))</f>
        <v/>
      </c>
      <c r="D219" s="11"/>
      <c r="E219" s="8" t="str">
        <f aca="false">IF(D219="","",IFERROR(INDEX(ProjNumbers,MATCH(D219,ProjNames,0)),""))</f>
        <v/>
      </c>
      <c r="F219" s="8" t="str">
        <f aca="false">IF(D219="","",IFERROR(INDEX(ProjCodes,MATCH(D219,ProjNames,0)),""))</f>
        <v/>
      </c>
      <c r="G219" s="32"/>
      <c r="H219" s="11"/>
      <c r="I219" s="33"/>
      <c r="J219" s="8" t="str">
        <f aca="false">IF(COUNTA(B219,D219,G219,H219,I219)=0,"",IF(B219="","Enter date",IF(OR(B219&lt;$AC$2,B219&gt;$AC$3),"Date not in May",IF(D219="","Pick project",IF(ISNA(MATCH(D219,ProjNames,0)),"Project not in list",IF(G219="","Add task description",IF(H219="","Pick NTIME or P6",IF(N(I219)&lt;=0,"Enter hours",IF(AND(AllowOT&lt;&gt;"Yes",SUMIF($B$7:$B$256,B219,$I$7:$I$256)&gt;INDEX($O$58:$O$88,DAY(B219))),"Day over "&amp;INDEX($O$58:$O$88,DAY(B219))&amp;" h","✓")))))))))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5" hidden="false" customHeight="false" outlineLevel="0" collapsed="false">
      <c r="A220" s="1"/>
      <c r="B220" s="10"/>
      <c r="C220" s="31" t="str">
        <f aca="false">IF(B220="","",TEXT(B220,"ddd"))</f>
        <v/>
      </c>
      <c r="D220" s="11"/>
      <c r="E220" s="8" t="str">
        <f aca="false">IF(D220="","",IFERROR(INDEX(ProjNumbers,MATCH(D220,ProjNames,0)),""))</f>
        <v/>
      </c>
      <c r="F220" s="8" t="str">
        <f aca="false">IF(D220="","",IFERROR(INDEX(ProjCodes,MATCH(D220,ProjNames,0)),""))</f>
        <v/>
      </c>
      <c r="G220" s="32"/>
      <c r="H220" s="11"/>
      <c r="I220" s="33"/>
      <c r="J220" s="8" t="str">
        <f aca="false">IF(COUNTA(B220,D220,G220,H220,I220)=0,"",IF(B220="","Enter date",IF(OR(B220&lt;$AC$2,B220&gt;$AC$3),"Date not in May",IF(D220="","Pick project",IF(ISNA(MATCH(D220,ProjNames,0)),"Project not in list",IF(G220="","Add task description",IF(H220="","Pick NTIME or P6",IF(N(I220)&lt;=0,"Enter hours",IF(AND(AllowOT&lt;&gt;"Yes",SUMIF($B$7:$B$256,B220,$I$7:$I$256)&gt;INDEX($O$58:$O$88,DAY(B220))),"Day over "&amp;INDEX($O$58:$O$88,DAY(B220))&amp;" h","✓")))))))))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5" hidden="false" customHeight="false" outlineLevel="0" collapsed="false">
      <c r="A221" s="1"/>
      <c r="B221" s="10"/>
      <c r="C221" s="31" t="str">
        <f aca="false">IF(B221="","",TEXT(B221,"ddd"))</f>
        <v/>
      </c>
      <c r="D221" s="11"/>
      <c r="E221" s="8" t="str">
        <f aca="false">IF(D221="","",IFERROR(INDEX(ProjNumbers,MATCH(D221,ProjNames,0)),""))</f>
        <v/>
      </c>
      <c r="F221" s="8" t="str">
        <f aca="false">IF(D221="","",IFERROR(INDEX(ProjCodes,MATCH(D221,ProjNames,0)),""))</f>
        <v/>
      </c>
      <c r="G221" s="32"/>
      <c r="H221" s="11"/>
      <c r="I221" s="33"/>
      <c r="J221" s="8" t="str">
        <f aca="false">IF(COUNTA(B221,D221,G221,H221,I221)=0,"",IF(B221="","Enter date",IF(OR(B221&lt;$AC$2,B221&gt;$AC$3),"Date not in May",IF(D221="","Pick project",IF(ISNA(MATCH(D221,ProjNames,0)),"Project not in list",IF(G221="","Add task description",IF(H221="","Pick NTIME or P6",IF(N(I221)&lt;=0,"Enter hours",IF(AND(AllowOT&lt;&gt;"Yes",SUMIF($B$7:$B$256,B221,$I$7:$I$256)&gt;INDEX($O$58:$O$88,DAY(B221))),"Day over "&amp;INDEX($O$58:$O$88,DAY(B221))&amp;" h","✓")))))))))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5" hidden="false" customHeight="false" outlineLevel="0" collapsed="false">
      <c r="A222" s="1"/>
      <c r="B222" s="10"/>
      <c r="C222" s="31" t="str">
        <f aca="false">IF(B222="","",TEXT(B222,"ddd"))</f>
        <v/>
      </c>
      <c r="D222" s="11"/>
      <c r="E222" s="8" t="str">
        <f aca="false">IF(D222="","",IFERROR(INDEX(ProjNumbers,MATCH(D222,ProjNames,0)),""))</f>
        <v/>
      </c>
      <c r="F222" s="8" t="str">
        <f aca="false">IF(D222="","",IFERROR(INDEX(ProjCodes,MATCH(D222,ProjNames,0)),""))</f>
        <v/>
      </c>
      <c r="G222" s="32"/>
      <c r="H222" s="11"/>
      <c r="I222" s="33"/>
      <c r="J222" s="8" t="str">
        <f aca="false">IF(COUNTA(B222,D222,G222,H222,I222)=0,"",IF(B222="","Enter date",IF(OR(B222&lt;$AC$2,B222&gt;$AC$3),"Date not in May",IF(D222="","Pick project",IF(ISNA(MATCH(D222,ProjNames,0)),"Project not in list",IF(G222="","Add task description",IF(H222="","Pick NTIME or P6",IF(N(I222)&lt;=0,"Enter hours",IF(AND(AllowOT&lt;&gt;"Yes",SUMIF($B$7:$B$256,B222,$I$7:$I$256)&gt;INDEX($O$58:$O$88,DAY(B222))),"Day over "&amp;INDEX($O$58:$O$88,DAY(B222))&amp;" h","✓")))))))))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5" hidden="false" customHeight="false" outlineLevel="0" collapsed="false">
      <c r="A223" s="1"/>
      <c r="B223" s="10"/>
      <c r="C223" s="31" t="str">
        <f aca="false">IF(B223="","",TEXT(B223,"ddd"))</f>
        <v/>
      </c>
      <c r="D223" s="11"/>
      <c r="E223" s="8" t="str">
        <f aca="false">IF(D223="","",IFERROR(INDEX(ProjNumbers,MATCH(D223,ProjNames,0)),""))</f>
        <v/>
      </c>
      <c r="F223" s="8" t="str">
        <f aca="false">IF(D223="","",IFERROR(INDEX(ProjCodes,MATCH(D223,ProjNames,0)),""))</f>
        <v/>
      </c>
      <c r="G223" s="32"/>
      <c r="H223" s="11"/>
      <c r="I223" s="33"/>
      <c r="J223" s="8" t="str">
        <f aca="false">IF(COUNTA(B223,D223,G223,H223,I223)=0,"",IF(B223="","Enter date",IF(OR(B223&lt;$AC$2,B223&gt;$AC$3),"Date not in May",IF(D223="","Pick project",IF(ISNA(MATCH(D223,ProjNames,0)),"Project not in list",IF(G223="","Add task description",IF(H223="","Pick NTIME or P6",IF(N(I223)&lt;=0,"Enter hours",IF(AND(AllowOT&lt;&gt;"Yes",SUMIF($B$7:$B$256,B223,$I$7:$I$256)&gt;INDEX($O$58:$O$88,DAY(B223))),"Day over "&amp;INDEX($O$58:$O$88,DAY(B223))&amp;" h","✓")))))))))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5" hidden="false" customHeight="false" outlineLevel="0" collapsed="false">
      <c r="A224" s="1"/>
      <c r="B224" s="10"/>
      <c r="C224" s="31" t="str">
        <f aca="false">IF(B224="","",TEXT(B224,"ddd"))</f>
        <v/>
      </c>
      <c r="D224" s="11"/>
      <c r="E224" s="8" t="str">
        <f aca="false">IF(D224="","",IFERROR(INDEX(ProjNumbers,MATCH(D224,ProjNames,0)),""))</f>
        <v/>
      </c>
      <c r="F224" s="8" t="str">
        <f aca="false">IF(D224="","",IFERROR(INDEX(ProjCodes,MATCH(D224,ProjNames,0)),""))</f>
        <v/>
      </c>
      <c r="G224" s="32"/>
      <c r="H224" s="11"/>
      <c r="I224" s="33"/>
      <c r="J224" s="8" t="str">
        <f aca="false">IF(COUNTA(B224,D224,G224,H224,I224)=0,"",IF(B224="","Enter date",IF(OR(B224&lt;$AC$2,B224&gt;$AC$3),"Date not in May",IF(D224="","Pick project",IF(ISNA(MATCH(D224,ProjNames,0)),"Project not in list",IF(G224="","Add task description",IF(H224="","Pick NTIME or P6",IF(N(I224)&lt;=0,"Enter hours",IF(AND(AllowOT&lt;&gt;"Yes",SUMIF($B$7:$B$256,B224,$I$7:$I$256)&gt;INDEX($O$58:$O$88,DAY(B224))),"Day over "&amp;INDEX($O$58:$O$88,DAY(B224))&amp;" h","✓")))))))))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5" hidden="false" customHeight="false" outlineLevel="0" collapsed="false">
      <c r="A225" s="1"/>
      <c r="B225" s="10"/>
      <c r="C225" s="31" t="str">
        <f aca="false">IF(B225="","",TEXT(B225,"ddd"))</f>
        <v/>
      </c>
      <c r="D225" s="11"/>
      <c r="E225" s="8" t="str">
        <f aca="false">IF(D225="","",IFERROR(INDEX(ProjNumbers,MATCH(D225,ProjNames,0)),""))</f>
        <v/>
      </c>
      <c r="F225" s="8" t="str">
        <f aca="false">IF(D225="","",IFERROR(INDEX(ProjCodes,MATCH(D225,ProjNames,0)),""))</f>
        <v/>
      </c>
      <c r="G225" s="32"/>
      <c r="H225" s="11"/>
      <c r="I225" s="33"/>
      <c r="J225" s="8" t="str">
        <f aca="false">IF(COUNTA(B225,D225,G225,H225,I225)=0,"",IF(B225="","Enter date",IF(OR(B225&lt;$AC$2,B225&gt;$AC$3),"Date not in May",IF(D225="","Pick project",IF(ISNA(MATCH(D225,ProjNames,0)),"Project not in list",IF(G225="","Add task description",IF(H225="","Pick NTIME or P6",IF(N(I225)&lt;=0,"Enter hours",IF(AND(AllowOT&lt;&gt;"Yes",SUMIF($B$7:$B$256,B225,$I$7:$I$256)&gt;INDEX($O$58:$O$88,DAY(B225))),"Day over "&amp;INDEX($O$58:$O$88,DAY(B225))&amp;" h","✓")))))))))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5" hidden="false" customHeight="false" outlineLevel="0" collapsed="false">
      <c r="A226" s="1"/>
      <c r="B226" s="10"/>
      <c r="C226" s="31" t="str">
        <f aca="false">IF(B226="","",TEXT(B226,"ddd"))</f>
        <v/>
      </c>
      <c r="D226" s="11"/>
      <c r="E226" s="8" t="str">
        <f aca="false">IF(D226="","",IFERROR(INDEX(ProjNumbers,MATCH(D226,ProjNames,0)),""))</f>
        <v/>
      </c>
      <c r="F226" s="8" t="str">
        <f aca="false">IF(D226="","",IFERROR(INDEX(ProjCodes,MATCH(D226,ProjNames,0)),""))</f>
        <v/>
      </c>
      <c r="G226" s="32"/>
      <c r="H226" s="11"/>
      <c r="I226" s="33"/>
      <c r="J226" s="8" t="str">
        <f aca="false">IF(COUNTA(B226,D226,G226,H226,I226)=0,"",IF(B226="","Enter date",IF(OR(B226&lt;$AC$2,B226&gt;$AC$3),"Date not in May",IF(D226="","Pick project",IF(ISNA(MATCH(D226,ProjNames,0)),"Project not in list",IF(G226="","Add task description",IF(H226="","Pick NTIME or P6",IF(N(I226)&lt;=0,"Enter hours",IF(AND(AllowOT&lt;&gt;"Yes",SUMIF($B$7:$B$256,B226,$I$7:$I$256)&gt;INDEX($O$58:$O$88,DAY(B226))),"Day over "&amp;INDEX($O$58:$O$88,DAY(B226))&amp;" h","✓")))))))))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5" hidden="false" customHeight="false" outlineLevel="0" collapsed="false">
      <c r="A227" s="1"/>
      <c r="B227" s="10"/>
      <c r="C227" s="31" t="str">
        <f aca="false">IF(B227="","",TEXT(B227,"ddd"))</f>
        <v/>
      </c>
      <c r="D227" s="11"/>
      <c r="E227" s="8" t="str">
        <f aca="false">IF(D227="","",IFERROR(INDEX(ProjNumbers,MATCH(D227,ProjNames,0)),""))</f>
        <v/>
      </c>
      <c r="F227" s="8" t="str">
        <f aca="false">IF(D227="","",IFERROR(INDEX(ProjCodes,MATCH(D227,ProjNames,0)),""))</f>
        <v/>
      </c>
      <c r="G227" s="32"/>
      <c r="H227" s="11"/>
      <c r="I227" s="33"/>
      <c r="J227" s="8" t="str">
        <f aca="false">IF(COUNTA(B227,D227,G227,H227,I227)=0,"",IF(B227="","Enter date",IF(OR(B227&lt;$AC$2,B227&gt;$AC$3),"Date not in May",IF(D227="","Pick project",IF(ISNA(MATCH(D227,ProjNames,0)),"Project not in list",IF(G227="","Add task description",IF(H227="","Pick NTIME or P6",IF(N(I227)&lt;=0,"Enter hours",IF(AND(AllowOT&lt;&gt;"Yes",SUMIF($B$7:$B$256,B227,$I$7:$I$256)&gt;INDEX($O$58:$O$88,DAY(B227))),"Day over "&amp;INDEX($O$58:$O$88,DAY(B227))&amp;" h","✓")))))))))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5" hidden="false" customHeight="false" outlineLevel="0" collapsed="false">
      <c r="A228" s="1"/>
      <c r="B228" s="10"/>
      <c r="C228" s="31" t="str">
        <f aca="false">IF(B228="","",TEXT(B228,"ddd"))</f>
        <v/>
      </c>
      <c r="D228" s="11"/>
      <c r="E228" s="8" t="str">
        <f aca="false">IF(D228="","",IFERROR(INDEX(ProjNumbers,MATCH(D228,ProjNames,0)),""))</f>
        <v/>
      </c>
      <c r="F228" s="8" t="str">
        <f aca="false">IF(D228="","",IFERROR(INDEX(ProjCodes,MATCH(D228,ProjNames,0)),""))</f>
        <v/>
      </c>
      <c r="G228" s="32"/>
      <c r="H228" s="11"/>
      <c r="I228" s="33"/>
      <c r="J228" s="8" t="str">
        <f aca="false">IF(COUNTA(B228,D228,G228,H228,I228)=0,"",IF(B228="","Enter date",IF(OR(B228&lt;$AC$2,B228&gt;$AC$3),"Date not in May",IF(D228="","Pick project",IF(ISNA(MATCH(D228,ProjNames,0)),"Project not in list",IF(G228="","Add task description",IF(H228="","Pick NTIME or P6",IF(N(I228)&lt;=0,"Enter hours",IF(AND(AllowOT&lt;&gt;"Yes",SUMIF($B$7:$B$256,B228,$I$7:$I$256)&gt;INDEX($O$58:$O$88,DAY(B228))),"Day over "&amp;INDEX($O$58:$O$88,DAY(B228))&amp;" h","✓")))))))))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5" hidden="false" customHeight="false" outlineLevel="0" collapsed="false">
      <c r="A229" s="1"/>
      <c r="B229" s="10"/>
      <c r="C229" s="31" t="str">
        <f aca="false">IF(B229="","",TEXT(B229,"ddd"))</f>
        <v/>
      </c>
      <c r="D229" s="11"/>
      <c r="E229" s="8" t="str">
        <f aca="false">IF(D229="","",IFERROR(INDEX(ProjNumbers,MATCH(D229,ProjNames,0)),""))</f>
        <v/>
      </c>
      <c r="F229" s="8" t="str">
        <f aca="false">IF(D229="","",IFERROR(INDEX(ProjCodes,MATCH(D229,ProjNames,0)),""))</f>
        <v/>
      </c>
      <c r="G229" s="32"/>
      <c r="H229" s="11"/>
      <c r="I229" s="33"/>
      <c r="J229" s="8" t="str">
        <f aca="false">IF(COUNTA(B229,D229,G229,H229,I229)=0,"",IF(B229="","Enter date",IF(OR(B229&lt;$AC$2,B229&gt;$AC$3),"Date not in May",IF(D229="","Pick project",IF(ISNA(MATCH(D229,ProjNames,0)),"Project not in list",IF(G229="","Add task description",IF(H229="","Pick NTIME or P6",IF(N(I229)&lt;=0,"Enter hours",IF(AND(AllowOT&lt;&gt;"Yes",SUMIF($B$7:$B$256,B229,$I$7:$I$256)&gt;INDEX($O$58:$O$88,DAY(B229))),"Day over "&amp;INDEX($O$58:$O$88,DAY(B229))&amp;" h","✓")))))))))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5" hidden="false" customHeight="false" outlineLevel="0" collapsed="false">
      <c r="A230" s="1"/>
      <c r="B230" s="10"/>
      <c r="C230" s="31" t="str">
        <f aca="false">IF(B230="","",TEXT(B230,"ddd"))</f>
        <v/>
      </c>
      <c r="D230" s="11"/>
      <c r="E230" s="8" t="str">
        <f aca="false">IF(D230="","",IFERROR(INDEX(ProjNumbers,MATCH(D230,ProjNames,0)),""))</f>
        <v/>
      </c>
      <c r="F230" s="8" t="str">
        <f aca="false">IF(D230="","",IFERROR(INDEX(ProjCodes,MATCH(D230,ProjNames,0)),""))</f>
        <v/>
      </c>
      <c r="G230" s="32"/>
      <c r="H230" s="11"/>
      <c r="I230" s="33"/>
      <c r="J230" s="8" t="str">
        <f aca="false">IF(COUNTA(B230,D230,G230,H230,I230)=0,"",IF(B230="","Enter date",IF(OR(B230&lt;$AC$2,B230&gt;$AC$3),"Date not in May",IF(D230="","Pick project",IF(ISNA(MATCH(D230,ProjNames,0)),"Project not in list",IF(G230="","Add task description",IF(H230="","Pick NTIME or P6",IF(N(I230)&lt;=0,"Enter hours",IF(AND(AllowOT&lt;&gt;"Yes",SUMIF($B$7:$B$256,B230,$I$7:$I$256)&gt;INDEX($O$58:$O$88,DAY(B230))),"Day over "&amp;INDEX($O$58:$O$88,DAY(B230))&amp;" h","✓")))))))))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5" hidden="false" customHeight="false" outlineLevel="0" collapsed="false">
      <c r="A231" s="1"/>
      <c r="B231" s="10"/>
      <c r="C231" s="31" t="str">
        <f aca="false">IF(B231="","",TEXT(B231,"ddd"))</f>
        <v/>
      </c>
      <c r="D231" s="11"/>
      <c r="E231" s="8" t="str">
        <f aca="false">IF(D231="","",IFERROR(INDEX(ProjNumbers,MATCH(D231,ProjNames,0)),""))</f>
        <v/>
      </c>
      <c r="F231" s="8" t="str">
        <f aca="false">IF(D231="","",IFERROR(INDEX(ProjCodes,MATCH(D231,ProjNames,0)),""))</f>
        <v/>
      </c>
      <c r="G231" s="32"/>
      <c r="H231" s="11"/>
      <c r="I231" s="33"/>
      <c r="J231" s="8" t="str">
        <f aca="false">IF(COUNTA(B231,D231,G231,H231,I231)=0,"",IF(B231="","Enter date",IF(OR(B231&lt;$AC$2,B231&gt;$AC$3),"Date not in May",IF(D231="","Pick project",IF(ISNA(MATCH(D231,ProjNames,0)),"Project not in list",IF(G231="","Add task description",IF(H231="","Pick NTIME or P6",IF(N(I231)&lt;=0,"Enter hours",IF(AND(AllowOT&lt;&gt;"Yes",SUMIF($B$7:$B$256,B231,$I$7:$I$256)&gt;INDEX($O$58:$O$88,DAY(B231))),"Day over "&amp;INDEX($O$58:$O$88,DAY(B231))&amp;" h","✓")))))))))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5" hidden="false" customHeight="false" outlineLevel="0" collapsed="false">
      <c r="A232" s="1"/>
      <c r="B232" s="10"/>
      <c r="C232" s="31" t="str">
        <f aca="false">IF(B232="","",TEXT(B232,"ddd"))</f>
        <v/>
      </c>
      <c r="D232" s="11"/>
      <c r="E232" s="8" t="str">
        <f aca="false">IF(D232="","",IFERROR(INDEX(ProjNumbers,MATCH(D232,ProjNames,0)),""))</f>
        <v/>
      </c>
      <c r="F232" s="8" t="str">
        <f aca="false">IF(D232="","",IFERROR(INDEX(ProjCodes,MATCH(D232,ProjNames,0)),""))</f>
        <v/>
      </c>
      <c r="G232" s="32"/>
      <c r="H232" s="11"/>
      <c r="I232" s="33"/>
      <c r="J232" s="8" t="str">
        <f aca="false">IF(COUNTA(B232,D232,G232,H232,I232)=0,"",IF(B232="","Enter date",IF(OR(B232&lt;$AC$2,B232&gt;$AC$3),"Date not in May",IF(D232="","Pick project",IF(ISNA(MATCH(D232,ProjNames,0)),"Project not in list",IF(G232="","Add task description",IF(H232="","Pick NTIME or P6",IF(N(I232)&lt;=0,"Enter hours",IF(AND(AllowOT&lt;&gt;"Yes",SUMIF($B$7:$B$256,B232,$I$7:$I$256)&gt;INDEX($O$58:$O$88,DAY(B232))),"Day over "&amp;INDEX($O$58:$O$88,DAY(B232))&amp;" h","✓")))))))))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5" hidden="false" customHeight="false" outlineLevel="0" collapsed="false">
      <c r="A233" s="1"/>
      <c r="B233" s="10"/>
      <c r="C233" s="31" t="str">
        <f aca="false">IF(B233="","",TEXT(B233,"ddd"))</f>
        <v/>
      </c>
      <c r="D233" s="11"/>
      <c r="E233" s="8" t="str">
        <f aca="false">IF(D233="","",IFERROR(INDEX(ProjNumbers,MATCH(D233,ProjNames,0)),""))</f>
        <v/>
      </c>
      <c r="F233" s="8" t="str">
        <f aca="false">IF(D233="","",IFERROR(INDEX(ProjCodes,MATCH(D233,ProjNames,0)),""))</f>
        <v/>
      </c>
      <c r="G233" s="32"/>
      <c r="H233" s="11"/>
      <c r="I233" s="33"/>
      <c r="J233" s="8" t="str">
        <f aca="false">IF(COUNTA(B233,D233,G233,H233,I233)=0,"",IF(B233="","Enter date",IF(OR(B233&lt;$AC$2,B233&gt;$AC$3),"Date not in May",IF(D233="","Pick project",IF(ISNA(MATCH(D233,ProjNames,0)),"Project not in list",IF(G233="","Add task description",IF(H233="","Pick NTIME or P6",IF(N(I233)&lt;=0,"Enter hours",IF(AND(AllowOT&lt;&gt;"Yes",SUMIF($B$7:$B$256,B233,$I$7:$I$256)&gt;INDEX($O$58:$O$88,DAY(B233))),"Day over "&amp;INDEX($O$58:$O$88,DAY(B233))&amp;" h","✓")))))))))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5" hidden="false" customHeight="false" outlineLevel="0" collapsed="false">
      <c r="A234" s="1"/>
      <c r="B234" s="10"/>
      <c r="C234" s="31" t="str">
        <f aca="false">IF(B234="","",TEXT(B234,"ddd"))</f>
        <v/>
      </c>
      <c r="D234" s="11"/>
      <c r="E234" s="8" t="str">
        <f aca="false">IF(D234="","",IFERROR(INDEX(ProjNumbers,MATCH(D234,ProjNames,0)),""))</f>
        <v/>
      </c>
      <c r="F234" s="8" t="str">
        <f aca="false">IF(D234="","",IFERROR(INDEX(ProjCodes,MATCH(D234,ProjNames,0)),""))</f>
        <v/>
      </c>
      <c r="G234" s="32"/>
      <c r="H234" s="11"/>
      <c r="I234" s="33"/>
      <c r="J234" s="8" t="str">
        <f aca="false">IF(COUNTA(B234,D234,G234,H234,I234)=0,"",IF(B234="","Enter date",IF(OR(B234&lt;$AC$2,B234&gt;$AC$3),"Date not in May",IF(D234="","Pick project",IF(ISNA(MATCH(D234,ProjNames,0)),"Project not in list",IF(G234="","Add task description",IF(H234="","Pick NTIME or P6",IF(N(I234)&lt;=0,"Enter hours",IF(AND(AllowOT&lt;&gt;"Yes",SUMIF($B$7:$B$256,B234,$I$7:$I$256)&gt;INDEX($O$58:$O$88,DAY(B234))),"Day over "&amp;INDEX($O$58:$O$88,DAY(B234))&amp;" h","✓")))))))))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5" hidden="false" customHeight="false" outlineLevel="0" collapsed="false">
      <c r="A235" s="1"/>
      <c r="B235" s="10"/>
      <c r="C235" s="31" t="str">
        <f aca="false">IF(B235="","",TEXT(B235,"ddd"))</f>
        <v/>
      </c>
      <c r="D235" s="11"/>
      <c r="E235" s="8" t="str">
        <f aca="false">IF(D235="","",IFERROR(INDEX(ProjNumbers,MATCH(D235,ProjNames,0)),""))</f>
        <v/>
      </c>
      <c r="F235" s="8" t="str">
        <f aca="false">IF(D235="","",IFERROR(INDEX(ProjCodes,MATCH(D235,ProjNames,0)),""))</f>
        <v/>
      </c>
      <c r="G235" s="32"/>
      <c r="H235" s="11"/>
      <c r="I235" s="33"/>
      <c r="J235" s="8" t="str">
        <f aca="false">IF(COUNTA(B235,D235,G235,H235,I235)=0,"",IF(B235="","Enter date",IF(OR(B235&lt;$AC$2,B235&gt;$AC$3),"Date not in May",IF(D235="","Pick project",IF(ISNA(MATCH(D235,ProjNames,0)),"Project not in list",IF(G235="","Add task description",IF(H235="","Pick NTIME or P6",IF(N(I235)&lt;=0,"Enter hours",IF(AND(AllowOT&lt;&gt;"Yes",SUMIF($B$7:$B$256,B235,$I$7:$I$256)&gt;INDEX($O$58:$O$88,DAY(B235))),"Day over "&amp;INDEX($O$58:$O$88,DAY(B235))&amp;" h","✓")))))))))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5" hidden="false" customHeight="false" outlineLevel="0" collapsed="false">
      <c r="A236" s="1"/>
      <c r="B236" s="10"/>
      <c r="C236" s="31" t="str">
        <f aca="false">IF(B236="","",TEXT(B236,"ddd"))</f>
        <v/>
      </c>
      <c r="D236" s="11"/>
      <c r="E236" s="8" t="str">
        <f aca="false">IF(D236="","",IFERROR(INDEX(ProjNumbers,MATCH(D236,ProjNames,0)),""))</f>
        <v/>
      </c>
      <c r="F236" s="8" t="str">
        <f aca="false">IF(D236="","",IFERROR(INDEX(ProjCodes,MATCH(D236,ProjNames,0)),""))</f>
        <v/>
      </c>
      <c r="G236" s="32"/>
      <c r="H236" s="11"/>
      <c r="I236" s="33"/>
      <c r="J236" s="8" t="str">
        <f aca="false">IF(COUNTA(B236,D236,G236,H236,I236)=0,"",IF(B236="","Enter date",IF(OR(B236&lt;$AC$2,B236&gt;$AC$3),"Date not in May",IF(D236="","Pick project",IF(ISNA(MATCH(D236,ProjNames,0)),"Project not in list",IF(G236="","Add task description",IF(H236="","Pick NTIME or P6",IF(N(I236)&lt;=0,"Enter hours",IF(AND(AllowOT&lt;&gt;"Yes",SUMIF($B$7:$B$256,B236,$I$7:$I$256)&gt;INDEX($O$58:$O$88,DAY(B236))),"Day over "&amp;INDEX($O$58:$O$88,DAY(B236))&amp;" h","✓")))))))))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5" hidden="false" customHeight="false" outlineLevel="0" collapsed="false">
      <c r="A237" s="1"/>
      <c r="B237" s="10"/>
      <c r="C237" s="31" t="str">
        <f aca="false">IF(B237="","",TEXT(B237,"ddd"))</f>
        <v/>
      </c>
      <c r="D237" s="11"/>
      <c r="E237" s="8" t="str">
        <f aca="false">IF(D237="","",IFERROR(INDEX(ProjNumbers,MATCH(D237,ProjNames,0)),""))</f>
        <v/>
      </c>
      <c r="F237" s="8" t="str">
        <f aca="false">IF(D237="","",IFERROR(INDEX(ProjCodes,MATCH(D237,ProjNames,0)),""))</f>
        <v/>
      </c>
      <c r="G237" s="32"/>
      <c r="H237" s="11"/>
      <c r="I237" s="33"/>
      <c r="J237" s="8" t="str">
        <f aca="false">IF(COUNTA(B237,D237,G237,H237,I237)=0,"",IF(B237="","Enter date",IF(OR(B237&lt;$AC$2,B237&gt;$AC$3),"Date not in May",IF(D237="","Pick project",IF(ISNA(MATCH(D237,ProjNames,0)),"Project not in list",IF(G237="","Add task description",IF(H237="","Pick NTIME or P6",IF(N(I237)&lt;=0,"Enter hours",IF(AND(AllowOT&lt;&gt;"Yes",SUMIF($B$7:$B$256,B237,$I$7:$I$256)&gt;INDEX($O$58:$O$88,DAY(B237))),"Day over "&amp;INDEX($O$58:$O$88,DAY(B237))&amp;" h","✓")))))))))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5" hidden="false" customHeight="false" outlineLevel="0" collapsed="false">
      <c r="A238" s="1"/>
      <c r="B238" s="10"/>
      <c r="C238" s="31" t="str">
        <f aca="false">IF(B238="","",TEXT(B238,"ddd"))</f>
        <v/>
      </c>
      <c r="D238" s="11"/>
      <c r="E238" s="8" t="str">
        <f aca="false">IF(D238="","",IFERROR(INDEX(ProjNumbers,MATCH(D238,ProjNames,0)),""))</f>
        <v/>
      </c>
      <c r="F238" s="8" t="str">
        <f aca="false">IF(D238="","",IFERROR(INDEX(ProjCodes,MATCH(D238,ProjNames,0)),""))</f>
        <v/>
      </c>
      <c r="G238" s="32"/>
      <c r="H238" s="11"/>
      <c r="I238" s="33"/>
      <c r="J238" s="8" t="str">
        <f aca="false">IF(COUNTA(B238,D238,G238,H238,I238)=0,"",IF(B238="","Enter date",IF(OR(B238&lt;$AC$2,B238&gt;$AC$3),"Date not in May",IF(D238="","Pick project",IF(ISNA(MATCH(D238,ProjNames,0)),"Project not in list",IF(G238="","Add task description",IF(H238="","Pick NTIME or P6",IF(N(I238)&lt;=0,"Enter hours",IF(AND(AllowOT&lt;&gt;"Yes",SUMIF($B$7:$B$256,B238,$I$7:$I$256)&gt;INDEX($O$58:$O$88,DAY(B238))),"Day over "&amp;INDEX($O$58:$O$88,DAY(B238))&amp;" h","✓")))))))))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5" hidden="false" customHeight="false" outlineLevel="0" collapsed="false">
      <c r="A239" s="1"/>
      <c r="B239" s="10"/>
      <c r="C239" s="31" t="str">
        <f aca="false">IF(B239="","",TEXT(B239,"ddd"))</f>
        <v/>
      </c>
      <c r="D239" s="11"/>
      <c r="E239" s="8" t="str">
        <f aca="false">IF(D239="","",IFERROR(INDEX(ProjNumbers,MATCH(D239,ProjNames,0)),""))</f>
        <v/>
      </c>
      <c r="F239" s="8" t="str">
        <f aca="false">IF(D239="","",IFERROR(INDEX(ProjCodes,MATCH(D239,ProjNames,0)),""))</f>
        <v/>
      </c>
      <c r="G239" s="32"/>
      <c r="H239" s="11"/>
      <c r="I239" s="33"/>
      <c r="J239" s="8" t="str">
        <f aca="false">IF(COUNTA(B239,D239,G239,H239,I239)=0,"",IF(B239="","Enter date",IF(OR(B239&lt;$AC$2,B239&gt;$AC$3),"Date not in May",IF(D239="","Pick project",IF(ISNA(MATCH(D239,ProjNames,0)),"Project not in list",IF(G239="","Add task description",IF(H239="","Pick NTIME or P6",IF(N(I239)&lt;=0,"Enter hours",IF(AND(AllowOT&lt;&gt;"Yes",SUMIF($B$7:$B$256,B239,$I$7:$I$256)&gt;INDEX($O$58:$O$88,DAY(B239))),"Day over "&amp;INDEX($O$58:$O$88,DAY(B239))&amp;" h","✓")))))))))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5" hidden="false" customHeight="false" outlineLevel="0" collapsed="false">
      <c r="A240" s="1"/>
      <c r="B240" s="10"/>
      <c r="C240" s="31" t="str">
        <f aca="false">IF(B240="","",TEXT(B240,"ddd"))</f>
        <v/>
      </c>
      <c r="D240" s="11"/>
      <c r="E240" s="8" t="str">
        <f aca="false">IF(D240="","",IFERROR(INDEX(ProjNumbers,MATCH(D240,ProjNames,0)),""))</f>
        <v/>
      </c>
      <c r="F240" s="8" t="str">
        <f aca="false">IF(D240="","",IFERROR(INDEX(ProjCodes,MATCH(D240,ProjNames,0)),""))</f>
        <v/>
      </c>
      <c r="G240" s="32"/>
      <c r="H240" s="11"/>
      <c r="I240" s="33"/>
      <c r="J240" s="8" t="str">
        <f aca="false">IF(COUNTA(B240,D240,G240,H240,I240)=0,"",IF(B240="","Enter date",IF(OR(B240&lt;$AC$2,B240&gt;$AC$3),"Date not in May",IF(D240="","Pick project",IF(ISNA(MATCH(D240,ProjNames,0)),"Project not in list",IF(G240="","Add task description",IF(H240="","Pick NTIME or P6",IF(N(I240)&lt;=0,"Enter hours",IF(AND(AllowOT&lt;&gt;"Yes",SUMIF($B$7:$B$256,B240,$I$7:$I$256)&gt;INDEX($O$58:$O$88,DAY(B240))),"Day over "&amp;INDEX($O$58:$O$88,DAY(B240))&amp;" h","✓")))))))))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5" hidden="false" customHeight="false" outlineLevel="0" collapsed="false">
      <c r="A241" s="1"/>
      <c r="B241" s="10"/>
      <c r="C241" s="31" t="str">
        <f aca="false">IF(B241="","",TEXT(B241,"ddd"))</f>
        <v/>
      </c>
      <c r="D241" s="11"/>
      <c r="E241" s="8" t="str">
        <f aca="false">IF(D241="","",IFERROR(INDEX(ProjNumbers,MATCH(D241,ProjNames,0)),""))</f>
        <v/>
      </c>
      <c r="F241" s="8" t="str">
        <f aca="false">IF(D241="","",IFERROR(INDEX(ProjCodes,MATCH(D241,ProjNames,0)),""))</f>
        <v/>
      </c>
      <c r="G241" s="32"/>
      <c r="H241" s="11"/>
      <c r="I241" s="33"/>
      <c r="J241" s="8" t="str">
        <f aca="false">IF(COUNTA(B241,D241,G241,H241,I241)=0,"",IF(B241="","Enter date",IF(OR(B241&lt;$AC$2,B241&gt;$AC$3),"Date not in May",IF(D241="","Pick project",IF(ISNA(MATCH(D241,ProjNames,0)),"Project not in list",IF(G241="","Add task description",IF(H241="","Pick NTIME or P6",IF(N(I241)&lt;=0,"Enter hours",IF(AND(AllowOT&lt;&gt;"Yes",SUMIF($B$7:$B$256,B241,$I$7:$I$256)&gt;INDEX($O$58:$O$88,DAY(B241))),"Day over "&amp;INDEX($O$58:$O$88,DAY(B241))&amp;" h","✓")))))))))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5" hidden="false" customHeight="false" outlineLevel="0" collapsed="false">
      <c r="A242" s="1"/>
      <c r="B242" s="10"/>
      <c r="C242" s="31" t="str">
        <f aca="false">IF(B242="","",TEXT(B242,"ddd"))</f>
        <v/>
      </c>
      <c r="D242" s="11"/>
      <c r="E242" s="8" t="str">
        <f aca="false">IF(D242="","",IFERROR(INDEX(ProjNumbers,MATCH(D242,ProjNames,0)),""))</f>
        <v/>
      </c>
      <c r="F242" s="8" t="str">
        <f aca="false">IF(D242="","",IFERROR(INDEX(ProjCodes,MATCH(D242,ProjNames,0)),""))</f>
        <v/>
      </c>
      <c r="G242" s="32"/>
      <c r="H242" s="11"/>
      <c r="I242" s="33"/>
      <c r="J242" s="8" t="str">
        <f aca="false">IF(COUNTA(B242,D242,G242,H242,I242)=0,"",IF(B242="","Enter date",IF(OR(B242&lt;$AC$2,B242&gt;$AC$3),"Date not in May",IF(D242="","Pick project",IF(ISNA(MATCH(D242,ProjNames,0)),"Project not in list",IF(G242="","Add task description",IF(H242="","Pick NTIME or P6",IF(N(I242)&lt;=0,"Enter hours",IF(AND(AllowOT&lt;&gt;"Yes",SUMIF($B$7:$B$256,B242,$I$7:$I$256)&gt;INDEX($O$58:$O$88,DAY(B242))),"Day over "&amp;INDEX($O$58:$O$88,DAY(B242))&amp;" h","✓")))))))))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5" hidden="false" customHeight="false" outlineLevel="0" collapsed="false">
      <c r="A243" s="1"/>
      <c r="B243" s="10"/>
      <c r="C243" s="31" t="str">
        <f aca="false">IF(B243="","",TEXT(B243,"ddd"))</f>
        <v/>
      </c>
      <c r="D243" s="11"/>
      <c r="E243" s="8" t="str">
        <f aca="false">IF(D243="","",IFERROR(INDEX(ProjNumbers,MATCH(D243,ProjNames,0)),""))</f>
        <v/>
      </c>
      <c r="F243" s="8" t="str">
        <f aca="false">IF(D243="","",IFERROR(INDEX(ProjCodes,MATCH(D243,ProjNames,0)),""))</f>
        <v/>
      </c>
      <c r="G243" s="32"/>
      <c r="H243" s="11"/>
      <c r="I243" s="33"/>
      <c r="J243" s="8" t="str">
        <f aca="false">IF(COUNTA(B243,D243,G243,H243,I243)=0,"",IF(B243="","Enter date",IF(OR(B243&lt;$AC$2,B243&gt;$AC$3),"Date not in May",IF(D243="","Pick project",IF(ISNA(MATCH(D243,ProjNames,0)),"Project not in list",IF(G243="","Add task description",IF(H243="","Pick NTIME or P6",IF(N(I243)&lt;=0,"Enter hours",IF(AND(AllowOT&lt;&gt;"Yes",SUMIF($B$7:$B$256,B243,$I$7:$I$256)&gt;INDEX($O$58:$O$88,DAY(B243))),"Day over "&amp;INDEX($O$58:$O$88,DAY(B243))&amp;" h","✓")))))))))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5" hidden="false" customHeight="false" outlineLevel="0" collapsed="false">
      <c r="A244" s="1"/>
      <c r="B244" s="10"/>
      <c r="C244" s="31" t="str">
        <f aca="false">IF(B244="","",TEXT(B244,"ddd"))</f>
        <v/>
      </c>
      <c r="D244" s="11"/>
      <c r="E244" s="8" t="str">
        <f aca="false">IF(D244="","",IFERROR(INDEX(ProjNumbers,MATCH(D244,ProjNames,0)),""))</f>
        <v/>
      </c>
      <c r="F244" s="8" t="str">
        <f aca="false">IF(D244="","",IFERROR(INDEX(ProjCodes,MATCH(D244,ProjNames,0)),""))</f>
        <v/>
      </c>
      <c r="G244" s="32"/>
      <c r="H244" s="11"/>
      <c r="I244" s="33"/>
      <c r="J244" s="8" t="str">
        <f aca="false">IF(COUNTA(B244,D244,G244,H244,I244)=0,"",IF(B244="","Enter date",IF(OR(B244&lt;$AC$2,B244&gt;$AC$3),"Date not in May",IF(D244="","Pick project",IF(ISNA(MATCH(D244,ProjNames,0)),"Project not in list",IF(G244="","Add task description",IF(H244="","Pick NTIME or P6",IF(N(I244)&lt;=0,"Enter hours",IF(AND(AllowOT&lt;&gt;"Yes",SUMIF($B$7:$B$256,B244,$I$7:$I$256)&gt;INDEX($O$58:$O$88,DAY(B244))),"Day over "&amp;INDEX($O$58:$O$88,DAY(B244))&amp;" h","✓")))))))))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5" hidden="false" customHeight="false" outlineLevel="0" collapsed="false">
      <c r="A245" s="1"/>
      <c r="B245" s="10"/>
      <c r="C245" s="31" t="str">
        <f aca="false">IF(B245="","",TEXT(B245,"ddd"))</f>
        <v/>
      </c>
      <c r="D245" s="11"/>
      <c r="E245" s="8" t="str">
        <f aca="false">IF(D245="","",IFERROR(INDEX(ProjNumbers,MATCH(D245,ProjNames,0)),""))</f>
        <v/>
      </c>
      <c r="F245" s="8" t="str">
        <f aca="false">IF(D245="","",IFERROR(INDEX(ProjCodes,MATCH(D245,ProjNames,0)),""))</f>
        <v/>
      </c>
      <c r="G245" s="32"/>
      <c r="H245" s="11"/>
      <c r="I245" s="33"/>
      <c r="J245" s="8" t="str">
        <f aca="false">IF(COUNTA(B245,D245,G245,H245,I245)=0,"",IF(B245="","Enter date",IF(OR(B245&lt;$AC$2,B245&gt;$AC$3),"Date not in May",IF(D245="","Pick project",IF(ISNA(MATCH(D245,ProjNames,0)),"Project not in list",IF(G245="","Add task description",IF(H245="","Pick NTIME or P6",IF(N(I245)&lt;=0,"Enter hours",IF(AND(AllowOT&lt;&gt;"Yes",SUMIF($B$7:$B$256,B245,$I$7:$I$256)&gt;INDEX($O$58:$O$88,DAY(B245))),"Day over "&amp;INDEX($O$58:$O$88,DAY(B245))&amp;" h","✓")))))))))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5" hidden="false" customHeight="false" outlineLevel="0" collapsed="false">
      <c r="A246" s="1"/>
      <c r="B246" s="10"/>
      <c r="C246" s="31" t="str">
        <f aca="false">IF(B246="","",TEXT(B246,"ddd"))</f>
        <v/>
      </c>
      <c r="D246" s="11"/>
      <c r="E246" s="8" t="str">
        <f aca="false">IF(D246="","",IFERROR(INDEX(ProjNumbers,MATCH(D246,ProjNames,0)),""))</f>
        <v/>
      </c>
      <c r="F246" s="8" t="str">
        <f aca="false">IF(D246="","",IFERROR(INDEX(ProjCodes,MATCH(D246,ProjNames,0)),""))</f>
        <v/>
      </c>
      <c r="G246" s="32"/>
      <c r="H246" s="11"/>
      <c r="I246" s="33"/>
      <c r="J246" s="8" t="str">
        <f aca="false">IF(COUNTA(B246,D246,G246,H246,I246)=0,"",IF(B246="","Enter date",IF(OR(B246&lt;$AC$2,B246&gt;$AC$3),"Date not in May",IF(D246="","Pick project",IF(ISNA(MATCH(D246,ProjNames,0)),"Project not in list",IF(G246="","Add task description",IF(H246="","Pick NTIME or P6",IF(N(I246)&lt;=0,"Enter hours",IF(AND(AllowOT&lt;&gt;"Yes",SUMIF($B$7:$B$256,B246,$I$7:$I$256)&gt;INDEX($O$58:$O$88,DAY(B246))),"Day over "&amp;INDEX($O$58:$O$88,DAY(B246))&amp;" h","✓")))))))))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5" hidden="false" customHeight="false" outlineLevel="0" collapsed="false">
      <c r="A247" s="1"/>
      <c r="B247" s="10"/>
      <c r="C247" s="31" t="str">
        <f aca="false">IF(B247="","",TEXT(B247,"ddd"))</f>
        <v/>
      </c>
      <c r="D247" s="11"/>
      <c r="E247" s="8" t="str">
        <f aca="false">IF(D247="","",IFERROR(INDEX(ProjNumbers,MATCH(D247,ProjNames,0)),""))</f>
        <v/>
      </c>
      <c r="F247" s="8" t="str">
        <f aca="false">IF(D247="","",IFERROR(INDEX(ProjCodes,MATCH(D247,ProjNames,0)),""))</f>
        <v/>
      </c>
      <c r="G247" s="32"/>
      <c r="H247" s="11"/>
      <c r="I247" s="33"/>
      <c r="J247" s="8" t="str">
        <f aca="false">IF(COUNTA(B247,D247,G247,H247,I247)=0,"",IF(B247="","Enter date",IF(OR(B247&lt;$AC$2,B247&gt;$AC$3),"Date not in May",IF(D247="","Pick project",IF(ISNA(MATCH(D247,ProjNames,0)),"Project not in list",IF(G247="","Add task description",IF(H247="","Pick NTIME or P6",IF(N(I247)&lt;=0,"Enter hours",IF(AND(AllowOT&lt;&gt;"Yes",SUMIF($B$7:$B$256,B247,$I$7:$I$256)&gt;INDEX($O$58:$O$88,DAY(B247))),"Day over "&amp;INDEX($O$58:$O$88,DAY(B247))&amp;" h","✓")))))))))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5" hidden="false" customHeight="false" outlineLevel="0" collapsed="false">
      <c r="A248" s="1"/>
      <c r="B248" s="10"/>
      <c r="C248" s="31" t="str">
        <f aca="false">IF(B248="","",TEXT(B248,"ddd"))</f>
        <v/>
      </c>
      <c r="D248" s="11"/>
      <c r="E248" s="8" t="str">
        <f aca="false">IF(D248="","",IFERROR(INDEX(ProjNumbers,MATCH(D248,ProjNames,0)),""))</f>
        <v/>
      </c>
      <c r="F248" s="8" t="str">
        <f aca="false">IF(D248="","",IFERROR(INDEX(ProjCodes,MATCH(D248,ProjNames,0)),""))</f>
        <v/>
      </c>
      <c r="G248" s="32"/>
      <c r="H248" s="11"/>
      <c r="I248" s="33"/>
      <c r="J248" s="8" t="str">
        <f aca="false">IF(COUNTA(B248,D248,G248,H248,I248)=0,"",IF(B248="","Enter date",IF(OR(B248&lt;$AC$2,B248&gt;$AC$3),"Date not in May",IF(D248="","Pick project",IF(ISNA(MATCH(D248,ProjNames,0)),"Project not in list",IF(G248="","Add task description",IF(H248="","Pick NTIME or P6",IF(N(I248)&lt;=0,"Enter hours",IF(AND(AllowOT&lt;&gt;"Yes",SUMIF($B$7:$B$256,B248,$I$7:$I$256)&gt;INDEX($O$58:$O$88,DAY(B248))),"Day over "&amp;INDEX($O$58:$O$88,DAY(B248))&amp;" h","✓")))))))))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5" hidden="false" customHeight="false" outlineLevel="0" collapsed="false">
      <c r="A249" s="1"/>
      <c r="B249" s="10"/>
      <c r="C249" s="31" t="str">
        <f aca="false">IF(B249="","",TEXT(B249,"ddd"))</f>
        <v/>
      </c>
      <c r="D249" s="11"/>
      <c r="E249" s="8" t="str">
        <f aca="false">IF(D249="","",IFERROR(INDEX(ProjNumbers,MATCH(D249,ProjNames,0)),""))</f>
        <v/>
      </c>
      <c r="F249" s="8" t="str">
        <f aca="false">IF(D249="","",IFERROR(INDEX(ProjCodes,MATCH(D249,ProjNames,0)),""))</f>
        <v/>
      </c>
      <c r="G249" s="32"/>
      <c r="H249" s="11"/>
      <c r="I249" s="33"/>
      <c r="J249" s="8" t="str">
        <f aca="false">IF(COUNTA(B249,D249,G249,H249,I249)=0,"",IF(B249="","Enter date",IF(OR(B249&lt;$AC$2,B249&gt;$AC$3),"Date not in May",IF(D249="","Pick project",IF(ISNA(MATCH(D249,ProjNames,0)),"Project not in list",IF(G249="","Add task description",IF(H249="","Pick NTIME or P6",IF(N(I249)&lt;=0,"Enter hours",IF(AND(AllowOT&lt;&gt;"Yes",SUMIF($B$7:$B$256,B249,$I$7:$I$256)&gt;INDEX($O$58:$O$88,DAY(B249))),"Day over "&amp;INDEX($O$58:$O$88,DAY(B249))&amp;" h","✓")))))))))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5" hidden="false" customHeight="false" outlineLevel="0" collapsed="false">
      <c r="A250" s="1"/>
      <c r="B250" s="10"/>
      <c r="C250" s="31" t="str">
        <f aca="false">IF(B250="","",TEXT(B250,"ddd"))</f>
        <v/>
      </c>
      <c r="D250" s="11"/>
      <c r="E250" s="8" t="str">
        <f aca="false">IF(D250="","",IFERROR(INDEX(ProjNumbers,MATCH(D250,ProjNames,0)),""))</f>
        <v/>
      </c>
      <c r="F250" s="8" t="str">
        <f aca="false">IF(D250="","",IFERROR(INDEX(ProjCodes,MATCH(D250,ProjNames,0)),""))</f>
        <v/>
      </c>
      <c r="G250" s="32"/>
      <c r="H250" s="11"/>
      <c r="I250" s="33"/>
      <c r="J250" s="8" t="str">
        <f aca="false">IF(COUNTA(B250,D250,G250,H250,I250)=0,"",IF(B250="","Enter date",IF(OR(B250&lt;$AC$2,B250&gt;$AC$3),"Date not in May",IF(D250="","Pick project",IF(ISNA(MATCH(D250,ProjNames,0)),"Project not in list",IF(G250="","Add task description",IF(H250="","Pick NTIME or P6",IF(N(I250)&lt;=0,"Enter hours",IF(AND(AllowOT&lt;&gt;"Yes",SUMIF($B$7:$B$256,B250,$I$7:$I$256)&gt;INDEX($O$58:$O$88,DAY(B250))),"Day over "&amp;INDEX($O$58:$O$88,DAY(B250))&amp;" h","✓")))))))))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5" hidden="false" customHeight="false" outlineLevel="0" collapsed="false">
      <c r="A251" s="1"/>
      <c r="B251" s="10"/>
      <c r="C251" s="31" t="str">
        <f aca="false">IF(B251="","",TEXT(B251,"ddd"))</f>
        <v/>
      </c>
      <c r="D251" s="11"/>
      <c r="E251" s="8" t="str">
        <f aca="false">IF(D251="","",IFERROR(INDEX(ProjNumbers,MATCH(D251,ProjNames,0)),""))</f>
        <v/>
      </c>
      <c r="F251" s="8" t="str">
        <f aca="false">IF(D251="","",IFERROR(INDEX(ProjCodes,MATCH(D251,ProjNames,0)),""))</f>
        <v/>
      </c>
      <c r="G251" s="32"/>
      <c r="H251" s="11"/>
      <c r="I251" s="33"/>
      <c r="J251" s="8" t="str">
        <f aca="false">IF(COUNTA(B251,D251,G251,H251,I251)=0,"",IF(B251="","Enter date",IF(OR(B251&lt;$AC$2,B251&gt;$AC$3),"Date not in May",IF(D251="","Pick project",IF(ISNA(MATCH(D251,ProjNames,0)),"Project not in list",IF(G251="","Add task description",IF(H251="","Pick NTIME or P6",IF(N(I251)&lt;=0,"Enter hours",IF(AND(AllowOT&lt;&gt;"Yes",SUMIF($B$7:$B$256,B251,$I$7:$I$256)&gt;INDEX($O$58:$O$88,DAY(B251))),"Day over "&amp;INDEX($O$58:$O$88,DAY(B251))&amp;" h","✓")))))))))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5" hidden="false" customHeight="false" outlineLevel="0" collapsed="false">
      <c r="A252" s="1"/>
      <c r="B252" s="10"/>
      <c r="C252" s="31" t="str">
        <f aca="false">IF(B252="","",TEXT(B252,"ddd"))</f>
        <v/>
      </c>
      <c r="D252" s="11"/>
      <c r="E252" s="8" t="str">
        <f aca="false">IF(D252="","",IFERROR(INDEX(ProjNumbers,MATCH(D252,ProjNames,0)),""))</f>
        <v/>
      </c>
      <c r="F252" s="8" t="str">
        <f aca="false">IF(D252="","",IFERROR(INDEX(ProjCodes,MATCH(D252,ProjNames,0)),""))</f>
        <v/>
      </c>
      <c r="G252" s="32"/>
      <c r="H252" s="11"/>
      <c r="I252" s="33"/>
      <c r="J252" s="8" t="str">
        <f aca="false">IF(COUNTA(B252,D252,G252,H252,I252)=0,"",IF(B252="","Enter date",IF(OR(B252&lt;$AC$2,B252&gt;$AC$3),"Date not in May",IF(D252="","Pick project",IF(ISNA(MATCH(D252,ProjNames,0)),"Project not in list",IF(G252="","Add task description",IF(H252="","Pick NTIME or P6",IF(N(I252)&lt;=0,"Enter hours",IF(AND(AllowOT&lt;&gt;"Yes",SUMIF($B$7:$B$256,B252,$I$7:$I$256)&gt;INDEX($O$58:$O$88,DAY(B252))),"Day over "&amp;INDEX($O$58:$O$88,DAY(B252))&amp;" h","✓")))))))))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5" hidden="false" customHeight="false" outlineLevel="0" collapsed="false">
      <c r="A253" s="1"/>
      <c r="B253" s="10"/>
      <c r="C253" s="31" t="str">
        <f aca="false">IF(B253="","",TEXT(B253,"ddd"))</f>
        <v/>
      </c>
      <c r="D253" s="11"/>
      <c r="E253" s="8" t="str">
        <f aca="false">IF(D253="","",IFERROR(INDEX(ProjNumbers,MATCH(D253,ProjNames,0)),""))</f>
        <v/>
      </c>
      <c r="F253" s="8" t="str">
        <f aca="false">IF(D253="","",IFERROR(INDEX(ProjCodes,MATCH(D253,ProjNames,0)),""))</f>
        <v/>
      </c>
      <c r="G253" s="32"/>
      <c r="H253" s="11"/>
      <c r="I253" s="33"/>
      <c r="J253" s="8" t="str">
        <f aca="false">IF(COUNTA(B253,D253,G253,H253,I253)=0,"",IF(B253="","Enter date",IF(OR(B253&lt;$AC$2,B253&gt;$AC$3),"Date not in May",IF(D253="","Pick project",IF(ISNA(MATCH(D253,ProjNames,0)),"Project not in list",IF(G253="","Add task description",IF(H253="","Pick NTIME or P6",IF(N(I253)&lt;=0,"Enter hours",IF(AND(AllowOT&lt;&gt;"Yes",SUMIF($B$7:$B$256,B253,$I$7:$I$256)&gt;INDEX($O$58:$O$88,DAY(B253))),"Day over "&amp;INDEX($O$58:$O$88,DAY(B253))&amp;" h","✓")))))))))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5" hidden="false" customHeight="false" outlineLevel="0" collapsed="false">
      <c r="A254" s="1"/>
      <c r="B254" s="10"/>
      <c r="C254" s="31" t="str">
        <f aca="false">IF(B254="","",TEXT(B254,"ddd"))</f>
        <v/>
      </c>
      <c r="D254" s="11"/>
      <c r="E254" s="8" t="str">
        <f aca="false">IF(D254="","",IFERROR(INDEX(ProjNumbers,MATCH(D254,ProjNames,0)),""))</f>
        <v/>
      </c>
      <c r="F254" s="8" t="str">
        <f aca="false">IF(D254="","",IFERROR(INDEX(ProjCodes,MATCH(D254,ProjNames,0)),""))</f>
        <v/>
      </c>
      <c r="G254" s="32"/>
      <c r="H254" s="11"/>
      <c r="I254" s="33"/>
      <c r="J254" s="8" t="str">
        <f aca="false">IF(COUNTA(B254,D254,G254,H254,I254)=0,"",IF(B254="","Enter date",IF(OR(B254&lt;$AC$2,B254&gt;$AC$3),"Date not in May",IF(D254="","Pick project",IF(ISNA(MATCH(D254,ProjNames,0)),"Project not in list",IF(G254="","Add task description",IF(H254="","Pick NTIME or P6",IF(N(I254)&lt;=0,"Enter hours",IF(AND(AllowOT&lt;&gt;"Yes",SUMIF($B$7:$B$256,B254,$I$7:$I$256)&gt;INDEX($O$58:$O$88,DAY(B254))),"Day over "&amp;INDEX($O$58:$O$88,DAY(B254))&amp;" h","✓")))))))))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5" hidden="false" customHeight="false" outlineLevel="0" collapsed="false">
      <c r="A255" s="1"/>
      <c r="B255" s="10"/>
      <c r="C255" s="31" t="str">
        <f aca="false">IF(B255="","",TEXT(B255,"ddd"))</f>
        <v/>
      </c>
      <c r="D255" s="11"/>
      <c r="E255" s="8" t="str">
        <f aca="false">IF(D255="","",IFERROR(INDEX(ProjNumbers,MATCH(D255,ProjNames,0)),""))</f>
        <v/>
      </c>
      <c r="F255" s="8" t="str">
        <f aca="false">IF(D255="","",IFERROR(INDEX(ProjCodes,MATCH(D255,ProjNames,0)),""))</f>
        <v/>
      </c>
      <c r="G255" s="32"/>
      <c r="H255" s="11"/>
      <c r="I255" s="33"/>
      <c r="J255" s="8" t="str">
        <f aca="false">IF(COUNTA(B255,D255,G255,H255,I255)=0,"",IF(B255="","Enter date",IF(OR(B255&lt;$AC$2,B255&gt;$AC$3),"Date not in May",IF(D255="","Pick project",IF(ISNA(MATCH(D255,ProjNames,0)),"Project not in list",IF(G255="","Add task description",IF(H255="","Pick NTIME or P6",IF(N(I255)&lt;=0,"Enter hours",IF(AND(AllowOT&lt;&gt;"Yes",SUMIF($B$7:$B$256,B255,$I$7:$I$256)&gt;INDEX($O$58:$O$88,DAY(B255))),"Day over "&amp;INDEX($O$58:$O$88,DAY(B255))&amp;" h","✓")))))))))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5" hidden="false" customHeight="false" outlineLevel="0" collapsed="false">
      <c r="A256" s="1"/>
      <c r="B256" s="10"/>
      <c r="C256" s="31" t="str">
        <f aca="false">IF(B256="","",TEXT(B256,"ddd"))</f>
        <v/>
      </c>
      <c r="D256" s="11"/>
      <c r="E256" s="8" t="str">
        <f aca="false">IF(D256="","",IFERROR(INDEX(ProjNumbers,MATCH(D256,ProjNames,0)),""))</f>
        <v/>
      </c>
      <c r="F256" s="8" t="str">
        <f aca="false">IF(D256="","",IFERROR(INDEX(ProjCodes,MATCH(D256,ProjNames,0)),""))</f>
        <v/>
      </c>
      <c r="G256" s="32"/>
      <c r="H256" s="11"/>
      <c r="I256" s="33"/>
      <c r="J256" s="8" t="str">
        <f aca="false">IF(COUNTA(B256,D256,G256,H256,I256)=0,"",IF(B256="","Enter date",IF(OR(B256&lt;$AC$2,B256&gt;$AC$3),"Date not in May",IF(D256="","Pick project",IF(ISNA(MATCH(D256,ProjNames,0)),"Project not in list",IF(G256="","Add task description",IF(H256="","Pick NTIME or P6",IF(N(I256)&lt;=0,"Enter hours",IF(AND(AllowOT&lt;&gt;"Yes",SUMIF($B$7:$B$256,B256,$I$7:$I$256)&gt;INDEX($O$58:$O$88,DAY(B256))),"Day over "&amp;INDEX($O$58:$O$88,DAY(B256))&amp;" h","✓")))))))))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</sheetData>
  <conditionalFormatting sqref="J7:J256">
    <cfRule type="expression" priority="2" aboveAverage="0" equalAverage="0" bottom="0" percent="0" rank="0" text="" dxfId="0">
      <formula>AND(J7&lt;&gt;"",J7&lt;&gt;"✓")</formula>
    </cfRule>
  </conditionalFormatting>
  <conditionalFormatting sqref="H7:H256">
    <cfRule type="expression" priority="3" aboveAverage="0" equalAverage="0" bottom="0" percent="0" rank="0" text="" dxfId="1">
      <formula>H7="NTIME"</formula>
    </cfRule>
    <cfRule type="expression" priority="4" aboveAverage="0" equalAverage="0" bottom="0" percent="0" rank="0" text="" dxfId="2">
      <formula>H7="P6"</formula>
    </cfRule>
  </conditionalFormatting>
  <conditionalFormatting sqref="S5">
    <cfRule type="expression" priority="5" aboveAverage="0" equalAverage="0" bottom="0" percent="0" rank="0" text="" dxfId="3">
      <formula>S5&gt;0</formula>
    </cfRule>
  </conditionalFormatting>
  <conditionalFormatting sqref="L52:R52">
    <cfRule type="expression" priority="6" aboveAverage="0" equalAverage="0" bottom="0" percent="0" rank="0" text="" dxfId="4">
      <formula>$Q$52&gt;0</formula>
    </cfRule>
  </conditionalFormatting>
  <conditionalFormatting sqref="L58:U88">
    <cfRule type="expression" priority="7" aboveAverage="0" equalAverage="0" bottom="0" percent="0" rank="0" text="" dxfId="5">
      <formula>$L58=TODAY()</formula>
    </cfRule>
    <cfRule type="expression" priority="8" aboveAverage="0" equalAverage="0" bottom="0" percent="0" rank="0" text="" dxfId="6">
      <formula>OR($N58="Weekend",$N58="Leave",$N58="Public Holiday")</formula>
    </cfRule>
  </conditionalFormatting>
  <conditionalFormatting sqref="U58:U88">
    <cfRule type="expression" priority="9" aboveAverage="0" equalAverage="0" bottom="0" percent="0" rank="0" text="" dxfId="7">
      <formula>OR(U58="Not logged",LEFT(U58,5)="Over ",LEFT(U58,7)="Entries")</formula>
    </cfRule>
    <cfRule type="expression" priority="10" aboveAverage="0" equalAverage="0" bottom="0" percent="0" rank="0" text="" dxfId="8">
      <formula>LEFT(U58,1)="✓"</formula>
    </cfRule>
  </conditionalFormatting>
  <dataValidations count="7">
    <dataValidation allowBlank="false" error="Hours must be more than 0 and at most 24." errorStyle="stop" operator="between" showDropDown="false" showErrorMessage="true" showInputMessage="false" sqref="I7:I256" type="decimal">
      <formula1>0.01</formula1>
      <formula2>24</formula2>
    </dataValidation>
    <dataValidation allowBlank="false" error="Keep the task description to 200 characters." errorStyle="stop" operator="lessThanOrEqual" showDropDown="false" showErrorMessage="true" showInputMessage="false" sqref="G7:G256" type="textLength">
      <formula1>200</formula1>
      <formula2>0</formula2>
    </dataValidation>
    <dataValidation allowBlank="false" errorStyle="stop" operator="between" showDropDown="false" showErrorMessage="true" showInputMessage="false" sqref="O58:O88" type="decimal">
      <formula1>0</formula1>
      <formula2>24</formula2>
    </dataValidation>
    <dataValidation allowBlank="false" error="Enter a date in May 2026." errorStyle="stop" errorTitle="Date" operator="between" showDropDown="false" showErrorMessage="true" showInputMessage="false" sqref="B7:B256" type="date">
      <formula1>DATE(2026,5,1)</formula1>
      <formula2>DATE(2026,5,31)</formula2>
    </dataValidation>
    <dataValidation allowBlank="false" error="Pick a project from the list. Add new projects on the Projects sheet first." errorStyle="stop" errorTitle="Project" operator="between" showDropDown="false" showErrorMessage="true" showInputMessage="false" sqref="D7:D256" type="list">
      <formula1>ProjNames</formula1>
      <formula2>0</formula2>
    </dataValidation>
    <dataValidation allowBlank="false" errorStyle="stop" operator="between" showDropDown="false" showErrorMessage="true" showInputMessage="false" sqref="H7:H256" type="list">
      <formula1>"NTIME,P6"</formula1>
      <formula2>0</formula2>
    </dataValidation>
    <dataValidation allowBlank="false" errorStyle="stop" operator="between" showDropDown="false" showErrorMessage="true" showInputMessage="false" sqref="N58:N88" type="list">
      <formula1>"Working,Overhead only,Leave,Public Holiday,Weekend"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true"/>
  </sheetPr>
  <dimension ref="A1:AH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9" min="15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true" outlineLevel="0" max="34" min="23" style="0" width="13"/>
  </cols>
  <sheetData>
    <row r="1" customFormat="false" ht="22.05" hidden="false" customHeight="false" outlineLevel="0" collapsed="false">
      <c r="A1" s="1"/>
      <c r="B1" s="2" t="s">
        <v>99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75</v>
      </c>
      <c r="AD1" s="1"/>
      <c r="AE1" s="1"/>
      <c r="AF1" s="1"/>
      <c r="AG1" s="1"/>
      <c r="AH1" s="1"/>
    </row>
    <row r="2" customFormat="false" ht="15" hidden="false" customHeight="false" outlineLevel="0" collapsed="false">
      <c r="A2" s="1"/>
      <c r="B2" s="3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0" t="n">
        <v>46174</v>
      </c>
      <c r="AD2" s="1"/>
      <c r="AE2" s="1"/>
      <c r="AF2" s="1"/>
      <c r="AG2" s="1"/>
      <c r="AH2" s="1"/>
    </row>
    <row r="3" customFormat="false" ht="15" hidden="false" customHeight="false" outlineLevel="0" collapsed="false">
      <c r="A3" s="1"/>
      <c r="B3" s="4" t="s">
        <v>77</v>
      </c>
      <c r="C3" s="1"/>
      <c r="D3" s="1"/>
      <c r="E3" s="1"/>
      <c r="F3" s="1"/>
      <c r="G3" s="1"/>
      <c r="H3" s="1"/>
      <c r="I3" s="1"/>
      <c r="J3" s="1"/>
      <c r="K3" s="1"/>
      <c r="L3" s="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0" t="n">
        <v>46203</v>
      </c>
      <c r="AD3" s="1"/>
      <c r="AE3" s="1"/>
      <c r="AF3" s="1"/>
      <c r="AG3" s="1"/>
      <c r="AH3" s="1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3" t="s">
        <v>50</v>
      </c>
      <c r="M4" s="13" t="str">
        <f aca="false">IF(OHSystem="NTIME","NTIME (incl. overhead)","NTIME")</f>
        <v>NTIME</v>
      </c>
      <c r="N4" s="13" t="str">
        <f aca="false">IF(OHSystem="P6","P6 (incl. overhead)","P6")</f>
        <v>P6</v>
      </c>
      <c r="O4" s="13" t="s">
        <v>15</v>
      </c>
      <c r="P4" s="13" t="s">
        <v>24</v>
      </c>
      <c r="Q4" s="13" t="s">
        <v>51</v>
      </c>
      <c r="R4" s="13" t="s">
        <v>52</v>
      </c>
      <c r="S4" s="13" t="s">
        <v>53</v>
      </c>
      <c r="T4" s="1"/>
      <c r="U4" s="1"/>
      <c r="V4" s="1"/>
      <c r="W4" s="1"/>
      <c r="X4" s="1"/>
      <c r="Y4" s="1"/>
      <c r="Z4" s="1"/>
      <c r="AA4" s="1"/>
      <c r="AB4" s="1"/>
      <c r="AC4" s="30" t="n">
        <f aca="false">AC2-MOD(WEEKDAY(AC2,2)-WeekStartNum,7)</f>
        <v>46174</v>
      </c>
      <c r="AD4" s="1"/>
      <c r="AE4" s="1"/>
      <c r="AF4" s="1"/>
      <c r="AG4" s="1"/>
      <c r="AH4" s="1"/>
    </row>
    <row r="5" customFormat="false" ht="30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 t="n">
        <f aca="false">SUM($T$58:$T$87)</f>
        <v>0</v>
      </c>
      <c r="M5" s="15" t="n">
        <f aca="false">SUM($P$58:$P$87)+IF(OHSystem="NTIME",SUM($R$58:$R$87),0)</f>
        <v>0</v>
      </c>
      <c r="N5" s="16" t="n">
        <f aca="false">SUM($Q$58:$Q$87)+IF(OHSystem="P6",SUM($R$58:$R$87),0)</f>
        <v>0</v>
      </c>
      <c r="O5" s="17" t="n">
        <f aca="false">SUM($R$58:$R$87)</f>
        <v>0</v>
      </c>
      <c r="P5" s="14" t="n">
        <f aca="false">SUM($S$58:$S$87)</f>
        <v>0</v>
      </c>
      <c r="Q5" s="18" t="str">
        <f aca="false">IF(L5=0,"-",(SUM($P$58:$P$87)+SUM($Q$58:$Q$87))/L5)</f>
        <v>-</v>
      </c>
      <c r="R5" s="19" t="n">
        <f aca="false">SUMPRODUCT(($N$58:$N$87="Working")*(($P$58:$P$87+$Q$58:$Q$87)&gt;0))+COUNTIF($N$58:$N$87,"Overhead only")</f>
        <v>0</v>
      </c>
      <c r="S5" s="19" t="n">
        <f aca="false">COUNTIF($U$58:$U$87,"Not logged")</f>
        <v>22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5" hidden="false" customHeight="false" outlineLevel="0" collapsed="false">
      <c r="A6" s="1"/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5" hidden="false" customHeight="false" outlineLevel="0" collapsed="false">
      <c r="A7" s="1"/>
      <c r="B7" s="10"/>
      <c r="C7" s="31" t="str">
        <f aca="false">IF(B7="","",TEXT(B7,"ddd"))</f>
        <v/>
      </c>
      <c r="D7" s="11"/>
      <c r="E7" s="8" t="str">
        <f aca="false">IF(D7="","",IFERROR(INDEX(ProjNumbers,MATCH(D7,ProjNames,0)),""))</f>
        <v/>
      </c>
      <c r="F7" s="8" t="str">
        <f aca="false">IF(D7="","",IFERROR(INDEX(ProjCodes,MATCH(D7,ProjNames,0)),""))</f>
        <v/>
      </c>
      <c r="G7" s="32"/>
      <c r="H7" s="11"/>
      <c r="I7" s="33"/>
      <c r="J7" s="8" t="str">
        <f aca="false">IF(COUNTA(B7,D7,G7,H7,I7)=0,"",IF(B7="","Enter date",IF(OR(B7&lt;$AC$2,B7&gt;$AC$3),"Date not in June",IF(D7="","Pick project",IF(ISNA(MATCH(D7,ProjNames,0)),"Project not in list",IF(G7="","Add task description",IF(H7="","Pick NTIME or P6",IF(N(I7)&lt;=0,"Enter hours",IF(AND(AllowOT&lt;&gt;"Yes",SUMIF($B$7:$B$256,B7,$I$7:$I$256)&gt;INDEX($O$58:$O$87,DAY(B7))),"Day over "&amp;INDEX($O$58:$O$87,DAY(B7))&amp;" h","✓")))))))))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tr">
        <f aca="false">IF(Projects!B5="","",Projects!B5)</f>
        <v>Project A</v>
      </c>
      <c r="X7" s="1" t="n">
        <f aca="false">IF(W7="",0,SUMIFS($I$7:$I$256,$D$7:$D$256,W7,$H$7:$H$256,"NTIME"))</f>
        <v>0</v>
      </c>
      <c r="Y7" s="1" t="n">
        <f aca="false">IF(W7="",0,SUMIFS($I$7:$I$256,$D$7:$D$256,W7,$H$7:$H$256,"P6"))</f>
        <v>0</v>
      </c>
      <c r="Z7" s="1" t="n">
        <f aca="false">X7+Y7</f>
        <v>0</v>
      </c>
      <c r="AA7" s="1" t="n">
        <f aca="false">IF(Z7&gt;0,Z7+(201-1)/10^6,0)</f>
        <v>0</v>
      </c>
      <c r="AB7" s="1"/>
      <c r="AC7" s="1"/>
      <c r="AD7" s="1"/>
      <c r="AE7" s="1"/>
      <c r="AF7" s="1"/>
      <c r="AG7" s="1"/>
      <c r="AH7" s="1"/>
    </row>
    <row r="8" customFormat="false" ht="15" hidden="false" customHeight="false" outlineLevel="0" collapsed="false">
      <c r="A8" s="1"/>
      <c r="B8" s="10"/>
      <c r="C8" s="31" t="str">
        <f aca="false">IF(B8="","",TEXT(B8,"ddd"))</f>
        <v/>
      </c>
      <c r="D8" s="11"/>
      <c r="E8" s="8" t="str">
        <f aca="false">IF(D8="","",IFERROR(INDEX(ProjNumbers,MATCH(D8,ProjNames,0)),""))</f>
        <v/>
      </c>
      <c r="F8" s="8" t="str">
        <f aca="false">IF(D8="","",IFERROR(INDEX(ProjCodes,MATCH(D8,ProjNames,0)),""))</f>
        <v/>
      </c>
      <c r="G8" s="32"/>
      <c r="H8" s="11"/>
      <c r="I8" s="33"/>
      <c r="J8" s="8" t="str">
        <f aca="false">IF(COUNTA(B8,D8,G8,H8,I8)=0,"",IF(B8="","Enter date",IF(OR(B8&lt;$AC$2,B8&gt;$AC$3),"Date not in June",IF(D8="","Pick project",IF(ISNA(MATCH(D8,ProjNames,0)),"Project not in list",IF(G8="","Add task description",IF(H8="","Pick NTIME or P6",IF(N(I8)&lt;=0,"Enter hours",IF(AND(AllowOT&lt;&gt;"Yes",SUMIF($B$7:$B$256,B8,$I$7:$I$256)&gt;INDEX($O$58:$O$87,DAY(B8))),"Day over "&amp;INDEX($O$58:$O$87,DAY(B8))&amp;" h","✓")))))))))</f>
        <v/>
      </c>
      <c r="K8" s="1"/>
      <c r="L8" s="4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f aca="false">IF(Projects!B6="","",Projects!B6)</f>
        <v/>
      </c>
      <c r="X8" s="1" t="n">
        <f aca="false">IF(W8="",0,SUMIFS($I$7:$I$256,$D$7:$D$256,W8,$H$7:$H$256,"NTIME"))</f>
        <v>0</v>
      </c>
      <c r="Y8" s="1" t="n">
        <f aca="false">IF(W8="",0,SUMIFS($I$7:$I$256,$D$7:$D$256,W8,$H$7:$H$256,"P6"))</f>
        <v>0</v>
      </c>
      <c r="Z8" s="1" t="n">
        <f aca="false">X8+Y8</f>
        <v>0</v>
      </c>
      <c r="AA8" s="1" t="n">
        <f aca="false">IF(Z8&gt;0,Z8+(201-2)/10^6,0)</f>
        <v>0</v>
      </c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/>
      <c r="B9" s="10"/>
      <c r="C9" s="31" t="str">
        <f aca="false">IF(B9="","",TEXT(B9,"ddd"))</f>
        <v/>
      </c>
      <c r="D9" s="11"/>
      <c r="E9" s="8" t="str">
        <f aca="false">IF(D9="","",IFERROR(INDEX(ProjNumbers,MATCH(D9,ProjNames,0)),""))</f>
        <v/>
      </c>
      <c r="F9" s="8" t="str">
        <f aca="false">IF(D9="","",IFERROR(INDEX(ProjCodes,MATCH(D9,ProjNames,0)),""))</f>
        <v/>
      </c>
      <c r="G9" s="32"/>
      <c r="H9" s="11"/>
      <c r="I9" s="33"/>
      <c r="J9" s="8" t="str">
        <f aca="false">IF(COUNTA(B9,D9,G9,H9,I9)=0,"",IF(B9="","Enter date",IF(OR(B9&lt;$AC$2,B9&gt;$AC$3),"Date not in June",IF(D9="","Pick project",IF(ISNA(MATCH(D9,ProjNames,0)),"Project not in list",IF(G9="","Add task description",IF(H9="","Pick NTIME or P6",IF(N(I9)&lt;=0,"Enter hours",IF(AND(AllowOT&lt;&gt;"Yes",SUMIF($B$7:$B$256,B9,$I$7:$I$256)&gt;INDEX($O$58:$O$87,DAY(B9))),"Day over "&amp;INDEX($O$58:$O$87,DAY(B9))&amp;" h","✓")))))))))</f>
        <v/>
      </c>
      <c r="K9" s="1"/>
      <c r="L9" s="9" t="s">
        <v>81</v>
      </c>
      <c r="M9" s="9" t="s">
        <v>82</v>
      </c>
      <c r="N9" s="9" t="s">
        <v>83</v>
      </c>
      <c r="O9" s="20" t="s">
        <v>46</v>
      </c>
      <c r="P9" s="21" t="s">
        <v>56</v>
      </c>
      <c r="Q9" s="22" t="s">
        <v>15</v>
      </c>
      <c r="R9" s="9" t="s">
        <v>24</v>
      </c>
      <c r="S9" s="9" t="s">
        <v>57</v>
      </c>
      <c r="T9" s="1"/>
      <c r="U9" s="1"/>
      <c r="V9" s="1"/>
      <c r="W9" s="1" t="str">
        <f aca="false">IF(Projects!B7="","",Projects!B7)</f>
        <v/>
      </c>
      <c r="X9" s="1" t="n">
        <f aca="false">IF(W9="",0,SUMIFS($I$7:$I$256,$D$7:$D$256,W9,$H$7:$H$256,"NTIME"))</f>
        <v>0</v>
      </c>
      <c r="Y9" s="1" t="n">
        <f aca="false">IF(W9="",0,SUMIFS($I$7:$I$256,$D$7:$D$256,W9,$H$7:$H$256,"P6"))</f>
        <v>0</v>
      </c>
      <c r="Z9" s="1" t="n">
        <f aca="false">X9+Y9</f>
        <v>0</v>
      </c>
      <c r="AA9" s="1" t="n">
        <f aca="false">IF(Z9&gt;0,Z9+(201-3)/10^6,0)</f>
        <v>0</v>
      </c>
      <c r="AB9" s="1"/>
      <c r="AC9" s="1"/>
      <c r="AD9" s="1"/>
      <c r="AE9" s="1"/>
      <c r="AF9" s="1" t="s">
        <v>46</v>
      </c>
      <c r="AG9" s="1" t="s">
        <v>56</v>
      </c>
      <c r="AH9" s="1" t="s">
        <v>15</v>
      </c>
    </row>
    <row r="10" customFormat="false" ht="15" hidden="false" customHeight="false" outlineLevel="0" collapsed="false">
      <c r="A10" s="1"/>
      <c r="B10" s="10"/>
      <c r="C10" s="31" t="str">
        <f aca="false">IF(B10="","",TEXT(B10,"ddd"))</f>
        <v/>
      </c>
      <c r="D10" s="11"/>
      <c r="E10" s="8" t="str">
        <f aca="false">IF(D10="","",IFERROR(INDEX(ProjNumbers,MATCH(D10,ProjNames,0)),""))</f>
        <v/>
      </c>
      <c r="F10" s="8" t="str">
        <f aca="false">IF(D10="","",IFERROR(INDEX(ProjCodes,MATCH(D10,ProjNames,0)),""))</f>
        <v/>
      </c>
      <c r="G10" s="32"/>
      <c r="H10" s="11"/>
      <c r="I10" s="33"/>
      <c r="J10" s="8" t="str">
        <f aca="false">IF(COUNTA(B10,D10,G10,H10,I10)=0,"",IF(B10="","Enter date",IF(OR(B10&lt;$AC$2,B10&gt;$AC$3),"Date not in June",IF(D10="","Pick project",IF(ISNA(MATCH(D10,ProjNames,0)),"Project not in list",IF(G10="","Add task description",IF(H10="","Pick NTIME or P6",IF(N(I10)&lt;=0,"Enter hours",IF(AND(AllowOT&lt;&gt;"Yes",SUMIF($B$7:$B$256,B10,$I$7:$I$256)&gt;INDEX($O$58:$O$87,DAY(B10))),"Day over "&amp;INDEX($O$58:$O$87,DAY(B10))&amp;" h","✓")))))))))</f>
        <v/>
      </c>
      <c r="K10" s="1"/>
      <c r="L10" s="24" t="str">
        <f aca="false">"Week 1"&amp;IF(M10="",""," ("&amp;DAY(M10)&amp;"–"&amp;DAY(N10)&amp;")")</f>
        <v>Week 1 (1–7)</v>
      </c>
      <c r="M10" s="34" t="n">
        <f aca="false">IF($AC$4+7*0&gt;$AC$3,"",MAX($AC$2,$AC$4+7*0))</f>
        <v>46174</v>
      </c>
      <c r="N10" s="34" t="n">
        <f aca="false">IF(M10="","",MIN($AC$3,$AC$4+7*1-1))</f>
        <v>46180</v>
      </c>
      <c r="O10" s="24" t="n">
        <f aca="false">IF($M10="","",AF10+IF(OHSystem="NTIME",AH10,0))</f>
        <v>0</v>
      </c>
      <c r="P10" s="24" t="n">
        <f aca="false">IF($M10="","",AG10+IF(OHSystem="P6",AH10,0))</f>
        <v>0</v>
      </c>
      <c r="Q10" s="24" t="n">
        <f aca="false">IF($M10="","",AH10)</f>
        <v>0</v>
      </c>
      <c r="R10" s="24" t="n">
        <f aca="false">IF($M10="","",SUMIFS($S$58:$S$87,$L$58:$L$87,"&gt;="&amp;$M10,$L$58:$L$87,"&lt;="&amp;$N10))</f>
        <v>0</v>
      </c>
      <c r="S10" s="24" t="n">
        <f aca="false">IF($M10="","",SUMIFS($T$58:$T$87,$L$58:$L$87,"&gt;="&amp;$M10,$L$58:$L$87,"&lt;="&amp;$N10))</f>
        <v>0</v>
      </c>
      <c r="T10" s="1"/>
      <c r="U10" s="1"/>
      <c r="V10" s="1"/>
      <c r="W10" s="1" t="str">
        <f aca="false">IF(Projects!B8="","",Projects!B8)</f>
        <v/>
      </c>
      <c r="X10" s="1" t="n">
        <f aca="false">IF(W10="",0,SUMIFS($I$7:$I$256,$D$7:$D$256,W10,$H$7:$H$256,"NTIME"))</f>
        <v>0</v>
      </c>
      <c r="Y10" s="1" t="n">
        <f aca="false">IF(W10="",0,SUMIFS($I$7:$I$256,$D$7:$D$256,W10,$H$7:$H$256,"P6"))</f>
        <v>0</v>
      </c>
      <c r="Z10" s="1" t="n">
        <f aca="false">X10+Y10</f>
        <v>0</v>
      </c>
      <c r="AA10" s="1" t="n">
        <f aca="false">IF(Z10&gt;0,Z10+(201-4)/10^6,0)</f>
        <v>0</v>
      </c>
      <c r="AB10" s="1"/>
      <c r="AC10" s="1"/>
      <c r="AD10" s="1"/>
      <c r="AE10" s="1"/>
      <c r="AF10" s="1" t="n">
        <f aca="false">IF($M10="",0,SUMIFS($P$58:$P$87,$L$58:$L$87,"&gt;="&amp;$M10,$L$58:$L$87,"&lt;="&amp;$N10))</f>
        <v>0</v>
      </c>
      <c r="AG10" s="1" t="n">
        <f aca="false">IF($M10="",0,SUMIFS($Q$58:$Q$87,$L$58:$L$87,"&gt;="&amp;$M10,$L$58:$L$87,"&lt;="&amp;$N10))</f>
        <v>0</v>
      </c>
      <c r="AH10" s="1" t="n">
        <f aca="false">IF($M10="",0,SUMIFS($R$58:$R$87,$L$58:$L$87,"&gt;="&amp;$M10,$L$58:$L$87,"&lt;="&amp;$N10))</f>
        <v>0</v>
      </c>
    </row>
    <row r="11" customFormat="false" ht="15" hidden="false" customHeight="false" outlineLevel="0" collapsed="false">
      <c r="A11" s="1"/>
      <c r="B11" s="10"/>
      <c r="C11" s="31" t="str">
        <f aca="false">IF(B11="","",TEXT(B11,"ddd"))</f>
        <v/>
      </c>
      <c r="D11" s="11"/>
      <c r="E11" s="8" t="str">
        <f aca="false">IF(D11="","",IFERROR(INDEX(ProjNumbers,MATCH(D11,ProjNames,0)),""))</f>
        <v/>
      </c>
      <c r="F11" s="8" t="str">
        <f aca="false">IF(D11="","",IFERROR(INDEX(ProjCodes,MATCH(D11,ProjNames,0)),""))</f>
        <v/>
      </c>
      <c r="G11" s="32"/>
      <c r="H11" s="11"/>
      <c r="I11" s="33"/>
      <c r="J11" s="8" t="str">
        <f aca="false">IF(COUNTA(B11,D11,G11,H11,I11)=0,"",IF(B11="","Enter date",IF(OR(B11&lt;$AC$2,B11&gt;$AC$3),"Date not in June",IF(D11="","Pick project",IF(ISNA(MATCH(D11,ProjNames,0)),"Project not in list",IF(G11="","Add task description",IF(H11="","Pick NTIME or P6",IF(N(I11)&lt;=0,"Enter hours",IF(AND(AllowOT&lt;&gt;"Yes",SUMIF($B$7:$B$256,B11,$I$7:$I$256)&gt;INDEX($O$58:$O$87,DAY(B11))),"Day over "&amp;INDEX($O$58:$O$87,DAY(B11))&amp;" h","✓")))))))))</f>
        <v/>
      </c>
      <c r="K11" s="1"/>
      <c r="L11" s="24" t="str">
        <f aca="false">"Week 2"&amp;IF(M11="",""," ("&amp;DAY(M11)&amp;"–"&amp;DAY(N11)&amp;")")</f>
        <v>Week 2 (8–14)</v>
      </c>
      <c r="M11" s="34" t="n">
        <f aca="false">IF($AC$4+7*1&gt;$AC$3,"",MAX($AC$2,$AC$4+7*1))</f>
        <v>46181</v>
      </c>
      <c r="N11" s="34" t="n">
        <f aca="false">IF(M11="","",MIN($AC$3,$AC$4+7*2-1))</f>
        <v>46187</v>
      </c>
      <c r="O11" s="24" t="n">
        <f aca="false">IF($M11="","",AF11+IF(OHSystem="NTIME",AH11,0))</f>
        <v>0</v>
      </c>
      <c r="P11" s="24" t="n">
        <f aca="false">IF($M11="","",AG11+IF(OHSystem="P6",AH11,0))</f>
        <v>0</v>
      </c>
      <c r="Q11" s="24" t="n">
        <f aca="false">IF($M11="","",AH11)</f>
        <v>0</v>
      </c>
      <c r="R11" s="24" t="n">
        <f aca="false">IF($M11="","",SUMIFS($S$58:$S$87,$L$58:$L$87,"&gt;="&amp;$M11,$L$58:$L$87,"&lt;="&amp;$N11))</f>
        <v>0</v>
      </c>
      <c r="S11" s="24" t="n">
        <f aca="false">IF($M11="","",SUMIFS($T$58:$T$87,$L$58:$L$87,"&gt;="&amp;$M11,$L$58:$L$87,"&lt;="&amp;$N11))</f>
        <v>0</v>
      </c>
      <c r="T11" s="1"/>
      <c r="U11" s="1"/>
      <c r="V11" s="1"/>
      <c r="W11" s="1" t="str">
        <f aca="false">IF(Projects!B9="","",Projects!B9)</f>
        <v/>
      </c>
      <c r="X11" s="1" t="n">
        <f aca="false">IF(W11="",0,SUMIFS($I$7:$I$256,$D$7:$D$256,W11,$H$7:$H$256,"NTIME"))</f>
        <v>0</v>
      </c>
      <c r="Y11" s="1" t="n">
        <f aca="false">IF(W11="",0,SUMIFS($I$7:$I$256,$D$7:$D$256,W11,$H$7:$H$256,"P6"))</f>
        <v>0</v>
      </c>
      <c r="Z11" s="1" t="n">
        <f aca="false">X11+Y11</f>
        <v>0</v>
      </c>
      <c r="AA11" s="1" t="n">
        <f aca="false">IF(Z11&gt;0,Z11+(201-5)/10^6,0)</f>
        <v>0</v>
      </c>
      <c r="AB11" s="1"/>
      <c r="AC11" s="1"/>
      <c r="AD11" s="1"/>
      <c r="AE11" s="1"/>
      <c r="AF11" s="1" t="n">
        <f aca="false">IF($M11="",0,SUMIFS($P$58:$P$87,$L$58:$L$87,"&gt;="&amp;$M11,$L$58:$L$87,"&lt;="&amp;$N11))</f>
        <v>0</v>
      </c>
      <c r="AG11" s="1" t="n">
        <f aca="false">IF($M11="",0,SUMIFS($Q$58:$Q$87,$L$58:$L$87,"&gt;="&amp;$M11,$L$58:$L$87,"&lt;="&amp;$N11))</f>
        <v>0</v>
      </c>
      <c r="AH11" s="1" t="n">
        <f aca="false">IF($M11="",0,SUMIFS($R$58:$R$87,$L$58:$L$87,"&gt;="&amp;$M11,$L$58:$L$87,"&lt;="&amp;$N11))</f>
        <v>0</v>
      </c>
    </row>
    <row r="12" customFormat="false" ht="15" hidden="false" customHeight="false" outlineLevel="0" collapsed="false">
      <c r="A12" s="1"/>
      <c r="B12" s="10"/>
      <c r="C12" s="31" t="str">
        <f aca="false">IF(B12="","",TEXT(B12,"ddd"))</f>
        <v/>
      </c>
      <c r="D12" s="11"/>
      <c r="E12" s="8" t="str">
        <f aca="false">IF(D12="","",IFERROR(INDEX(ProjNumbers,MATCH(D12,ProjNames,0)),""))</f>
        <v/>
      </c>
      <c r="F12" s="8" t="str">
        <f aca="false">IF(D12="","",IFERROR(INDEX(ProjCodes,MATCH(D12,ProjNames,0)),""))</f>
        <v/>
      </c>
      <c r="G12" s="32"/>
      <c r="H12" s="11"/>
      <c r="I12" s="33"/>
      <c r="J12" s="8" t="str">
        <f aca="false">IF(COUNTA(B12,D12,G12,H12,I12)=0,"",IF(B12="","Enter date",IF(OR(B12&lt;$AC$2,B12&gt;$AC$3),"Date not in June",IF(D12="","Pick project",IF(ISNA(MATCH(D12,ProjNames,0)),"Project not in list",IF(G12="","Add task description",IF(H12="","Pick NTIME or P6",IF(N(I12)&lt;=0,"Enter hours",IF(AND(AllowOT&lt;&gt;"Yes",SUMIF($B$7:$B$256,B12,$I$7:$I$256)&gt;INDEX($O$58:$O$87,DAY(B12))),"Day over "&amp;INDEX($O$58:$O$87,DAY(B12))&amp;" h","✓")))))))))</f>
        <v/>
      </c>
      <c r="K12" s="1"/>
      <c r="L12" s="24" t="str">
        <f aca="false">"Week 3"&amp;IF(M12="",""," ("&amp;DAY(M12)&amp;"–"&amp;DAY(N12)&amp;")")</f>
        <v>Week 3 (15–21)</v>
      </c>
      <c r="M12" s="34" t="n">
        <f aca="false">IF($AC$4+7*2&gt;$AC$3,"",MAX($AC$2,$AC$4+7*2))</f>
        <v>46188</v>
      </c>
      <c r="N12" s="34" t="n">
        <f aca="false">IF(M12="","",MIN($AC$3,$AC$4+7*3-1))</f>
        <v>46194</v>
      </c>
      <c r="O12" s="24" t="n">
        <f aca="false">IF($M12="","",AF12+IF(OHSystem="NTIME",AH12,0))</f>
        <v>0</v>
      </c>
      <c r="P12" s="24" t="n">
        <f aca="false">IF($M12="","",AG12+IF(OHSystem="P6",AH12,0))</f>
        <v>0</v>
      </c>
      <c r="Q12" s="24" t="n">
        <f aca="false">IF($M12="","",AH12)</f>
        <v>0</v>
      </c>
      <c r="R12" s="24" t="n">
        <f aca="false">IF($M12="","",SUMIFS($S$58:$S$87,$L$58:$L$87,"&gt;="&amp;$M12,$L$58:$L$87,"&lt;="&amp;$N12))</f>
        <v>0</v>
      </c>
      <c r="S12" s="24" t="n">
        <f aca="false">IF($M12="","",SUMIFS($T$58:$T$87,$L$58:$L$87,"&gt;="&amp;$M12,$L$58:$L$87,"&lt;="&amp;$N12))</f>
        <v>0</v>
      </c>
      <c r="T12" s="1"/>
      <c r="U12" s="1"/>
      <c r="V12" s="1"/>
      <c r="W12" s="1" t="str">
        <f aca="false">IF(Projects!B10="","",Projects!B10)</f>
        <v/>
      </c>
      <c r="X12" s="1" t="n">
        <f aca="false">IF(W12="",0,SUMIFS($I$7:$I$256,$D$7:$D$256,W12,$H$7:$H$256,"NTIME"))</f>
        <v>0</v>
      </c>
      <c r="Y12" s="1" t="n">
        <f aca="false">IF(W12="",0,SUMIFS($I$7:$I$256,$D$7:$D$256,W12,$H$7:$H$256,"P6"))</f>
        <v>0</v>
      </c>
      <c r="Z12" s="1" t="n">
        <f aca="false">X12+Y12</f>
        <v>0</v>
      </c>
      <c r="AA12" s="1" t="n">
        <f aca="false">IF(Z12&gt;0,Z12+(201-6)/10^6,0)</f>
        <v>0</v>
      </c>
      <c r="AB12" s="1"/>
      <c r="AC12" s="1"/>
      <c r="AD12" s="1"/>
      <c r="AE12" s="1"/>
      <c r="AF12" s="1" t="n">
        <f aca="false">IF($M12="",0,SUMIFS($P$58:$P$87,$L$58:$L$87,"&gt;="&amp;$M12,$L$58:$L$87,"&lt;="&amp;$N12))</f>
        <v>0</v>
      </c>
      <c r="AG12" s="1" t="n">
        <f aca="false">IF($M12="",0,SUMIFS($Q$58:$Q$87,$L$58:$L$87,"&gt;="&amp;$M12,$L$58:$L$87,"&lt;="&amp;$N12))</f>
        <v>0</v>
      </c>
      <c r="AH12" s="1" t="n">
        <f aca="false">IF($M12="",0,SUMIFS($R$58:$R$87,$L$58:$L$87,"&gt;="&amp;$M12,$L$58:$L$87,"&lt;="&amp;$N12))</f>
        <v>0</v>
      </c>
    </row>
    <row r="13" customFormat="false" ht="15" hidden="false" customHeight="false" outlineLevel="0" collapsed="false">
      <c r="A13" s="1"/>
      <c r="B13" s="10"/>
      <c r="C13" s="31" t="str">
        <f aca="false">IF(B13="","",TEXT(B13,"ddd"))</f>
        <v/>
      </c>
      <c r="D13" s="11"/>
      <c r="E13" s="8" t="str">
        <f aca="false">IF(D13="","",IFERROR(INDEX(ProjNumbers,MATCH(D13,ProjNames,0)),""))</f>
        <v/>
      </c>
      <c r="F13" s="8" t="str">
        <f aca="false">IF(D13="","",IFERROR(INDEX(ProjCodes,MATCH(D13,ProjNames,0)),""))</f>
        <v/>
      </c>
      <c r="G13" s="32"/>
      <c r="H13" s="11"/>
      <c r="I13" s="33"/>
      <c r="J13" s="8" t="str">
        <f aca="false">IF(COUNTA(B13,D13,G13,H13,I13)=0,"",IF(B13="","Enter date",IF(OR(B13&lt;$AC$2,B13&gt;$AC$3),"Date not in June",IF(D13="","Pick project",IF(ISNA(MATCH(D13,ProjNames,0)),"Project not in list",IF(G13="","Add task description",IF(H13="","Pick NTIME or P6",IF(N(I13)&lt;=0,"Enter hours",IF(AND(AllowOT&lt;&gt;"Yes",SUMIF($B$7:$B$256,B13,$I$7:$I$256)&gt;INDEX($O$58:$O$87,DAY(B13))),"Day over "&amp;INDEX($O$58:$O$87,DAY(B13))&amp;" h","✓")))))))))</f>
        <v/>
      </c>
      <c r="K13" s="1"/>
      <c r="L13" s="24" t="str">
        <f aca="false">"Week 4"&amp;IF(M13="",""," ("&amp;DAY(M13)&amp;"–"&amp;DAY(N13)&amp;")")</f>
        <v>Week 4 (22–28)</v>
      </c>
      <c r="M13" s="34" t="n">
        <f aca="false">IF($AC$4+7*3&gt;$AC$3,"",MAX($AC$2,$AC$4+7*3))</f>
        <v>46195</v>
      </c>
      <c r="N13" s="34" t="n">
        <f aca="false">IF(M13="","",MIN($AC$3,$AC$4+7*4-1))</f>
        <v>46201</v>
      </c>
      <c r="O13" s="24" t="n">
        <f aca="false">IF($M13="","",AF13+IF(OHSystem="NTIME",AH13,0))</f>
        <v>0</v>
      </c>
      <c r="P13" s="24" t="n">
        <f aca="false">IF($M13="","",AG13+IF(OHSystem="P6",AH13,0))</f>
        <v>0</v>
      </c>
      <c r="Q13" s="24" t="n">
        <f aca="false">IF($M13="","",AH13)</f>
        <v>0</v>
      </c>
      <c r="R13" s="24" t="n">
        <f aca="false">IF($M13="","",SUMIFS($S$58:$S$87,$L$58:$L$87,"&gt;="&amp;$M13,$L$58:$L$87,"&lt;="&amp;$N13))</f>
        <v>0</v>
      </c>
      <c r="S13" s="24" t="n">
        <f aca="false">IF($M13="","",SUMIFS($T$58:$T$87,$L$58:$L$87,"&gt;="&amp;$M13,$L$58:$L$87,"&lt;="&amp;$N13))</f>
        <v>0</v>
      </c>
      <c r="T13" s="1"/>
      <c r="U13" s="1"/>
      <c r="V13" s="1"/>
      <c r="W13" s="1" t="str">
        <f aca="false">IF(Projects!B11="","",Projects!B11)</f>
        <v/>
      </c>
      <c r="X13" s="1" t="n">
        <f aca="false">IF(W13="",0,SUMIFS($I$7:$I$256,$D$7:$D$256,W13,$H$7:$H$256,"NTIME"))</f>
        <v>0</v>
      </c>
      <c r="Y13" s="1" t="n">
        <f aca="false">IF(W13="",0,SUMIFS($I$7:$I$256,$D$7:$D$256,W13,$H$7:$H$256,"P6"))</f>
        <v>0</v>
      </c>
      <c r="Z13" s="1" t="n">
        <f aca="false">X13+Y13</f>
        <v>0</v>
      </c>
      <c r="AA13" s="1" t="n">
        <f aca="false">IF(Z13&gt;0,Z13+(201-7)/10^6,0)</f>
        <v>0</v>
      </c>
      <c r="AB13" s="1"/>
      <c r="AC13" s="1"/>
      <c r="AD13" s="1"/>
      <c r="AE13" s="1"/>
      <c r="AF13" s="1" t="n">
        <f aca="false">IF($M13="",0,SUMIFS($P$58:$P$87,$L$58:$L$87,"&gt;="&amp;$M13,$L$58:$L$87,"&lt;="&amp;$N13))</f>
        <v>0</v>
      </c>
      <c r="AG13" s="1" t="n">
        <f aca="false">IF($M13="",0,SUMIFS($Q$58:$Q$87,$L$58:$L$87,"&gt;="&amp;$M13,$L$58:$L$87,"&lt;="&amp;$N13))</f>
        <v>0</v>
      </c>
      <c r="AH13" s="1" t="n">
        <f aca="false">IF($M13="",0,SUMIFS($R$58:$R$87,$L$58:$L$87,"&gt;="&amp;$M13,$L$58:$L$87,"&lt;="&amp;$N13))</f>
        <v>0</v>
      </c>
    </row>
    <row r="14" customFormat="false" ht="15" hidden="false" customHeight="false" outlineLevel="0" collapsed="false">
      <c r="A14" s="1"/>
      <c r="B14" s="10"/>
      <c r="C14" s="31" t="str">
        <f aca="false">IF(B14="","",TEXT(B14,"ddd"))</f>
        <v/>
      </c>
      <c r="D14" s="11"/>
      <c r="E14" s="8" t="str">
        <f aca="false">IF(D14="","",IFERROR(INDEX(ProjNumbers,MATCH(D14,ProjNames,0)),""))</f>
        <v/>
      </c>
      <c r="F14" s="8" t="str">
        <f aca="false">IF(D14="","",IFERROR(INDEX(ProjCodes,MATCH(D14,ProjNames,0)),""))</f>
        <v/>
      </c>
      <c r="G14" s="32"/>
      <c r="H14" s="11"/>
      <c r="I14" s="33"/>
      <c r="J14" s="8" t="str">
        <f aca="false">IF(COUNTA(B14,D14,G14,H14,I14)=0,"",IF(B14="","Enter date",IF(OR(B14&lt;$AC$2,B14&gt;$AC$3),"Date not in June",IF(D14="","Pick project",IF(ISNA(MATCH(D14,ProjNames,0)),"Project not in list",IF(G14="","Add task description",IF(H14="","Pick NTIME or P6",IF(N(I14)&lt;=0,"Enter hours",IF(AND(AllowOT&lt;&gt;"Yes",SUMIF($B$7:$B$256,B14,$I$7:$I$256)&gt;INDEX($O$58:$O$87,DAY(B14))),"Day over "&amp;INDEX($O$58:$O$87,DAY(B14))&amp;" h","✓")))))))))</f>
        <v/>
      </c>
      <c r="K14" s="1"/>
      <c r="L14" s="24" t="str">
        <f aca="false">"Week 5"&amp;IF(M14="",""," ("&amp;DAY(M14)&amp;"–"&amp;DAY(N14)&amp;")")</f>
        <v>Week 5 (29–30)</v>
      </c>
      <c r="M14" s="34" t="n">
        <f aca="false">IF($AC$4+7*4&gt;$AC$3,"",MAX($AC$2,$AC$4+7*4))</f>
        <v>46202</v>
      </c>
      <c r="N14" s="34" t="n">
        <f aca="false">IF(M14="","",MIN($AC$3,$AC$4+7*5-1))</f>
        <v>46203</v>
      </c>
      <c r="O14" s="24" t="n">
        <f aca="false">IF($M14="","",AF14+IF(OHSystem="NTIME",AH14,0))</f>
        <v>0</v>
      </c>
      <c r="P14" s="24" t="n">
        <f aca="false">IF($M14="","",AG14+IF(OHSystem="P6",AH14,0))</f>
        <v>0</v>
      </c>
      <c r="Q14" s="24" t="n">
        <f aca="false">IF($M14="","",AH14)</f>
        <v>0</v>
      </c>
      <c r="R14" s="24" t="n">
        <f aca="false">IF($M14="","",SUMIFS($S$58:$S$87,$L$58:$L$87,"&gt;="&amp;$M14,$L$58:$L$87,"&lt;="&amp;$N14))</f>
        <v>0</v>
      </c>
      <c r="S14" s="24" t="n">
        <f aca="false">IF($M14="","",SUMIFS($T$58:$T$87,$L$58:$L$87,"&gt;="&amp;$M14,$L$58:$L$87,"&lt;="&amp;$N14))</f>
        <v>0</v>
      </c>
      <c r="T14" s="1"/>
      <c r="U14" s="1"/>
      <c r="V14" s="1"/>
      <c r="W14" s="1" t="str">
        <f aca="false">IF(Projects!B12="","",Projects!B12)</f>
        <v/>
      </c>
      <c r="X14" s="1" t="n">
        <f aca="false">IF(W14="",0,SUMIFS($I$7:$I$256,$D$7:$D$256,W14,$H$7:$H$256,"NTIME"))</f>
        <v>0</v>
      </c>
      <c r="Y14" s="1" t="n">
        <f aca="false">IF(W14="",0,SUMIFS($I$7:$I$256,$D$7:$D$256,W14,$H$7:$H$256,"P6"))</f>
        <v>0</v>
      </c>
      <c r="Z14" s="1" t="n">
        <f aca="false">X14+Y14</f>
        <v>0</v>
      </c>
      <c r="AA14" s="1" t="n">
        <f aca="false">IF(Z14&gt;0,Z14+(201-8)/10^6,0)</f>
        <v>0</v>
      </c>
      <c r="AB14" s="1"/>
      <c r="AC14" s="1"/>
      <c r="AD14" s="1"/>
      <c r="AE14" s="1"/>
      <c r="AF14" s="1" t="n">
        <f aca="false">IF($M14="",0,SUMIFS($P$58:$P$87,$L$58:$L$87,"&gt;="&amp;$M14,$L$58:$L$87,"&lt;="&amp;$N14))</f>
        <v>0</v>
      </c>
      <c r="AG14" s="1" t="n">
        <f aca="false">IF($M14="",0,SUMIFS($Q$58:$Q$87,$L$58:$L$87,"&gt;="&amp;$M14,$L$58:$L$87,"&lt;="&amp;$N14))</f>
        <v>0</v>
      </c>
      <c r="AH14" s="1" t="n">
        <f aca="false">IF($M14="",0,SUMIFS($R$58:$R$87,$L$58:$L$87,"&gt;="&amp;$M14,$L$58:$L$87,"&lt;="&amp;$N14))</f>
        <v>0</v>
      </c>
    </row>
    <row r="15" customFormat="false" ht="15" hidden="false" customHeight="false" outlineLevel="0" collapsed="false">
      <c r="A15" s="1"/>
      <c r="B15" s="10"/>
      <c r="C15" s="31" t="str">
        <f aca="false">IF(B15="","",TEXT(B15,"ddd"))</f>
        <v/>
      </c>
      <c r="D15" s="11"/>
      <c r="E15" s="8" t="str">
        <f aca="false">IF(D15="","",IFERROR(INDEX(ProjNumbers,MATCH(D15,ProjNames,0)),""))</f>
        <v/>
      </c>
      <c r="F15" s="8" t="str">
        <f aca="false">IF(D15="","",IFERROR(INDEX(ProjCodes,MATCH(D15,ProjNames,0)),""))</f>
        <v/>
      </c>
      <c r="G15" s="32"/>
      <c r="H15" s="11"/>
      <c r="I15" s="33"/>
      <c r="J15" s="8" t="str">
        <f aca="false">IF(COUNTA(B15,D15,G15,H15,I15)=0,"",IF(B15="","Enter date",IF(OR(B15&lt;$AC$2,B15&gt;$AC$3),"Date not in June",IF(D15="","Pick project",IF(ISNA(MATCH(D15,ProjNames,0)),"Project not in list",IF(G15="","Add task description",IF(H15="","Pick NTIME or P6",IF(N(I15)&lt;=0,"Enter hours",IF(AND(AllowOT&lt;&gt;"Yes",SUMIF($B$7:$B$256,B15,$I$7:$I$256)&gt;INDEX($O$58:$O$87,DAY(B15))),"Day over "&amp;INDEX($O$58:$O$87,DAY(B15))&amp;" h","✓")))))))))</f>
        <v/>
      </c>
      <c r="K15" s="1"/>
      <c r="L15" s="24" t="str">
        <f aca="false">"Week 6"&amp;IF(M15="",""," ("&amp;DAY(M15)&amp;"–"&amp;DAY(N15)&amp;")")</f>
        <v>Week 6</v>
      </c>
      <c r="M15" s="34" t="str">
        <f aca="false">IF($AC$4+7*5&gt;$AC$3,"",MAX($AC$2,$AC$4+7*5))</f>
        <v/>
      </c>
      <c r="N15" s="34" t="str">
        <f aca="false">IF(M15="","",MIN($AC$3,$AC$4+7*6-1))</f>
        <v/>
      </c>
      <c r="O15" s="24" t="str">
        <f aca="false">IF($M15="","",AF15+IF(OHSystem="NTIME",AH15,0))</f>
        <v/>
      </c>
      <c r="P15" s="24" t="str">
        <f aca="false">IF($M15="","",AG15+IF(OHSystem="P6",AH15,0))</f>
        <v/>
      </c>
      <c r="Q15" s="24" t="str">
        <f aca="false">IF($M15="","",AH15)</f>
        <v/>
      </c>
      <c r="R15" s="24" t="str">
        <f aca="false">IF($M15="","",SUMIFS($S$58:$S$87,$L$58:$L$87,"&gt;="&amp;$M15,$L$58:$L$87,"&lt;="&amp;$N15))</f>
        <v/>
      </c>
      <c r="S15" s="24" t="str">
        <f aca="false">IF($M15="","",SUMIFS($T$58:$T$87,$L$58:$L$87,"&gt;="&amp;$M15,$L$58:$L$87,"&lt;="&amp;$N15))</f>
        <v/>
      </c>
      <c r="T15" s="1"/>
      <c r="U15" s="1"/>
      <c r="V15" s="1"/>
      <c r="W15" s="1" t="str">
        <f aca="false">IF(Projects!B13="","",Projects!B13)</f>
        <v/>
      </c>
      <c r="X15" s="1" t="n">
        <f aca="false">IF(W15="",0,SUMIFS($I$7:$I$256,$D$7:$D$256,W15,$H$7:$H$256,"NTIME"))</f>
        <v>0</v>
      </c>
      <c r="Y15" s="1" t="n">
        <f aca="false">IF(W15="",0,SUMIFS($I$7:$I$256,$D$7:$D$256,W15,$H$7:$H$256,"P6"))</f>
        <v>0</v>
      </c>
      <c r="Z15" s="1" t="n">
        <f aca="false">X15+Y15</f>
        <v>0</v>
      </c>
      <c r="AA15" s="1" t="n">
        <f aca="false">IF(Z15&gt;0,Z15+(201-9)/10^6,0)</f>
        <v>0</v>
      </c>
      <c r="AB15" s="1"/>
      <c r="AC15" s="1"/>
      <c r="AD15" s="1"/>
      <c r="AE15" s="1"/>
      <c r="AF15" s="1" t="n">
        <f aca="false">IF($M15="",0,SUMIFS($P$58:$P$87,$L$58:$L$87,"&gt;="&amp;$M15,$L$58:$L$87,"&lt;="&amp;$N15))</f>
        <v>0</v>
      </c>
      <c r="AG15" s="1" t="n">
        <f aca="false">IF($M15="",0,SUMIFS($Q$58:$Q$87,$L$58:$L$87,"&gt;="&amp;$M15,$L$58:$L$87,"&lt;="&amp;$N15))</f>
        <v>0</v>
      </c>
      <c r="AH15" s="1" t="n">
        <f aca="false">IF($M15="",0,SUMIFS($R$58:$R$87,$L$58:$L$87,"&gt;="&amp;$M15,$L$58:$L$87,"&lt;="&amp;$N15))</f>
        <v>0</v>
      </c>
    </row>
    <row r="16" customFormat="false" ht="15" hidden="false" customHeight="false" outlineLevel="0" collapsed="false">
      <c r="A16" s="1"/>
      <c r="B16" s="10"/>
      <c r="C16" s="31" t="str">
        <f aca="false">IF(B16="","",TEXT(B16,"ddd"))</f>
        <v/>
      </c>
      <c r="D16" s="11"/>
      <c r="E16" s="8" t="str">
        <f aca="false">IF(D16="","",IFERROR(INDEX(ProjNumbers,MATCH(D16,ProjNames,0)),""))</f>
        <v/>
      </c>
      <c r="F16" s="8" t="str">
        <f aca="false">IF(D16="","",IFERROR(INDEX(ProjCodes,MATCH(D16,ProjNames,0)),""))</f>
        <v/>
      </c>
      <c r="G16" s="32"/>
      <c r="H16" s="11"/>
      <c r="I16" s="33"/>
      <c r="J16" s="8" t="str">
        <f aca="false">IF(COUNTA(B16,D16,G16,H16,I16)=0,"",IF(B16="","Enter date",IF(OR(B16&lt;$AC$2,B16&gt;$AC$3),"Date not in June",IF(D16="","Pick project",IF(ISNA(MATCH(D16,ProjNames,0)),"Project not in list",IF(G16="","Add task description",IF(H16="","Pick NTIME or P6",IF(N(I16)&lt;=0,"Enter hours",IF(AND(AllowOT&lt;&gt;"Yes",SUMIF($B$7:$B$256,B16,$I$7:$I$256)&gt;INDEX($O$58:$O$87,DAY(B16))),"Day over "&amp;INDEX($O$58:$O$87,DAY(B16))&amp;" h","✓")))))))))</f>
        <v/>
      </c>
      <c r="K16" s="1"/>
      <c r="L16" s="27" t="s">
        <v>84</v>
      </c>
      <c r="M16" s="27"/>
      <c r="N16" s="27"/>
      <c r="O16" s="27" t="n">
        <f aca="false">SUM(O10:O15)</f>
        <v>0</v>
      </c>
      <c r="P16" s="27" t="n">
        <f aca="false">SUM(P10:P15)</f>
        <v>0</v>
      </c>
      <c r="Q16" s="27" t="n">
        <f aca="false">SUM(Q10:Q15)</f>
        <v>0</v>
      </c>
      <c r="R16" s="27" t="n">
        <f aca="false">SUM(R10:R15)</f>
        <v>0</v>
      </c>
      <c r="S16" s="27" t="n">
        <f aca="false">SUM(S10:S15)</f>
        <v>0</v>
      </c>
      <c r="T16" s="1"/>
      <c r="U16" s="1"/>
      <c r="V16" s="1"/>
      <c r="W16" s="1" t="str">
        <f aca="false">IF(Projects!B14="","",Projects!B14)</f>
        <v/>
      </c>
      <c r="X16" s="1" t="n">
        <f aca="false">IF(W16="",0,SUMIFS($I$7:$I$256,$D$7:$D$256,W16,$H$7:$H$256,"NTIME"))</f>
        <v>0</v>
      </c>
      <c r="Y16" s="1" t="n">
        <f aca="false">IF(W16="",0,SUMIFS($I$7:$I$256,$D$7:$D$256,W16,$H$7:$H$256,"P6"))</f>
        <v>0</v>
      </c>
      <c r="Z16" s="1" t="n">
        <f aca="false">X16+Y16</f>
        <v>0</v>
      </c>
      <c r="AA16" s="1" t="n">
        <f aca="false">IF(Z16&gt;0,Z16+(201-10)/10^6,0)</f>
        <v>0</v>
      </c>
      <c r="AB16" s="1"/>
      <c r="AC16" s="1"/>
      <c r="AD16" s="1"/>
      <c r="AE16" s="1"/>
      <c r="AF16" s="1" t="n">
        <f aca="false">SUM(AF10:AF15)</f>
        <v>0</v>
      </c>
      <c r="AG16" s="1" t="n">
        <f aca="false">SUM(AG10:AG15)</f>
        <v>0</v>
      </c>
      <c r="AH16" s="1" t="n">
        <f aca="false">SUM(AH10:AH15)</f>
        <v>0</v>
      </c>
    </row>
    <row r="17" customFormat="false" ht="15" hidden="false" customHeight="false" outlineLevel="0" collapsed="false">
      <c r="A17" s="1"/>
      <c r="B17" s="10"/>
      <c r="C17" s="31" t="str">
        <f aca="false">IF(B17="","",TEXT(B17,"ddd"))</f>
        <v/>
      </c>
      <c r="D17" s="11"/>
      <c r="E17" s="8" t="str">
        <f aca="false">IF(D17="","",IFERROR(INDEX(ProjNumbers,MATCH(D17,ProjNames,0)),""))</f>
        <v/>
      </c>
      <c r="F17" s="8" t="str">
        <f aca="false">IF(D17="","",IFERROR(INDEX(ProjCodes,MATCH(D17,ProjNames,0)),""))</f>
        <v/>
      </c>
      <c r="G17" s="32"/>
      <c r="H17" s="11"/>
      <c r="I17" s="33"/>
      <c r="J17" s="8" t="str">
        <f aca="false">IF(COUNTA(B17,D17,G17,H17,I17)=0,"",IF(B17="","Enter date",IF(OR(B17&lt;$AC$2,B17&gt;$AC$3),"Date not in June",IF(D17="","Pick project",IF(ISNA(MATCH(D17,ProjNames,0)),"Project not in list",IF(G17="","Add task description",IF(H17="","Pick NTIME or P6",IF(N(I17)&lt;=0,"Enter hours",IF(AND(AllowOT&lt;&gt;"Yes",SUMIF($B$7:$B$256,B17,$I$7:$I$256)&gt;INDEX($O$58:$O$87,DAY(B17))),"Day over "&amp;INDEX($O$58:$O$87,DAY(B17))&amp;" h","✓")))))))))</f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tr">
        <f aca="false">IF(Projects!B15="","",Projects!B15)</f>
        <v/>
      </c>
      <c r="X17" s="1" t="n">
        <f aca="false">IF(W17="",0,SUMIFS($I$7:$I$256,$D$7:$D$256,W17,$H$7:$H$256,"NTIME"))</f>
        <v>0</v>
      </c>
      <c r="Y17" s="1" t="n">
        <f aca="false">IF(W17="",0,SUMIFS($I$7:$I$256,$D$7:$D$256,W17,$H$7:$H$256,"P6"))</f>
        <v>0</v>
      </c>
      <c r="Z17" s="1" t="n">
        <f aca="false">X17+Y17</f>
        <v>0</v>
      </c>
      <c r="AA17" s="1" t="n">
        <f aca="false">IF(Z17&gt;0,Z17+(201-11)/10^6,0)</f>
        <v>0</v>
      </c>
      <c r="AB17" s="1"/>
      <c r="AC17" s="1"/>
      <c r="AD17" s="1"/>
      <c r="AE17" s="1"/>
      <c r="AF17" s="1"/>
      <c r="AG17" s="1"/>
      <c r="AH17" s="1"/>
    </row>
    <row r="18" customFormat="false" ht="15" hidden="false" customHeight="false" outlineLevel="0" collapsed="false">
      <c r="A18" s="1"/>
      <c r="B18" s="10"/>
      <c r="C18" s="31" t="str">
        <f aca="false">IF(B18="","",TEXT(B18,"ddd"))</f>
        <v/>
      </c>
      <c r="D18" s="11"/>
      <c r="E18" s="8" t="str">
        <f aca="false">IF(D18="","",IFERROR(INDEX(ProjNumbers,MATCH(D18,ProjNames,0)),""))</f>
        <v/>
      </c>
      <c r="F18" s="8" t="str">
        <f aca="false">IF(D18="","",IFERROR(INDEX(ProjCodes,MATCH(D18,ProjNames,0)),""))</f>
        <v/>
      </c>
      <c r="G18" s="32"/>
      <c r="H18" s="11"/>
      <c r="I18" s="33"/>
      <c r="J18" s="8" t="str">
        <f aca="false">IF(COUNTA(B18,D18,G18,H18,I18)=0,"",IF(B18="","Enter date",IF(OR(B18&lt;$AC$2,B18&gt;$AC$3),"Date not in June",IF(D18="","Pick project",IF(ISNA(MATCH(D18,ProjNames,0)),"Project not in list",IF(G18="","Add task description",IF(H18="","Pick NTIME or P6",IF(N(I18)&lt;=0,"Enter hours",IF(AND(AllowOT&lt;&gt;"Yes",SUMIF($B$7:$B$256,B18,$I$7:$I$256)&gt;INDEX($O$58:$O$87,DAY(B18))),"Day over "&amp;INDEX($O$58:$O$87,DAY(B18))&amp;" h","✓")))))))))</f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 aca="false">IF(Projects!B16="","",Projects!B16)</f>
        <v/>
      </c>
      <c r="X18" s="1" t="n">
        <f aca="false">IF(W18="",0,SUMIFS($I$7:$I$256,$D$7:$D$256,W18,$H$7:$H$256,"NTIME"))</f>
        <v>0</v>
      </c>
      <c r="Y18" s="1" t="n">
        <f aca="false">IF(W18="",0,SUMIFS($I$7:$I$256,$D$7:$D$256,W18,$H$7:$H$256,"P6"))</f>
        <v>0</v>
      </c>
      <c r="Z18" s="1" t="n">
        <f aca="false">X18+Y18</f>
        <v>0</v>
      </c>
      <c r="AA18" s="1" t="n">
        <f aca="false">IF(Z18&gt;0,Z18+(201-12)/10^6,0)</f>
        <v>0</v>
      </c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/>
      <c r="B19" s="10"/>
      <c r="C19" s="31" t="str">
        <f aca="false">IF(B19="","",TEXT(B19,"ddd"))</f>
        <v/>
      </c>
      <c r="D19" s="11"/>
      <c r="E19" s="8" t="str">
        <f aca="false">IF(D19="","",IFERROR(INDEX(ProjNumbers,MATCH(D19,ProjNames,0)),""))</f>
        <v/>
      </c>
      <c r="F19" s="8" t="str">
        <f aca="false">IF(D19="","",IFERROR(INDEX(ProjCodes,MATCH(D19,ProjNames,0)),""))</f>
        <v/>
      </c>
      <c r="G19" s="32"/>
      <c r="H19" s="11"/>
      <c r="I19" s="33"/>
      <c r="J19" s="8" t="str">
        <f aca="false">IF(COUNTA(B19,D19,G19,H19,I19)=0,"",IF(B19="","Enter date",IF(OR(B19&lt;$AC$2,B19&gt;$AC$3),"Date not in June",IF(D19="","Pick project",IF(ISNA(MATCH(D19,ProjNames,0)),"Project not in list",IF(G19="","Add task description",IF(H19="","Pick NTIME or P6",IF(N(I19)&lt;=0,"Enter hours",IF(AND(AllowOT&lt;&gt;"Yes",SUMIF($B$7:$B$256,B19,$I$7:$I$256)&gt;INDEX($O$58:$O$87,DAY(B19))),"Day over "&amp;INDEX($O$58:$O$87,DAY(B19))&amp;" h","✓")))))))))</f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tr">
        <f aca="false">IF(Projects!B17="","",Projects!B17)</f>
        <v/>
      </c>
      <c r="X19" s="1" t="n">
        <f aca="false">IF(W19="",0,SUMIFS($I$7:$I$256,$D$7:$D$256,W19,$H$7:$H$256,"NTIME"))</f>
        <v>0</v>
      </c>
      <c r="Y19" s="1" t="n">
        <f aca="false">IF(W19="",0,SUMIFS($I$7:$I$256,$D$7:$D$256,W19,$H$7:$H$256,"P6"))</f>
        <v>0</v>
      </c>
      <c r="Z19" s="1" t="n">
        <f aca="false">X19+Y19</f>
        <v>0</v>
      </c>
      <c r="AA19" s="1" t="n">
        <f aca="false">IF(Z19&gt;0,Z19+(201-13)/10^6,0)</f>
        <v>0</v>
      </c>
      <c r="AB19" s="1"/>
      <c r="AC19" s="1"/>
      <c r="AD19" s="1"/>
      <c r="AE19" s="1"/>
      <c r="AF19" s="1"/>
      <c r="AG19" s="1"/>
      <c r="AH19" s="1"/>
    </row>
    <row r="20" customFormat="false" ht="15" hidden="false" customHeight="false" outlineLevel="0" collapsed="false">
      <c r="A20" s="1"/>
      <c r="B20" s="10"/>
      <c r="C20" s="31" t="str">
        <f aca="false">IF(B20="","",TEXT(B20,"ddd"))</f>
        <v/>
      </c>
      <c r="D20" s="11"/>
      <c r="E20" s="8" t="str">
        <f aca="false">IF(D20="","",IFERROR(INDEX(ProjNumbers,MATCH(D20,ProjNames,0)),""))</f>
        <v/>
      </c>
      <c r="F20" s="8" t="str">
        <f aca="false">IF(D20="","",IFERROR(INDEX(ProjCodes,MATCH(D20,ProjNames,0)),""))</f>
        <v/>
      </c>
      <c r="G20" s="32"/>
      <c r="H20" s="11"/>
      <c r="I20" s="33"/>
      <c r="J20" s="8" t="str">
        <f aca="false">IF(COUNTA(B20,D20,G20,H20,I20)=0,"",IF(B20="","Enter date",IF(OR(B20&lt;$AC$2,B20&gt;$AC$3),"Date not in June",IF(D20="","Pick project",IF(ISNA(MATCH(D20,ProjNames,0)),"Project not in list",IF(G20="","Add task description",IF(H20="","Pick NTIME or P6",IF(N(I20)&lt;=0,"Enter hours",IF(AND(AllowOT&lt;&gt;"Yes",SUMIF($B$7:$B$256,B20,$I$7:$I$256)&gt;INDEX($O$58:$O$87,DAY(B20))),"Day over "&amp;INDEX($O$58:$O$87,DAY(B20))&amp;" h","✓")))))))))</f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tr">
        <f aca="false">IF(Projects!B18="","",Projects!B18)</f>
        <v/>
      </c>
      <c r="X20" s="1" t="n">
        <f aca="false">IF(W20="",0,SUMIFS($I$7:$I$256,$D$7:$D$256,W20,$H$7:$H$256,"NTIME"))</f>
        <v>0</v>
      </c>
      <c r="Y20" s="1" t="n">
        <f aca="false">IF(W20="",0,SUMIFS($I$7:$I$256,$D$7:$D$256,W20,$H$7:$H$256,"P6"))</f>
        <v>0</v>
      </c>
      <c r="Z20" s="1" t="n">
        <f aca="false">X20+Y20</f>
        <v>0</v>
      </c>
      <c r="AA20" s="1" t="n">
        <f aca="false">IF(Z20&gt;0,Z20+(201-14)/10^6,0)</f>
        <v>0</v>
      </c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/>
      <c r="B21" s="10"/>
      <c r="C21" s="31" t="str">
        <f aca="false">IF(B21="","",TEXT(B21,"ddd"))</f>
        <v/>
      </c>
      <c r="D21" s="11"/>
      <c r="E21" s="8" t="str">
        <f aca="false">IF(D21="","",IFERROR(INDEX(ProjNumbers,MATCH(D21,ProjNames,0)),""))</f>
        <v/>
      </c>
      <c r="F21" s="8" t="str">
        <f aca="false">IF(D21="","",IFERROR(INDEX(ProjCodes,MATCH(D21,ProjNames,0)),""))</f>
        <v/>
      </c>
      <c r="G21" s="32"/>
      <c r="H21" s="11"/>
      <c r="I21" s="33"/>
      <c r="J21" s="8" t="str">
        <f aca="false">IF(COUNTA(B21,D21,G21,H21,I21)=0,"",IF(B21="","Enter date",IF(OR(B21&lt;$AC$2,B21&gt;$AC$3),"Date not in June",IF(D21="","Pick project",IF(ISNA(MATCH(D21,ProjNames,0)),"Project not in list",IF(G21="","Add task description",IF(H21="","Pick NTIME or P6",IF(N(I21)&lt;=0,"Enter hours",IF(AND(AllowOT&lt;&gt;"Yes",SUMIF($B$7:$B$256,B21,$I$7:$I$256)&gt;INDEX($O$58:$O$87,DAY(B21))),"Day over "&amp;INDEX($O$58:$O$87,DAY(B21))&amp;" h","✓")))))))))</f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tr">
        <f aca="false">IF(Projects!B19="","",Projects!B19)</f>
        <v/>
      </c>
      <c r="X21" s="1" t="n">
        <f aca="false">IF(W21="",0,SUMIFS($I$7:$I$256,$D$7:$D$256,W21,$H$7:$H$256,"NTIME"))</f>
        <v>0</v>
      </c>
      <c r="Y21" s="1" t="n">
        <f aca="false">IF(W21="",0,SUMIFS($I$7:$I$256,$D$7:$D$256,W21,$H$7:$H$256,"P6"))</f>
        <v>0</v>
      </c>
      <c r="Z21" s="1" t="n">
        <f aca="false">X21+Y21</f>
        <v>0</v>
      </c>
      <c r="AA21" s="1" t="n">
        <f aca="false">IF(Z21&gt;0,Z21+(201-15)/10^6,0)</f>
        <v>0</v>
      </c>
      <c r="AB21" s="1"/>
      <c r="AC21" s="1"/>
      <c r="AD21" s="1"/>
      <c r="AE21" s="1"/>
      <c r="AF21" s="1"/>
      <c r="AG21" s="1"/>
      <c r="AH21" s="1"/>
    </row>
    <row r="22" customFormat="false" ht="15" hidden="false" customHeight="false" outlineLevel="0" collapsed="false">
      <c r="A22" s="1"/>
      <c r="B22" s="10"/>
      <c r="C22" s="31" t="str">
        <f aca="false">IF(B22="","",TEXT(B22,"ddd"))</f>
        <v/>
      </c>
      <c r="D22" s="11"/>
      <c r="E22" s="8" t="str">
        <f aca="false">IF(D22="","",IFERROR(INDEX(ProjNumbers,MATCH(D22,ProjNames,0)),""))</f>
        <v/>
      </c>
      <c r="F22" s="8" t="str">
        <f aca="false">IF(D22="","",IFERROR(INDEX(ProjCodes,MATCH(D22,ProjNames,0)),""))</f>
        <v/>
      </c>
      <c r="G22" s="32"/>
      <c r="H22" s="11"/>
      <c r="I22" s="33"/>
      <c r="J22" s="8" t="str">
        <f aca="false">IF(COUNTA(B22,D22,G22,H22,I22)=0,"",IF(B22="","Enter date",IF(OR(B22&lt;$AC$2,B22&gt;$AC$3),"Date not in June",IF(D22="","Pick project",IF(ISNA(MATCH(D22,ProjNames,0)),"Project not in list",IF(G22="","Add task description",IF(H22="","Pick NTIME or P6",IF(N(I22)&lt;=0,"Enter hours",IF(AND(AllowOT&lt;&gt;"Yes",SUMIF($B$7:$B$256,B22,$I$7:$I$256)&gt;INDEX($O$58:$O$87,DAY(B22))),"Day over "&amp;INDEX($O$58:$O$87,DAY(B22))&amp;" h","✓")))))))))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tr">
        <f aca="false">IF(Projects!B20="","",Projects!B20)</f>
        <v/>
      </c>
      <c r="X22" s="1" t="n">
        <f aca="false">IF(W22="",0,SUMIFS($I$7:$I$256,$D$7:$D$256,W22,$H$7:$H$256,"NTIME"))</f>
        <v>0</v>
      </c>
      <c r="Y22" s="1" t="n">
        <f aca="false">IF(W22="",0,SUMIFS($I$7:$I$256,$D$7:$D$256,W22,$H$7:$H$256,"P6"))</f>
        <v>0</v>
      </c>
      <c r="Z22" s="1" t="n">
        <f aca="false">X22+Y22</f>
        <v>0</v>
      </c>
      <c r="AA22" s="1" t="n">
        <f aca="false">IF(Z22&gt;0,Z22+(201-16)/10^6,0)</f>
        <v>0</v>
      </c>
      <c r="AB22" s="1"/>
      <c r="AC22" s="1"/>
      <c r="AD22" s="1"/>
      <c r="AE22" s="1"/>
      <c r="AF22" s="1"/>
      <c r="AG22" s="1"/>
      <c r="AH22" s="1"/>
    </row>
    <row r="23" customFormat="false" ht="15" hidden="false" customHeight="false" outlineLevel="0" collapsed="false">
      <c r="A23" s="1"/>
      <c r="B23" s="10"/>
      <c r="C23" s="31" t="str">
        <f aca="false">IF(B23="","",TEXT(B23,"ddd"))</f>
        <v/>
      </c>
      <c r="D23" s="11"/>
      <c r="E23" s="8" t="str">
        <f aca="false">IF(D23="","",IFERROR(INDEX(ProjNumbers,MATCH(D23,ProjNames,0)),""))</f>
        <v/>
      </c>
      <c r="F23" s="8" t="str">
        <f aca="false">IF(D23="","",IFERROR(INDEX(ProjCodes,MATCH(D23,ProjNames,0)),""))</f>
        <v/>
      </c>
      <c r="G23" s="32"/>
      <c r="H23" s="11"/>
      <c r="I23" s="33"/>
      <c r="J23" s="8" t="str">
        <f aca="false">IF(COUNTA(B23,D23,G23,H23,I23)=0,"",IF(B23="","Enter date",IF(OR(B23&lt;$AC$2,B23&gt;$AC$3),"Date not in June",IF(D23="","Pick project",IF(ISNA(MATCH(D23,ProjNames,0)),"Project not in list",IF(G23="","Add task description",IF(H23="","Pick NTIME or P6",IF(N(I23)&lt;=0,"Enter hours",IF(AND(AllowOT&lt;&gt;"Yes",SUMIF($B$7:$B$256,B23,$I$7:$I$256)&gt;INDEX($O$58:$O$87,DAY(B23))),"Day over "&amp;INDEX($O$58:$O$87,DAY(B23))&amp;" h","✓")))))))))</f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tr">
        <f aca="false">IF(Projects!B21="","",Projects!B21)</f>
        <v/>
      </c>
      <c r="X23" s="1" t="n">
        <f aca="false">IF(W23="",0,SUMIFS($I$7:$I$256,$D$7:$D$256,W23,$H$7:$H$256,"NTIME"))</f>
        <v>0</v>
      </c>
      <c r="Y23" s="1" t="n">
        <f aca="false">IF(W23="",0,SUMIFS($I$7:$I$256,$D$7:$D$256,W23,$H$7:$H$256,"P6"))</f>
        <v>0</v>
      </c>
      <c r="Z23" s="1" t="n">
        <f aca="false">X23+Y23</f>
        <v>0</v>
      </c>
      <c r="AA23" s="1" t="n">
        <f aca="false">IF(Z23&gt;0,Z23+(201-17)/10^6,0)</f>
        <v>0</v>
      </c>
      <c r="AB23" s="1"/>
      <c r="AC23" s="1"/>
      <c r="AD23" s="1"/>
      <c r="AE23" s="1"/>
      <c r="AF23" s="1"/>
      <c r="AG23" s="1"/>
      <c r="AH23" s="1"/>
    </row>
    <row r="24" customFormat="false" ht="15" hidden="false" customHeight="false" outlineLevel="0" collapsed="false">
      <c r="A24" s="1"/>
      <c r="B24" s="10"/>
      <c r="C24" s="31" t="str">
        <f aca="false">IF(B24="","",TEXT(B24,"ddd"))</f>
        <v/>
      </c>
      <c r="D24" s="11"/>
      <c r="E24" s="8" t="str">
        <f aca="false">IF(D24="","",IFERROR(INDEX(ProjNumbers,MATCH(D24,ProjNames,0)),""))</f>
        <v/>
      </c>
      <c r="F24" s="8" t="str">
        <f aca="false">IF(D24="","",IFERROR(INDEX(ProjCodes,MATCH(D24,ProjNames,0)),""))</f>
        <v/>
      </c>
      <c r="G24" s="32"/>
      <c r="H24" s="11"/>
      <c r="I24" s="33"/>
      <c r="J24" s="8" t="str">
        <f aca="false">IF(COUNTA(B24,D24,G24,H24,I24)=0,"",IF(B24="","Enter date",IF(OR(B24&lt;$AC$2,B24&gt;$AC$3),"Date not in June",IF(D24="","Pick project",IF(ISNA(MATCH(D24,ProjNames,0)),"Project not in list",IF(G24="","Add task description",IF(H24="","Pick NTIME or P6",IF(N(I24)&lt;=0,"Enter hours",IF(AND(AllowOT&lt;&gt;"Yes",SUMIF($B$7:$B$256,B24,$I$7:$I$256)&gt;INDEX($O$58:$O$87,DAY(B24))),"Day over "&amp;INDEX($O$58:$O$87,DAY(B24))&amp;" h","✓")))))))))</f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tr">
        <f aca="false">IF(Projects!B22="","",Projects!B22)</f>
        <v/>
      </c>
      <c r="X24" s="1" t="n">
        <f aca="false">IF(W24="",0,SUMIFS($I$7:$I$256,$D$7:$D$256,W24,$H$7:$H$256,"NTIME"))</f>
        <v>0</v>
      </c>
      <c r="Y24" s="1" t="n">
        <f aca="false">IF(W24="",0,SUMIFS($I$7:$I$256,$D$7:$D$256,W24,$H$7:$H$256,"P6"))</f>
        <v>0</v>
      </c>
      <c r="Z24" s="1" t="n">
        <f aca="false">X24+Y24</f>
        <v>0</v>
      </c>
      <c r="AA24" s="1" t="n">
        <f aca="false">IF(Z24&gt;0,Z24+(201-18)/10^6,0)</f>
        <v>0</v>
      </c>
      <c r="AB24" s="1"/>
      <c r="AC24" s="1"/>
      <c r="AD24" s="1"/>
      <c r="AE24" s="1"/>
      <c r="AF24" s="1"/>
      <c r="AG24" s="1"/>
      <c r="AH24" s="1"/>
    </row>
    <row r="25" customFormat="false" ht="15" hidden="false" customHeight="false" outlineLevel="0" collapsed="false">
      <c r="A25" s="1"/>
      <c r="B25" s="10"/>
      <c r="C25" s="31" t="str">
        <f aca="false">IF(B25="","",TEXT(B25,"ddd"))</f>
        <v/>
      </c>
      <c r="D25" s="11"/>
      <c r="E25" s="8" t="str">
        <f aca="false">IF(D25="","",IFERROR(INDEX(ProjNumbers,MATCH(D25,ProjNames,0)),""))</f>
        <v/>
      </c>
      <c r="F25" s="8" t="str">
        <f aca="false">IF(D25="","",IFERROR(INDEX(ProjCodes,MATCH(D25,ProjNames,0)),""))</f>
        <v/>
      </c>
      <c r="G25" s="32"/>
      <c r="H25" s="11"/>
      <c r="I25" s="33"/>
      <c r="J25" s="8" t="str">
        <f aca="false">IF(COUNTA(B25,D25,G25,H25,I25)=0,"",IF(B25="","Enter date",IF(OR(B25&lt;$AC$2,B25&gt;$AC$3),"Date not in June",IF(D25="","Pick project",IF(ISNA(MATCH(D25,ProjNames,0)),"Project not in list",IF(G25="","Add task description",IF(H25="","Pick NTIME or P6",IF(N(I25)&lt;=0,"Enter hours",IF(AND(AllowOT&lt;&gt;"Yes",SUMIF($B$7:$B$256,B25,$I$7:$I$256)&gt;INDEX($O$58:$O$87,DAY(B25))),"Day over "&amp;INDEX($O$58:$O$87,DAY(B25))&amp;" h","✓")))))))))</f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tr">
        <f aca="false">IF(Projects!B23="","",Projects!B23)</f>
        <v/>
      </c>
      <c r="X25" s="1" t="n">
        <f aca="false">IF(W25="",0,SUMIFS($I$7:$I$256,$D$7:$D$256,W25,$H$7:$H$256,"NTIME"))</f>
        <v>0</v>
      </c>
      <c r="Y25" s="1" t="n">
        <f aca="false">IF(W25="",0,SUMIFS($I$7:$I$256,$D$7:$D$256,W25,$H$7:$H$256,"P6"))</f>
        <v>0</v>
      </c>
      <c r="Z25" s="1" t="n">
        <f aca="false">X25+Y25</f>
        <v>0</v>
      </c>
      <c r="AA25" s="1" t="n">
        <f aca="false">IF(Z25&gt;0,Z25+(201-19)/10^6,0)</f>
        <v>0</v>
      </c>
      <c r="AB25" s="1"/>
      <c r="AC25" s="1"/>
      <c r="AD25" s="1"/>
      <c r="AE25" s="1"/>
      <c r="AF25" s="1"/>
      <c r="AG25" s="1"/>
      <c r="AH25" s="1"/>
    </row>
    <row r="26" customFormat="false" ht="15" hidden="false" customHeight="false" outlineLevel="0" collapsed="false">
      <c r="A26" s="1"/>
      <c r="B26" s="10"/>
      <c r="C26" s="31" t="str">
        <f aca="false">IF(B26="","",TEXT(B26,"ddd"))</f>
        <v/>
      </c>
      <c r="D26" s="11"/>
      <c r="E26" s="8" t="str">
        <f aca="false">IF(D26="","",IFERROR(INDEX(ProjNumbers,MATCH(D26,ProjNames,0)),""))</f>
        <v/>
      </c>
      <c r="F26" s="8" t="str">
        <f aca="false">IF(D26="","",IFERROR(INDEX(ProjCodes,MATCH(D26,ProjNames,0)),""))</f>
        <v/>
      </c>
      <c r="G26" s="32"/>
      <c r="H26" s="11"/>
      <c r="I26" s="33"/>
      <c r="J26" s="8" t="str">
        <f aca="false">IF(COUNTA(B26,D26,G26,H26,I26)=0,"",IF(B26="","Enter date",IF(OR(B26&lt;$AC$2,B26&gt;$AC$3),"Date not in June",IF(D26="","Pick project",IF(ISNA(MATCH(D26,ProjNames,0)),"Project not in list",IF(G26="","Add task description",IF(H26="","Pick NTIME or P6",IF(N(I26)&lt;=0,"Enter hours",IF(AND(AllowOT&lt;&gt;"Yes",SUMIF($B$7:$B$256,B26,$I$7:$I$256)&gt;INDEX($O$58:$O$87,DAY(B26))),"Day over "&amp;INDEX($O$58:$O$87,DAY(B26))&amp;" h","✓")))))))))</f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tr">
        <f aca="false">IF(Projects!B24="","",Projects!B24)</f>
        <v/>
      </c>
      <c r="X26" s="1" t="n">
        <f aca="false">IF(W26="",0,SUMIFS($I$7:$I$256,$D$7:$D$256,W26,$H$7:$H$256,"NTIME"))</f>
        <v>0</v>
      </c>
      <c r="Y26" s="1" t="n">
        <f aca="false">IF(W26="",0,SUMIFS($I$7:$I$256,$D$7:$D$256,W26,$H$7:$H$256,"P6"))</f>
        <v>0</v>
      </c>
      <c r="Z26" s="1" t="n">
        <f aca="false">X26+Y26</f>
        <v>0</v>
      </c>
      <c r="AA26" s="1" t="n">
        <f aca="false">IF(Z26&gt;0,Z26+(201-20)/10^6,0)</f>
        <v>0</v>
      </c>
      <c r="AB26" s="1"/>
      <c r="AC26" s="1"/>
      <c r="AD26" s="1"/>
      <c r="AE26" s="1"/>
      <c r="AF26" s="1"/>
      <c r="AG26" s="1"/>
      <c r="AH26" s="1"/>
    </row>
    <row r="27" customFormat="false" ht="15" hidden="false" customHeight="false" outlineLevel="0" collapsed="false">
      <c r="A27" s="1"/>
      <c r="B27" s="10"/>
      <c r="C27" s="31" t="str">
        <f aca="false">IF(B27="","",TEXT(B27,"ddd"))</f>
        <v/>
      </c>
      <c r="D27" s="11"/>
      <c r="E27" s="8" t="str">
        <f aca="false">IF(D27="","",IFERROR(INDEX(ProjNumbers,MATCH(D27,ProjNames,0)),""))</f>
        <v/>
      </c>
      <c r="F27" s="8" t="str">
        <f aca="false">IF(D27="","",IFERROR(INDEX(ProjCodes,MATCH(D27,ProjNames,0)),""))</f>
        <v/>
      </c>
      <c r="G27" s="32"/>
      <c r="H27" s="11"/>
      <c r="I27" s="33"/>
      <c r="J27" s="8" t="str">
        <f aca="false">IF(COUNTA(B27,D27,G27,H27,I27)=0,"",IF(B27="","Enter date",IF(OR(B27&lt;$AC$2,B27&gt;$AC$3),"Date not in June",IF(D27="","Pick project",IF(ISNA(MATCH(D27,ProjNames,0)),"Project not in list",IF(G27="","Add task description",IF(H27="","Pick NTIME or P6",IF(N(I27)&lt;=0,"Enter hours",IF(AND(AllowOT&lt;&gt;"Yes",SUMIF($B$7:$B$256,B27,$I$7:$I$256)&gt;INDEX($O$58:$O$87,DAY(B27))),"Day over "&amp;INDEX($O$58:$O$87,DAY(B27))&amp;" h","✓")))))))))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aca="false">IF(Projects!B25="","",Projects!B25)</f>
        <v/>
      </c>
      <c r="X27" s="1" t="n">
        <f aca="false">IF(W27="",0,SUMIFS($I$7:$I$256,$D$7:$D$256,W27,$H$7:$H$256,"NTIME"))</f>
        <v>0</v>
      </c>
      <c r="Y27" s="1" t="n">
        <f aca="false">IF(W27="",0,SUMIFS($I$7:$I$256,$D$7:$D$256,W27,$H$7:$H$256,"P6"))</f>
        <v>0</v>
      </c>
      <c r="Z27" s="1" t="n">
        <f aca="false">X27+Y27</f>
        <v>0</v>
      </c>
      <c r="AA27" s="1" t="n">
        <f aca="false">IF(Z27&gt;0,Z27+(201-21)/10^6,0)</f>
        <v>0</v>
      </c>
      <c r="AB27" s="1"/>
      <c r="AC27" s="1"/>
      <c r="AD27" s="1"/>
      <c r="AE27" s="1"/>
      <c r="AF27" s="1"/>
      <c r="AG27" s="1"/>
      <c r="AH27" s="1"/>
    </row>
    <row r="28" customFormat="false" ht="15" hidden="false" customHeight="false" outlineLevel="0" collapsed="false">
      <c r="A28" s="1"/>
      <c r="B28" s="10"/>
      <c r="C28" s="31" t="str">
        <f aca="false">IF(B28="","",TEXT(B28,"ddd"))</f>
        <v/>
      </c>
      <c r="D28" s="11"/>
      <c r="E28" s="8" t="str">
        <f aca="false">IF(D28="","",IFERROR(INDEX(ProjNumbers,MATCH(D28,ProjNames,0)),""))</f>
        <v/>
      </c>
      <c r="F28" s="8" t="str">
        <f aca="false">IF(D28="","",IFERROR(INDEX(ProjCodes,MATCH(D28,ProjNames,0)),""))</f>
        <v/>
      </c>
      <c r="G28" s="32"/>
      <c r="H28" s="11"/>
      <c r="I28" s="33"/>
      <c r="J28" s="8" t="str">
        <f aca="false">IF(COUNTA(B28,D28,G28,H28,I28)=0,"",IF(B28="","Enter date",IF(OR(B28&lt;$AC$2,B28&gt;$AC$3),"Date not in June",IF(D28="","Pick project",IF(ISNA(MATCH(D28,ProjNames,0)),"Project not in list",IF(G28="","Add task description",IF(H28="","Pick NTIME or P6",IF(N(I28)&lt;=0,"Enter hours",IF(AND(AllowOT&lt;&gt;"Yes",SUMIF($B$7:$B$256,B28,$I$7:$I$256)&gt;INDEX($O$58:$O$87,DAY(B28))),"Day over "&amp;INDEX($O$58:$O$87,DAY(B28))&amp;" h","✓")))))))))</f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tr">
        <f aca="false">IF(Projects!B26="","",Projects!B26)</f>
        <v/>
      </c>
      <c r="X28" s="1" t="n">
        <f aca="false">IF(W28="",0,SUMIFS($I$7:$I$256,$D$7:$D$256,W28,$H$7:$H$256,"NTIME"))</f>
        <v>0</v>
      </c>
      <c r="Y28" s="1" t="n">
        <f aca="false">IF(W28="",0,SUMIFS($I$7:$I$256,$D$7:$D$256,W28,$H$7:$H$256,"P6"))</f>
        <v>0</v>
      </c>
      <c r="Z28" s="1" t="n">
        <f aca="false">X28+Y28</f>
        <v>0</v>
      </c>
      <c r="AA28" s="1" t="n">
        <f aca="false">IF(Z28&gt;0,Z28+(201-22)/10^6,0)</f>
        <v>0</v>
      </c>
      <c r="AB28" s="1"/>
      <c r="AC28" s="1"/>
      <c r="AD28" s="1"/>
      <c r="AE28" s="1"/>
      <c r="AF28" s="1"/>
      <c r="AG28" s="1"/>
      <c r="AH28" s="1"/>
    </row>
    <row r="29" customFormat="false" ht="15" hidden="false" customHeight="false" outlineLevel="0" collapsed="false">
      <c r="A29" s="1"/>
      <c r="B29" s="10"/>
      <c r="C29" s="31" t="str">
        <f aca="false">IF(B29="","",TEXT(B29,"ddd"))</f>
        <v/>
      </c>
      <c r="D29" s="11"/>
      <c r="E29" s="8" t="str">
        <f aca="false">IF(D29="","",IFERROR(INDEX(ProjNumbers,MATCH(D29,ProjNames,0)),""))</f>
        <v/>
      </c>
      <c r="F29" s="8" t="str">
        <f aca="false">IF(D29="","",IFERROR(INDEX(ProjCodes,MATCH(D29,ProjNames,0)),""))</f>
        <v/>
      </c>
      <c r="G29" s="32"/>
      <c r="H29" s="11"/>
      <c r="I29" s="33"/>
      <c r="J29" s="8" t="str">
        <f aca="false">IF(COUNTA(B29,D29,G29,H29,I29)=0,"",IF(B29="","Enter date",IF(OR(B29&lt;$AC$2,B29&gt;$AC$3),"Date not in June",IF(D29="","Pick project",IF(ISNA(MATCH(D29,ProjNames,0)),"Project not in list",IF(G29="","Add task description",IF(H29="","Pick NTIME or P6",IF(N(I29)&lt;=0,"Enter hours",IF(AND(AllowOT&lt;&gt;"Yes",SUMIF($B$7:$B$256,B29,$I$7:$I$256)&gt;INDEX($O$58:$O$87,DAY(B29))),"Day over "&amp;INDEX($O$58:$O$87,DAY(B29))&amp;" h","✓")))))))))</f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tr">
        <f aca="false">IF(Projects!B27="","",Projects!B27)</f>
        <v/>
      </c>
      <c r="X29" s="1" t="n">
        <f aca="false">IF(W29="",0,SUMIFS($I$7:$I$256,$D$7:$D$256,W29,$H$7:$H$256,"NTIME"))</f>
        <v>0</v>
      </c>
      <c r="Y29" s="1" t="n">
        <f aca="false">IF(W29="",0,SUMIFS($I$7:$I$256,$D$7:$D$256,W29,$H$7:$H$256,"P6"))</f>
        <v>0</v>
      </c>
      <c r="Z29" s="1" t="n">
        <f aca="false">X29+Y29</f>
        <v>0</v>
      </c>
      <c r="AA29" s="1" t="n">
        <f aca="false">IF(Z29&gt;0,Z29+(201-23)/10^6,0)</f>
        <v>0</v>
      </c>
      <c r="AB29" s="1"/>
      <c r="AC29" s="1"/>
      <c r="AD29" s="1"/>
      <c r="AE29" s="1"/>
      <c r="AF29" s="1"/>
      <c r="AG29" s="1"/>
      <c r="AH29" s="1"/>
    </row>
    <row r="30" customFormat="false" ht="15" hidden="false" customHeight="false" outlineLevel="0" collapsed="false">
      <c r="A30" s="1"/>
      <c r="B30" s="10"/>
      <c r="C30" s="31" t="str">
        <f aca="false">IF(B30="","",TEXT(B30,"ddd"))</f>
        <v/>
      </c>
      <c r="D30" s="11"/>
      <c r="E30" s="8" t="str">
        <f aca="false">IF(D30="","",IFERROR(INDEX(ProjNumbers,MATCH(D30,ProjNames,0)),""))</f>
        <v/>
      </c>
      <c r="F30" s="8" t="str">
        <f aca="false">IF(D30="","",IFERROR(INDEX(ProjCodes,MATCH(D30,ProjNames,0)),""))</f>
        <v/>
      </c>
      <c r="G30" s="32"/>
      <c r="H30" s="11"/>
      <c r="I30" s="33"/>
      <c r="J30" s="8" t="str">
        <f aca="false">IF(COUNTA(B30,D30,G30,H30,I30)=0,"",IF(B30="","Enter date",IF(OR(B30&lt;$AC$2,B30&gt;$AC$3),"Date not in June",IF(D30="","Pick project",IF(ISNA(MATCH(D30,ProjNames,0)),"Project not in list",IF(G30="","Add task description",IF(H30="","Pick NTIME or P6",IF(N(I30)&lt;=0,"Enter hours",IF(AND(AllowOT&lt;&gt;"Yes",SUMIF($B$7:$B$256,B30,$I$7:$I$256)&gt;INDEX($O$58:$O$87,DAY(B30))),"Day over "&amp;INDEX($O$58:$O$87,DAY(B30))&amp;" h","✓")))))))))</f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tr">
        <f aca="false">IF(Projects!B28="","",Projects!B28)</f>
        <v/>
      </c>
      <c r="X30" s="1" t="n">
        <f aca="false">IF(W30="",0,SUMIFS($I$7:$I$256,$D$7:$D$256,W30,$H$7:$H$256,"NTIME"))</f>
        <v>0</v>
      </c>
      <c r="Y30" s="1" t="n">
        <f aca="false">IF(W30="",0,SUMIFS($I$7:$I$256,$D$7:$D$256,W30,$H$7:$H$256,"P6"))</f>
        <v>0</v>
      </c>
      <c r="Z30" s="1" t="n">
        <f aca="false">X30+Y30</f>
        <v>0</v>
      </c>
      <c r="AA30" s="1" t="n">
        <f aca="false">IF(Z30&gt;0,Z30+(201-24)/10^6,0)</f>
        <v>0</v>
      </c>
      <c r="AB30" s="1"/>
      <c r="AC30" s="1"/>
      <c r="AD30" s="1"/>
      <c r="AE30" s="1"/>
      <c r="AF30" s="1"/>
      <c r="AG30" s="1"/>
      <c r="AH30" s="1"/>
    </row>
    <row r="31" customFormat="false" ht="15" hidden="false" customHeight="false" outlineLevel="0" collapsed="false">
      <c r="A31" s="1"/>
      <c r="B31" s="10"/>
      <c r="C31" s="31" t="str">
        <f aca="false">IF(B31="","",TEXT(B31,"ddd"))</f>
        <v/>
      </c>
      <c r="D31" s="11"/>
      <c r="E31" s="8" t="str">
        <f aca="false">IF(D31="","",IFERROR(INDEX(ProjNumbers,MATCH(D31,ProjNames,0)),""))</f>
        <v/>
      </c>
      <c r="F31" s="8" t="str">
        <f aca="false">IF(D31="","",IFERROR(INDEX(ProjCodes,MATCH(D31,ProjNames,0)),""))</f>
        <v/>
      </c>
      <c r="G31" s="32"/>
      <c r="H31" s="11"/>
      <c r="I31" s="33"/>
      <c r="J31" s="8" t="str">
        <f aca="false">IF(COUNTA(B31,D31,G31,H31,I31)=0,"",IF(B31="","Enter date",IF(OR(B31&lt;$AC$2,B31&gt;$AC$3),"Date not in June",IF(D31="","Pick project",IF(ISNA(MATCH(D31,ProjNames,0)),"Project not in list",IF(G31="","Add task description",IF(H31="","Pick NTIME or P6",IF(N(I31)&lt;=0,"Enter hours",IF(AND(AllowOT&lt;&gt;"Yes",SUMIF($B$7:$B$256,B31,$I$7:$I$256)&gt;INDEX($O$58:$O$87,DAY(B31))),"Day over "&amp;INDEX($O$58:$O$87,DAY(B31))&amp;" h","✓")))))))))</f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tr">
        <f aca="false">IF(Projects!B29="","",Projects!B29)</f>
        <v/>
      </c>
      <c r="X31" s="1" t="n">
        <f aca="false">IF(W31="",0,SUMIFS($I$7:$I$256,$D$7:$D$256,W31,$H$7:$H$256,"NTIME"))</f>
        <v>0</v>
      </c>
      <c r="Y31" s="1" t="n">
        <f aca="false">IF(W31="",0,SUMIFS($I$7:$I$256,$D$7:$D$256,W31,$H$7:$H$256,"P6"))</f>
        <v>0</v>
      </c>
      <c r="Z31" s="1" t="n">
        <f aca="false">X31+Y31</f>
        <v>0</v>
      </c>
      <c r="AA31" s="1" t="n">
        <f aca="false">IF(Z31&gt;0,Z31+(201-25)/10^6,0)</f>
        <v>0</v>
      </c>
      <c r="AB31" s="1"/>
      <c r="AC31" s="1"/>
      <c r="AD31" s="1"/>
      <c r="AE31" s="1"/>
      <c r="AF31" s="1"/>
      <c r="AG31" s="1"/>
      <c r="AH31" s="1"/>
    </row>
    <row r="32" customFormat="false" ht="15" hidden="false" customHeight="false" outlineLevel="0" collapsed="false">
      <c r="A32" s="1"/>
      <c r="B32" s="10"/>
      <c r="C32" s="31" t="str">
        <f aca="false">IF(B32="","",TEXT(B32,"ddd"))</f>
        <v/>
      </c>
      <c r="D32" s="11"/>
      <c r="E32" s="8" t="str">
        <f aca="false">IF(D32="","",IFERROR(INDEX(ProjNumbers,MATCH(D32,ProjNames,0)),""))</f>
        <v/>
      </c>
      <c r="F32" s="8" t="str">
        <f aca="false">IF(D32="","",IFERROR(INDEX(ProjCodes,MATCH(D32,ProjNames,0)),""))</f>
        <v/>
      </c>
      <c r="G32" s="32"/>
      <c r="H32" s="11"/>
      <c r="I32" s="33"/>
      <c r="J32" s="8" t="str">
        <f aca="false">IF(COUNTA(B32,D32,G32,H32,I32)=0,"",IF(B32="","Enter date",IF(OR(B32&lt;$AC$2,B32&gt;$AC$3),"Date not in June",IF(D32="","Pick project",IF(ISNA(MATCH(D32,ProjNames,0)),"Project not in list",IF(G32="","Add task description",IF(H32="","Pick NTIME or P6",IF(N(I32)&lt;=0,"Enter hours",IF(AND(AllowOT&lt;&gt;"Yes",SUMIF($B$7:$B$256,B32,$I$7:$I$256)&gt;INDEX($O$58:$O$87,DAY(B32))),"Day over "&amp;INDEX($O$58:$O$87,DAY(B32))&amp;" h","✓")))))))))</f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tr">
        <f aca="false">IF(Projects!B30="","",Projects!B30)</f>
        <v/>
      </c>
      <c r="X32" s="1" t="n">
        <f aca="false">IF(W32="",0,SUMIFS($I$7:$I$256,$D$7:$D$256,W32,$H$7:$H$256,"NTIME"))</f>
        <v>0</v>
      </c>
      <c r="Y32" s="1" t="n">
        <f aca="false">IF(W32="",0,SUMIFS($I$7:$I$256,$D$7:$D$256,W32,$H$7:$H$256,"P6"))</f>
        <v>0</v>
      </c>
      <c r="Z32" s="1" t="n">
        <f aca="false">X32+Y32</f>
        <v>0</v>
      </c>
      <c r="AA32" s="1" t="n">
        <f aca="false">IF(Z32&gt;0,Z32+(201-26)/10^6,0)</f>
        <v>0</v>
      </c>
      <c r="AB32" s="1"/>
      <c r="AC32" s="1"/>
      <c r="AD32" s="1"/>
      <c r="AE32" s="1"/>
      <c r="AF32" s="1"/>
      <c r="AG32" s="1"/>
      <c r="AH32" s="1"/>
    </row>
    <row r="33" customFormat="false" ht="15" hidden="false" customHeight="false" outlineLevel="0" collapsed="false">
      <c r="A33" s="1"/>
      <c r="B33" s="10"/>
      <c r="C33" s="31" t="str">
        <f aca="false">IF(B33="","",TEXT(B33,"ddd"))</f>
        <v/>
      </c>
      <c r="D33" s="11"/>
      <c r="E33" s="8" t="str">
        <f aca="false">IF(D33="","",IFERROR(INDEX(ProjNumbers,MATCH(D33,ProjNames,0)),""))</f>
        <v/>
      </c>
      <c r="F33" s="8" t="str">
        <f aca="false">IF(D33="","",IFERROR(INDEX(ProjCodes,MATCH(D33,ProjNames,0)),""))</f>
        <v/>
      </c>
      <c r="G33" s="32"/>
      <c r="H33" s="11"/>
      <c r="I33" s="33"/>
      <c r="J33" s="8" t="str">
        <f aca="false">IF(COUNTA(B33,D33,G33,H33,I33)=0,"",IF(B33="","Enter date",IF(OR(B33&lt;$AC$2,B33&gt;$AC$3),"Date not in June",IF(D33="","Pick project",IF(ISNA(MATCH(D33,ProjNames,0)),"Project not in list",IF(G33="","Add task description",IF(H33="","Pick NTIME or P6",IF(N(I33)&lt;=0,"Enter hours",IF(AND(AllowOT&lt;&gt;"Yes",SUMIF($B$7:$B$256,B33,$I$7:$I$256)&gt;INDEX($O$58:$O$87,DAY(B33))),"Day over "&amp;INDEX($O$58:$O$87,DAY(B33))&amp;" h","✓")))))))))</f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tr">
        <f aca="false">IF(Projects!B31="","",Projects!B31)</f>
        <v/>
      </c>
      <c r="X33" s="1" t="n">
        <f aca="false">IF(W33="",0,SUMIFS($I$7:$I$256,$D$7:$D$256,W33,$H$7:$H$256,"NTIME"))</f>
        <v>0</v>
      </c>
      <c r="Y33" s="1" t="n">
        <f aca="false">IF(W33="",0,SUMIFS($I$7:$I$256,$D$7:$D$256,W33,$H$7:$H$256,"P6"))</f>
        <v>0</v>
      </c>
      <c r="Z33" s="1" t="n">
        <f aca="false">X33+Y33</f>
        <v>0</v>
      </c>
      <c r="AA33" s="1" t="n">
        <f aca="false">IF(Z33&gt;0,Z33+(201-27)/10^6,0)</f>
        <v>0</v>
      </c>
      <c r="AB33" s="1"/>
      <c r="AC33" s="1"/>
      <c r="AD33" s="1"/>
      <c r="AE33" s="1"/>
      <c r="AF33" s="1"/>
      <c r="AG33" s="1"/>
      <c r="AH33" s="1"/>
    </row>
    <row r="34" customFormat="false" ht="15" hidden="false" customHeight="false" outlineLevel="0" collapsed="false">
      <c r="A34" s="1"/>
      <c r="B34" s="10"/>
      <c r="C34" s="31" t="str">
        <f aca="false">IF(B34="","",TEXT(B34,"ddd"))</f>
        <v/>
      </c>
      <c r="D34" s="11"/>
      <c r="E34" s="8" t="str">
        <f aca="false">IF(D34="","",IFERROR(INDEX(ProjNumbers,MATCH(D34,ProjNames,0)),""))</f>
        <v/>
      </c>
      <c r="F34" s="8" t="str">
        <f aca="false">IF(D34="","",IFERROR(INDEX(ProjCodes,MATCH(D34,ProjNames,0)),""))</f>
        <v/>
      </c>
      <c r="G34" s="32"/>
      <c r="H34" s="11"/>
      <c r="I34" s="33"/>
      <c r="J34" s="8" t="str">
        <f aca="false">IF(COUNTA(B34,D34,G34,H34,I34)=0,"",IF(B34="","Enter date",IF(OR(B34&lt;$AC$2,B34&gt;$AC$3),"Date not in June",IF(D34="","Pick project",IF(ISNA(MATCH(D34,ProjNames,0)),"Project not in list",IF(G34="","Add task description",IF(H34="","Pick NTIME or P6",IF(N(I34)&lt;=0,"Enter hours",IF(AND(AllowOT&lt;&gt;"Yes",SUMIF($B$7:$B$256,B34,$I$7:$I$256)&gt;INDEX($O$58:$O$87,DAY(B34))),"Day over "&amp;INDEX($O$58:$O$87,DAY(B34))&amp;" h","✓")))))))))</f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tr">
        <f aca="false">IF(Projects!B32="","",Projects!B32)</f>
        <v/>
      </c>
      <c r="X34" s="1" t="n">
        <f aca="false">IF(W34="",0,SUMIFS($I$7:$I$256,$D$7:$D$256,W34,$H$7:$H$256,"NTIME"))</f>
        <v>0</v>
      </c>
      <c r="Y34" s="1" t="n">
        <f aca="false">IF(W34="",0,SUMIFS($I$7:$I$256,$D$7:$D$256,W34,$H$7:$H$256,"P6"))</f>
        <v>0</v>
      </c>
      <c r="Z34" s="1" t="n">
        <f aca="false">X34+Y34</f>
        <v>0</v>
      </c>
      <c r="AA34" s="1" t="n">
        <f aca="false">IF(Z34&gt;0,Z34+(201-28)/10^6,0)</f>
        <v>0</v>
      </c>
      <c r="AB34" s="1"/>
      <c r="AC34" s="1"/>
      <c r="AD34" s="1"/>
      <c r="AE34" s="1"/>
      <c r="AF34" s="1"/>
      <c r="AG34" s="1"/>
      <c r="AH34" s="1"/>
    </row>
    <row r="35" customFormat="false" ht="15" hidden="false" customHeight="false" outlineLevel="0" collapsed="false">
      <c r="A35" s="1"/>
      <c r="B35" s="10"/>
      <c r="C35" s="31" t="str">
        <f aca="false">IF(B35="","",TEXT(B35,"ddd"))</f>
        <v/>
      </c>
      <c r="D35" s="11"/>
      <c r="E35" s="8" t="str">
        <f aca="false">IF(D35="","",IFERROR(INDEX(ProjNumbers,MATCH(D35,ProjNames,0)),""))</f>
        <v/>
      </c>
      <c r="F35" s="8" t="str">
        <f aca="false">IF(D35="","",IFERROR(INDEX(ProjCodes,MATCH(D35,ProjNames,0)),""))</f>
        <v/>
      </c>
      <c r="G35" s="32"/>
      <c r="H35" s="11"/>
      <c r="I35" s="33"/>
      <c r="J35" s="8" t="str">
        <f aca="false">IF(COUNTA(B35,D35,G35,H35,I35)=0,"",IF(B35="","Enter date",IF(OR(B35&lt;$AC$2,B35&gt;$AC$3),"Date not in June",IF(D35="","Pick project",IF(ISNA(MATCH(D35,ProjNames,0)),"Project not in list",IF(G35="","Add task description",IF(H35="","Pick NTIME or P6",IF(N(I35)&lt;=0,"Enter hours",IF(AND(AllowOT&lt;&gt;"Yes",SUMIF($B$7:$B$256,B35,$I$7:$I$256)&gt;INDEX($O$58:$O$87,DAY(B35))),"Day over "&amp;INDEX($O$58:$O$87,DAY(B35))&amp;" h","✓")))))))))</f>
        <v/>
      </c>
      <c r="K35" s="1"/>
      <c r="L35" s="4" t="s">
        <v>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 t="str">
        <f aca="false">IF(Projects!B33="","",Projects!B33)</f>
        <v/>
      </c>
      <c r="X35" s="1" t="n">
        <f aca="false">IF(W35="",0,SUMIFS($I$7:$I$256,$D$7:$D$256,W35,$H$7:$H$256,"NTIME"))</f>
        <v>0</v>
      </c>
      <c r="Y35" s="1" t="n">
        <f aca="false">IF(W35="",0,SUMIFS($I$7:$I$256,$D$7:$D$256,W35,$H$7:$H$256,"P6"))</f>
        <v>0</v>
      </c>
      <c r="Z35" s="1" t="n">
        <f aca="false">X35+Y35</f>
        <v>0</v>
      </c>
      <c r="AA35" s="1" t="n">
        <f aca="false">IF(Z35&gt;0,Z35+(201-29)/10^6,0)</f>
        <v>0</v>
      </c>
      <c r="AB35" s="1"/>
      <c r="AC35" s="1"/>
      <c r="AD35" s="1"/>
      <c r="AE35" s="1"/>
      <c r="AF35" s="1"/>
      <c r="AG35" s="1"/>
      <c r="AH35" s="1"/>
    </row>
    <row r="36" customFormat="false" ht="23.85" hidden="false" customHeight="false" outlineLevel="0" collapsed="false">
      <c r="A36" s="1"/>
      <c r="B36" s="10"/>
      <c r="C36" s="31" t="str">
        <f aca="false">IF(B36="","",TEXT(B36,"ddd"))</f>
        <v/>
      </c>
      <c r="D36" s="11"/>
      <c r="E36" s="8" t="str">
        <f aca="false">IF(D36="","",IFERROR(INDEX(ProjNumbers,MATCH(D36,ProjNames,0)),""))</f>
        <v/>
      </c>
      <c r="F36" s="8" t="str">
        <f aca="false">IF(D36="","",IFERROR(INDEX(ProjCodes,MATCH(D36,ProjNames,0)),""))</f>
        <v/>
      </c>
      <c r="G36" s="32"/>
      <c r="H36" s="11"/>
      <c r="I36" s="33"/>
      <c r="J36" s="8" t="str">
        <f aca="false">IF(COUNTA(B36,D36,G36,H36,I36)=0,"",IF(B36="","Enter date",IF(OR(B36&lt;$AC$2,B36&gt;$AC$3),"Date not in June",IF(D36="","Pick project",IF(ISNA(MATCH(D36,ProjNames,0)),"Project not in list",IF(G36="","Add task description",IF(H36="","Pick NTIME or P6",IF(N(I36)&lt;=0,"Enter hours",IF(AND(AllowOT&lt;&gt;"Yes",SUMIF($B$7:$B$256,B36,$I$7:$I$256)&gt;INDEX($O$58:$O$87,DAY(B36))),"Day over "&amp;INDEX($O$58:$O$87,DAY(B36))&amp;" h","✓")))))))))</f>
        <v/>
      </c>
      <c r="K36" s="1"/>
      <c r="L36" s="9" t="s">
        <v>72</v>
      </c>
      <c r="M36" s="9" t="s">
        <v>36</v>
      </c>
      <c r="N36" s="9" t="s">
        <v>37</v>
      </c>
      <c r="O36" s="20" t="s">
        <v>46</v>
      </c>
      <c r="P36" s="21" t="s">
        <v>56</v>
      </c>
      <c r="Q36" s="9" t="s">
        <v>57</v>
      </c>
      <c r="R36" s="9" t="s">
        <v>86</v>
      </c>
      <c r="S36" s="1"/>
      <c r="T36" s="1"/>
      <c r="U36" s="1"/>
      <c r="V36" s="1"/>
      <c r="W36" s="1" t="str">
        <f aca="false">IF(Projects!B34="","",Projects!B34)</f>
        <v/>
      </c>
      <c r="X36" s="1" t="n">
        <f aca="false">IF(W36="",0,SUMIFS($I$7:$I$256,$D$7:$D$256,W36,$H$7:$H$256,"NTIME"))</f>
        <v>0</v>
      </c>
      <c r="Y36" s="1" t="n">
        <f aca="false">IF(W36="",0,SUMIFS($I$7:$I$256,$D$7:$D$256,W36,$H$7:$H$256,"P6"))</f>
        <v>0</v>
      </c>
      <c r="Z36" s="1" t="n">
        <f aca="false">X36+Y36</f>
        <v>0</v>
      </c>
      <c r="AA36" s="1" t="n">
        <f aca="false">IF(Z36&gt;0,Z36+(201-30)/10^6,0)</f>
        <v>0</v>
      </c>
      <c r="AB36" s="1"/>
      <c r="AC36" s="1"/>
      <c r="AD36" s="1"/>
      <c r="AE36" s="1"/>
      <c r="AF36" s="1"/>
      <c r="AG36" s="1"/>
      <c r="AH36" s="1"/>
    </row>
    <row r="37" customFormat="false" ht="15" hidden="false" customHeight="false" outlineLevel="0" collapsed="false">
      <c r="A37" s="1"/>
      <c r="B37" s="10"/>
      <c r="C37" s="31" t="str">
        <f aca="false">IF(B37="","",TEXT(B37,"ddd"))</f>
        <v/>
      </c>
      <c r="D37" s="11"/>
      <c r="E37" s="8" t="str">
        <f aca="false">IF(D37="","",IFERROR(INDEX(ProjNumbers,MATCH(D37,ProjNames,0)),""))</f>
        <v/>
      </c>
      <c r="F37" s="8" t="str">
        <f aca="false">IF(D37="","",IFERROR(INDEX(ProjCodes,MATCH(D37,ProjNames,0)),""))</f>
        <v/>
      </c>
      <c r="G37" s="32"/>
      <c r="H37" s="11"/>
      <c r="I37" s="33"/>
      <c r="J37" s="8" t="str">
        <f aca="false">IF(COUNTA(B37,D37,G37,H37,I37)=0,"",IF(B37="","Enter date",IF(OR(B37&lt;$AC$2,B37&gt;$AC$3),"Date not in June",IF(D37="","Pick project",IF(ISNA(MATCH(D37,ProjNames,0)),"Project not in list",IF(G37="","Add task description",IF(H37="","Pick NTIME or P6",IF(N(I37)&lt;=0,"Enter hours",IF(AND(AllowOT&lt;&gt;"Yes",SUMIF($B$7:$B$256,B37,$I$7:$I$256)&gt;INDEX($O$58:$O$87,DAY(B37))),"Day over "&amp;INDEX($O$58:$O$87,DAY(B37))&amp;" h","✓")))))))))</f>
        <v/>
      </c>
      <c r="K37" s="1"/>
      <c r="L37" s="24" t="str">
        <f aca="false">IF($AD37=0,"",INDEX($W$7:$W$206,$AD37))</f>
        <v/>
      </c>
      <c r="M37" s="24" t="str">
        <f aca="false">IF($AD37=0,"",INDEX(ProjNumbers,$AD37))</f>
        <v/>
      </c>
      <c r="N37" s="24" t="str">
        <f aca="false">IF($AD37=0,"",INDEX(ProjCodes,$AD37))</f>
        <v/>
      </c>
      <c r="O37" s="24" t="str">
        <f aca="false">IF($AD37=0,"",INDEX($X$7:$X$206,$AD37))</f>
        <v/>
      </c>
      <c r="P37" s="24" t="str">
        <f aca="false">IF($AD37=0,"",INDEX($Y$7:$Y$206,$AD37))</f>
        <v/>
      </c>
      <c r="Q37" s="24" t="str">
        <f aca="false">IF($AD37=0,"",INDEX($Z$7:$Z$206,$AD37))</f>
        <v/>
      </c>
      <c r="R37" s="25" t="str">
        <f aca="false">IF(OR($AD37=0,$L$5=0),"",Q37/$L$5)</f>
        <v/>
      </c>
      <c r="S37" s="1"/>
      <c r="T37" s="1"/>
      <c r="U37" s="1"/>
      <c r="V37" s="1"/>
      <c r="W37" s="1" t="str">
        <f aca="false">IF(Projects!B35="","",Projects!B35)</f>
        <v/>
      </c>
      <c r="X37" s="1" t="n">
        <f aca="false">IF(W37="",0,SUMIFS($I$7:$I$256,$D$7:$D$256,W37,$H$7:$H$256,"NTIME"))</f>
        <v>0</v>
      </c>
      <c r="Y37" s="1" t="n">
        <f aca="false">IF(W37="",0,SUMIFS($I$7:$I$256,$D$7:$D$256,W37,$H$7:$H$256,"P6"))</f>
        <v>0</v>
      </c>
      <c r="Z37" s="1" t="n">
        <f aca="false">X37+Y37</f>
        <v>0</v>
      </c>
      <c r="AA37" s="1" t="n">
        <f aca="false">IF(Z37&gt;0,Z37+(201-31)/10^6,0)</f>
        <v>0</v>
      </c>
      <c r="AB37" s="1"/>
      <c r="AC37" s="1"/>
      <c r="AD37" s="1" t="n">
        <f aca="false">IF(LARGE($AA$7:$AA$206,1)&lt;=0,0,MATCH(LARGE($AA$7:$AA$206,1),$AA$7:$AA$206,0))</f>
        <v>0</v>
      </c>
      <c r="AE37" s="1"/>
      <c r="AF37" s="1"/>
      <c r="AG37" s="1"/>
      <c r="AH37" s="1"/>
    </row>
    <row r="38" customFormat="false" ht="15" hidden="false" customHeight="false" outlineLevel="0" collapsed="false">
      <c r="A38" s="1"/>
      <c r="B38" s="10"/>
      <c r="C38" s="31" t="str">
        <f aca="false">IF(B38="","",TEXT(B38,"ddd"))</f>
        <v/>
      </c>
      <c r="D38" s="11"/>
      <c r="E38" s="8" t="str">
        <f aca="false">IF(D38="","",IFERROR(INDEX(ProjNumbers,MATCH(D38,ProjNames,0)),""))</f>
        <v/>
      </c>
      <c r="F38" s="8" t="str">
        <f aca="false">IF(D38="","",IFERROR(INDEX(ProjCodes,MATCH(D38,ProjNames,0)),""))</f>
        <v/>
      </c>
      <c r="G38" s="32"/>
      <c r="H38" s="11"/>
      <c r="I38" s="33"/>
      <c r="J38" s="8" t="str">
        <f aca="false">IF(COUNTA(B38,D38,G38,H38,I38)=0,"",IF(B38="","Enter date",IF(OR(B38&lt;$AC$2,B38&gt;$AC$3),"Date not in June",IF(D38="","Pick project",IF(ISNA(MATCH(D38,ProjNames,0)),"Project not in list",IF(G38="","Add task description",IF(H38="","Pick NTIME or P6",IF(N(I38)&lt;=0,"Enter hours",IF(AND(AllowOT&lt;&gt;"Yes",SUMIF($B$7:$B$256,B38,$I$7:$I$256)&gt;INDEX($O$58:$O$87,DAY(B38))),"Day over "&amp;INDEX($O$58:$O$87,DAY(B38))&amp;" h","✓")))))))))</f>
        <v/>
      </c>
      <c r="K38" s="1"/>
      <c r="L38" s="24" t="str">
        <f aca="false">IF($AD38=0,"",INDEX($W$7:$W$206,$AD38))</f>
        <v/>
      </c>
      <c r="M38" s="24" t="str">
        <f aca="false">IF($AD38=0,"",INDEX(ProjNumbers,$AD38))</f>
        <v/>
      </c>
      <c r="N38" s="24" t="str">
        <f aca="false">IF($AD38=0,"",INDEX(ProjCodes,$AD38))</f>
        <v/>
      </c>
      <c r="O38" s="24" t="str">
        <f aca="false">IF($AD38=0,"",INDEX($X$7:$X$206,$AD38))</f>
        <v/>
      </c>
      <c r="P38" s="24" t="str">
        <f aca="false">IF($AD38=0,"",INDEX($Y$7:$Y$206,$AD38))</f>
        <v/>
      </c>
      <c r="Q38" s="24" t="str">
        <f aca="false">IF($AD38=0,"",INDEX($Z$7:$Z$206,$AD38))</f>
        <v/>
      </c>
      <c r="R38" s="25" t="str">
        <f aca="false">IF(OR($AD38=0,$L$5=0),"",Q38/$L$5)</f>
        <v/>
      </c>
      <c r="S38" s="1"/>
      <c r="T38" s="1"/>
      <c r="U38" s="1"/>
      <c r="V38" s="1"/>
      <c r="W38" s="1" t="str">
        <f aca="false">IF(Projects!B36="","",Projects!B36)</f>
        <v/>
      </c>
      <c r="X38" s="1" t="n">
        <f aca="false">IF(W38="",0,SUMIFS($I$7:$I$256,$D$7:$D$256,W38,$H$7:$H$256,"NTIME"))</f>
        <v>0</v>
      </c>
      <c r="Y38" s="1" t="n">
        <f aca="false">IF(W38="",0,SUMIFS($I$7:$I$256,$D$7:$D$256,W38,$H$7:$H$256,"P6"))</f>
        <v>0</v>
      </c>
      <c r="Z38" s="1" t="n">
        <f aca="false">X38+Y38</f>
        <v>0</v>
      </c>
      <c r="AA38" s="1" t="n">
        <f aca="false">IF(Z38&gt;0,Z38+(201-32)/10^6,0)</f>
        <v>0</v>
      </c>
      <c r="AB38" s="1"/>
      <c r="AC38" s="1"/>
      <c r="AD38" s="1" t="n">
        <f aca="false">IF(LARGE($AA$7:$AA$206,2)&lt;=0,0,MATCH(LARGE($AA$7:$AA$206,2),$AA$7:$AA$206,0))</f>
        <v>0</v>
      </c>
      <c r="AE38" s="1"/>
      <c r="AF38" s="1"/>
      <c r="AG38" s="1"/>
      <c r="AH38" s="1"/>
    </row>
    <row r="39" customFormat="false" ht="15" hidden="false" customHeight="false" outlineLevel="0" collapsed="false">
      <c r="A39" s="1"/>
      <c r="B39" s="10"/>
      <c r="C39" s="31" t="str">
        <f aca="false">IF(B39="","",TEXT(B39,"ddd"))</f>
        <v/>
      </c>
      <c r="D39" s="11"/>
      <c r="E39" s="8" t="str">
        <f aca="false">IF(D39="","",IFERROR(INDEX(ProjNumbers,MATCH(D39,ProjNames,0)),""))</f>
        <v/>
      </c>
      <c r="F39" s="8" t="str">
        <f aca="false">IF(D39="","",IFERROR(INDEX(ProjCodes,MATCH(D39,ProjNames,0)),""))</f>
        <v/>
      </c>
      <c r="G39" s="32"/>
      <c r="H39" s="11"/>
      <c r="I39" s="33"/>
      <c r="J39" s="8" t="str">
        <f aca="false">IF(COUNTA(B39,D39,G39,H39,I39)=0,"",IF(B39="","Enter date",IF(OR(B39&lt;$AC$2,B39&gt;$AC$3),"Date not in June",IF(D39="","Pick project",IF(ISNA(MATCH(D39,ProjNames,0)),"Project not in list",IF(G39="","Add task description",IF(H39="","Pick NTIME or P6",IF(N(I39)&lt;=0,"Enter hours",IF(AND(AllowOT&lt;&gt;"Yes",SUMIF($B$7:$B$256,B39,$I$7:$I$256)&gt;INDEX($O$58:$O$87,DAY(B39))),"Day over "&amp;INDEX($O$58:$O$87,DAY(B39))&amp;" h","✓")))))))))</f>
        <v/>
      </c>
      <c r="K39" s="1"/>
      <c r="L39" s="24" t="str">
        <f aca="false">IF($AD39=0,"",INDEX($W$7:$W$206,$AD39))</f>
        <v/>
      </c>
      <c r="M39" s="24" t="str">
        <f aca="false">IF($AD39=0,"",INDEX(ProjNumbers,$AD39))</f>
        <v/>
      </c>
      <c r="N39" s="24" t="str">
        <f aca="false">IF($AD39=0,"",INDEX(ProjCodes,$AD39))</f>
        <v/>
      </c>
      <c r="O39" s="24" t="str">
        <f aca="false">IF($AD39=0,"",INDEX($X$7:$X$206,$AD39))</f>
        <v/>
      </c>
      <c r="P39" s="24" t="str">
        <f aca="false">IF($AD39=0,"",INDEX($Y$7:$Y$206,$AD39))</f>
        <v/>
      </c>
      <c r="Q39" s="24" t="str">
        <f aca="false">IF($AD39=0,"",INDEX($Z$7:$Z$206,$AD39))</f>
        <v/>
      </c>
      <c r="R39" s="25" t="str">
        <f aca="false">IF(OR($AD39=0,$L$5=0),"",Q39/$L$5)</f>
        <v/>
      </c>
      <c r="S39" s="1"/>
      <c r="T39" s="1"/>
      <c r="U39" s="1"/>
      <c r="V39" s="1"/>
      <c r="W39" s="1" t="str">
        <f aca="false">IF(Projects!B37="","",Projects!B37)</f>
        <v/>
      </c>
      <c r="X39" s="1" t="n">
        <f aca="false">IF(W39="",0,SUMIFS($I$7:$I$256,$D$7:$D$256,W39,$H$7:$H$256,"NTIME"))</f>
        <v>0</v>
      </c>
      <c r="Y39" s="1" t="n">
        <f aca="false">IF(W39="",0,SUMIFS($I$7:$I$256,$D$7:$D$256,W39,$H$7:$H$256,"P6"))</f>
        <v>0</v>
      </c>
      <c r="Z39" s="1" t="n">
        <f aca="false">X39+Y39</f>
        <v>0</v>
      </c>
      <c r="AA39" s="1" t="n">
        <f aca="false">IF(Z39&gt;0,Z39+(201-33)/10^6,0)</f>
        <v>0</v>
      </c>
      <c r="AB39" s="1"/>
      <c r="AC39" s="1"/>
      <c r="AD39" s="1" t="n">
        <f aca="false">IF(LARGE($AA$7:$AA$206,3)&lt;=0,0,MATCH(LARGE($AA$7:$AA$206,3),$AA$7:$AA$206,0))</f>
        <v>0</v>
      </c>
      <c r="AE39" s="1"/>
      <c r="AF39" s="1"/>
      <c r="AG39" s="1"/>
      <c r="AH39" s="1"/>
    </row>
    <row r="40" customFormat="false" ht="15" hidden="false" customHeight="false" outlineLevel="0" collapsed="false">
      <c r="A40" s="1"/>
      <c r="B40" s="10"/>
      <c r="C40" s="31" t="str">
        <f aca="false">IF(B40="","",TEXT(B40,"ddd"))</f>
        <v/>
      </c>
      <c r="D40" s="11"/>
      <c r="E40" s="8" t="str">
        <f aca="false">IF(D40="","",IFERROR(INDEX(ProjNumbers,MATCH(D40,ProjNames,0)),""))</f>
        <v/>
      </c>
      <c r="F40" s="8" t="str">
        <f aca="false">IF(D40="","",IFERROR(INDEX(ProjCodes,MATCH(D40,ProjNames,0)),""))</f>
        <v/>
      </c>
      <c r="G40" s="32"/>
      <c r="H40" s="11"/>
      <c r="I40" s="33"/>
      <c r="J40" s="8" t="str">
        <f aca="false">IF(COUNTA(B40,D40,G40,H40,I40)=0,"",IF(B40="","Enter date",IF(OR(B40&lt;$AC$2,B40&gt;$AC$3),"Date not in June",IF(D40="","Pick project",IF(ISNA(MATCH(D40,ProjNames,0)),"Project not in list",IF(G40="","Add task description",IF(H40="","Pick NTIME or P6",IF(N(I40)&lt;=0,"Enter hours",IF(AND(AllowOT&lt;&gt;"Yes",SUMIF($B$7:$B$256,B40,$I$7:$I$256)&gt;INDEX($O$58:$O$87,DAY(B40))),"Day over "&amp;INDEX($O$58:$O$87,DAY(B40))&amp;" h","✓")))))))))</f>
        <v/>
      </c>
      <c r="K40" s="1"/>
      <c r="L40" s="24" t="str">
        <f aca="false">IF($AD40=0,"",INDEX($W$7:$W$206,$AD40))</f>
        <v/>
      </c>
      <c r="M40" s="24" t="str">
        <f aca="false">IF($AD40=0,"",INDEX(ProjNumbers,$AD40))</f>
        <v/>
      </c>
      <c r="N40" s="24" t="str">
        <f aca="false">IF($AD40=0,"",INDEX(ProjCodes,$AD40))</f>
        <v/>
      </c>
      <c r="O40" s="24" t="str">
        <f aca="false">IF($AD40=0,"",INDEX($X$7:$X$206,$AD40))</f>
        <v/>
      </c>
      <c r="P40" s="24" t="str">
        <f aca="false">IF($AD40=0,"",INDEX($Y$7:$Y$206,$AD40))</f>
        <v/>
      </c>
      <c r="Q40" s="24" t="str">
        <f aca="false">IF($AD40=0,"",INDEX($Z$7:$Z$206,$AD40))</f>
        <v/>
      </c>
      <c r="R40" s="25" t="str">
        <f aca="false">IF(OR($AD40=0,$L$5=0),"",Q40/$L$5)</f>
        <v/>
      </c>
      <c r="S40" s="1"/>
      <c r="T40" s="1"/>
      <c r="U40" s="1"/>
      <c r="V40" s="1"/>
      <c r="W40" s="1" t="str">
        <f aca="false">IF(Projects!B38="","",Projects!B38)</f>
        <v/>
      </c>
      <c r="X40" s="1" t="n">
        <f aca="false">IF(W40="",0,SUMIFS($I$7:$I$256,$D$7:$D$256,W40,$H$7:$H$256,"NTIME"))</f>
        <v>0</v>
      </c>
      <c r="Y40" s="1" t="n">
        <f aca="false">IF(W40="",0,SUMIFS($I$7:$I$256,$D$7:$D$256,W40,$H$7:$H$256,"P6"))</f>
        <v>0</v>
      </c>
      <c r="Z40" s="1" t="n">
        <f aca="false">X40+Y40</f>
        <v>0</v>
      </c>
      <c r="AA40" s="1" t="n">
        <f aca="false">IF(Z40&gt;0,Z40+(201-34)/10^6,0)</f>
        <v>0</v>
      </c>
      <c r="AB40" s="1"/>
      <c r="AC40" s="1"/>
      <c r="AD40" s="1" t="n">
        <f aca="false">IF(LARGE($AA$7:$AA$206,4)&lt;=0,0,MATCH(LARGE($AA$7:$AA$206,4),$AA$7:$AA$206,0))</f>
        <v>0</v>
      </c>
      <c r="AE40" s="1"/>
      <c r="AF40" s="1"/>
      <c r="AG40" s="1"/>
      <c r="AH40" s="1"/>
    </row>
    <row r="41" customFormat="false" ht="15" hidden="false" customHeight="false" outlineLevel="0" collapsed="false">
      <c r="A41" s="1"/>
      <c r="B41" s="10"/>
      <c r="C41" s="31" t="str">
        <f aca="false">IF(B41="","",TEXT(B41,"ddd"))</f>
        <v/>
      </c>
      <c r="D41" s="11"/>
      <c r="E41" s="8" t="str">
        <f aca="false">IF(D41="","",IFERROR(INDEX(ProjNumbers,MATCH(D41,ProjNames,0)),""))</f>
        <v/>
      </c>
      <c r="F41" s="8" t="str">
        <f aca="false">IF(D41="","",IFERROR(INDEX(ProjCodes,MATCH(D41,ProjNames,0)),""))</f>
        <v/>
      </c>
      <c r="G41" s="32"/>
      <c r="H41" s="11"/>
      <c r="I41" s="33"/>
      <c r="J41" s="8" t="str">
        <f aca="false">IF(COUNTA(B41,D41,G41,H41,I41)=0,"",IF(B41="","Enter date",IF(OR(B41&lt;$AC$2,B41&gt;$AC$3),"Date not in June",IF(D41="","Pick project",IF(ISNA(MATCH(D41,ProjNames,0)),"Project not in list",IF(G41="","Add task description",IF(H41="","Pick NTIME or P6",IF(N(I41)&lt;=0,"Enter hours",IF(AND(AllowOT&lt;&gt;"Yes",SUMIF($B$7:$B$256,B41,$I$7:$I$256)&gt;INDEX($O$58:$O$87,DAY(B41))),"Day over "&amp;INDEX($O$58:$O$87,DAY(B41))&amp;" h","✓")))))))))</f>
        <v/>
      </c>
      <c r="K41" s="1"/>
      <c r="L41" s="24" t="str">
        <f aca="false">IF($AD41=0,"",INDEX($W$7:$W$206,$AD41))</f>
        <v/>
      </c>
      <c r="M41" s="24" t="str">
        <f aca="false">IF($AD41=0,"",INDEX(ProjNumbers,$AD41))</f>
        <v/>
      </c>
      <c r="N41" s="24" t="str">
        <f aca="false">IF($AD41=0,"",INDEX(ProjCodes,$AD41))</f>
        <v/>
      </c>
      <c r="O41" s="24" t="str">
        <f aca="false">IF($AD41=0,"",INDEX($X$7:$X$206,$AD41))</f>
        <v/>
      </c>
      <c r="P41" s="24" t="str">
        <f aca="false">IF($AD41=0,"",INDEX($Y$7:$Y$206,$AD41))</f>
        <v/>
      </c>
      <c r="Q41" s="24" t="str">
        <f aca="false">IF($AD41=0,"",INDEX($Z$7:$Z$206,$AD41))</f>
        <v/>
      </c>
      <c r="R41" s="25" t="str">
        <f aca="false">IF(OR($AD41=0,$L$5=0),"",Q41/$L$5)</f>
        <v/>
      </c>
      <c r="S41" s="1"/>
      <c r="T41" s="1"/>
      <c r="U41" s="1"/>
      <c r="V41" s="1"/>
      <c r="W41" s="1" t="str">
        <f aca="false">IF(Projects!B39="","",Projects!B39)</f>
        <v/>
      </c>
      <c r="X41" s="1" t="n">
        <f aca="false">IF(W41="",0,SUMIFS($I$7:$I$256,$D$7:$D$256,W41,$H$7:$H$256,"NTIME"))</f>
        <v>0</v>
      </c>
      <c r="Y41" s="1" t="n">
        <f aca="false">IF(W41="",0,SUMIFS($I$7:$I$256,$D$7:$D$256,W41,$H$7:$H$256,"P6"))</f>
        <v>0</v>
      </c>
      <c r="Z41" s="1" t="n">
        <f aca="false">X41+Y41</f>
        <v>0</v>
      </c>
      <c r="AA41" s="1" t="n">
        <f aca="false">IF(Z41&gt;0,Z41+(201-35)/10^6,0)</f>
        <v>0</v>
      </c>
      <c r="AB41" s="1"/>
      <c r="AC41" s="1"/>
      <c r="AD41" s="1" t="n">
        <f aca="false">IF(LARGE($AA$7:$AA$206,5)&lt;=0,0,MATCH(LARGE($AA$7:$AA$206,5),$AA$7:$AA$206,0))</f>
        <v>0</v>
      </c>
      <c r="AE41" s="1"/>
      <c r="AF41" s="1"/>
      <c r="AG41" s="1"/>
      <c r="AH41" s="1"/>
    </row>
    <row r="42" customFormat="false" ht="15" hidden="false" customHeight="false" outlineLevel="0" collapsed="false">
      <c r="A42" s="1"/>
      <c r="B42" s="10"/>
      <c r="C42" s="31" t="str">
        <f aca="false">IF(B42="","",TEXT(B42,"ddd"))</f>
        <v/>
      </c>
      <c r="D42" s="11"/>
      <c r="E42" s="8" t="str">
        <f aca="false">IF(D42="","",IFERROR(INDEX(ProjNumbers,MATCH(D42,ProjNames,0)),""))</f>
        <v/>
      </c>
      <c r="F42" s="8" t="str">
        <f aca="false">IF(D42="","",IFERROR(INDEX(ProjCodes,MATCH(D42,ProjNames,0)),""))</f>
        <v/>
      </c>
      <c r="G42" s="32"/>
      <c r="H42" s="11"/>
      <c r="I42" s="33"/>
      <c r="J42" s="8" t="str">
        <f aca="false">IF(COUNTA(B42,D42,G42,H42,I42)=0,"",IF(B42="","Enter date",IF(OR(B42&lt;$AC$2,B42&gt;$AC$3),"Date not in June",IF(D42="","Pick project",IF(ISNA(MATCH(D42,ProjNames,0)),"Project not in list",IF(G42="","Add task description",IF(H42="","Pick NTIME or P6",IF(N(I42)&lt;=0,"Enter hours",IF(AND(AllowOT&lt;&gt;"Yes",SUMIF($B$7:$B$256,B42,$I$7:$I$256)&gt;INDEX($O$58:$O$87,DAY(B42))),"Day over "&amp;INDEX($O$58:$O$87,DAY(B42))&amp;" h","✓")))))))))</f>
        <v/>
      </c>
      <c r="K42" s="1"/>
      <c r="L42" s="24" t="str">
        <f aca="false">IF($AD42=0,"",INDEX($W$7:$W$206,$AD42))</f>
        <v/>
      </c>
      <c r="M42" s="24" t="str">
        <f aca="false">IF($AD42=0,"",INDEX(ProjNumbers,$AD42))</f>
        <v/>
      </c>
      <c r="N42" s="24" t="str">
        <f aca="false">IF($AD42=0,"",INDEX(ProjCodes,$AD42))</f>
        <v/>
      </c>
      <c r="O42" s="24" t="str">
        <f aca="false">IF($AD42=0,"",INDEX($X$7:$X$206,$AD42))</f>
        <v/>
      </c>
      <c r="P42" s="24" t="str">
        <f aca="false">IF($AD42=0,"",INDEX($Y$7:$Y$206,$AD42))</f>
        <v/>
      </c>
      <c r="Q42" s="24" t="str">
        <f aca="false">IF($AD42=0,"",INDEX($Z$7:$Z$206,$AD42))</f>
        <v/>
      </c>
      <c r="R42" s="25" t="str">
        <f aca="false">IF(OR($AD42=0,$L$5=0),"",Q42/$L$5)</f>
        <v/>
      </c>
      <c r="S42" s="1"/>
      <c r="T42" s="1"/>
      <c r="U42" s="1"/>
      <c r="V42" s="1"/>
      <c r="W42" s="1" t="str">
        <f aca="false">IF(Projects!B40="","",Projects!B40)</f>
        <v/>
      </c>
      <c r="X42" s="1" t="n">
        <f aca="false">IF(W42="",0,SUMIFS($I$7:$I$256,$D$7:$D$256,W42,$H$7:$H$256,"NTIME"))</f>
        <v>0</v>
      </c>
      <c r="Y42" s="1" t="n">
        <f aca="false">IF(W42="",0,SUMIFS($I$7:$I$256,$D$7:$D$256,W42,$H$7:$H$256,"P6"))</f>
        <v>0</v>
      </c>
      <c r="Z42" s="1" t="n">
        <f aca="false">X42+Y42</f>
        <v>0</v>
      </c>
      <c r="AA42" s="1" t="n">
        <f aca="false">IF(Z42&gt;0,Z42+(201-36)/10^6,0)</f>
        <v>0</v>
      </c>
      <c r="AB42" s="1"/>
      <c r="AC42" s="1"/>
      <c r="AD42" s="1" t="n">
        <f aca="false">IF(LARGE($AA$7:$AA$206,6)&lt;=0,0,MATCH(LARGE($AA$7:$AA$206,6),$AA$7:$AA$206,0))</f>
        <v>0</v>
      </c>
      <c r="AE42" s="1"/>
      <c r="AF42" s="1"/>
      <c r="AG42" s="1"/>
      <c r="AH42" s="1"/>
    </row>
    <row r="43" customFormat="false" ht="15" hidden="false" customHeight="false" outlineLevel="0" collapsed="false">
      <c r="A43" s="1"/>
      <c r="B43" s="10"/>
      <c r="C43" s="31" t="str">
        <f aca="false">IF(B43="","",TEXT(B43,"ddd"))</f>
        <v/>
      </c>
      <c r="D43" s="11"/>
      <c r="E43" s="8" t="str">
        <f aca="false">IF(D43="","",IFERROR(INDEX(ProjNumbers,MATCH(D43,ProjNames,0)),""))</f>
        <v/>
      </c>
      <c r="F43" s="8" t="str">
        <f aca="false">IF(D43="","",IFERROR(INDEX(ProjCodes,MATCH(D43,ProjNames,0)),""))</f>
        <v/>
      </c>
      <c r="G43" s="32"/>
      <c r="H43" s="11"/>
      <c r="I43" s="33"/>
      <c r="J43" s="8" t="str">
        <f aca="false">IF(COUNTA(B43,D43,G43,H43,I43)=0,"",IF(B43="","Enter date",IF(OR(B43&lt;$AC$2,B43&gt;$AC$3),"Date not in June",IF(D43="","Pick project",IF(ISNA(MATCH(D43,ProjNames,0)),"Project not in list",IF(G43="","Add task description",IF(H43="","Pick NTIME or P6",IF(N(I43)&lt;=0,"Enter hours",IF(AND(AllowOT&lt;&gt;"Yes",SUMIF($B$7:$B$256,B43,$I$7:$I$256)&gt;INDEX($O$58:$O$87,DAY(B43))),"Day over "&amp;INDEX($O$58:$O$87,DAY(B43))&amp;" h","✓")))))))))</f>
        <v/>
      </c>
      <c r="K43" s="1"/>
      <c r="L43" s="24" t="str">
        <f aca="false">IF($AD43=0,"",INDEX($W$7:$W$206,$AD43))</f>
        <v/>
      </c>
      <c r="M43" s="24" t="str">
        <f aca="false">IF($AD43=0,"",INDEX(ProjNumbers,$AD43))</f>
        <v/>
      </c>
      <c r="N43" s="24" t="str">
        <f aca="false">IF($AD43=0,"",INDEX(ProjCodes,$AD43))</f>
        <v/>
      </c>
      <c r="O43" s="24" t="str">
        <f aca="false">IF($AD43=0,"",INDEX($X$7:$X$206,$AD43))</f>
        <v/>
      </c>
      <c r="P43" s="24" t="str">
        <f aca="false">IF($AD43=0,"",INDEX($Y$7:$Y$206,$AD43))</f>
        <v/>
      </c>
      <c r="Q43" s="24" t="str">
        <f aca="false">IF($AD43=0,"",INDEX($Z$7:$Z$206,$AD43))</f>
        <v/>
      </c>
      <c r="R43" s="25" t="str">
        <f aca="false">IF(OR($AD43=0,$L$5=0),"",Q43/$L$5)</f>
        <v/>
      </c>
      <c r="S43" s="1"/>
      <c r="T43" s="1"/>
      <c r="U43" s="1"/>
      <c r="V43" s="1"/>
      <c r="W43" s="1" t="str">
        <f aca="false">IF(Projects!B41="","",Projects!B41)</f>
        <v/>
      </c>
      <c r="X43" s="1" t="n">
        <f aca="false">IF(W43="",0,SUMIFS($I$7:$I$256,$D$7:$D$256,W43,$H$7:$H$256,"NTIME"))</f>
        <v>0</v>
      </c>
      <c r="Y43" s="1" t="n">
        <f aca="false">IF(W43="",0,SUMIFS($I$7:$I$256,$D$7:$D$256,W43,$H$7:$H$256,"P6"))</f>
        <v>0</v>
      </c>
      <c r="Z43" s="1" t="n">
        <f aca="false">X43+Y43</f>
        <v>0</v>
      </c>
      <c r="AA43" s="1" t="n">
        <f aca="false">IF(Z43&gt;0,Z43+(201-37)/10^6,0)</f>
        <v>0</v>
      </c>
      <c r="AB43" s="1"/>
      <c r="AC43" s="1"/>
      <c r="AD43" s="1" t="n">
        <f aca="false">IF(LARGE($AA$7:$AA$206,7)&lt;=0,0,MATCH(LARGE($AA$7:$AA$206,7),$AA$7:$AA$206,0))</f>
        <v>0</v>
      </c>
      <c r="AE43" s="1"/>
      <c r="AF43" s="1"/>
      <c r="AG43" s="1"/>
      <c r="AH43" s="1"/>
    </row>
    <row r="44" customFormat="false" ht="15" hidden="false" customHeight="false" outlineLevel="0" collapsed="false">
      <c r="A44" s="1"/>
      <c r="B44" s="10"/>
      <c r="C44" s="31" t="str">
        <f aca="false">IF(B44="","",TEXT(B44,"ddd"))</f>
        <v/>
      </c>
      <c r="D44" s="11"/>
      <c r="E44" s="8" t="str">
        <f aca="false">IF(D44="","",IFERROR(INDEX(ProjNumbers,MATCH(D44,ProjNames,0)),""))</f>
        <v/>
      </c>
      <c r="F44" s="8" t="str">
        <f aca="false">IF(D44="","",IFERROR(INDEX(ProjCodes,MATCH(D44,ProjNames,0)),""))</f>
        <v/>
      </c>
      <c r="G44" s="32"/>
      <c r="H44" s="11"/>
      <c r="I44" s="33"/>
      <c r="J44" s="8" t="str">
        <f aca="false">IF(COUNTA(B44,D44,G44,H44,I44)=0,"",IF(B44="","Enter date",IF(OR(B44&lt;$AC$2,B44&gt;$AC$3),"Date not in June",IF(D44="","Pick project",IF(ISNA(MATCH(D44,ProjNames,0)),"Project not in list",IF(G44="","Add task description",IF(H44="","Pick NTIME or P6",IF(N(I44)&lt;=0,"Enter hours",IF(AND(AllowOT&lt;&gt;"Yes",SUMIF($B$7:$B$256,B44,$I$7:$I$256)&gt;INDEX($O$58:$O$87,DAY(B44))),"Day over "&amp;INDEX($O$58:$O$87,DAY(B44))&amp;" h","✓")))))))))</f>
        <v/>
      </c>
      <c r="K44" s="1"/>
      <c r="L44" s="24" t="str">
        <f aca="false">IF($AD44=0,"",INDEX($W$7:$W$206,$AD44))</f>
        <v/>
      </c>
      <c r="M44" s="24" t="str">
        <f aca="false">IF($AD44=0,"",INDEX(ProjNumbers,$AD44))</f>
        <v/>
      </c>
      <c r="N44" s="24" t="str">
        <f aca="false">IF($AD44=0,"",INDEX(ProjCodes,$AD44))</f>
        <v/>
      </c>
      <c r="O44" s="24" t="str">
        <f aca="false">IF($AD44=0,"",INDEX($X$7:$X$206,$AD44))</f>
        <v/>
      </c>
      <c r="P44" s="24" t="str">
        <f aca="false">IF($AD44=0,"",INDEX($Y$7:$Y$206,$AD44))</f>
        <v/>
      </c>
      <c r="Q44" s="24" t="str">
        <f aca="false">IF($AD44=0,"",INDEX($Z$7:$Z$206,$AD44))</f>
        <v/>
      </c>
      <c r="R44" s="25" t="str">
        <f aca="false">IF(OR($AD44=0,$L$5=0),"",Q44/$L$5)</f>
        <v/>
      </c>
      <c r="S44" s="1"/>
      <c r="T44" s="1"/>
      <c r="U44" s="1"/>
      <c r="V44" s="1"/>
      <c r="W44" s="1" t="str">
        <f aca="false">IF(Projects!B42="","",Projects!B42)</f>
        <v/>
      </c>
      <c r="X44" s="1" t="n">
        <f aca="false">IF(W44="",0,SUMIFS($I$7:$I$256,$D$7:$D$256,W44,$H$7:$H$256,"NTIME"))</f>
        <v>0</v>
      </c>
      <c r="Y44" s="1" t="n">
        <f aca="false">IF(W44="",0,SUMIFS($I$7:$I$256,$D$7:$D$256,W44,$H$7:$H$256,"P6"))</f>
        <v>0</v>
      </c>
      <c r="Z44" s="1" t="n">
        <f aca="false">X44+Y44</f>
        <v>0</v>
      </c>
      <c r="AA44" s="1" t="n">
        <f aca="false">IF(Z44&gt;0,Z44+(201-38)/10^6,0)</f>
        <v>0</v>
      </c>
      <c r="AB44" s="1"/>
      <c r="AC44" s="1"/>
      <c r="AD44" s="1" t="n">
        <f aca="false">IF(LARGE($AA$7:$AA$206,8)&lt;=0,0,MATCH(LARGE($AA$7:$AA$206,8),$AA$7:$AA$206,0))</f>
        <v>0</v>
      </c>
      <c r="AE44" s="1"/>
      <c r="AF44" s="1"/>
      <c r="AG44" s="1"/>
      <c r="AH44" s="1"/>
    </row>
    <row r="45" customFormat="false" ht="15" hidden="false" customHeight="false" outlineLevel="0" collapsed="false">
      <c r="A45" s="1"/>
      <c r="B45" s="10"/>
      <c r="C45" s="31" t="str">
        <f aca="false">IF(B45="","",TEXT(B45,"ddd"))</f>
        <v/>
      </c>
      <c r="D45" s="11"/>
      <c r="E45" s="8" t="str">
        <f aca="false">IF(D45="","",IFERROR(INDEX(ProjNumbers,MATCH(D45,ProjNames,0)),""))</f>
        <v/>
      </c>
      <c r="F45" s="8" t="str">
        <f aca="false">IF(D45="","",IFERROR(INDEX(ProjCodes,MATCH(D45,ProjNames,0)),""))</f>
        <v/>
      </c>
      <c r="G45" s="32"/>
      <c r="H45" s="11"/>
      <c r="I45" s="33"/>
      <c r="J45" s="8" t="str">
        <f aca="false">IF(COUNTA(B45,D45,G45,H45,I45)=0,"",IF(B45="","Enter date",IF(OR(B45&lt;$AC$2,B45&gt;$AC$3),"Date not in June",IF(D45="","Pick project",IF(ISNA(MATCH(D45,ProjNames,0)),"Project not in list",IF(G45="","Add task description",IF(H45="","Pick NTIME or P6",IF(N(I45)&lt;=0,"Enter hours",IF(AND(AllowOT&lt;&gt;"Yes",SUMIF($B$7:$B$256,B45,$I$7:$I$256)&gt;INDEX($O$58:$O$87,DAY(B45))),"Day over "&amp;INDEX($O$58:$O$87,DAY(B45))&amp;" h","✓")))))))))</f>
        <v/>
      </c>
      <c r="K45" s="1"/>
      <c r="L45" s="24" t="str">
        <f aca="false">IF($AD45=0,"",INDEX($W$7:$W$206,$AD45))</f>
        <v/>
      </c>
      <c r="M45" s="24" t="str">
        <f aca="false">IF($AD45=0,"",INDEX(ProjNumbers,$AD45))</f>
        <v/>
      </c>
      <c r="N45" s="24" t="str">
        <f aca="false">IF($AD45=0,"",INDEX(ProjCodes,$AD45))</f>
        <v/>
      </c>
      <c r="O45" s="24" t="str">
        <f aca="false">IF($AD45=0,"",INDEX($X$7:$X$206,$AD45))</f>
        <v/>
      </c>
      <c r="P45" s="24" t="str">
        <f aca="false">IF($AD45=0,"",INDEX($Y$7:$Y$206,$AD45))</f>
        <v/>
      </c>
      <c r="Q45" s="24" t="str">
        <f aca="false">IF($AD45=0,"",INDEX($Z$7:$Z$206,$AD45))</f>
        <v/>
      </c>
      <c r="R45" s="25" t="str">
        <f aca="false">IF(OR($AD45=0,$L$5=0),"",Q45/$L$5)</f>
        <v/>
      </c>
      <c r="S45" s="1"/>
      <c r="T45" s="1"/>
      <c r="U45" s="1"/>
      <c r="V45" s="1"/>
      <c r="W45" s="1" t="str">
        <f aca="false">IF(Projects!B43="","",Projects!B43)</f>
        <v/>
      </c>
      <c r="X45" s="1" t="n">
        <f aca="false">IF(W45="",0,SUMIFS($I$7:$I$256,$D$7:$D$256,W45,$H$7:$H$256,"NTIME"))</f>
        <v>0</v>
      </c>
      <c r="Y45" s="1" t="n">
        <f aca="false">IF(W45="",0,SUMIFS($I$7:$I$256,$D$7:$D$256,W45,$H$7:$H$256,"P6"))</f>
        <v>0</v>
      </c>
      <c r="Z45" s="1" t="n">
        <f aca="false">X45+Y45</f>
        <v>0</v>
      </c>
      <c r="AA45" s="1" t="n">
        <f aca="false">IF(Z45&gt;0,Z45+(201-39)/10^6,0)</f>
        <v>0</v>
      </c>
      <c r="AB45" s="1"/>
      <c r="AC45" s="1"/>
      <c r="AD45" s="1" t="n">
        <f aca="false">IF(LARGE($AA$7:$AA$206,9)&lt;=0,0,MATCH(LARGE($AA$7:$AA$206,9),$AA$7:$AA$206,0))</f>
        <v>0</v>
      </c>
      <c r="AE45" s="1"/>
      <c r="AF45" s="1"/>
      <c r="AG45" s="1"/>
      <c r="AH45" s="1"/>
    </row>
    <row r="46" customFormat="false" ht="15" hidden="false" customHeight="false" outlineLevel="0" collapsed="false">
      <c r="A46" s="1"/>
      <c r="B46" s="10"/>
      <c r="C46" s="31" t="str">
        <f aca="false">IF(B46="","",TEXT(B46,"ddd"))</f>
        <v/>
      </c>
      <c r="D46" s="11"/>
      <c r="E46" s="8" t="str">
        <f aca="false">IF(D46="","",IFERROR(INDEX(ProjNumbers,MATCH(D46,ProjNames,0)),""))</f>
        <v/>
      </c>
      <c r="F46" s="8" t="str">
        <f aca="false">IF(D46="","",IFERROR(INDEX(ProjCodes,MATCH(D46,ProjNames,0)),""))</f>
        <v/>
      </c>
      <c r="G46" s="32"/>
      <c r="H46" s="11"/>
      <c r="I46" s="33"/>
      <c r="J46" s="8" t="str">
        <f aca="false">IF(COUNTA(B46,D46,G46,H46,I46)=0,"",IF(B46="","Enter date",IF(OR(B46&lt;$AC$2,B46&gt;$AC$3),"Date not in June",IF(D46="","Pick project",IF(ISNA(MATCH(D46,ProjNames,0)),"Project not in list",IF(G46="","Add task description",IF(H46="","Pick NTIME or P6",IF(N(I46)&lt;=0,"Enter hours",IF(AND(AllowOT&lt;&gt;"Yes",SUMIF($B$7:$B$256,B46,$I$7:$I$256)&gt;INDEX($O$58:$O$87,DAY(B46))),"Day over "&amp;INDEX($O$58:$O$87,DAY(B46))&amp;" h","✓")))))))))</f>
        <v/>
      </c>
      <c r="K46" s="1"/>
      <c r="L46" s="24" t="str">
        <f aca="false">IF($AD46=0,"",INDEX($W$7:$W$206,$AD46))</f>
        <v/>
      </c>
      <c r="M46" s="24" t="str">
        <f aca="false">IF($AD46=0,"",INDEX(ProjNumbers,$AD46))</f>
        <v/>
      </c>
      <c r="N46" s="24" t="str">
        <f aca="false">IF($AD46=0,"",INDEX(ProjCodes,$AD46))</f>
        <v/>
      </c>
      <c r="O46" s="24" t="str">
        <f aca="false">IF($AD46=0,"",INDEX($X$7:$X$206,$AD46))</f>
        <v/>
      </c>
      <c r="P46" s="24" t="str">
        <f aca="false">IF($AD46=0,"",INDEX($Y$7:$Y$206,$AD46))</f>
        <v/>
      </c>
      <c r="Q46" s="24" t="str">
        <f aca="false">IF($AD46=0,"",INDEX($Z$7:$Z$206,$AD46))</f>
        <v/>
      </c>
      <c r="R46" s="25" t="str">
        <f aca="false">IF(OR($AD46=0,$L$5=0),"",Q46/$L$5)</f>
        <v/>
      </c>
      <c r="S46" s="1"/>
      <c r="T46" s="1"/>
      <c r="U46" s="1"/>
      <c r="V46" s="1"/>
      <c r="W46" s="1" t="str">
        <f aca="false">IF(Projects!B44="","",Projects!B44)</f>
        <v/>
      </c>
      <c r="X46" s="1" t="n">
        <f aca="false">IF(W46="",0,SUMIFS($I$7:$I$256,$D$7:$D$256,W46,$H$7:$H$256,"NTIME"))</f>
        <v>0</v>
      </c>
      <c r="Y46" s="1" t="n">
        <f aca="false">IF(W46="",0,SUMIFS($I$7:$I$256,$D$7:$D$256,W46,$H$7:$H$256,"P6"))</f>
        <v>0</v>
      </c>
      <c r="Z46" s="1" t="n">
        <f aca="false">X46+Y46</f>
        <v>0</v>
      </c>
      <c r="AA46" s="1" t="n">
        <f aca="false">IF(Z46&gt;0,Z46+(201-40)/10^6,0)</f>
        <v>0</v>
      </c>
      <c r="AB46" s="1"/>
      <c r="AC46" s="1"/>
      <c r="AD46" s="1" t="n">
        <f aca="false">IF(LARGE($AA$7:$AA$206,10)&lt;=0,0,MATCH(LARGE($AA$7:$AA$206,10),$AA$7:$AA$206,0))</f>
        <v>0</v>
      </c>
      <c r="AE46" s="1"/>
      <c r="AF46" s="1"/>
      <c r="AG46" s="1"/>
      <c r="AH46" s="1"/>
    </row>
    <row r="47" customFormat="false" ht="15" hidden="false" customHeight="false" outlineLevel="0" collapsed="false">
      <c r="A47" s="1"/>
      <c r="B47" s="10"/>
      <c r="C47" s="31" t="str">
        <f aca="false">IF(B47="","",TEXT(B47,"ddd"))</f>
        <v/>
      </c>
      <c r="D47" s="11"/>
      <c r="E47" s="8" t="str">
        <f aca="false">IF(D47="","",IFERROR(INDEX(ProjNumbers,MATCH(D47,ProjNames,0)),""))</f>
        <v/>
      </c>
      <c r="F47" s="8" t="str">
        <f aca="false">IF(D47="","",IFERROR(INDEX(ProjCodes,MATCH(D47,ProjNames,0)),""))</f>
        <v/>
      </c>
      <c r="G47" s="32"/>
      <c r="H47" s="11"/>
      <c r="I47" s="33"/>
      <c r="J47" s="8" t="str">
        <f aca="false">IF(COUNTA(B47,D47,G47,H47,I47)=0,"",IF(B47="","Enter date",IF(OR(B47&lt;$AC$2,B47&gt;$AC$3),"Date not in June",IF(D47="","Pick project",IF(ISNA(MATCH(D47,ProjNames,0)),"Project not in list",IF(G47="","Add task description",IF(H47="","Pick NTIME or P6",IF(N(I47)&lt;=0,"Enter hours",IF(AND(AllowOT&lt;&gt;"Yes",SUMIF($B$7:$B$256,B47,$I$7:$I$256)&gt;INDEX($O$58:$O$87,DAY(B47))),"Day over "&amp;INDEX($O$58:$O$87,DAY(B47))&amp;" h","✓")))))))))</f>
        <v/>
      </c>
      <c r="K47" s="1"/>
      <c r="L47" s="24" t="str">
        <f aca="false">IF($AD47=0,"",INDEX($W$7:$W$206,$AD47))</f>
        <v/>
      </c>
      <c r="M47" s="24" t="str">
        <f aca="false">IF($AD47=0,"",INDEX(ProjNumbers,$AD47))</f>
        <v/>
      </c>
      <c r="N47" s="24" t="str">
        <f aca="false">IF($AD47=0,"",INDEX(ProjCodes,$AD47))</f>
        <v/>
      </c>
      <c r="O47" s="24" t="str">
        <f aca="false">IF($AD47=0,"",INDEX($X$7:$X$206,$AD47))</f>
        <v/>
      </c>
      <c r="P47" s="24" t="str">
        <f aca="false">IF($AD47=0,"",INDEX($Y$7:$Y$206,$AD47))</f>
        <v/>
      </c>
      <c r="Q47" s="24" t="str">
        <f aca="false">IF($AD47=0,"",INDEX($Z$7:$Z$206,$AD47))</f>
        <v/>
      </c>
      <c r="R47" s="25" t="str">
        <f aca="false">IF(OR($AD47=0,$L$5=0),"",Q47/$L$5)</f>
        <v/>
      </c>
      <c r="S47" s="1"/>
      <c r="T47" s="1"/>
      <c r="U47" s="1"/>
      <c r="V47" s="1"/>
      <c r="W47" s="1" t="str">
        <f aca="false">IF(Projects!B45="","",Projects!B45)</f>
        <v/>
      </c>
      <c r="X47" s="1" t="n">
        <f aca="false">IF(W47="",0,SUMIFS($I$7:$I$256,$D$7:$D$256,W47,$H$7:$H$256,"NTIME"))</f>
        <v>0</v>
      </c>
      <c r="Y47" s="1" t="n">
        <f aca="false">IF(W47="",0,SUMIFS($I$7:$I$256,$D$7:$D$256,W47,$H$7:$H$256,"P6"))</f>
        <v>0</v>
      </c>
      <c r="Z47" s="1" t="n">
        <f aca="false">X47+Y47</f>
        <v>0</v>
      </c>
      <c r="AA47" s="1" t="n">
        <f aca="false">IF(Z47&gt;0,Z47+(201-41)/10^6,0)</f>
        <v>0</v>
      </c>
      <c r="AB47" s="1"/>
      <c r="AC47" s="1"/>
      <c r="AD47" s="1" t="n">
        <f aca="false">IF(LARGE($AA$7:$AA$206,11)&lt;=0,0,MATCH(LARGE($AA$7:$AA$206,11),$AA$7:$AA$206,0))</f>
        <v>0</v>
      </c>
      <c r="AE47" s="1"/>
      <c r="AF47" s="1"/>
      <c r="AG47" s="1"/>
      <c r="AH47" s="1"/>
    </row>
    <row r="48" customFormat="false" ht="15" hidden="false" customHeight="false" outlineLevel="0" collapsed="false">
      <c r="A48" s="1"/>
      <c r="B48" s="10"/>
      <c r="C48" s="31" t="str">
        <f aca="false">IF(B48="","",TEXT(B48,"ddd"))</f>
        <v/>
      </c>
      <c r="D48" s="11"/>
      <c r="E48" s="8" t="str">
        <f aca="false">IF(D48="","",IFERROR(INDEX(ProjNumbers,MATCH(D48,ProjNames,0)),""))</f>
        <v/>
      </c>
      <c r="F48" s="8" t="str">
        <f aca="false">IF(D48="","",IFERROR(INDEX(ProjCodes,MATCH(D48,ProjNames,0)),""))</f>
        <v/>
      </c>
      <c r="G48" s="32"/>
      <c r="H48" s="11"/>
      <c r="I48" s="33"/>
      <c r="J48" s="8" t="str">
        <f aca="false">IF(COUNTA(B48,D48,G48,H48,I48)=0,"",IF(B48="","Enter date",IF(OR(B48&lt;$AC$2,B48&gt;$AC$3),"Date not in June",IF(D48="","Pick project",IF(ISNA(MATCH(D48,ProjNames,0)),"Project not in list",IF(G48="","Add task description",IF(H48="","Pick NTIME or P6",IF(N(I48)&lt;=0,"Enter hours",IF(AND(AllowOT&lt;&gt;"Yes",SUMIF($B$7:$B$256,B48,$I$7:$I$256)&gt;INDEX($O$58:$O$87,DAY(B48))),"Day over "&amp;INDEX($O$58:$O$87,DAY(B48))&amp;" h","✓")))))))))</f>
        <v/>
      </c>
      <c r="K48" s="1"/>
      <c r="L48" s="24" t="str">
        <f aca="false">IF($AD48=0,"",INDEX($W$7:$W$206,$AD48))</f>
        <v/>
      </c>
      <c r="M48" s="24" t="str">
        <f aca="false">IF($AD48=0,"",INDEX(ProjNumbers,$AD48))</f>
        <v/>
      </c>
      <c r="N48" s="24" t="str">
        <f aca="false">IF($AD48=0,"",INDEX(ProjCodes,$AD48))</f>
        <v/>
      </c>
      <c r="O48" s="24" t="str">
        <f aca="false">IF($AD48=0,"",INDEX($X$7:$X$206,$AD48))</f>
        <v/>
      </c>
      <c r="P48" s="24" t="str">
        <f aca="false">IF($AD48=0,"",INDEX($Y$7:$Y$206,$AD48))</f>
        <v/>
      </c>
      <c r="Q48" s="24" t="str">
        <f aca="false">IF($AD48=0,"",INDEX($Z$7:$Z$206,$AD48))</f>
        <v/>
      </c>
      <c r="R48" s="25" t="str">
        <f aca="false">IF(OR($AD48=0,$L$5=0),"",Q48/$L$5)</f>
        <v/>
      </c>
      <c r="S48" s="1"/>
      <c r="T48" s="1"/>
      <c r="U48" s="1"/>
      <c r="V48" s="1"/>
      <c r="W48" s="1" t="str">
        <f aca="false">IF(Projects!B46="","",Projects!B46)</f>
        <v/>
      </c>
      <c r="X48" s="1" t="n">
        <f aca="false">IF(W48="",0,SUMIFS($I$7:$I$256,$D$7:$D$256,W48,$H$7:$H$256,"NTIME"))</f>
        <v>0</v>
      </c>
      <c r="Y48" s="1" t="n">
        <f aca="false">IF(W48="",0,SUMIFS($I$7:$I$256,$D$7:$D$256,W48,$H$7:$H$256,"P6"))</f>
        <v>0</v>
      </c>
      <c r="Z48" s="1" t="n">
        <f aca="false">X48+Y48</f>
        <v>0</v>
      </c>
      <c r="AA48" s="1" t="n">
        <f aca="false">IF(Z48&gt;0,Z48+(201-42)/10^6,0)</f>
        <v>0</v>
      </c>
      <c r="AB48" s="1"/>
      <c r="AC48" s="1"/>
      <c r="AD48" s="1" t="n">
        <f aca="false">IF(LARGE($AA$7:$AA$206,12)&lt;=0,0,MATCH(LARGE($AA$7:$AA$206,12),$AA$7:$AA$206,0))</f>
        <v>0</v>
      </c>
      <c r="AE48" s="1"/>
      <c r="AF48" s="1"/>
      <c r="AG48" s="1"/>
      <c r="AH48" s="1"/>
    </row>
    <row r="49" customFormat="false" ht="15" hidden="false" customHeight="false" outlineLevel="0" collapsed="false">
      <c r="A49" s="1"/>
      <c r="B49" s="10"/>
      <c r="C49" s="31" t="str">
        <f aca="false">IF(B49="","",TEXT(B49,"ddd"))</f>
        <v/>
      </c>
      <c r="D49" s="11"/>
      <c r="E49" s="8" t="str">
        <f aca="false">IF(D49="","",IFERROR(INDEX(ProjNumbers,MATCH(D49,ProjNames,0)),""))</f>
        <v/>
      </c>
      <c r="F49" s="8" t="str">
        <f aca="false">IF(D49="","",IFERROR(INDEX(ProjCodes,MATCH(D49,ProjNames,0)),""))</f>
        <v/>
      </c>
      <c r="G49" s="32"/>
      <c r="H49" s="11"/>
      <c r="I49" s="33"/>
      <c r="J49" s="8" t="str">
        <f aca="false">IF(COUNTA(B49,D49,G49,H49,I49)=0,"",IF(B49="","Enter date",IF(OR(B49&lt;$AC$2,B49&gt;$AC$3),"Date not in June",IF(D49="","Pick project",IF(ISNA(MATCH(D49,ProjNames,0)),"Project not in list",IF(G49="","Add task description",IF(H49="","Pick NTIME or P6",IF(N(I49)&lt;=0,"Enter hours",IF(AND(AllowOT&lt;&gt;"Yes",SUMIF($B$7:$B$256,B49,$I$7:$I$256)&gt;INDEX($O$58:$O$87,DAY(B49))),"Day over "&amp;INDEX($O$58:$O$87,DAY(B49))&amp;" h","✓")))))))))</f>
        <v/>
      </c>
      <c r="K49" s="1"/>
      <c r="L49" s="24" t="str">
        <f aca="false">IF($AD49=0,"",INDEX($W$7:$W$206,$AD49))</f>
        <v/>
      </c>
      <c r="M49" s="24" t="str">
        <f aca="false">IF($AD49=0,"",INDEX(ProjNumbers,$AD49))</f>
        <v/>
      </c>
      <c r="N49" s="24" t="str">
        <f aca="false">IF($AD49=0,"",INDEX(ProjCodes,$AD49))</f>
        <v/>
      </c>
      <c r="O49" s="24" t="str">
        <f aca="false">IF($AD49=0,"",INDEX($X$7:$X$206,$AD49))</f>
        <v/>
      </c>
      <c r="P49" s="24" t="str">
        <f aca="false">IF($AD49=0,"",INDEX($Y$7:$Y$206,$AD49))</f>
        <v/>
      </c>
      <c r="Q49" s="24" t="str">
        <f aca="false">IF($AD49=0,"",INDEX($Z$7:$Z$206,$AD49))</f>
        <v/>
      </c>
      <c r="R49" s="25" t="str">
        <f aca="false">IF(OR($AD49=0,$L$5=0),"",Q49/$L$5)</f>
        <v/>
      </c>
      <c r="S49" s="1"/>
      <c r="T49" s="1"/>
      <c r="U49" s="1"/>
      <c r="V49" s="1"/>
      <c r="W49" s="1" t="str">
        <f aca="false">IF(Projects!B47="","",Projects!B47)</f>
        <v/>
      </c>
      <c r="X49" s="1" t="n">
        <f aca="false">IF(W49="",0,SUMIFS($I$7:$I$256,$D$7:$D$256,W49,$H$7:$H$256,"NTIME"))</f>
        <v>0</v>
      </c>
      <c r="Y49" s="1" t="n">
        <f aca="false">IF(W49="",0,SUMIFS($I$7:$I$256,$D$7:$D$256,W49,$H$7:$H$256,"P6"))</f>
        <v>0</v>
      </c>
      <c r="Z49" s="1" t="n">
        <f aca="false">X49+Y49</f>
        <v>0</v>
      </c>
      <c r="AA49" s="1" t="n">
        <f aca="false">IF(Z49&gt;0,Z49+(201-43)/10^6,0)</f>
        <v>0</v>
      </c>
      <c r="AB49" s="1"/>
      <c r="AC49" s="1"/>
      <c r="AD49" s="1" t="n">
        <f aca="false">IF(LARGE($AA$7:$AA$206,13)&lt;=0,0,MATCH(LARGE($AA$7:$AA$206,13),$AA$7:$AA$206,0))</f>
        <v>0</v>
      </c>
      <c r="AE49" s="1"/>
      <c r="AF49" s="1"/>
      <c r="AG49" s="1"/>
      <c r="AH49" s="1"/>
    </row>
    <row r="50" customFormat="false" ht="15" hidden="false" customHeight="false" outlineLevel="0" collapsed="false">
      <c r="A50" s="1"/>
      <c r="B50" s="10"/>
      <c r="C50" s="31" t="str">
        <f aca="false">IF(B50="","",TEXT(B50,"ddd"))</f>
        <v/>
      </c>
      <c r="D50" s="11"/>
      <c r="E50" s="8" t="str">
        <f aca="false">IF(D50="","",IFERROR(INDEX(ProjNumbers,MATCH(D50,ProjNames,0)),""))</f>
        <v/>
      </c>
      <c r="F50" s="8" t="str">
        <f aca="false">IF(D50="","",IFERROR(INDEX(ProjCodes,MATCH(D50,ProjNames,0)),""))</f>
        <v/>
      </c>
      <c r="G50" s="32"/>
      <c r="H50" s="11"/>
      <c r="I50" s="33"/>
      <c r="J50" s="8" t="str">
        <f aca="false">IF(COUNTA(B50,D50,G50,H50,I50)=0,"",IF(B50="","Enter date",IF(OR(B50&lt;$AC$2,B50&gt;$AC$3),"Date not in June",IF(D50="","Pick project",IF(ISNA(MATCH(D50,ProjNames,0)),"Project not in list",IF(G50="","Add task description",IF(H50="","Pick NTIME or P6",IF(N(I50)&lt;=0,"Enter hours",IF(AND(AllowOT&lt;&gt;"Yes",SUMIF($B$7:$B$256,B50,$I$7:$I$256)&gt;INDEX($O$58:$O$87,DAY(B50))),"Day over "&amp;INDEX($O$58:$O$87,DAY(B50))&amp;" h","✓")))))))))</f>
        <v/>
      </c>
      <c r="K50" s="1"/>
      <c r="L50" s="24" t="str">
        <f aca="false">IF($AD50=0,"",INDEX($W$7:$W$206,$AD50))</f>
        <v/>
      </c>
      <c r="M50" s="24" t="str">
        <f aca="false">IF($AD50=0,"",INDEX(ProjNumbers,$AD50))</f>
        <v/>
      </c>
      <c r="N50" s="24" t="str">
        <f aca="false">IF($AD50=0,"",INDEX(ProjCodes,$AD50))</f>
        <v/>
      </c>
      <c r="O50" s="24" t="str">
        <f aca="false">IF($AD50=0,"",INDEX($X$7:$X$206,$AD50))</f>
        <v/>
      </c>
      <c r="P50" s="24" t="str">
        <f aca="false">IF($AD50=0,"",INDEX($Y$7:$Y$206,$AD50))</f>
        <v/>
      </c>
      <c r="Q50" s="24" t="str">
        <f aca="false">IF($AD50=0,"",INDEX($Z$7:$Z$206,$AD50))</f>
        <v/>
      </c>
      <c r="R50" s="25" t="str">
        <f aca="false">IF(OR($AD50=0,$L$5=0),"",Q50/$L$5)</f>
        <v/>
      </c>
      <c r="S50" s="1"/>
      <c r="T50" s="1"/>
      <c r="U50" s="1"/>
      <c r="V50" s="1"/>
      <c r="W50" s="1" t="str">
        <f aca="false">IF(Projects!B48="","",Projects!B48)</f>
        <v/>
      </c>
      <c r="X50" s="1" t="n">
        <f aca="false">IF(W50="",0,SUMIFS($I$7:$I$256,$D$7:$D$256,W50,$H$7:$H$256,"NTIME"))</f>
        <v>0</v>
      </c>
      <c r="Y50" s="1" t="n">
        <f aca="false">IF(W50="",0,SUMIFS($I$7:$I$256,$D$7:$D$256,W50,$H$7:$H$256,"P6"))</f>
        <v>0</v>
      </c>
      <c r="Z50" s="1" t="n">
        <f aca="false">X50+Y50</f>
        <v>0</v>
      </c>
      <c r="AA50" s="1" t="n">
        <f aca="false">IF(Z50&gt;0,Z50+(201-44)/10^6,0)</f>
        <v>0</v>
      </c>
      <c r="AB50" s="1"/>
      <c r="AC50" s="1"/>
      <c r="AD50" s="1" t="n">
        <f aca="false">IF(LARGE($AA$7:$AA$206,14)&lt;=0,0,MATCH(LARGE($AA$7:$AA$206,14),$AA$7:$AA$206,0))</f>
        <v>0</v>
      </c>
      <c r="AE50" s="1"/>
      <c r="AF50" s="1"/>
      <c r="AG50" s="1"/>
      <c r="AH50" s="1"/>
    </row>
    <row r="51" customFormat="false" ht="15" hidden="false" customHeight="false" outlineLevel="0" collapsed="false">
      <c r="A51" s="1"/>
      <c r="B51" s="10"/>
      <c r="C51" s="31" t="str">
        <f aca="false">IF(B51="","",TEXT(B51,"ddd"))</f>
        <v/>
      </c>
      <c r="D51" s="11"/>
      <c r="E51" s="8" t="str">
        <f aca="false">IF(D51="","",IFERROR(INDEX(ProjNumbers,MATCH(D51,ProjNames,0)),""))</f>
        <v/>
      </c>
      <c r="F51" s="8" t="str">
        <f aca="false">IF(D51="","",IFERROR(INDEX(ProjCodes,MATCH(D51,ProjNames,0)),""))</f>
        <v/>
      </c>
      <c r="G51" s="32"/>
      <c r="H51" s="11"/>
      <c r="I51" s="33"/>
      <c r="J51" s="8" t="str">
        <f aca="false">IF(COUNTA(B51,D51,G51,H51,I51)=0,"",IF(B51="","Enter date",IF(OR(B51&lt;$AC$2,B51&gt;$AC$3),"Date not in June",IF(D51="","Pick project",IF(ISNA(MATCH(D51,ProjNames,0)),"Project not in list",IF(G51="","Add task description",IF(H51="","Pick NTIME or P6",IF(N(I51)&lt;=0,"Enter hours",IF(AND(AllowOT&lt;&gt;"Yes",SUMIF($B$7:$B$256,B51,$I$7:$I$256)&gt;INDEX($O$58:$O$87,DAY(B51))),"Day over "&amp;INDEX($O$58:$O$87,DAY(B51))&amp;" h","✓")))))))))</f>
        <v/>
      </c>
      <c r="K51" s="1"/>
      <c r="L51" s="24" t="str">
        <f aca="false">IF($AD51=0,"",INDEX($W$7:$W$206,$AD51))</f>
        <v/>
      </c>
      <c r="M51" s="24" t="str">
        <f aca="false">IF($AD51=0,"",INDEX(ProjNumbers,$AD51))</f>
        <v/>
      </c>
      <c r="N51" s="24" t="str">
        <f aca="false">IF($AD51=0,"",INDEX(ProjCodes,$AD51))</f>
        <v/>
      </c>
      <c r="O51" s="24" t="str">
        <f aca="false">IF($AD51=0,"",INDEX($X$7:$X$206,$AD51))</f>
        <v/>
      </c>
      <c r="P51" s="24" t="str">
        <f aca="false">IF($AD51=0,"",INDEX($Y$7:$Y$206,$AD51))</f>
        <v/>
      </c>
      <c r="Q51" s="24" t="str">
        <f aca="false">IF($AD51=0,"",INDEX($Z$7:$Z$206,$AD51))</f>
        <v/>
      </c>
      <c r="R51" s="25" t="str">
        <f aca="false">IF(OR($AD51=0,$L$5=0),"",Q51/$L$5)</f>
        <v/>
      </c>
      <c r="S51" s="1"/>
      <c r="T51" s="1"/>
      <c r="U51" s="1"/>
      <c r="V51" s="1"/>
      <c r="W51" s="1" t="str">
        <f aca="false">IF(Projects!B49="","",Projects!B49)</f>
        <v/>
      </c>
      <c r="X51" s="1" t="n">
        <f aca="false">IF(W51="",0,SUMIFS($I$7:$I$256,$D$7:$D$256,W51,$H$7:$H$256,"NTIME"))</f>
        <v>0</v>
      </c>
      <c r="Y51" s="1" t="n">
        <f aca="false">IF(W51="",0,SUMIFS($I$7:$I$256,$D$7:$D$256,W51,$H$7:$H$256,"P6"))</f>
        <v>0</v>
      </c>
      <c r="Z51" s="1" t="n">
        <f aca="false">X51+Y51</f>
        <v>0</v>
      </c>
      <c r="AA51" s="1" t="n">
        <f aca="false">IF(Z51&gt;0,Z51+(201-45)/10^6,0)</f>
        <v>0</v>
      </c>
      <c r="AB51" s="1"/>
      <c r="AC51" s="1"/>
      <c r="AD51" s="1" t="n">
        <f aca="false">IF(LARGE($AA$7:$AA$206,15)&lt;=0,0,MATCH(LARGE($AA$7:$AA$206,15),$AA$7:$AA$206,0))</f>
        <v>0</v>
      </c>
      <c r="AE51" s="1"/>
      <c r="AF51" s="1"/>
      <c r="AG51" s="1"/>
      <c r="AH51" s="1"/>
    </row>
    <row r="52" customFormat="false" ht="15" hidden="false" customHeight="false" outlineLevel="0" collapsed="false">
      <c r="A52" s="1"/>
      <c r="B52" s="10"/>
      <c r="C52" s="31" t="str">
        <f aca="false">IF(B52="","",TEXT(B52,"ddd"))</f>
        <v/>
      </c>
      <c r="D52" s="11"/>
      <c r="E52" s="8" t="str">
        <f aca="false">IF(D52="","",IFERROR(INDEX(ProjNumbers,MATCH(D52,ProjNames,0)),""))</f>
        <v/>
      </c>
      <c r="F52" s="8" t="str">
        <f aca="false">IF(D52="","",IFERROR(INDEX(ProjCodes,MATCH(D52,ProjNames,0)),""))</f>
        <v/>
      </c>
      <c r="G52" s="32"/>
      <c r="H52" s="11"/>
      <c r="I52" s="33"/>
      <c r="J52" s="8" t="str">
        <f aca="false">IF(COUNTA(B52,D52,G52,H52,I52)=0,"",IF(B52="","Enter date",IF(OR(B52&lt;$AC$2,B52&gt;$AC$3),"Date not in June",IF(D52="","Pick project",IF(ISNA(MATCH(D52,ProjNames,0)),"Project not in list",IF(G52="","Add task description",IF(H52="","Pick NTIME or P6",IF(N(I52)&lt;=0,"Enter hours",IF(AND(AllowOT&lt;&gt;"Yes",SUMIF($B$7:$B$256,B52,$I$7:$I$256)&gt;INDEX($O$58:$O$87,DAY(B52))),"Day over "&amp;INDEX($O$58:$O$87,DAY(B52))&amp;" h","✓")))))))))</f>
        <v/>
      </c>
      <c r="K52" s="1"/>
      <c r="L52" s="24" t="s">
        <v>87</v>
      </c>
      <c r="M52" s="24"/>
      <c r="N52" s="24"/>
      <c r="O52" s="24" t="n">
        <f aca="false">SUM($P$58:$P$87)-SUM($X$7:$X$206)</f>
        <v>0</v>
      </c>
      <c r="P52" s="24" t="n">
        <f aca="false">SUM($Q$58:$Q$87)-SUM($Y$7:$Y$206)</f>
        <v>0</v>
      </c>
      <c r="Q52" s="24" t="n">
        <f aca="false">O52+P52</f>
        <v>0</v>
      </c>
      <c r="R52" s="25" t="str">
        <f aca="false">IF($L$5=0,"",Q52/$L$5)</f>
        <v/>
      </c>
      <c r="S52" s="1"/>
      <c r="T52" s="1"/>
      <c r="U52" s="1"/>
      <c r="V52" s="1"/>
      <c r="W52" s="1" t="str">
        <f aca="false">IF(Projects!B50="","",Projects!B50)</f>
        <v/>
      </c>
      <c r="X52" s="1" t="n">
        <f aca="false">IF(W52="",0,SUMIFS($I$7:$I$256,$D$7:$D$256,W52,$H$7:$H$256,"NTIME"))</f>
        <v>0</v>
      </c>
      <c r="Y52" s="1" t="n">
        <f aca="false">IF(W52="",0,SUMIFS($I$7:$I$256,$D$7:$D$256,W52,$H$7:$H$256,"P6"))</f>
        <v>0</v>
      </c>
      <c r="Z52" s="1" t="n">
        <f aca="false">X52+Y52</f>
        <v>0</v>
      </c>
      <c r="AA52" s="1" t="n">
        <f aca="false">IF(Z52&gt;0,Z52+(201-46)/10^6,0)</f>
        <v>0</v>
      </c>
      <c r="AB52" s="1"/>
      <c r="AC52" s="1"/>
      <c r="AD52" s="1"/>
      <c r="AE52" s="1"/>
      <c r="AF52" s="1"/>
      <c r="AG52" s="1"/>
      <c r="AH52" s="1"/>
    </row>
    <row r="53" customFormat="false" ht="15" hidden="false" customHeight="false" outlineLevel="0" collapsed="false">
      <c r="A53" s="1"/>
      <c r="B53" s="10"/>
      <c r="C53" s="31" t="str">
        <f aca="false">IF(B53="","",TEXT(B53,"ddd"))</f>
        <v/>
      </c>
      <c r="D53" s="11"/>
      <c r="E53" s="8" t="str">
        <f aca="false">IF(D53="","",IFERROR(INDEX(ProjNumbers,MATCH(D53,ProjNames,0)),""))</f>
        <v/>
      </c>
      <c r="F53" s="8" t="str">
        <f aca="false">IF(D53="","",IFERROR(INDEX(ProjCodes,MATCH(D53,ProjNames,0)),""))</f>
        <v/>
      </c>
      <c r="G53" s="32"/>
      <c r="H53" s="11"/>
      <c r="I53" s="33"/>
      <c r="J53" s="8" t="str">
        <f aca="false">IF(COUNTA(B53,D53,G53,H53,I53)=0,"",IF(B53="","Enter date",IF(OR(B53&lt;$AC$2,B53&gt;$AC$3),"Date not in June",IF(D53="","Pick project",IF(ISNA(MATCH(D53,ProjNames,0)),"Project not in list",IF(G53="","Add task description",IF(H53="","Pick NTIME or P6",IF(N(I53)&lt;=0,"Enter hours",IF(AND(AllowOT&lt;&gt;"Yes",SUMIF($B$7:$B$256,B53,$I$7:$I$256)&gt;INDEX($O$58:$O$87,DAY(B53))),"Day over "&amp;INDEX($O$58:$O$87,DAY(B53))&amp;" h","✓")))))))))</f>
        <v/>
      </c>
      <c r="K53" s="1"/>
      <c r="L53" s="24" t="s">
        <v>15</v>
      </c>
      <c r="M53" s="24" t="s">
        <v>88</v>
      </c>
      <c r="N53" s="24"/>
      <c r="O53" s="24" t="str">
        <f aca="false">IF(OHSystem="NTIME",O5,"")</f>
        <v/>
      </c>
      <c r="P53" s="24" t="str">
        <f aca="false">IF(OHSystem="P6",O5,"")</f>
        <v/>
      </c>
      <c r="Q53" s="24" t="n">
        <f aca="false">O5</f>
        <v>0</v>
      </c>
      <c r="R53" s="25" t="str">
        <f aca="false">IF($L$5=0,"",Q53/$L$5)</f>
        <v/>
      </c>
      <c r="S53" s="1"/>
      <c r="T53" s="1"/>
      <c r="U53" s="1"/>
      <c r="V53" s="1"/>
      <c r="W53" s="1" t="str">
        <f aca="false">IF(Projects!B51="","",Projects!B51)</f>
        <v/>
      </c>
      <c r="X53" s="1" t="n">
        <f aca="false">IF(W53="",0,SUMIFS($I$7:$I$256,$D$7:$D$256,W53,$H$7:$H$256,"NTIME"))</f>
        <v>0</v>
      </c>
      <c r="Y53" s="1" t="n">
        <f aca="false">IF(W53="",0,SUMIFS($I$7:$I$256,$D$7:$D$256,W53,$H$7:$H$256,"P6"))</f>
        <v>0</v>
      </c>
      <c r="Z53" s="1" t="n">
        <f aca="false">X53+Y53</f>
        <v>0</v>
      </c>
      <c r="AA53" s="1" t="n">
        <f aca="false">IF(Z53&gt;0,Z53+(201-47)/10^6,0)</f>
        <v>0</v>
      </c>
      <c r="AB53" s="1"/>
      <c r="AC53" s="1"/>
      <c r="AD53" s="1"/>
      <c r="AE53" s="1"/>
      <c r="AF53" s="1"/>
      <c r="AG53" s="1"/>
      <c r="AH53" s="1"/>
    </row>
    <row r="54" customFormat="false" ht="15" hidden="false" customHeight="false" outlineLevel="0" collapsed="false">
      <c r="A54" s="1"/>
      <c r="B54" s="10"/>
      <c r="C54" s="31" t="str">
        <f aca="false">IF(B54="","",TEXT(B54,"ddd"))</f>
        <v/>
      </c>
      <c r="D54" s="11"/>
      <c r="E54" s="8" t="str">
        <f aca="false">IF(D54="","",IFERROR(INDEX(ProjNumbers,MATCH(D54,ProjNames,0)),""))</f>
        <v/>
      </c>
      <c r="F54" s="8" t="str">
        <f aca="false">IF(D54="","",IFERROR(INDEX(ProjCodes,MATCH(D54,ProjNames,0)),""))</f>
        <v/>
      </c>
      <c r="G54" s="32"/>
      <c r="H54" s="11"/>
      <c r="I54" s="33"/>
      <c r="J54" s="8" t="str">
        <f aca="false">IF(COUNTA(B54,D54,G54,H54,I54)=0,"",IF(B54="","Enter date",IF(OR(B54&lt;$AC$2,B54&gt;$AC$3),"Date not in June",IF(D54="","Pick project",IF(ISNA(MATCH(D54,ProjNames,0)),"Project not in list",IF(G54="","Add task description",IF(H54="","Pick NTIME or P6",IF(N(I54)&lt;=0,"Enter hours",IF(AND(AllowOT&lt;&gt;"Yes",SUMIF($B$7:$B$256,B54,$I$7:$I$256)&gt;INDEX($O$58:$O$87,DAY(B54))),"Day over "&amp;INDEX($O$58:$O$87,DAY(B54))&amp;" h","✓")))))))))</f>
        <v/>
      </c>
      <c r="K54" s="1"/>
      <c r="L54" s="27" t="s">
        <v>57</v>
      </c>
      <c r="M54" s="27"/>
      <c r="N54" s="27"/>
      <c r="O54" s="27" t="n">
        <f aca="false">M5</f>
        <v>0</v>
      </c>
      <c r="P54" s="27" t="n">
        <f aca="false">N5</f>
        <v>0</v>
      </c>
      <c r="Q54" s="27" t="n">
        <f aca="false">L5</f>
        <v>0</v>
      </c>
      <c r="R54" s="27"/>
      <c r="S54" s="1"/>
      <c r="T54" s="1"/>
      <c r="U54" s="1"/>
      <c r="V54" s="1"/>
      <c r="W54" s="1" t="str">
        <f aca="false">IF(Projects!B52="","",Projects!B52)</f>
        <v/>
      </c>
      <c r="X54" s="1" t="n">
        <f aca="false">IF(W54="",0,SUMIFS($I$7:$I$256,$D$7:$D$256,W54,$H$7:$H$256,"NTIME"))</f>
        <v>0</v>
      </c>
      <c r="Y54" s="1" t="n">
        <f aca="false">IF(W54="",0,SUMIFS($I$7:$I$256,$D$7:$D$256,W54,$H$7:$H$256,"P6"))</f>
        <v>0</v>
      </c>
      <c r="Z54" s="1" t="n">
        <f aca="false">X54+Y54</f>
        <v>0</v>
      </c>
      <c r="AA54" s="1" t="n">
        <f aca="false">IF(Z54&gt;0,Z54+(201-48)/10^6,0)</f>
        <v>0</v>
      </c>
      <c r="AB54" s="1"/>
      <c r="AC54" s="1"/>
      <c r="AD54" s="1"/>
      <c r="AE54" s="1"/>
      <c r="AF54" s="1"/>
      <c r="AG54" s="1"/>
      <c r="AH54" s="1"/>
    </row>
    <row r="55" customFormat="false" ht="15" hidden="false" customHeight="false" outlineLevel="0" collapsed="false">
      <c r="A55" s="1"/>
      <c r="B55" s="10"/>
      <c r="C55" s="31" t="str">
        <f aca="false">IF(B55="","",TEXT(B55,"ddd"))</f>
        <v/>
      </c>
      <c r="D55" s="11"/>
      <c r="E55" s="8" t="str">
        <f aca="false">IF(D55="","",IFERROR(INDEX(ProjNumbers,MATCH(D55,ProjNames,0)),""))</f>
        <v/>
      </c>
      <c r="F55" s="8" t="str">
        <f aca="false">IF(D55="","",IFERROR(INDEX(ProjCodes,MATCH(D55,ProjNames,0)),""))</f>
        <v/>
      </c>
      <c r="G55" s="32"/>
      <c r="H55" s="11"/>
      <c r="I55" s="33"/>
      <c r="J55" s="8" t="str">
        <f aca="false">IF(COUNTA(B55,D55,G55,H55,I55)=0,"",IF(B55="","Enter date",IF(OR(B55&lt;$AC$2,B55&gt;$AC$3),"Date not in June",IF(D55="","Pick project",IF(ISNA(MATCH(D55,ProjNames,0)),"Project not in list",IF(G55="","Add task description",IF(H55="","Pick NTIME or P6",IF(N(I55)&lt;=0,"Enter hours",IF(AND(AllowOT&lt;&gt;"Yes",SUMIF($B$7:$B$256,B55,$I$7:$I$256)&gt;INDEX($O$58:$O$87,DAY(B55))),"Day over "&amp;INDEX($O$58:$O$87,DAY(B55))&amp;" h","✓")))))))))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tr">
        <f aca="false">IF(Projects!B53="","",Projects!B53)</f>
        <v/>
      </c>
      <c r="X55" s="1" t="n">
        <f aca="false">IF(W55="",0,SUMIFS($I$7:$I$256,$D$7:$D$256,W55,$H$7:$H$256,"NTIME"))</f>
        <v>0</v>
      </c>
      <c r="Y55" s="1" t="n">
        <f aca="false">IF(W55="",0,SUMIFS($I$7:$I$256,$D$7:$D$256,W55,$H$7:$H$256,"P6"))</f>
        <v>0</v>
      </c>
      <c r="Z55" s="1" t="n">
        <f aca="false">X55+Y55</f>
        <v>0</v>
      </c>
      <c r="AA55" s="1" t="n">
        <f aca="false">IF(Z55&gt;0,Z55+(201-49)/10^6,0)</f>
        <v>0</v>
      </c>
      <c r="AB55" s="1"/>
      <c r="AC55" s="1"/>
      <c r="AD55" s="1"/>
      <c r="AE55" s="1"/>
      <c r="AF55" s="1"/>
      <c r="AG55" s="1"/>
      <c r="AH55" s="1"/>
    </row>
    <row r="56" customFormat="false" ht="15" hidden="false" customHeight="false" outlineLevel="0" collapsed="false">
      <c r="A56" s="1"/>
      <c r="B56" s="10"/>
      <c r="C56" s="31" t="str">
        <f aca="false">IF(B56="","",TEXT(B56,"ddd"))</f>
        <v/>
      </c>
      <c r="D56" s="11"/>
      <c r="E56" s="8" t="str">
        <f aca="false">IF(D56="","",IFERROR(INDEX(ProjNumbers,MATCH(D56,ProjNames,0)),""))</f>
        <v/>
      </c>
      <c r="F56" s="8" t="str">
        <f aca="false">IF(D56="","",IFERROR(INDEX(ProjCodes,MATCH(D56,ProjNames,0)),""))</f>
        <v/>
      </c>
      <c r="G56" s="32"/>
      <c r="H56" s="11"/>
      <c r="I56" s="33"/>
      <c r="J56" s="8" t="str">
        <f aca="false">IF(COUNTA(B56,D56,G56,H56,I56)=0,"",IF(B56="","Enter date",IF(OR(B56&lt;$AC$2,B56&gt;$AC$3),"Date not in June",IF(D56="","Pick project",IF(ISNA(MATCH(D56,ProjNames,0)),"Project not in list",IF(G56="","Add task description",IF(H56="","Pick NTIME or P6",IF(N(I56)&lt;=0,"Enter hours",IF(AND(AllowOT&lt;&gt;"Yes",SUMIF($B$7:$B$256,B56,$I$7:$I$256)&gt;INDEX($O$58:$O$87,DAY(B56))),"Day over "&amp;INDEX($O$58:$O$87,DAY(B56))&amp;" h","✓")))))))))</f>
        <v/>
      </c>
      <c r="K56" s="1"/>
      <c r="L56" s="4" t="s">
        <v>89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 aca="false">IF(Projects!B54="","",Projects!B54)</f>
        <v/>
      </c>
      <c r="X56" s="1" t="n">
        <f aca="false">IF(W56="",0,SUMIFS($I$7:$I$256,$D$7:$D$256,W56,$H$7:$H$256,"NTIME"))</f>
        <v>0</v>
      </c>
      <c r="Y56" s="1" t="n">
        <f aca="false">IF(W56="",0,SUMIFS($I$7:$I$256,$D$7:$D$256,W56,$H$7:$H$256,"P6"))</f>
        <v>0</v>
      </c>
      <c r="Z56" s="1" t="n">
        <f aca="false">X56+Y56</f>
        <v>0</v>
      </c>
      <c r="AA56" s="1" t="n">
        <f aca="false">IF(Z56&gt;0,Z56+(201-50)/10^6,0)</f>
        <v>0</v>
      </c>
      <c r="AB56" s="1"/>
      <c r="AC56" s="1"/>
      <c r="AD56" s="1"/>
      <c r="AE56" s="1"/>
      <c r="AF56" s="1"/>
      <c r="AG56" s="1"/>
      <c r="AH56" s="1"/>
    </row>
    <row r="57" customFormat="false" ht="15" hidden="false" customHeight="false" outlineLevel="0" collapsed="false">
      <c r="A57" s="1"/>
      <c r="B57" s="10"/>
      <c r="C57" s="31" t="str">
        <f aca="false">IF(B57="","",TEXT(B57,"ddd"))</f>
        <v/>
      </c>
      <c r="D57" s="11"/>
      <c r="E57" s="8" t="str">
        <f aca="false">IF(D57="","",IFERROR(INDEX(ProjNumbers,MATCH(D57,ProjNames,0)),""))</f>
        <v/>
      </c>
      <c r="F57" s="8" t="str">
        <f aca="false">IF(D57="","",IFERROR(INDEX(ProjCodes,MATCH(D57,ProjNames,0)),""))</f>
        <v/>
      </c>
      <c r="G57" s="32"/>
      <c r="H57" s="11"/>
      <c r="I57" s="33"/>
      <c r="J57" s="8" t="str">
        <f aca="false">IF(COUNTA(B57,D57,G57,H57,I57)=0,"",IF(B57="","Enter date",IF(OR(B57&lt;$AC$2,B57&gt;$AC$3),"Date not in June",IF(D57="","Pick project",IF(ISNA(MATCH(D57,ProjNames,0)),"Project not in list",IF(G57="","Add task description",IF(H57="","Pick NTIME or P6",IF(N(I57)&lt;=0,"Enter hours",IF(AND(AllowOT&lt;&gt;"Yes",SUMIF($B$7:$B$256,B57,$I$7:$I$256)&gt;INDEX($O$58:$O$87,DAY(B57))),"Day over "&amp;INDEX($O$58:$O$87,DAY(B57))&amp;" h","✓")))))))))</f>
        <v/>
      </c>
      <c r="K57" s="1"/>
      <c r="L57" s="9" t="s">
        <v>33</v>
      </c>
      <c r="M57" s="9" t="s">
        <v>34</v>
      </c>
      <c r="N57" s="9" t="s">
        <v>90</v>
      </c>
      <c r="O57" s="9" t="s">
        <v>91</v>
      </c>
      <c r="P57" s="20" t="s">
        <v>46</v>
      </c>
      <c r="Q57" s="21" t="s">
        <v>56</v>
      </c>
      <c r="R57" s="22" t="s">
        <v>15</v>
      </c>
      <c r="S57" s="9" t="s">
        <v>24</v>
      </c>
      <c r="T57" s="9" t="s">
        <v>57</v>
      </c>
      <c r="U57" s="9" t="s">
        <v>92</v>
      </c>
      <c r="V57" s="1"/>
      <c r="W57" s="1" t="str">
        <f aca="false">IF(Projects!B55="","",Projects!B55)</f>
        <v/>
      </c>
      <c r="X57" s="1" t="n">
        <f aca="false">IF(W57="",0,SUMIFS($I$7:$I$256,$D$7:$D$256,W57,$H$7:$H$256,"NTIME"))</f>
        <v>0</v>
      </c>
      <c r="Y57" s="1" t="n">
        <f aca="false">IF(W57="",0,SUMIFS($I$7:$I$256,$D$7:$D$256,W57,$H$7:$H$256,"P6"))</f>
        <v>0</v>
      </c>
      <c r="Z57" s="1" t="n">
        <f aca="false">X57+Y57</f>
        <v>0</v>
      </c>
      <c r="AA57" s="1" t="n">
        <f aca="false">IF(Z57&gt;0,Z57+(201-51)/10^6,0)</f>
        <v>0</v>
      </c>
      <c r="AB57" s="1"/>
      <c r="AC57" s="1"/>
      <c r="AD57" s="1"/>
      <c r="AE57" s="1"/>
      <c r="AF57" s="1"/>
      <c r="AG57" s="1"/>
      <c r="AH57" s="1"/>
    </row>
    <row r="58" customFormat="false" ht="15" hidden="false" customHeight="false" outlineLevel="0" collapsed="false">
      <c r="A58" s="1"/>
      <c r="B58" s="10"/>
      <c r="C58" s="31" t="str">
        <f aca="false">IF(B58="","",TEXT(B58,"ddd"))</f>
        <v/>
      </c>
      <c r="D58" s="11"/>
      <c r="E58" s="8" t="str">
        <f aca="false">IF(D58="","",IFERROR(INDEX(ProjNumbers,MATCH(D58,ProjNames,0)),""))</f>
        <v/>
      </c>
      <c r="F58" s="8" t="str">
        <f aca="false">IF(D58="","",IFERROR(INDEX(ProjCodes,MATCH(D58,ProjNames,0)),""))</f>
        <v/>
      </c>
      <c r="G58" s="32"/>
      <c r="H58" s="11"/>
      <c r="I58" s="33"/>
      <c r="J58" s="8" t="str">
        <f aca="false">IF(COUNTA(B58,D58,G58,H58,I58)=0,"",IF(B58="","Enter date",IF(OR(B58&lt;$AC$2,B58&gt;$AC$3),"Date not in June",IF(D58="","Pick project",IF(ISNA(MATCH(D58,ProjNames,0)),"Project not in list",IF(G58="","Add task description",IF(H58="","Pick NTIME or P6",IF(N(I58)&lt;=0,"Enter hours",IF(AND(AllowOT&lt;&gt;"Yes",SUMIF($B$7:$B$256,B58,$I$7:$I$256)&gt;INDEX($O$58:$O$87,DAY(B58))),"Day over "&amp;INDEX($O$58:$O$87,DAY(B58))&amp;" h","✓")))))))))</f>
        <v/>
      </c>
      <c r="K58" s="1"/>
      <c r="L58" s="35" t="n">
        <v>46174</v>
      </c>
      <c r="M58" s="36" t="str">
        <f aca="false">TEXT(L58,"ddd")</f>
        <v>Mon</v>
      </c>
      <c r="N58" s="37" t="s">
        <v>93</v>
      </c>
      <c r="O58" s="37" t="n">
        <f aca="false">AvailHours</f>
        <v>8</v>
      </c>
      <c r="P58" s="24" t="n">
        <f aca="false">SUMIFS($I$7:$I$256,$B$7:$B$256,L58,$H$7:$H$256,"NTIME")</f>
        <v>0</v>
      </c>
      <c r="Q58" s="24" t="n">
        <f aca="false">SUMIFS($I$7:$I$256,$B$7:$B$256,L58,$H$7:$H$256,"P6")</f>
        <v>0</v>
      </c>
      <c r="R58" s="24" t="n">
        <f aca="false">IF(N58="Overhead only",O58,IF(AND(N58="Working",P58+Q58&gt;0),MAX(0,O58-P58-Q58),0))</f>
        <v>0</v>
      </c>
      <c r="S58" s="24" t="n">
        <f aca="false">IF(OR(N58="Working",N58="Overhead only"),MAX(0,P58+Q58-O58),0)</f>
        <v>0</v>
      </c>
      <c r="T58" s="24" t="n">
        <f aca="false">P58+Q58+R58</f>
        <v>0</v>
      </c>
      <c r="U58" s="24" t="str">
        <f aca="true">IF(N58="Working",IF(P58+Q58=0,IF(L58&lt;=TODAY(),"Not logged",""),IF(P58+Q58&gt;O58,IF(AllowOT="Yes","Overtime","Over "&amp;O58&amp;" h!"),"✓")),IF(N58="Overhead only","✓ Overhead day",IF(P58+Q58&gt;0,"Entries on "&amp;LOWER(N58)&amp;" day",N58)))</f>
        <v>Not logged</v>
      </c>
      <c r="V58" s="1"/>
      <c r="W58" s="1" t="str">
        <f aca="false">IF(Projects!B56="","",Projects!B56)</f>
        <v/>
      </c>
      <c r="X58" s="1" t="n">
        <f aca="false">IF(W58="",0,SUMIFS($I$7:$I$256,$D$7:$D$256,W58,$H$7:$H$256,"NTIME"))</f>
        <v>0</v>
      </c>
      <c r="Y58" s="1" t="n">
        <f aca="false">IF(W58="",0,SUMIFS($I$7:$I$256,$D$7:$D$256,W58,$H$7:$H$256,"P6"))</f>
        <v>0</v>
      </c>
      <c r="Z58" s="1" t="n">
        <f aca="false">X58+Y58</f>
        <v>0</v>
      </c>
      <c r="AA58" s="1" t="n">
        <f aca="false">IF(Z58&gt;0,Z58+(201-52)/10^6,0)</f>
        <v>0</v>
      </c>
      <c r="AB58" s="1"/>
      <c r="AC58" s="1"/>
      <c r="AD58" s="1"/>
      <c r="AE58" s="1"/>
      <c r="AF58" s="1"/>
      <c r="AG58" s="1"/>
      <c r="AH58" s="1"/>
    </row>
    <row r="59" customFormat="false" ht="15" hidden="false" customHeight="false" outlineLevel="0" collapsed="false">
      <c r="A59" s="1"/>
      <c r="B59" s="10"/>
      <c r="C59" s="31" t="str">
        <f aca="false">IF(B59="","",TEXT(B59,"ddd"))</f>
        <v/>
      </c>
      <c r="D59" s="11"/>
      <c r="E59" s="8" t="str">
        <f aca="false">IF(D59="","",IFERROR(INDEX(ProjNumbers,MATCH(D59,ProjNames,0)),""))</f>
        <v/>
      </c>
      <c r="F59" s="8" t="str">
        <f aca="false">IF(D59="","",IFERROR(INDEX(ProjCodes,MATCH(D59,ProjNames,0)),""))</f>
        <v/>
      </c>
      <c r="G59" s="32"/>
      <c r="H59" s="11"/>
      <c r="I59" s="33"/>
      <c r="J59" s="8" t="str">
        <f aca="false">IF(COUNTA(B59,D59,G59,H59,I59)=0,"",IF(B59="","Enter date",IF(OR(B59&lt;$AC$2,B59&gt;$AC$3),"Date not in June",IF(D59="","Pick project",IF(ISNA(MATCH(D59,ProjNames,0)),"Project not in list",IF(G59="","Add task description",IF(H59="","Pick NTIME or P6",IF(N(I59)&lt;=0,"Enter hours",IF(AND(AllowOT&lt;&gt;"Yes",SUMIF($B$7:$B$256,B59,$I$7:$I$256)&gt;INDEX($O$58:$O$87,DAY(B59))),"Day over "&amp;INDEX($O$58:$O$87,DAY(B59))&amp;" h","✓")))))))))</f>
        <v/>
      </c>
      <c r="K59" s="1"/>
      <c r="L59" s="35" t="n">
        <v>46175</v>
      </c>
      <c r="M59" s="36" t="str">
        <f aca="false">TEXT(L59,"ddd")</f>
        <v>Tue</v>
      </c>
      <c r="N59" s="37" t="s">
        <v>93</v>
      </c>
      <c r="O59" s="37" t="n">
        <f aca="false">AvailHours</f>
        <v>8</v>
      </c>
      <c r="P59" s="24" t="n">
        <f aca="false">SUMIFS($I$7:$I$256,$B$7:$B$256,L59,$H$7:$H$256,"NTIME")</f>
        <v>0</v>
      </c>
      <c r="Q59" s="24" t="n">
        <f aca="false">SUMIFS($I$7:$I$256,$B$7:$B$256,L59,$H$7:$H$256,"P6")</f>
        <v>0</v>
      </c>
      <c r="R59" s="24" t="n">
        <f aca="false">IF(N59="Overhead only",O59,IF(AND(N59="Working",P59+Q59&gt;0),MAX(0,O59-P59-Q59),0))</f>
        <v>0</v>
      </c>
      <c r="S59" s="24" t="n">
        <f aca="false">IF(OR(N59="Working",N59="Overhead only"),MAX(0,P59+Q59-O59),0)</f>
        <v>0</v>
      </c>
      <c r="T59" s="24" t="n">
        <f aca="false">P59+Q59+R59</f>
        <v>0</v>
      </c>
      <c r="U59" s="24" t="str">
        <f aca="true">IF(N59="Working",IF(P59+Q59=0,IF(L59&lt;=TODAY(),"Not logged",""),IF(P59+Q59&gt;O59,IF(AllowOT="Yes","Overtime","Over "&amp;O59&amp;" h!"),"✓")),IF(N59="Overhead only","✓ Overhead day",IF(P59+Q59&gt;0,"Entries on "&amp;LOWER(N59)&amp;" day",N59)))</f>
        <v>Not logged</v>
      </c>
      <c r="V59" s="1"/>
      <c r="W59" s="1" t="str">
        <f aca="false">IF(Projects!B57="","",Projects!B57)</f>
        <v/>
      </c>
      <c r="X59" s="1" t="n">
        <f aca="false">IF(W59="",0,SUMIFS($I$7:$I$256,$D$7:$D$256,W59,$H$7:$H$256,"NTIME"))</f>
        <v>0</v>
      </c>
      <c r="Y59" s="1" t="n">
        <f aca="false">IF(W59="",0,SUMIFS($I$7:$I$256,$D$7:$D$256,W59,$H$7:$H$256,"P6"))</f>
        <v>0</v>
      </c>
      <c r="Z59" s="1" t="n">
        <f aca="false">X59+Y59</f>
        <v>0</v>
      </c>
      <c r="AA59" s="1" t="n">
        <f aca="false">IF(Z59&gt;0,Z59+(201-53)/10^6,0)</f>
        <v>0</v>
      </c>
      <c r="AB59" s="1"/>
      <c r="AC59" s="1"/>
      <c r="AD59" s="1"/>
      <c r="AE59" s="1"/>
      <c r="AF59" s="1"/>
      <c r="AG59" s="1"/>
      <c r="AH59" s="1"/>
    </row>
    <row r="60" customFormat="false" ht="15" hidden="false" customHeight="false" outlineLevel="0" collapsed="false">
      <c r="A60" s="1"/>
      <c r="B60" s="10"/>
      <c r="C60" s="31" t="str">
        <f aca="false">IF(B60="","",TEXT(B60,"ddd"))</f>
        <v/>
      </c>
      <c r="D60" s="11"/>
      <c r="E60" s="8" t="str">
        <f aca="false">IF(D60="","",IFERROR(INDEX(ProjNumbers,MATCH(D60,ProjNames,0)),""))</f>
        <v/>
      </c>
      <c r="F60" s="8" t="str">
        <f aca="false">IF(D60="","",IFERROR(INDEX(ProjCodes,MATCH(D60,ProjNames,0)),""))</f>
        <v/>
      </c>
      <c r="G60" s="32"/>
      <c r="H60" s="11"/>
      <c r="I60" s="33"/>
      <c r="J60" s="8" t="str">
        <f aca="false">IF(COUNTA(B60,D60,G60,H60,I60)=0,"",IF(B60="","Enter date",IF(OR(B60&lt;$AC$2,B60&gt;$AC$3),"Date not in June",IF(D60="","Pick project",IF(ISNA(MATCH(D60,ProjNames,0)),"Project not in list",IF(G60="","Add task description",IF(H60="","Pick NTIME or P6",IF(N(I60)&lt;=0,"Enter hours",IF(AND(AllowOT&lt;&gt;"Yes",SUMIF($B$7:$B$256,B60,$I$7:$I$256)&gt;INDEX($O$58:$O$87,DAY(B60))),"Day over "&amp;INDEX($O$58:$O$87,DAY(B60))&amp;" h","✓")))))))))</f>
        <v/>
      </c>
      <c r="K60" s="1"/>
      <c r="L60" s="35" t="n">
        <v>46176</v>
      </c>
      <c r="M60" s="36" t="str">
        <f aca="false">TEXT(L60,"ddd")</f>
        <v>Wed</v>
      </c>
      <c r="N60" s="37" t="s">
        <v>93</v>
      </c>
      <c r="O60" s="37" t="n">
        <f aca="false">AvailHours</f>
        <v>8</v>
      </c>
      <c r="P60" s="24" t="n">
        <f aca="false">SUMIFS($I$7:$I$256,$B$7:$B$256,L60,$H$7:$H$256,"NTIME")</f>
        <v>0</v>
      </c>
      <c r="Q60" s="24" t="n">
        <f aca="false">SUMIFS($I$7:$I$256,$B$7:$B$256,L60,$H$7:$H$256,"P6")</f>
        <v>0</v>
      </c>
      <c r="R60" s="24" t="n">
        <f aca="false">IF(N60="Overhead only",O60,IF(AND(N60="Working",P60+Q60&gt;0),MAX(0,O60-P60-Q60),0))</f>
        <v>0</v>
      </c>
      <c r="S60" s="24" t="n">
        <f aca="false">IF(OR(N60="Working",N60="Overhead only"),MAX(0,P60+Q60-O60),0)</f>
        <v>0</v>
      </c>
      <c r="T60" s="24" t="n">
        <f aca="false">P60+Q60+R60</f>
        <v>0</v>
      </c>
      <c r="U60" s="24" t="str">
        <f aca="true">IF(N60="Working",IF(P60+Q60=0,IF(L60&lt;=TODAY(),"Not logged",""),IF(P60+Q60&gt;O60,IF(AllowOT="Yes","Overtime","Over "&amp;O60&amp;" h!"),"✓")),IF(N60="Overhead only","✓ Overhead day",IF(P60+Q60&gt;0,"Entries on "&amp;LOWER(N60)&amp;" day",N60)))</f>
        <v>Not logged</v>
      </c>
      <c r="V60" s="1"/>
      <c r="W60" s="1" t="str">
        <f aca="false">IF(Projects!B58="","",Projects!B58)</f>
        <v/>
      </c>
      <c r="X60" s="1" t="n">
        <f aca="false">IF(W60="",0,SUMIFS($I$7:$I$256,$D$7:$D$256,W60,$H$7:$H$256,"NTIME"))</f>
        <v>0</v>
      </c>
      <c r="Y60" s="1" t="n">
        <f aca="false">IF(W60="",0,SUMIFS($I$7:$I$256,$D$7:$D$256,W60,$H$7:$H$256,"P6"))</f>
        <v>0</v>
      </c>
      <c r="Z60" s="1" t="n">
        <f aca="false">X60+Y60</f>
        <v>0</v>
      </c>
      <c r="AA60" s="1" t="n">
        <f aca="false">IF(Z60&gt;0,Z60+(201-54)/10^6,0)</f>
        <v>0</v>
      </c>
      <c r="AB60" s="1"/>
      <c r="AC60" s="1"/>
      <c r="AD60" s="1"/>
      <c r="AE60" s="1"/>
      <c r="AF60" s="1"/>
      <c r="AG60" s="1"/>
      <c r="AH60" s="1"/>
    </row>
    <row r="61" customFormat="false" ht="15" hidden="false" customHeight="false" outlineLevel="0" collapsed="false">
      <c r="A61" s="1"/>
      <c r="B61" s="10"/>
      <c r="C61" s="31" t="str">
        <f aca="false">IF(B61="","",TEXT(B61,"ddd"))</f>
        <v/>
      </c>
      <c r="D61" s="11"/>
      <c r="E61" s="8" t="str">
        <f aca="false">IF(D61="","",IFERROR(INDEX(ProjNumbers,MATCH(D61,ProjNames,0)),""))</f>
        <v/>
      </c>
      <c r="F61" s="8" t="str">
        <f aca="false">IF(D61="","",IFERROR(INDEX(ProjCodes,MATCH(D61,ProjNames,0)),""))</f>
        <v/>
      </c>
      <c r="G61" s="32"/>
      <c r="H61" s="11"/>
      <c r="I61" s="33"/>
      <c r="J61" s="8" t="str">
        <f aca="false">IF(COUNTA(B61,D61,G61,H61,I61)=0,"",IF(B61="","Enter date",IF(OR(B61&lt;$AC$2,B61&gt;$AC$3),"Date not in June",IF(D61="","Pick project",IF(ISNA(MATCH(D61,ProjNames,0)),"Project not in list",IF(G61="","Add task description",IF(H61="","Pick NTIME or P6",IF(N(I61)&lt;=0,"Enter hours",IF(AND(AllowOT&lt;&gt;"Yes",SUMIF($B$7:$B$256,B61,$I$7:$I$256)&gt;INDEX($O$58:$O$87,DAY(B61))),"Day over "&amp;INDEX($O$58:$O$87,DAY(B61))&amp;" h","✓")))))))))</f>
        <v/>
      </c>
      <c r="K61" s="1"/>
      <c r="L61" s="35" t="n">
        <v>46177</v>
      </c>
      <c r="M61" s="36" t="str">
        <f aca="false">TEXT(L61,"ddd")</f>
        <v>Thu</v>
      </c>
      <c r="N61" s="37" t="s">
        <v>93</v>
      </c>
      <c r="O61" s="37" t="n">
        <f aca="false">AvailHours</f>
        <v>8</v>
      </c>
      <c r="P61" s="24" t="n">
        <f aca="false">SUMIFS($I$7:$I$256,$B$7:$B$256,L61,$H$7:$H$256,"NTIME")</f>
        <v>0</v>
      </c>
      <c r="Q61" s="24" t="n">
        <f aca="false">SUMIFS($I$7:$I$256,$B$7:$B$256,L61,$H$7:$H$256,"P6")</f>
        <v>0</v>
      </c>
      <c r="R61" s="24" t="n">
        <f aca="false">IF(N61="Overhead only",O61,IF(AND(N61="Working",P61+Q61&gt;0),MAX(0,O61-P61-Q61),0))</f>
        <v>0</v>
      </c>
      <c r="S61" s="24" t="n">
        <f aca="false">IF(OR(N61="Working",N61="Overhead only"),MAX(0,P61+Q61-O61),0)</f>
        <v>0</v>
      </c>
      <c r="T61" s="24" t="n">
        <f aca="false">P61+Q61+R61</f>
        <v>0</v>
      </c>
      <c r="U61" s="24" t="str">
        <f aca="true">IF(N61="Working",IF(P61+Q61=0,IF(L61&lt;=TODAY(),"Not logged",""),IF(P61+Q61&gt;O61,IF(AllowOT="Yes","Overtime","Over "&amp;O61&amp;" h!"),"✓")),IF(N61="Overhead only","✓ Overhead day",IF(P61+Q61&gt;0,"Entries on "&amp;LOWER(N61)&amp;" day",N61)))</f>
        <v>Not logged</v>
      </c>
      <c r="V61" s="1"/>
      <c r="W61" s="1" t="str">
        <f aca="false">IF(Projects!B59="","",Projects!B59)</f>
        <v/>
      </c>
      <c r="X61" s="1" t="n">
        <f aca="false">IF(W61="",0,SUMIFS($I$7:$I$256,$D$7:$D$256,W61,$H$7:$H$256,"NTIME"))</f>
        <v>0</v>
      </c>
      <c r="Y61" s="1" t="n">
        <f aca="false">IF(W61="",0,SUMIFS($I$7:$I$256,$D$7:$D$256,W61,$H$7:$H$256,"P6"))</f>
        <v>0</v>
      </c>
      <c r="Z61" s="1" t="n">
        <f aca="false">X61+Y61</f>
        <v>0</v>
      </c>
      <c r="AA61" s="1" t="n">
        <f aca="false">IF(Z61&gt;0,Z61+(201-55)/10^6,0)</f>
        <v>0</v>
      </c>
      <c r="AB61" s="1"/>
      <c r="AC61" s="1"/>
      <c r="AD61" s="1"/>
      <c r="AE61" s="1"/>
      <c r="AF61" s="1"/>
      <c r="AG61" s="1"/>
      <c r="AH61" s="1"/>
    </row>
    <row r="62" customFormat="false" ht="15" hidden="false" customHeight="false" outlineLevel="0" collapsed="false">
      <c r="A62" s="1"/>
      <c r="B62" s="10"/>
      <c r="C62" s="31" t="str">
        <f aca="false">IF(B62="","",TEXT(B62,"ddd"))</f>
        <v/>
      </c>
      <c r="D62" s="11"/>
      <c r="E62" s="8" t="str">
        <f aca="false">IF(D62="","",IFERROR(INDEX(ProjNumbers,MATCH(D62,ProjNames,0)),""))</f>
        <v/>
      </c>
      <c r="F62" s="8" t="str">
        <f aca="false">IF(D62="","",IFERROR(INDEX(ProjCodes,MATCH(D62,ProjNames,0)),""))</f>
        <v/>
      </c>
      <c r="G62" s="32"/>
      <c r="H62" s="11"/>
      <c r="I62" s="33"/>
      <c r="J62" s="8" t="str">
        <f aca="false">IF(COUNTA(B62,D62,G62,H62,I62)=0,"",IF(B62="","Enter date",IF(OR(B62&lt;$AC$2,B62&gt;$AC$3),"Date not in June",IF(D62="","Pick project",IF(ISNA(MATCH(D62,ProjNames,0)),"Project not in list",IF(G62="","Add task description",IF(H62="","Pick NTIME or P6",IF(N(I62)&lt;=0,"Enter hours",IF(AND(AllowOT&lt;&gt;"Yes",SUMIF($B$7:$B$256,B62,$I$7:$I$256)&gt;INDEX($O$58:$O$87,DAY(B62))),"Day over "&amp;INDEX($O$58:$O$87,DAY(B62))&amp;" h","✓")))))))))</f>
        <v/>
      </c>
      <c r="K62" s="1"/>
      <c r="L62" s="35" t="n">
        <v>46178</v>
      </c>
      <c r="M62" s="36" t="str">
        <f aca="false">TEXT(L62,"ddd")</f>
        <v>Fri</v>
      </c>
      <c r="N62" s="37" t="s">
        <v>93</v>
      </c>
      <c r="O62" s="37" t="n">
        <f aca="false">AvailHours</f>
        <v>8</v>
      </c>
      <c r="P62" s="24" t="n">
        <f aca="false">SUMIFS($I$7:$I$256,$B$7:$B$256,L62,$H$7:$H$256,"NTIME")</f>
        <v>0</v>
      </c>
      <c r="Q62" s="24" t="n">
        <f aca="false">SUMIFS($I$7:$I$256,$B$7:$B$256,L62,$H$7:$H$256,"P6")</f>
        <v>0</v>
      </c>
      <c r="R62" s="24" t="n">
        <f aca="false">IF(N62="Overhead only",O62,IF(AND(N62="Working",P62+Q62&gt;0),MAX(0,O62-P62-Q62),0))</f>
        <v>0</v>
      </c>
      <c r="S62" s="24" t="n">
        <f aca="false">IF(OR(N62="Working",N62="Overhead only"),MAX(0,P62+Q62-O62),0)</f>
        <v>0</v>
      </c>
      <c r="T62" s="24" t="n">
        <f aca="false">P62+Q62+R62</f>
        <v>0</v>
      </c>
      <c r="U62" s="24" t="str">
        <f aca="true">IF(N62="Working",IF(P62+Q62=0,IF(L62&lt;=TODAY(),"Not logged",""),IF(P62+Q62&gt;O62,IF(AllowOT="Yes","Overtime","Over "&amp;O62&amp;" h!"),"✓")),IF(N62="Overhead only","✓ Overhead day",IF(P62+Q62&gt;0,"Entries on "&amp;LOWER(N62)&amp;" day",N62)))</f>
        <v>Not logged</v>
      </c>
      <c r="V62" s="1"/>
      <c r="W62" s="1" t="str">
        <f aca="false">IF(Projects!B60="","",Projects!B60)</f>
        <v/>
      </c>
      <c r="X62" s="1" t="n">
        <f aca="false">IF(W62="",0,SUMIFS($I$7:$I$256,$D$7:$D$256,W62,$H$7:$H$256,"NTIME"))</f>
        <v>0</v>
      </c>
      <c r="Y62" s="1" t="n">
        <f aca="false">IF(W62="",0,SUMIFS($I$7:$I$256,$D$7:$D$256,W62,$H$7:$H$256,"P6"))</f>
        <v>0</v>
      </c>
      <c r="Z62" s="1" t="n">
        <f aca="false">X62+Y62</f>
        <v>0</v>
      </c>
      <c r="AA62" s="1" t="n">
        <f aca="false">IF(Z62&gt;0,Z62+(201-56)/10^6,0)</f>
        <v>0</v>
      </c>
      <c r="AB62" s="1"/>
      <c r="AC62" s="1"/>
      <c r="AD62" s="1"/>
      <c r="AE62" s="1"/>
      <c r="AF62" s="1"/>
      <c r="AG62" s="1"/>
      <c r="AH62" s="1"/>
    </row>
    <row r="63" customFormat="false" ht="15" hidden="false" customHeight="false" outlineLevel="0" collapsed="false">
      <c r="A63" s="1"/>
      <c r="B63" s="10"/>
      <c r="C63" s="31" t="str">
        <f aca="false">IF(B63="","",TEXT(B63,"ddd"))</f>
        <v/>
      </c>
      <c r="D63" s="11"/>
      <c r="E63" s="8" t="str">
        <f aca="false">IF(D63="","",IFERROR(INDEX(ProjNumbers,MATCH(D63,ProjNames,0)),""))</f>
        <v/>
      </c>
      <c r="F63" s="8" t="str">
        <f aca="false">IF(D63="","",IFERROR(INDEX(ProjCodes,MATCH(D63,ProjNames,0)),""))</f>
        <v/>
      </c>
      <c r="G63" s="32"/>
      <c r="H63" s="11"/>
      <c r="I63" s="33"/>
      <c r="J63" s="8" t="str">
        <f aca="false">IF(COUNTA(B63,D63,G63,H63,I63)=0,"",IF(B63="","Enter date",IF(OR(B63&lt;$AC$2,B63&gt;$AC$3),"Date not in June",IF(D63="","Pick project",IF(ISNA(MATCH(D63,ProjNames,0)),"Project not in list",IF(G63="","Add task description",IF(H63="","Pick NTIME or P6",IF(N(I63)&lt;=0,"Enter hours",IF(AND(AllowOT&lt;&gt;"Yes",SUMIF($B$7:$B$256,B63,$I$7:$I$256)&gt;INDEX($O$58:$O$87,DAY(B63))),"Day over "&amp;INDEX($O$58:$O$87,DAY(B63))&amp;" h","✓")))))))))</f>
        <v/>
      </c>
      <c r="K63" s="1"/>
      <c r="L63" s="35" t="n">
        <v>46179</v>
      </c>
      <c r="M63" s="36" t="str">
        <f aca="false">TEXT(L63,"ddd")</f>
        <v>Sat</v>
      </c>
      <c r="N63" s="37" t="s">
        <v>94</v>
      </c>
      <c r="O63" s="37" t="n">
        <f aca="false">AvailHours</f>
        <v>8</v>
      </c>
      <c r="P63" s="24" t="n">
        <f aca="false">SUMIFS($I$7:$I$256,$B$7:$B$256,L63,$H$7:$H$256,"NTIME")</f>
        <v>0</v>
      </c>
      <c r="Q63" s="24" t="n">
        <f aca="false">SUMIFS($I$7:$I$256,$B$7:$B$256,L63,$H$7:$H$256,"P6")</f>
        <v>0</v>
      </c>
      <c r="R63" s="24" t="n">
        <f aca="false">IF(N63="Overhead only",O63,IF(AND(N63="Working",P63+Q63&gt;0),MAX(0,O63-P63-Q63),0))</f>
        <v>0</v>
      </c>
      <c r="S63" s="24" t="n">
        <f aca="false">IF(OR(N63="Working",N63="Overhead only"),MAX(0,P63+Q63-O63),0)</f>
        <v>0</v>
      </c>
      <c r="T63" s="24" t="n">
        <f aca="false">P63+Q63+R63</f>
        <v>0</v>
      </c>
      <c r="U63" s="24" t="str">
        <f aca="true">IF(N63="Working",IF(P63+Q63=0,IF(L63&lt;=TODAY(),"Not logged",""),IF(P63+Q63&gt;O63,IF(AllowOT="Yes","Overtime","Over "&amp;O63&amp;" h!"),"✓")),IF(N63="Overhead only","✓ Overhead day",IF(P63+Q63&gt;0,"Entries on "&amp;LOWER(N63)&amp;" day",N63)))</f>
        <v>Weekend</v>
      </c>
      <c r="V63" s="1"/>
      <c r="W63" s="1" t="str">
        <f aca="false">IF(Projects!B61="","",Projects!B61)</f>
        <v/>
      </c>
      <c r="X63" s="1" t="n">
        <f aca="false">IF(W63="",0,SUMIFS($I$7:$I$256,$D$7:$D$256,W63,$H$7:$H$256,"NTIME"))</f>
        <v>0</v>
      </c>
      <c r="Y63" s="1" t="n">
        <f aca="false">IF(W63="",0,SUMIFS($I$7:$I$256,$D$7:$D$256,W63,$H$7:$H$256,"P6"))</f>
        <v>0</v>
      </c>
      <c r="Z63" s="1" t="n">
        <f aca="false">X63+Y63</f>
        <v>0</v>
      </c>
      <c r="AA63" s="1" t="n">
        <f aca="false">IF(Z63&gt;0,Z63+(201-57)/10^6,0)</f>
        <v>0</v>
      </c>
      <c r="AB63" s="1"/>
      <c r="AC63" s="1"/>
      <c r="AD63" s="1"/>
      <c r="AE63" s="1"/>
      <c r="AF63" s="1"/>
      <c r="AG63" s="1"/>
      <c r="AH63" s="1"/>
    </row>
    <row r="64" customFormat="false" ht="15" hidden="false" customHeight="false" outlineLevel="0" collapsed="false">
      <c r="A64" s="1"/>
      <c r="B64" s="10"/>
      <c r="C64" s="31" t="str">
        <f aca="false">IF(B64="","",TEXT(B64,"ddd"))</f>
        <v/>
      </c>
      <c r="D64" s="11"/>
      <c r="E64" s="8" t="str">
        <f aca="false">IF(D64="","",IFERROR(INDEX(ProjNumbers,MATCH(D64,ProjNames,0)),""))</f>
        <v/>
      </c>
      <c r="F64" s="8" t="str">
        <f aca="false">IF(D64="","",IFERROR(INDEX(ProjCodes,MATCH(D64,ProjNames,0)),""))</f>
        <v/>
      </c>
      <c r="G64" s="32"/>
      <c r="H64" s="11"/>
      <c r="I64" s="33"/>
      <c r="J64" s="8" t="str">
        <f aca="false">IF(COUNTA(B64,D64,G64,H64,I64)=0,"",IF(B64="","Enter date",IF(OR(B64&lt;$AC$2,B64&gt;$AC$3),"Date not in June",IF(D64="","Pick project",IF(ISNA(MATCH(D64,ProjNames,0)),"Project not in list",IF(G64="","Add task description",IF(H64="","Pick NTIME or P6",IF(N(I64)&lt;=0,"Enter hours",IF(AND(AllowOT&lt;&gt;"Yes",SUMIF($B$7:$B$256,B64,$I$7:$I$256)&gt;INDEX($O$58:$O$87,DAY(B64))),"Day over "&amp;INDEX($O$58:$O$87,DAY(B64))&amp;" h","✓")))))))))</f>
        <v/>
      </c>
      <c r="K64" s="1"/>
      <c r="L64" s="35" t="n">
        <v>46180</v>
      </c>
      <c r="M64" s="36" t="str">
        <f aca="false">TEXT(L64,"ddd")</f>
        <v>Sun</v>
      </c>
      <c r="N64" s="37" t="s">
        <v>94</v>
      </c>
      <c r="O64" s="37" t="n">
        <f aca="false">AvailHours</f>
        <v>8</v>
      </c>
      <c r="P64" s="24" t="n">
        <f aca="false">SUMIFS($I$7:$I$256,$B$7:$B$256,L64,$H$7:$H$256,"NTIME")</f>
        <v>0</v>
      </c>
      <c r="Q64" s="24" t="n">
        <f aca="false">SUMIFS($I$7:$I$256,$B$7:$B$256,L64,$H$7:$H$256,"P6")</f>
        <v>0</v>
      </c>
      <c r="R64" s="24" t="n">
        <f aca="false">IF(N64="Overhead only",O64,IF(AND(N64="Working",P64+Q64&gt;0),MAX(0,O64-P64-Q64),0))</f>
        <v>0</v>
      </c>
      <c r="S64" s="24" t="n">
        <f aca="false">IF(OR(N64="Working",N64="Overhead only"),MAX(0,P64+Q64-O64),0)</f>
        <v>0</v>
      </c>
      <c r="T64" s="24" t="n">
        <f aca="false">P64+Q64+R64</f>
        <v>0</v>
      </c>
      <c r="U64" s="24" t="str">
        <f aca="true">IF(N64="Working",IF(P64+Q64=0,IF(L64&lt;=TODAY(),"Not logged",""),IF(P64+Q64&gt;O64,IF(AllowOT="Yes","Overtime","Over "&amp;O64&amp;" h!"),"✓")),IF(N64="Overhead only","✓ Overhead day",IF(P64+Q64&gt;0,"Entries on "&amp;LOWER(N64)&amp;" day",N64)))</f>
        <v>Weekend</v>
      </c>
      <c r="V64" s="1"/>
      <c r="W64" s="1" t="str">
        <f aca="false">IF(Projects!B62="","",Projects!B62)</f>
        <v/>
      </c>
      <c r="X64" s="1" t="n">
        <f aca="false">IF(W64="",0,SUMIFS($I$7:$I$256,$D$7:$D$256,W64,$H$7:$H$256,"NTIME"))</f>
        <v>0</v>
      </c>
      <c r="Y64" s="1" t="n">
        <f aca="false">IF(W64="",0,SUMIFS($I$7:$I$256,$D$7:$D$256,W64,$H$7:$H$256,"P6"))</f>
        <v>0</v>
      </c>
      <c r="Z64" s="1" t="n">
        <f aca="false">X64+Y64</f>
        <v>0</v>
      </c>
      <c r="AA64" s="1" t="n">
        <f aca="false">IF(Z64&gt;0,Z64+(201-58)/10^6,0)</f>
        <v>0</v>
      </c>
      <c r="AB64" s="1"/>
      <c r="AC64" s="1"/>
      <c r="AD64" s="1"/>
      <c r="AE64" s="1"/>
      <c r="AF64" s="1"/>
      <c r="AG64" s="1"/>
      <c r="AH64" s="1"/>
    </row>
    <row r="65" customFormat="false" ht="15" hidden="false" customHeight="false" outlineLevel="0" collapsed="false">
      <c r="A65" s="1"/>
      <c r="B65" s="10"/>
      <c r="C65" s="31" t="str">
        <f aca="false">IF(B65="","",TEXT(B65,"ddd"))</f>
        <v/>
      </c>
      <c r="D65" s="11"/>
      <c r="E65" s="8" t="str">
        <f aca="false">IF(D65="","",IFERROR(INDEX(ProjNumbers,MATCH(D65,ProjNames,0)),""))</f>
        <v/>
      </c>
      <c r="F65" s="8" t="str">
        <f aca="false">IF(D65="","",IFERROR(INDEX(ProjCodes,MATCH(D65,ProjNames,0)),""))</f>
        <v/>
      </c>
      <c r="G65" s="32"/>
      <c r="H65" s="11"/>
      <c r="I65" s="33"/>
      <c r="J65" s="8" t="str">
        <f aca="false">IF(COUNTA(B65,D65,G65,H65,I65)=0,"",IF(B65="","Enter date",IF(OR(B65&lt;$AC$2,B65&gt;$AC$3),"Date not in June",IF(D65="","Pick project",IF(ISNA(MATCH(D65,ProjNames,0)),"Project not in list",IF(G65="","Add task description",IF(H65="","Pick NTIME or P6",IF(N(I65)&lt;=0,"Enter hours",IF(AND(AllowOT&lt;&gt;"Yes",SUMIF($B$7:$B$256,B65,$I$7:$I$256)&gt;INDEX($O$58:$O$87,DAY(B65))),"Day over "&amp;INDEX($O$58:$O$87,DAY(B65))&amp;" h","✓")))))))))</f>
        <v/>
      </c>
      <c r="K65" s="1"/>
      <c r="L65" s="35" t="n">
        <v>46181</v>
      </c>
      <c r="M65" s="36" t="str">
        <f aca="false">TEXT(L65,"ddd")</f>
        <v>Mon</v>
      </c>
      <c r="N65" s="37" t="s">
        <v>93</v>
      </c>
      <c r="O65" s="37" t="n">
        <f aca="false">AvailHours</f>
        <v>8</v>
      </c>
      <c r="P65" s="24" t="n">
        <f aca="false">SUMIFS($I$7:$I$256,$B$7:$B$256,L65,$H$7:$H$256,"NTIME")</f>
        <v>0</v>
      </c>
      <c r="Q65" s="24" t="n">
        <f aca="false">SUMIFS($I$7:$I$256,$B$7:$B$256,L65,$H$7:$H$256,"P6")</f>
        <v>0</v>
      </c>
      <c r="R65" s="24" t="n">
        <f aca="false">IF(N65="Overhead only",O65,IF(AND(N65="Working",P65+Q65&gt;0),MAX(0,O65-P65-Q65),0))</f>
        <v>0</v>
      </c>
      <c r="S65" s="24" t="n">
        <f aca="false">IF(OR(N65="Working",N65="Overhead only"),MAX(0,P65+Q65-O65),0)</f>
        <v>0</v>
      </c>
      <c r="T65" s="24" t="n">
        <f aca="false">P65+Q65+R65</f>
        <v>0</v>
      </c>
      <c r="U65" s="24" t="str">
        <f aca="true">IF(N65="Working",IF(P65+Q65=0,IF(L65&lt;=TODAY(),"Not logged",""),IF(P65+Q65&gt;O65,IF(AllowOT="Yes","Overtime","Over "&amp;O65&amp;" h!"),"✓")),IF(N65="Overhead only","✓ Overhead day",IF(P65+Q65&gt;0,"Entries on "&amp;LOWER(N65)&amp;" day",N65)))</f>
        <v>Not logged</v>
      </c>
      <c r="V65" s="1"/>
      <c r="W65" s="1" t="str">
        <f aca="false">IF(Projects!B63="","",Projects!B63)</f>
        <v/>
      </c>
      <c r="X65" s="1" t="n">
        <f aca="false">IF(W65="",0,SUMIFS($I$7:$I$256,$D$7:$D$256,W65,$H$7:$H$256,"NTIME"))</f>
        <v>0</v>
      </c>
      <c r="Y65" s="1" t="n">
        <f aca="false">IF(W65="",0,SUMIFS($I$7:$I$256,$D$7:$D$256,W65,$H$7:$H$256,"P6"))</f>
        <v>0</v>
      </c>
      <c r="Z65" s="1" t="n">
        <f aca="false">X65+Y65</f>
        <v>0</v>
      </c>
      <c r="AA65" s="1" t="n">
        <f aca="false">IF(Z65&gt;0,Z65+(201-59)/10^6,0)</f>
        <v>0</v>
      </c>
      <c r="AB65" s="1"/>
      <c r="AC65" s="1"/>
      <c r="AD65" s="1"/>
      <c r="AE65" s="1"/>
      <c r="AF65" s="1"/>
      <c r="AG65" s="1"/>
      <c r="AH65" s="1"/>
    </row>
    <row r="66" customFormat="false" ht="15" hidden="false" customHeight="false" outlineLevel="0" collapsed="false">
      <c r="A66" s="1"/>
      <c r="B66" s="10"/>
      <c r="C66" s="31" t="str">
        <f aca="false">IF(B66="","",TEXT(B66,"ddd"))</f>
        <v/>
      </c>
      <c r="D66" s="11"/>
      <c r="E66" s="8" t="str">
        <f aca="false">IF(D66="","",IFERROR(INDEX(ProjNumbers,MATCH(D66,ProjNames,0)),""))</f>
        <v/>
      </c>
      <c r="F66" s="8" t="str">
        <f aca="false">IF(D66="","",IFERROR(INDEX(ProjCodes,MATCH(D66,ProjNames,0)),""))</f>
        <v/>
      </c>
      <c r="G66" s="32"/>
      <c r="H66" s="11"/>
      <c r="I66" s="33"/>
      <c r="J66" s="8" t="str">
        <f aca="false">IF(COUNTA(B66,D66,G66,H66,I66)=0,"",IF(B66="","Enter date",IF(OR(B66&lt;$AC$2,B66&gt;$AC$3),"Date not in June",IF(D66="","Pick project",IF(ISNA(MATCH(D66,ProjNames,0)),"Project not in list",IF(G66="","Add task description",IF(H66="","Pick NTIME or P6",IF(N(I66)&lt;=0,"Enter hours",IF(AND(AllowOT&lt;&gt;"Yes",SUMIF($B$7:$B$256,B66,$I$7:$I$256)&gt;INDEX($O$58:$O$87,DAY(B66))),"Day over "&amp;INDEX($O$58:$O$87,DAY(B66))&amp;" h","✓")))))))))</f>
        <v/>
      </c>
      <c r="K66" s="1"/>
      <c r="L66" s="35" t="n">
        <v>46182</v>
      </c>
      <c r="M66" s="36" t="str">
        <f aca="false">TEXT(L66,"ddd")</f>
        <v>Tue</v>
      </c>
      <c r="N66" s="37" t="s">
        <v>93</v>
      </c>
      <c r="O66" s="37" t="n">
        <f aca="false">AvailHours</f>
        <v>8</v>
      </c>
      <c r="P66" s="24" t="n">
        <f aca="false">SUMIFS($I$7:$I$256,$B$7:$B$256,L66,$H$7:$H$256,"NTIME")</f>
        <v>0</v>
      </c>
      <c r="Q66" s="24" t="n">
        <f aca="false">SUMIFS($I$7:$I$256,$B$7:$B$256,L66,$H$7:$H$256,"P6")</f>
        <v>0</v>
      </c>
      <c r="R66" s="24" t="n">
        <f aca="false">IF(N66="Overhead only",O66,IF(AND(N66="Working",P66+Q66&gt;0),MAX(0,O66-P66-Q66),0))</f>
        <v>0</v>
      </c>
      <c r="S66" s="24" t="n">
        <f aca="false">IF(OR(N66="Working",N66="Overhead only"),MAX(0,P66+Q66-O66),0)</f>
        <v>0</v>
      </c>
      <c r="T66" s="24" t="n">
        <f aca="false">P66+Q66+R66</f>
        <v>0</v>
      </c>
      <c r="U66" s="24" t="str">
        <f aca="true">IF(N66="Working",IF(P66+Q66=0,IF(L66&lt;=TODAY(),"Not logged",""),IF(P66+Q66&gt;O66,IF(AllowOT="Yes","Overtime","Over "&amp;O66&amp;" h!"),"✓")),IF(N66="Overhead only","✓ Overhead day",IF(P66+Q66&gt;0,"Entries on "&amp;LOWER(N66)&amp;" day",N66)))</f>
        <v>Not logged</v>
      </c>
      <c r="V66" s="1"/>
      <c r="W66" s="1" t="str">
        <f aca="false">IF(Projects!B64="","",Projects!B64)</f>
        <v/>
      </c>
      <c r="X66" s="1" t="n">
        <f aca="false">IF(W66="",0,SUMIFS($I$7:$I$256,$D$7:$D$256,W66,$H$7:$H$256,"NTIME"))</f>
        <v>0</v>
      </c>
      <c r="Y66" s="1" t="n">
        <f aca="false">IF(W66="",0,SUMIFS($I$7:$I$256,$D$7:$D$256,W66,$H$7:$H$256,"P6"))</f>
        <v>0</v>
      </c>
      <c r="Z66" s="1" t="n">
        <f aca="false">X66+Y66</f>
        <v>0</v>
      </c>
      <c r="AA66" s="1" t="n">
        <f aca="false">IF(Z66&gt;0,Z66+(201-60)/10^6,0)</f>
        <v>0</v>
      </c>
      <c r="AB66" s="1"/>
      <c r="AC66" s="1"/>
      <c r="AD66" s="1"/>
      <c r="AE66" s="1"/>
      <c r="AF66" s="1"/>
      <c r="AG66" s="1"/>
      <c r="AH66" s="1"/>
    </row>
    <row r="67" customFormat="false" ht="15" hidden="false" customHeight="false" outlineLevel="0" collapsed="false">
      <c r="A67" s="1"/>
      <c r="B67" s="10"/>
      <c r="C67" s="31" t="str">
        <f aca="false">IF(B67="","",TEXT(B67,"ddd"))</f>
        <v/>
      </c>
      <c r="D67" s="11"/>
      <c r="E67" s="8" t="str">
        <f aca="false">IF(D67="","",IFERROR(INDEX(ProjNumbers,MATCH(D67,ProjNames,0)),""))</f>
        <v/>
      </c>
      <c r="F67" s="8" t="str">
        <f aca="false">IF(D67="","",IFERROR(INDEX(ProjCodes,MATCH(D67,ProjNames,0)),""))</f>
        <v/>
      </c>
      <c r="G67" s="32"/>
      <c r="H67" s="11"/>
      <c r="I67" s="33"/>
      <c r="J67" s="8" t="str">
        <f aca="false">IF(COUNTA(B67,D67,G67,H67,I67)=0,"",IF(B67="","Enter date",IF(OR(B67&lt;$AC$2,B67&gt;$AC$3),"Date not in June",IF(D67="","Pick project",IF(ISNA(MATCH(D67,ProjNames,0)),"Project not in list",IF(G67="","Add task description",IF(H67="","Pick NTIME or P6",IF(N(I67)&lt;=0,"Enter hours",IF(AND(AllowOT&lt;&gt;"Yes",SUMIF($B$7:$B$256,B67,$I$7:$I$256)&gt;INDEX($O$58:$O$87,DAY(B67))),"Day over "&amp;INDEX($O$58:$O$87,DAY(B67))&amp;" h","✓")))))))))</f>
        <v/>
      </c>
      <c r="K67" s="1"/>
      <c r="L67" s="35" t="n">
        <v>46183</v>
      </c>
      <c r="M67" s="36" t="str">
        <f aca="false">TEXT(L67,"ddd")</f>
        <v>Wed</v>
      </c>
      <c r="N67" s="37" t="s">
        <v>93</v>
      </c>
      <c r="O67" s="37" t="n">
        <f aca="false">AvailHours</f>
        <v>8</v>
      </c>
      <c r="P67" s="24" t="n">
        <f aca="false">SUMIFS($I$7:$I$256,$B$7:$B$256,L67,$H$7:$H$256,"NTIME")</f>
        <v>0</v>
      </c>
      <c r="Q67" s="24" t="n">
        <f aca="false">SUMIFS($I$7:$I$256,$B$7:$B$256,L67,$H$7:$H$256,"P6")</f>
        <v>0</v>
      </c>
      <c r="R67" s="24" t="n">
        <f aca="false">IF(N67="Overhead only",O67,IF(AND(N67="Working",P67+Q67&gt;0),MAX(0,O67-P67-Q67),0))</f>
        <v>0</v>
      </c>
      <c r="S67" s="24" t="n">
        <f aca="false">IF(OR(N67="Working",N67="Overhead only"),MAX(0,P67+Q67-O67),0)</f>
        <v>0</v>
      </c>
      <c r="T67" s="24" t="n">
        <f aca="false">P67+Q67+R67</f>
        <v>0</v>
      </c>
      <c r="U67" s="24" t="str">
        <f aca="true">IF(N67="Working",IF(P67+Q67=0,IF(L67&lt;=TODAY(),"Not logged",""),IF(P67+Q67&gt;O67,IF(AllowOT="Yes","Overtime","Over "&amp;O67&amp;" h!"),"✓")),IF(N67="Overhead only","✓ Overhead day",IF(P67+Q67&gt;0,"Entries on "&amp;LOWER(N67)&amp;" day",N67)))</f>
        <v>Not logged</v>
      </c>
      <c r="V67" s="1"/>
      <c r="W67" s="1" t="str">
        <f aca="false">IF(Projects!B65="","",Projects!B65)</f>
        <v/>
      </c>
      <c r="X67" s="1" t="n">
        <f aca="false">IF(W67="",0,SUMIFS($I$7:$I$256,$D$7:$D$256,W67,$H$7:$H$256,"NTIME"))</f>
        <v>0</v>
      </c>
      <c r="Y67" s="1" t="n">
        <f aca="false">IF(W67="",0,SUMIFS($I$7:$I$256,$D$7:$D$256,W67,$H$7:$H$256,"P6"))</f>
        <v>0</v>
      </c>
      <c r="Z67" s="1" t="n">
        <f aca="false">X67+Y67</f>
        <v>0</v>
      </c>
      <c r="AA67" s="1" t="n">
        <f aca="false">IF(Z67&gt;0,Z67+(201-61)/10^6,0)</f>
        <v>0</v>
      </c>
      <c r="AB67" s="1"/>
      <c r="AC67" s="1"/>
      <c r="AD67" s="1"/>
      <c r="AE67" s="1"/>
      <c r="AF67" s="1"/>
      <c r="AG67" s="1"/>
      <c r="AH67" s="1"/>
    </row>
    <row r="68" customFormat="false" ht="15" hidden="false" customHeight="false" outlineLevel="0" collapsed="false">
      <c r="A68" s="1"/>
      <c r="B68" s="10"/>
      <c r="C68" s="31" t="str">
        <f aca="false">IF(B68="","",TEXT(B68,"ddd"))</f>
        <v/>
      </c>
      <c r="D68" s="11"/>
      <c r="E68" s="8" t="str">
        <f aca="false">IF(D68="","",IFERROR(INDEX(ProjNumbers,MATCH(D68,ProjNames,0)),""))</f>
        <v/>
      </c>
      <c r="F68" s="8" t="str">
        <f aca="false">IF(D68="","",IFERROR(INDEX(ProjCodes,MATCH(D68,ProjNames,0)),""))</f>
        <v/>
      </c>
      <c r="G68" s="32"/>
      <c r="H68" s="11"/>
      <c r="I68" s="33"/>
      <c r="J68" s="8" t="str">
        <f aca="false">IF(COUNTA(B68,D68,G68,H68,I68)=0,"",IF(B68="","Enter date",IF(OR(B68&lt;$AC$2,B68&gt;$AC$3),"Date not in June",IF(D68="","Pick project",IF(ISNA(MATCH(D68,ProjNames,0)),"Project not in list",IF(G68="","Add task description",IF(H68="","Pick NTIME or P6",IF(N(I68)&lt;=0,"Enter hours",IF(AND(AllowOT&lt;&gt;"Yes",SUMIF($B$7:$B$256,B68,$I$7:$I$256)&gt;INDEX($O$58:$O$87,DAY(B68))),"Day over "&amp;INDEX($O$58:$O$87,DAY(B68))&amp;" h","✓")))))))))</f>
        <v/>
      </c>
      <c r="K68" s="1"/>
      <c r="L68" s="35" t="n">
        <v>46184</v>
      </c>
      <c r="M68" s="36" t="str">
        <f aca="false">TEXT(L68,"ddd")</f>
        <v>Thu</v>
      </c>
      <c r="N68" s="37" t="s">
        <v>93</v>
      </c>
      <c r="O68" s="37" t="n">
        <f aca="false">AvailHours</f>
        <v>8</v>
      </c>
      <c r="P68" s="24" t="n">
        <f aca="false">SUMIFS($I$7:$I$256,$B$7:$B$256,L68,$H$7:$H$256,"NTIME")</f>
        <v>0</v>
      </c>
      <c r="Q68" s="24" t="n">
        <f aca="false">SUMIFS($I$7:$I$256,$B$7:$B$256,L68,$H$7:$H$256,"P6")</f>
        <v>0</v>
      </c>
      <c r="R68" s="24" t="n">
        <f aca="false">IF(N68="Overhead only",O68,IF(AND(N68="Working",P68+Q68&gt;0),MAX(0,O68-P68-Q68),0))</f>
        <v>0</v>
      </c>
      <c r="S68" s="24" t="n">
        <f aca="false">IF(OR(N68="Working",N68="Overhead only"),MAX(0,P68+Q68-O68),0)</f>
        <v>0</v>
      </c>
      <c r="T68" s="24" t="n">
        <f aca="false">P68+Q68+R68</f>
        <v>0</v>
      </c>
      <c r="U68" s="24" t="str">
        <f aca="true">IF(N68="Working",IF(P68+Q68=0,IF(L68&lt;=TODAY(),"Not logged",""),IF(P68+Q68&gt;O68,IF(AllowOT="Yes","Overtime","Over "&amp;O68&amp;" h!"),"✓")),IF(N68="Overhead only","✓ Overhead day",IF(P68+Q68&gt;0,"Entries on "&amp;LOWER(N68)&amp;" day",N68)))</f>
        <v>Not logged</v>
      </c>
      <c r="V68" s="1"/>
      <c r="W68" s="1" t="str">
        <f aca="false">IF(Projects!B66="","",Projects!B66)</f>
        <v/>
      </c>
      <c r="X68" s="1" t="n">
        <f aca="false">IF(W68="",0,SUMIFS($I$7:$I$256,$D$7:$D$256,W68,$H$7:$H$256,"NTIME"))</f>
        <v>0</v>
      </c>
      <c r="Y68" s="1" t="n">
        <f aca="false">IF(W68="",0,SUMIFS($I$7:$I$256,$D$7:$D$256,W68,$H$7:$H$256,"P6"))</f>
        <v>0</v>
      </c>
      <c r="Z68" s="1" t="n">
        <f aca="false">X68+Y68</f>
        <v>0</v>
      </c>
      <c r="AA68" s="1" t="n">
        <f aca="false">IF(Z68&gt;0,Z68+(201-62)/10^6,0)</f>
        <v>0</v>
      </c>
      <c r="AB68" s="1"/>
      <c r="AC68" s="1"/>
      <c r="AD68" s="1"/>
      <c r="AE68" s="1"/>
      <c r="AF68" s="1"/>
      <c r="AG68" s="1"/>
      <c r="AH68" s="1"/>
    </row>
    <row r="69" customFormat="false" ht="15" hidden="false" customHeight="false" outlineLevel="0" collapsed="false">
      <c r="A69" s="1"/>
      <c r="B69" s="10"/>
      <c r="C69" s="31" t="str">
        <f aca="false">IF(B69="","",TEXT(B69,"ddd"))</f>
        <v/>
      </c>
      <c r="D69" s="11"/>
      <c r="E69" s="8" t="str">
        <f aca="false">IF(D69="","",IFERROR(INDEX(ProjNumbers,MATCH(D69,ProjNames,0)),""))</f>
        <v/>
      </c>
      <c r="F69" s="8" t="str">
        <f aca="false">IF(D69="","",IFERROR(INDEX(ProjCodes,MATCH(D69,ProjNames,0)),""))</f>
        <v/>
      </c>
      <c r="G69" s="32"/>
      <c r="H69" s="11"/>
      <c r="I69" s="33"/>
      <c r="J69" s="8" t="str">
        <f aca="false">IF(COUNTA(B69,D69,G69,H69,I69)=0,"",IF(B69="","Enter date",IF(OR(B69&lt;$AC$2,B69&gt;$AC$3),"Date not in June",IF(D69="","Pick project",IF(ISNA(MATCH(D69,ProjNames,0)),"Project not in list",IF(G69="","Add task description",IF(H69="","Pick NTIME or P6",IF(N(I69)&lt;=0,"Enter hours",IF(AND(AllowOT&lt;&gt;"Yes",SUMIF($B$7:$B$256,B69,$I$7:$I$256)&gt;INDEX($O$58:$O$87,DAY(B69))),"Day over "&amp;INDEX($O$58:$O$87,DAY(B69))&amp;" h","✓")))))))))</f>
        <v/>
      </c>
      <c r="K69" s="1"/>
      <c r="L69" s="35" t="n">
        <v>46185</v>
      </c>
      <c r="M69" s="36" t="str">
        <f aca="false">TEXT(L69,"ddd")</f>
        <v>Fri</v>
      </c>
      <c r="N69" s="37" t="s">
        <v>93</v>
      </c>
      <c r="O69" s="37" t="n">
        <f aca="false">AvailHours</f>
        <v>8</v>
      </c>
      <c r="P69" s="24" t="n">
        <f aca="false">SUMIFS($I$7:$I$256,$B$7:$B$256,L69,$H$7:$H$256,"NTIME")</f>
        <v>0</v>
      </c>
      <c r="Q69" s="24" t="n">
        <f aca="false">SUMIFS($I$7:$I$256,$B$7:$B$256,L69,$H$7:$H$256,"P6")</f>
        <v>0</v>
      </c>
      <c r="R69" s="24" t="n">
        <f aca="false">IF(N69="Overhead only",O69,IF(AND(N69="Working",P69+Q69&gt;0),MAX(0,O69-P69-Q69),0))</f>
        <v>0</v>
      </c>
      <c r="S69" s="24" t="n">
        <f aca="false">IF(OR(N69="Working",N69="Overhead only"),MAX(0,P69+Q69-O69),0)</f>
        <v>0</v>
      </c>
      <c r="T69" s="24" t="n">
        <f aca="false">P69+Q69+R69</f>
        <v>0</v>
      </c>
      <c r="U69" s="24" t="str">
        <f aca="true">IF(N69="Working",IF(P69+Q69=0,IF(L69&lt;=TODAY(),"Not logged",""),IF(P69+Q69&gt;O69,IF(AllowOT="Yes","Overtime","Over "&amp;O69&amp;" h!"),"✓")),IF(N69="Overhead only","✓ Overhead day",IF(P69+Q69&gt;0,"Entries on "&amp;LOWER(N69)&amp;" day",N69)))</f>
        <v>Not logged</v>
      </c>
      <c r="V69" s="1"/>
      <c r="W69" s="1" t="str">
        <f aca="false">IF(Projects!B67="","",Projects!B67)</f>
        <v/>
      </c>
      <c r="X69" s="1" t="n">
        <f aca="false">IF(W69="",0,SUMIFS($I$7:$I$256,$D$7:$D$256,W69,$H$7:$H$256,"NTIME"))</f>
        <v>0</v>
      </c>
      <c r="Y69" s="1" t="n">
        <f aca="false">IF(W69="",0,SUMIFS($I$7:$I$256,$D$7:$D$256,W69,$H$7:$H$256,"P6"))</f>
        <v>0</v>
      </c>
      <c r="Z69" s="1" t="n">
        <f aca="false">X69+Y69</f>
        <v>0</v>
      </c>
      <c r="AA69" s="1" t="n">
        <f aca="false">IF(Z69&gt;0,Z69+(201-63)/10^6,0)</f>
        <v>0</v>
      </c>
      <c r="AB69" s="1"/>
      <c r="AC69" s="1"/>
      <c r="AD69" s="1"/>
      <c r="AE69" s="1"/>
      <c r="AF69" s="1"/>
      <c r="AG69" s="1"/>
      <c r="AH69" s="1"/>
    </row>
    <row r="70" customFormat="false" ht="15" hidden="false" customHeight="false" outlineLevel="0" collapsed="false">
      <c r="A70" s="1"/>
      <c r="B70" s="10"/>
      <c r="C70" s="31" t="str">
        <f aca="false">IF(B70="","",TEXT(B70,"ddd"))</f>
        <v/>
      </c>
      <c r="D70" s="11"/>
      <c r="E70" s="8" t="str">
        <f aca="false">IF(D70="","",IFERROR(INDEX(ProjNumbers,MATCH(D70,ProjNames,0)),""))</f>
        <v/>
      </c>
      <c r="F70" s="8" t="str">
        <f aca="false">IF(D70="","",IFERROR(INDEX(ProjCodes,MATCH(D70,ProjNames,0)),""))</f>
        <v/>
      </c>
      <c r="G70" s="32"/>
      <c r="H70" s="11"/>
      <c r="I70" s="33"/>
      <c r="J70" s="8" t="str">
        <f aca="false">IF(COUNTA(B70,D70,G70,H70,I70)=0,"",IF(B70="","Enter date",IF(OR(B70&lt;$AC$2,B70&gt;$AC$3),"Date not in June",IF(D70="","Pick project",IF(ISNA(MATCH(D70,ProjNames,0)),"Project not in list",IF(G70="","Add task description",IF(H70="","Pick NTIME or P6",IF(N(I70)&lt;=0,"Enter hours",IF(AND(AllowOT&lt;&gt;"Yes",SUMIF($B$7:$B$256,B70,$I$7:$I$256)&gt;INDEX($O$58:$O$87,DAY(B70))),"Day over "&amp;INDEX($O$58:$O$87,DAY(B70))&amp;" h","✓")))))))))</f>
        <v/>
      </c>
      <c r="K70" s="1"/>
      <c r="L70" s="35" t="n">
        <v>46186</v>
      </c>
      <c r="M70" s="36" t="str">
        <f aca="false">TEXT(L70,"ddd")</f>
        <v>Sat</v>
      </c>
      <c r="N70" s="37" t="s">
        <v>94</v>
      </c>
      <c r="O70" s="37" t="n">
        <f aca="false">AvailHours</f>
        <v>8</v>
      </c>
      <c r="P70" s="24" t="n">
        <f aca="false">SUMIFS($I$7:$I$256,$B$7:$B$256,L70,$H$7:$H$256,"NTIME")</f>
        <v>0</v>
      </c>
      <c r="Q70" s="24" t="n">
        <f aca="false">SUMIFS($I$7:$I$256,$B$7:$B$256,L70,$H$7:$H$256,"P6")</f>
        <v>0</v>
      </c>
      <c r="R70" s="24" t="n">
        <f aca="false">IF(N70="Overhead only",O70,IF(AND(N70="Working",P70+Q70&gt;0),MAX(0,O70-P70-Q70),0))</f>
        <v>0</v>
      </c>
      <c r="S70" s="24" t="n">
        <f aca="false">IF(OR(N70="Working",N70="Overhead only"),MAX(0,P70+Q70-O70),0)</f>
        <v>0</v>
      </c>
      <c r="T70" s="24" t="n">
        <f aca="false">P70+Q70+R70</f>
        <v>0</v>
      </c>
      <c r="U70" s="24" t="str">
        <f aca="true">IF(N70="Working",IF(P70+Q70=0,IF(L70&lt;=TODAY(),"Not logged",""),IF(P70+Q70&gt;O70,IF(AllowOT="Yes","Overtime","Over "&amp;O70&amp;" h!"),"✓")),IF(N70="Overhead only","✓ Overhead day",IF(P70+Q70&gt;0,"Entries on "&amp;LOWER(N70)&amp;" day",N70)))</f>
        <v>Weekend</v>
      </c>
      <c r="V70" s="1"/>
      <c r="W70" s="1" t="str">
        <f aca="false">IF(Projects!B68="","",Projects!B68)</f>
        <v/>
      </c>
      <c r="X70" s="1" t="n">
        <f aca="false">IF(W70="",0,SUMIFS($I$7:$I$256,$D$7:$D$256,W70,$H$7:$H$256,"NTIME"))</f>
        <v>0</v>
      </c>
      <c r="Y70" s="1" t="n">
        <f aca="false">IF(W70="",0,SUMIFS($I$7:$I$256,$D$7:$D$256,W70,$H$7:$H$256,"P6"))</f>
        <v>0</v>
      </c>
      <c r="Z70" s="1" t="n">
        <f aca="false">X70+Y70</f>
        <v>0</v>
      </c>
      <c r="AA70" s="1" t="n">
        <f aca="false">IF(Z70&gt;0,Z70+(201-64)/10^6,0)</f>
        <v>0</v>
      </c>
      <c r="AB70" s="1"/>
      <c r="AC70" s="1"/>
      <c r="AD70" s="1"/>
      <c r="AE70" s="1"/>
      <c r="AF70" s="1"/>
      <c r="AG70" s="1"/>
      <c r="AH70" s="1"/>
    </row>
    <row r="71" customFormat="false" ht="15" hidden="false" customHeight="false" outlineLevel="0" collapsed="false">
      <c r="A71" s="1"/>
      <c r="B71" s="10"/>
      <c r="C71" s="31" t="str">
        <f aca="false">IF(B71="","",TEXT(B71,"ddd"))</f>
        <v/>
      </c>
      <c r="D71" s="11"/>
      <c r="E71" s="8" t="str">
        <f aca="false">IF(D71="","",IFERROR(INDEX(ProjNumbers,MATCH(D71,ProjNames,0)),""))</f>
        <v/>
      </c>
      <c r="F71" s="8" t="str">
        <f aca="false">IF(D71="","",IFERROR(INDEX(ProjCodes,MATCH(D71,ProjNames,0)),""))</f>
        <v/>
      </c>
      <c r="G71" s="32"/>
      <c r="H71" s="11"/>
      <c r="I71" s="33"/>
      <c r="J71" s="8" t="str">
        <f aca="false">IF(COUNTA(B71,D71,G71,H71,I71)=0,"",IF(B71="","Enter date",IF(OR(B71&lt;$AC$2,B71&gt;$AC$3),"Date not in June",IF(D71="","Pick project",IF(ISNA(MATCH(D71,ProjNames,0)),"Project not in list",IF(G71="","Add task description",IF(H71="","Pick NTIME or P6",IF(N(I71)&lt;=0,"Enter hours",IF(AND(AllowOT&lt;&gt;"Yes",SUMIF($B$7:$B$256,B71,$I$7:$I$256)&gt;INDEX($O$58:$O$87,DAY(B71))),"Day over "&amp;INDEX($O$58:$O$87,DAY(B71))&amp;" h","✓")))))))))</f>
        <v/>
      </c>
      <c r="K71" s="1"/>
      <c r="L71" s="35" t="n">
        <v>46187</v>
      </c>
      <c r="M71" s="36" t="str">
        <f aca="false">TEXT(L71,"ddd")</f>
        <v>Sun</v>
      </c>
      <c r="N71" s="37" t="s">
        <v>94</v>
      </c>
      <c r="O71" s="37" t="n">
        <f aca="false">AvailHours</f>
        <v>8</v>
      </c>
      <c r="P71" s="24" t="n">
        <f aca="false">SUMIFS($I$7:$I$256,$B$7:$B$256,L71,$H$7:$H$256,"NTIME")</f>
        <v>0</v>
      </c>
      <c r="Q71" s="24" t="n">
        <f aca="false">SUMIFS($I$7:$I$256,$B$7:$B$256,L71,$H$7:$H$256,"P6")</f>
        <v>0</v>
      </c>
      <c r="R71" s="24" t="n">
        <f aca="false">IF(N71="Overhead only",O71,IF(AND(N71="Working",P71+Q71&gt;0),MAX(0,O71-P71-Q71),0))</f>
        <v>0</v>
      </c>
      <c r="S71" s="24" t="n">
        <f aca="false">IF(OR(N71="Working",N71="Overhead only"),MAX(0,P71+Q71-O71),0)</f>
        <v>0</v>
      </c>
      <c r="T71" s="24" t="n">
        <f aca="false">P71+Q71+R71</f>
        <v>0</v>
      </c>
      <c r="U71" s="24" t="str">
        <f aca="true">IF(N71="Working",IF(P71+Q71=0,IF(L71&lt;=TODAY(),"Not logged",""),IF(P71+Q71&gt;O71,IF(AllowOT="Yes","Overtime","Over "&amp;O71&amp;" h!"),"✓")),IF(N71="Overhead only","✓ Overhead day",IF(P71+Q71&gt;0,"Entries on "&amp;LOWER(N71)&amp;" day",N71)))</f>
        <v>Weekend</v>
      </c>
      <c r="V71" s="1"/>
      <c r="W71" s="1" t="str">
        <f aca="false">IF(Projects!B69="","",Projects!B69)</f>
        <v/>
      </c>
      <c r="X71" s="1" t="n">
        <f aca="false">IF(W71="",0,SUMIFS($I$7:$I$256,$D$7:$D$256,W71,$H$7:$H$256,"NTIME"))</f>
        <v>0</v>
      </c>
      <c r="Y71" s="1" t="n">
        <f aca="false">IF(W71="",0,SUMIFS($I$7:$I$256,$D$7:$D$256,W71,$H$7:$H$256,"P6"))</f>
        <v>0</v>
      </c>
      <c r="Z71" s="1" t="n">
        <f aca="false">X71+Y71</f>
        <v>0</v>
      </c>
      <c r="AA71" s="1" t="n">
        <f aca="false">IF(Z71&gt;0,Z71+(201-65)/10^6,0)</f>
        <v>0</v>
      </c>
      <c r="AB71" s="1"/>
      <c r="AC71" s="1"/>
      <c r="AD71" s="1"/>
      <c r="AE71" s="1"/>
      <c r="AF71" s="1"/>
      <c r="AG71" s="1"/>
      <c r="AH71" s="1"/>
    </row>
    <row r="72" customFormat="false" ht="15" hidden="false" customHeight="false" outlineLevel="0" collapsed="false">
      <c r="A72" s="1"/>
      <c r="B72" s="10"/>
      <c r="C72" s="31" t="str">
        <f aca="false">IF(B72="","",TEXT(B72,"ddd"))</f>
        <v/>
      </c>
      <c r="D72" s="11"/>
      <c r="E72" s="8" t="str">
        <f aca="false">IF(D72="","",IFERROR(INDEX(ProjNumbers,MATCH(D72,ProjNames,0)),""))</f>
        <v/>
      </c>
      <c r="F72" s="8" t="str">
        <f aca="false">IF(D72="","",IFERROR(INDEX(ProjCodes,MATCH(D72,ProjNames,0)),""))</f>
        <v/>
      </c>
      <c r="G72" s="32"/>
      <c r="H72" s="11"/>
      <c r="I72" s="33"/>
      <c r="J72" s="8" t="str">
        <f aca="false">IF(COUNTA(B72,D72,G72,H72,I72)=0,"",IF(B72="","Enter date",IF(OR(B72&lt;$AC$2,B72&gt;$AC$3),"Date not in June",IF(D72="","Pick project",IF(ISNA(MATCH(D72,ProjNames,0)),"Project not in list",IF(G72="","Add task description",IF(H72="","Pick NTIME or P6",IF(N(I72)&lt;=0,"Enter hours",IF(AND(AllowOT&lt;&gt;"Yes",SUMIF($B$7:$B$256,B72,$I$7:$I$256)&gt;INDEX($O$58:$O$87,DAY(B72))),"Day over "&amp;INDEX($O$58:$O$87,DAY(B72))&amp;" h","✓")))))))))</f>
        <v/>
      </c>
      <c r="K72" s="1"/>
      <c r="L72" s="35" t="n">
        <v>46188</v>
      </c>
      <c r="M72" s="36" t="str">
        <f aca="false">TEXT(L72,"ddd")</f>
        <v>Mon</v>
      </c>
      <c r="N72" s="37" t="s">
        <v>93</v>
      </c>
      <c r="O72" s="37" t="n">
        <f aca="false">AvailHours</f>
        <v>8</v>
      </c>
      <c r="P72" s="24" t="n">
        <f aca="false">SUMIFS($I$7:$I$256,$B$7:$B$256,L72,$H$7:$H$256,"NTIME")</f>
        <v>0</v>
      </c>
      <c r="Q72" s="24" t="n">
        <f aca="false">SUMIFS($I$7:$I$256,$B$7:$B$256,L72,$H$7:$H$256,"P6")</f>
        <v>0</v>
      </c>
      <c r="R72" s="24" t="n">
        <f aca="false">IF(N72="Overhead only",O72,IF(AND(N72="Working",P72+Q72&gt;0),MAX(0,O72-P72-Q72),0))</f>
        <v>0</v>
      </c>
      <c r="S72" s="24" t="n">
        <f aca="false">IF(OR(N72="Working",N72="Overhead only"),MAX(0,P72+Q72-O72),0)</f>
        <v>0</v>
      </c>
      <c r="T72" s="24" t="n">
        <f aca="false">P72+Q72+R72</f>
        <v>0</v>
      </c>
      <c r="U72" s="24" t="str">
        <f aca="true">IF(N72="Working",IF(P72+Q72=0,IF(L72&lt;=TODAY(),"Not logged",""),IF(P72+Q72&gt;O72,IF(AllowOT="Yes","Overtime","Over "&amp;O72&amp;" h!"),"✓")),IF(N72="Overhead only","✓ Overhead day",IF(P72+Q72&gt;0,"Entries on "&amp;LOWER(N72)&amp;" day",N72)))</f>
        <v>Not logged</v>
      </c>
      <c r="V72" s="1"/>
      <c r="W72" s="1" t="str">
        <f aca="false">IF(Projects!B70="","",Projects!B70)</f>
        <v/>
      </c>
      <c r="X72" s="1" t="n">
        <f aca="false">IF(W72="",0,SUMIFS($I$7:$I$256,$D$7:$D$256,W72,$H$7:$H$256,"NTIME"))</f>
        <v>0</v>
      </c>
      <c r="Y72" s="1" t="n">
        <f aca="false">IF(W72="",0,SUMIFS($I$7:$I$256,$D$7:$D$256,W72,$H$7:$H$256,"P6"))</f>
        <v>0</v>
      </c>
      <c r="Z72" s="1" t="n">
        <f aca="false">X72+Y72</f>
        <v>0</v>
      </c>
      <c r="AA72" s="1" t="n">
        <f aca="false">IF(Z72&gt;0,Z72+(201-66)/10^6,0)</f>
        <v>0</v>
      </c>
      <c r="AB72" s="1"/>
      <c r="AC72" s="1"/>
      <c r="AD72" s="1"/>
      <c r="AE72" s="1"/>
      <c r="AF72" s="1"/>
      <c r="AG72" s="1"/>
      <c r="AH72" s="1"/>
    </row>
    <row r="73" customFormat="false" ht="15" hidden="false" customHeight="false" outlineLevel="0" collapsed="false">
      <c r="A73" s="1"/>
      <c r="B73" s="10"/>
      <c r="C73" s="31" t="str">
        <f aca="false">IF(B73="","",TEXT(B73,"ddd"))</f>
        <v/>
      </c>
      <c r="D73" s="11"/>
      <c r="E73" s="8" t="str">
        <f aca="false">IF(D73="","",IFERROR(INDEX(ProjNumbers,MATCH(D73,ProjNames,0)),""))</f>
        <v/>
      </c>
      <c r="F73" s="8" t="str">
        <f aca="false">IF(D73="","",IFERROR(INDEX(ProjCodes,MATCH(D73,ProjNames,0)),""))</f>
        <v/>
      </c>
      <c r="G73" s="32"/>
      <c r="H73" s="11"/>
      <c r="I73" s="33"/>
      <c r="J73" s="8" t="str">
        <f aca="false">IF(COUNTA(B73,D73,G73,H73,I73)=0,"",IF(B73="","Enter date",IF(OR(B73&lt;$AC$2,B73&gt;$AC$3),"Date not in June",IF(D73="","Pick project",IF(ISNA(MATCH(D73,ProjNames,0)),"Project not in list",IF(G73="","Add task description",IF(H73="","Pick NTIME or P6",IF(N(I73)&lt;=0,"Enter hours",IF(AND(AllowOT&lt;&gt;"Yes",SUMIF($B$7:$B$256,B73,$I$7:$I$256)&gt;INDEX($O$58:$O$87,DAY(B73))),"Day over "&amp;INDEX($O$58:$O$87,DAY(B73))&amp;" h","✓")))))))))</f>
        <v/>
      </c>
      <c r="K73" s="1"/>
      <c r="L73" s="35" t="n">
        <v>46189</v>
      </c>
      <c r="M73" s="36" t="str">
        <f aca="false">TEXT(L73,"ddd")</f>
        <v>Tue</v>
      </c>
      <c r="N73" s="37" t="s">
        <v>93</v>
      </c>
      <c r="O73" s="37" t="n">
        <f aca="false">AvailHours</f>
        <v>8</v>
      </c>
      <c r="P73" s="24" t="n">
        <f aca="false">SUMIFS($I$7:$I$256,$B$7:$B$256,L73,$H$7:$H$256,"NTIME")</f>
        <v>0</v>
      </c>
      <c r="Q73" s="24" t="n">
        <f aca="false">SUMIFS($I$7:$I$256,$B$7:$B$256,L73,$H$7:$H$256,"P6")</f>
        <v>0</v>
      </c>
      <c r="R73" s="24" t="n">
        <f aca="false">IF(N73="Overhead only",O73,IF(AND(N73="Working",P73+Q73&gt;0),MAX(0,O73-P73-Q73),0))</f>
        <v>0</v>
      </c>
      <c r="S73" s="24" t="n">
        <f aca="false">IF(OR(N73="Working",N73="Overhead only"),MAX(0,P73+Q73-O73),0)</f>
        <v>0</v>
      </c>
      <c r="T73" s="24" t="n">
        <f aca="false">P73+Q73+R73</f>
        <v>0</v>
      </c>
      <c r="U73" s="24" t="str">
        <f aca="true">IF(N73="Working",IF(P73+Q73=0,IF(L73&lt;=TODAY(),"Not logged",""),IF(P73+Q73&gt;O73,IF(AllowOT="Yes","Overtime","Over "&amp;O73&amp;" h!"),"✓")),IF(N73="Overhead only","✓ Overhead day",IF(P73+Q73&gt;0,"Entries on "&amp;LOWER(N73)&amp;" day",N73)))</f>
        <v>Not logged</v>
      </c>
      <c r="V73" s="1"/>
      <c r="W73" s="1" t="str">
        <f aca="false">IF(Projects!B71="","",Projects!B71)</f>
        <v/>
      </c>
      <c r="X73" s="1" t="n">
        <f aca="false">IF(W73="",0,SUMIFS($I$7:$I$256,$D$7:$D$256,W73,$H$7:$H$256,"NTIME"))</f>
        <v>0</v>
      </c>
      <c r="Y73" s="1" t="n">
        <f aca="false">IF(W73="",0,SUMIFS($I$7:$I$256,$D$7:$D$256,W73,$H$7:$H$256,"P6"))</f>
        <v>0</v>
      </c>
      <c r="Z73" s="1" t="n">
        <f aca="false">X73+Y73</f>
        <v>0</v>
      </c>
      <c r="AA73" s="1" t="n">
        <f aca="false">IF(Z73&gt;0,Z73+(201-67)/10^6,0)</f>
        <v>0</v>
      </c>
      <c r="AB73" s="1"/>
      <c r="AC73" s="1"/>
      <c r="AD73" s="1"/>
      <c r="AE73" s="1"/>
      <c r="AF73" s="1"/>
      <c r="AG73" s="1"/>
      <c r="AH73" s="1"/>
    </row>
    <row r="74" customFormat="false" ht="15" hidden="false" customHeight="false" outlineLevel="0" collapsed="false">
      <c r="A74" s="1"/>
      <c r="B74" s="10"/>
      <c r="C74" s="31" t="str">
        <f aca="false">IF(B74="","",TEXT(B74,"ddd"))</f>
        <v/>
      </c>
      <c r="D74" s="11"/>
      <c r="E74" s="8" t="str">
        <f aca="false">IF(D74="","",IFERROR(INDEX(ProjNumbers,MATCH(D74,ProjNames,0)),""))</f>
        <v/>
      </c>
      <c r="F74" s="8" t="str">
        <f aca="false">IF(D74="","",IFERROR(INDEX(ProjCodes,MATCH(D74,ProjNames,0)),""))</f>
        <v/>
      </c>
      <c r="G74" s="32"/>
      <c r="H74" s="11"/>
      <c r="I74" s="33"/>
      <c r="J74" s="8" t="str">
        <f aca="false">IF(COUNTA(B74,D74,G74,H74,I74)=0,"",IF(B74="","Enter date",IF(OR(B74&lt;$AC$2,B74&gt;$AC$3),"Date not in June",IF(D74="","Pick project",IF(ISNA(MATCH(D74,ProjNames,0)),"Project not in list",IF(G74="","Add task description",IF(H74="","Pick NTIME or P6",IF(N(I74)&lt;=0,"Enter hours",IF(AND(AllowOT&lt;&gt;"Yes",SUMIF($B$7:$B$256,B74,$I$7:$I$256)&gt;INDEX($O$58:$O$87,DAY(B74))),"Day over "&amp;INDEX($O$58:$O$87,DAY(B74))&amp;" h","✓")))))))))</f>
        <v/>
      </c>
      <c r="K74" s="1"/>
      <c r="L74" s="35" t="n">
        <v>46190</v>
      </c>
      <c r="M74" s="36" t="str">
        <f aca="false">TEXT(L74,"ddd")</f>
        <v>Wed</v>
      </c>
      <c r="N74" s="37" t="s">
        <v>93</v>
      </c>
      <c r="O74" s="37" t="n">
        <f aca="false">AvailHours</f>
        <v>8</v>
      </c>
      <c r="P74" s="24" t="n">
        <f aca="false">SUMIFS($I$7:$I$256,$B$7:$B$256,L74,$H$7:$H$256,"NTIME")</f>
        <v>0</v>
      </c>
      <c r="Q74" s="24" t="n">
        <f aca="false">SUMIFS($I$7:$I$256,$B$7:$B$256,L74,$H$7:$H$256,"P6")</f>
        <v>0</v>
      </c>
      <c r="R74" s="24" t="n">
        <f aca="false">IF(N74="Overhead only",O74,IF(AND(N74="Working",P74+Q74&gt;0),MAX(0,O74-P74-Q74),0))</f>
        <v>0</v>
      </c>
      <c r="S74" s="24" t="n">
        <f aca="false">IF(OR(N74="Working",N74="Overhead only"),MAX(0,P74+Q74-O74),0)</f>
        <v>0</v>
      </c>
      <c r="T74" s="24" t="n">
        <f aca="false">P74+Q74+R74</f>
        <v>0</v>
      </c>
      <c r="U74" s="24" t="str">
        <f aca="true">IF(N74="Working",IF(P74+Q74=0,IF(L74&lt;=TODAY(),"Not logged",""),IF(P74+Q74&gt;O74,IF(AllowOT="Yes","Overtime","Over "&amp;O74&amp;" h!"),"✓")),IF(N74="Overhead only","✓ Overhead day",IF(P74+Q74&gt;0,"Entries on "&amp;LOWER(N74)&amp;" day",N74)))</f>
        <v>Not logged</v>
      </c>
      <c r="V74" s="1"/>
      <c r="W74" s="1" t="str">
        <f aca="false">IF(Projects!B72="","",Projects!B72)</f>
        <v/>
      </c>
      <c r="X74" s="1" t="n">
        <f aca="false">IF(W74="",0,SUMIFS($I$7:$I$256,$D$7:$D$256,W74,$H$7:$H$256,"NTIME"))</f>
        <v>0</v>
      </c>
      <c r="Y74" s="1" t="n">
        <f aca="false">IF(W74="",0,SUMIFS($I$7:$I$256,$D$7:$D$256,W74,$H$7:$H$256,"P6"))</f>
        <v>0</v>
      </c>
      <c r="Z74" s="1" t="n">
        <f aca="false">X74+Y74</f>
        <v>0</v>
      </c>
      <c r="AA74" s="1" t="n">
        <f aca="false">IF(Z74&gt;0,Z74+(201-68)/10^6,0)</f>
        <v>0</v>
      </c>
      <c r="AB74" s="1"/>
      <c r="AC74" s="1"/>
      <c r="AD74" s="1"/>
      <c r="AE74" s="1"/>
      <c r="AF74" s="1"/>
      <c r="AG74" s="1"/>
      <c r="AH74" s="1"/>
    </row>
    <row r="75" customFormat="false" ht="15" hidden="false" customHeight="false" outlineLevel="0" collapsed="false">
      <c r="A75" s="1"/>
      <c r="B75" s="10"/>
      <c r="C75" s="31" t="str">
        <f aca="false">IF(B75="","",TEXT(B75,"ddd"))</f>
        <v/>
      </c>
      <c r="D75" s="11"/>
      <c r="E75" s="8" t="str">
        <f aca="false">IF(D75="","",IFERROR(INDEX(ProjNumbers,MATCH(D75,ProjNames,0)),""))</f>
        <v/>
      </c>
      <c r="F75" s="8" t="str">
        <f aca="false">IF(D75="","",IFERROR(INDEX(ProjCodes,MATCH(D75,ProjNames,0)),""))</f>
        <v/>
      </c>
      <c r="G75" s="32"/>
      <c r="H75" s="11"/>
      <c r="I75" s="33"/>
      <c r="J75" s="8" t="str">
        <f aca="false">IF(COUNTA(B75,D75,G75,H75,I75)=0,"",IF(B75="","Enter date",IF(OR(B75&lt;$AC$2,B75&gt;$AC$3),"Date not in June",IF(D75="","Pick project",IF(ISNA(MATCH(D75,ProjNames,0)),"Project not in list",IF(G75="","Add task description",IF(H75="","Pick NTIME or P6",IF(N(I75)&lt;=0,"Enter hours",IF(AND(AllowOT&lt;&gt;"Yes",SUMIF($B$7:$B$256,B75,$I$7:$I$256)&gt;INDEX($O$58:$O$87,DAY(B75))),"Day over "&amp;INDEX($O$58:$O$87,DAY(B75))&amp;" h","✓")))))))))</f>
        <v/>
      </c>
      <c r="K75" s="1"/>
      <c r="L75" s="35" t="n">
        <v>46191</v>
      </c>
      <c r="M75" s="36" t="str">
        <f aca="false">TEXT(L75,"ddd")</f>
        <v>Thu</v>
      </c>
      <c r="N75" s="37" t="s">
        <v>93</v>
      </c>
      <c r="O75" s="37" t="n">
        <f aca="false">AvailHours</f>
        <v>8</v>
      </c>
      <c r="P75" s="24" t="n">
        <f aca="false">SUMIFS($I$7:$I$256,$B$7:$B$256,L75,$H$7:$H$256,"NTIME")</f>
        <v>0</v>
      </c>
      <c r="Q75" s="24" t="n">
        <f aca="false">SUMIFS($I$7:$I$256,$B$7:$B$256,L75,$H$7:$H$256,"P6")</f>
        <v>0</v>
      </c>
      <c r="R75" s="24" t="n">
        <f aca="false">IF(N75="Overhead only",O75,IF(AND(N75="Working",P75+Q75&gt;0),MAX(0,O75-P75-Q75),0))</f>
        <v>0</v>
      </c>
      <c r="S75" s="24" t="n">
        <f aca="false">IF(OR(N75="Working",N75="Overhead only"),MAX(0,P75+Q75-O75),0)</f>
        <v>0</v>
      </c>
      <c r="T75" s="24" t="n">
        <f aca="false">P75+Q75+R75</f>
        <v>0</v>
      </c>
      <c r="U75" s="24" t="str">
        <f aca="true">IF(N75="Working",IF(P75+Q75=0,IF(L75&lt;=TODAY(),"Not logged",""),IF(P75+Q75&gt;O75,IF(AllowOT="Yes","Overtime","Over "&amp;O75&amp;" h!"),"✓")),IF(N75="Overhead only","✓ Overhead day",IF(P75+Q75&gt;0,"Entries on "&amp;LOWER(N75)&amp;" day",N75)))</f>
        <v>Not logged</v>
      </c>
      <c r="V75" s="1"/>
      <c r="W75" s="1" t="str">
        <f aca="false">IF(Projects!B73="","",Projects!B73)</f>
        <v/>
      </c>
      <c r="X75" s="1" t="n">
        <f aca="false">IF(W75="",0,SUMIFS($I$7:$I$256,$D$7:$D$256,W75,$H$7:$H$256,"NTIME"))</f>
        <v>0</v>
      </c>
      <c r="Y75" s="1" t="n">
        <f aca="false">IF(W75="",0,SUMIFS($I$7:$I$256,$D$7:$D$256,W75,$H$7:$H$256,"P6"))</f>
        <v>0</v>
      </c>
      <c r="Z75" s="1" t="n">
        <f aca="false">X75+Y75</f>
        <v>0</v>
      </c>
      <c r="AA75" s="1" t="n">
        <f aca="false">IF(Z75&gt;0,Z75+(201-69)/10^6,0)</f>
        <v>0</v>
      </c>
      <c r="AB75" s="1"/>
      <c r="AC75" s="1"/>
      <c r="AD75" s="1"/>
      <c r="AE75" s="1"/>
      <c r="AF75" s="1"/>
      <c r="AG75" s="1"/>
      <c r="AH75" s="1"/>
    </row>
    <row r="76" customFormat="false" ht="15" hidden="false" customHeight="false" outlineLevel="0" collapsed="false">
      <c r="A76" s="1"/>
      <c r="B76" s="10"/>
      <c r="C76" s="31" t="str">
        <f aca="false">IF(B76="","",TEXT(B76,"ddd"))</f>
        <v/>
      </c>
      <c r="D76" s="11"/>
      <c r="E76" s="8" t="str">
        <f aca="false">IF(D76="","",IFERROR(INDEX(ProjNumbers,MATCH(D76,ProjNames,0)),""))</f>
        <v/>
      </c>
      <c r="F76" s="8" t="str">
        <f aca="false">IF(D76="","",IFERROR(INDEX(ProjCodes,MATCH(D76,ProjNames,0)),""))</f>
        <v/>
      </c>
      <c r="G76" s="32"/>
      <c r="H76" s="11"/>
      <c r="I76" s="33"/>
      <c r="J76" s="8" t="str">
        <f aca="false">IF(COUNTA(B76,D76,G76,H76,I76)=0,"",IF(B76="","Enter date",IF(OR(B76&lt;$AC$2,B76&gt;$AC$3),"Date not in June",IF(D76="","Pick project",IF(ISNA(MATCH(D76,ProjNames,0)),"Project not in list",IF(G76="","Add task description",IF(H76="","Pick NTIME or P6",IF(N(I76)&lt;=0,"Enter hours",IF(AND(AllowOT&lt;&gt;"Yes",SUMIF($B$7:$B$256,B76,$I$7:$I$256)&gt;INDEX($O$58:$O$87,DAY(B76))),"Day over "&amp;INDEX($O$58:$O$87,DAY(B76))&amp;" h","✓")))))))))</f>
        <v/>
      </c>
      <c r="K76" s="1"/>
      <c r="L76" s="35" t="n">
        <v>46192</v>
      </c>
      <c r="M76" s="36" t="str">
        <f aca="false">TEXT(L76,"ddd")</f>
        <v>Fri</v>
      </c>
      <c r="N76" s="37" t="s">
        <v>93</v>
      </c>
      <c r="O76" s="37" t="n">
        <f aca="false">AvailHours</f>
        <v>8</v>
      </c>
      <c r="P76" s="24" t="n">
        <f aca="false">SUMIFS($I$7:$I$256,$B$7:$B$256,L76,$H$7:$H$256,"NTIME")</f>
        <v>0</v>
      </c>
      <c r="Q76" s="24" t="n">
        <f aca="false">SUMIFS($I$7:$I$256,$B$7:$B$256,L76,$H$7:$H$256,"P6")</f>
        <v>0</v>
      </c>
      <c r="R76" s="24" t="n">
        <f aca="false">IF(N76="Overhead only",O76,IF(AND(N76="Working",P76+Q76&gt;0),MAX(0,O76-P76-Q76),0))</f>
        <v>0</v>
      </c>
      <c r="S76" s="24" t="n">
        <f aca="false">IF(OR(N76="Working",N76="Overhead only"),MAX(0,P76+Q76-O76),0)</f>
        <v>0</v>
      </c>
      <c r="T76" s="24" t="n">
        <f aca="false">P76+Q76+R76</f>
        <v>0</v>
      </c>
      <c r="U76" s="24" t="str">
        <f aca="true">IF(N76="Working",IF(P76+Q76=0,IF(L76&lt;=TODAY(),"Not logged",""),IF(P76+Q76&gt;O76,IF(AllowOT="Yes","Overtime","Over "&amp;O76&amp;" h!"),"✓")),IF(N76="Overhead only","✓ Overhead day",IF(P76+Q76&gt;0,"Entries on "&amp;LOWER(N76)&amp;" day",N76)))</f>
        <v>Not logged</v>
      </c>
      <c r="V76" s="1"/>
      <c r="W76" s="1" t="str">
        <f aca="false">IF(Projects!B74="","",Projects!B74)</f>
        <v/>
      </c>
      <c r="X76" s="1" t="n">
        <f aca="false">IF(W76="",0,SUMIFS($I$7:$I$256,$D$7:$D$256,W76,$H$7:$H$256,"NTIME"))</f>
        <v>0</v>
      </c>
      <c r="Y76" s="1" t="n">
        <f aca="false">IF(W76="",0,SUMIFS($I$7:$I$256,$D$7:$D$256,W76,$H$7:$H$256,"P6"))</f>
        <v>0</v>
      </c>
      <c r="Z76" s="1" t="n">
        <f aca="false">X76+Y76</f>
        <v>0</v>
      </c>
      <c r="AA76" s="1" t="n">
        <f aca="false">IF(Z76&gt;0,Z76+(201-70)/10^6,0)</f>
        <v>0</v>
      </c>
      <c r="AB76" s="1"/>
      <c r="AC76" s="1"/>
      <c r="AD76" s="1"/>
      <c r="AE76" s="1"/>
      <c r="AF76" s="1"/>
      <c r="AG76" s="1"/>
      <c r="AH76" s="1"/>
    </row>
    <row r="77" customFormat="false" ht="15" hidden="false" customHeight="false" outlineLevel="0" collapsed="false">
      <c r="A77" s="1"/>
      <c r="B77" s="10"/>
      <c r="C77" s="31" t="str">
        <f aca="false">IF(B77="","",TEXT(B77,"ddd"))</f>
        <v/>
      </c>
      <c r="D77" s="11"/>
      <c r="E77" s="8" t="str">
        <f aca="false">IF(D77="","",IFERROR(INDEX(ProjNumbers,MATCH(D77,ProjNames,0)),""))</f>
        <v/>
      </c>
      <c r="F77" s="8" t="str">
        <f aca="false">IF(D77="","",IFERROR(INDEX(ProjCodes,MATCH(D77,ProjNames,0)),""))</f>
        <v/>
      </c>
      <c r="G77" s="32"/>
      <c r="H77" s="11"/>
      <c r="I77" s="33"/>
      <c r="J77" s="8" t="str">
        <f aca="false">IF(COUNTA(B77,D77,G77,H77,I77)=0,"",IF(B77="","Enter date",IF(OR(B77&lt;$AC$2,B77&gt;$AC$3),"Date not in June",IF(D77="","Pick project",IF(ISNA(MATCH(D77,ProjNames,0)),"Project not in list",IF(G77="","Add task description",IF(H77="","Pick NTIME or P6",IF(N(I77)&lt;=0,"Enter hours",IF(AND(AllowOT&lt;&gt;"Yes",SUMIF($B$7:$B$256,B77,$I$7:$I$256)&gt;INDEX($O$58:$O$87,DAY(B77))),"Day over "&amp;INDEX($O$58:$O$87,DAY(B77))&amp;" h","✓")))))))))</f>
        <v/>
      </c>
      <c r="K77" s="1"/>
      <c r="L77" s="35" t="n">
        <v>46193</v>
      </c>
      <c r="M77" s="36" t="str">
        <f aca="false">TEXT(L77,"ddd")</f>
        <v>Sat</v>
      </c>
      <c r="N77" s="37" t="s">
        <v>94</v>
      </c>
      <c r="O77" s="37" t="n">
        <f aca="false">AvailHours</f>
        <v>8</v>
      </c>
      <c r="P77" s="24" t="n">
        <f aca="false">SUMIFS($I$7:$I$256,$B$7:$B$256,L77,$H$7:$H$256,"NTIME")</f>
        <v>0</v>
      </c>
      <c r="Q77" s="24" t="n">
        <f aca="false">SUMIFS($I$7:$I$256,$B$7:$B$256,L77,$H$7:$H$256,"P6")</f>
        <v>0</v>
      </c>
      <c r="R77" s="24" t="n">
        <f aca="false">IF(N77="Overhead only",O77,IF(AND(N77="Working",P77+Q77&gt;0),MAX(0,O77-P77-Q77),0))</f>
        <v>0</v>
      </c>
      <c r="S77" s="24" t="n">
        <f aca="false">IF(OR(N77="Working",N77="Overhead only"),MAX(0,P77+Q77-O77),0)</f>
        <v>0</v>
      </c>
      <c r="T77" s="24" t="n">
        <f aca="false">P77+Q77+R77</f>
        <v>0</v>
      </c>
      <c r="U77" s="24" t="str">
        <f aca="true">IF(N77="Working",IF(P77+Q77=0,IF(L77&lt;=TODAY(),"Not logged",""),IF(P77+Q77&gt;O77,IF(AllowOT="Yes","Overtime","Over "&amp;O77&amp;" h!"),"✓")),IF(N77="Overhead only","✓ Overhead day",IF(P77+Q77&gt;0,"Entries on "&amp;LOWER(N77)&amp;" day",N77)))</f>
        <v>Weekend</v>
      </c>
      <c r="V77" s="1"/>
      <c r="W77" s="1" t="str">
        <f aca="false">IF(Projects!B75="","",Projects!B75)</f>
        <v/>
      </c>
      <c r="X77" s="1" t="n">
        <f aca="false">IF(W77="",0,SUMIFS($I$7:$I$256,$D$7:$D$256,W77,$H$7:$H$256,"NTIME"))</f>
        <v>0</v>
      </c>
      <c r="Y77" s="1" t="n">
        <f aca="false">IF(W77="",0,SUMIFS($I$7:$I$256,$D$7:$D$256,W77,$H$7:$H$256,"P6"))</f>
        <v>0</v>
      </c>
      <c r="Z77" s="1" t="n">
        <f aca="false">X77+Y77</f>
        <v>0</v>
      </c>
      <c r="AA77" s="1" t="n">
        <f aca="false">IF(Z77&gt;0,Z77+(201-71)/10^6,0)</f>
        <v>0</v>
      </c>
      <c r="AB77" s="1"/>
      <c r="AC77" s="1"/>
      <c r="AD77" s="1"/>
      <c r="AE77" s="1"/>
      <c r="AF77" s="1"/>
      <c r="AG77" s="1"/>
      <c r="AH77" s="1"/>
    </row>
    <row r="78" customFormat="false" ht="15" hidden="false" customHeight="false" outlineLevel="0" collapsed="false">
      <c r="A78" s="1"/>
      <c r="B78" s="10"/>
      <c r="C78" s="31" t="str">
        <f aca="false">IF(B78="","",TEXT(B78,"ddd"))</f>
        <v/>
      </c>
      <c r="D78" s="11"/>
      <c r="E78" s="8" t="str">
        <f aca="false">IF(D78="","",IFERROR(INDEX(ProjNumbers,MATCH(D78,ProjNames,0)),""))</f>
        <v/>
      </c>
      <c r="F78" s="8" t="str">
        <f aca="false">IF(D78="","",IFERROR(INDEX(ProjCodes,MATCH(D78,ProjNames,0)),""))</f>
        <v/>
      </c>
      <c r="G78" s="32"/>
      <c r="H78" s="11"/>
      <c r="I78" s="33"/>
      <c r="J78" s="8" t="str">
        <f aca="false">IF(COUNTA(B78,D78,G78,H78,I78)=0,"",IF(B78="","Enter date",IF(OR(B78&lt;$AC$2,B78&gt;$AC$3),"Date not in June",IF(D78="","Pick project",IF(ISNA(MATCH(D78,ProjNames,0)),"Project not in list",IF(G78="","Add task description",IF(H78="","Pick NTIME or P6",IF(N(I78)&lt;=0,"Enter hours",IF(AND(AllowOT&lt;&gt;"Yes",SUMIF($B$7:$B$256,B78,$I$7:$I$256)&gt;INDEX($O$58:$O$87,DAY(B78))),"Day over "&amp;INDEX($O$58:$O$87,DAY(B78))&amp;" h","✓")))))))))</f>
        <v/>
      </c>
      <c r="K78" s="1"/>
      <c r="L78" s="35" t="n">
        <v>46194</v>
      </c>
      <c r="M78" s="36" t="str">
        <f aca="false">TEXT(L78,"ddd")</f>
        <v>Sun</v>
      </c>
      <c r="N78" s="37" t="s">
        <v>94</v>
      </c>
      <c r="O78" s="37" t="n">
        <f aca="false">AvailHours</f>
        <v>8</v>
      </c>
      <c r="P78" s="24" t="n">
        <f aca="false">SUMIFS($I$7:$I$256,$B$7:$B$256,L78,$H$7:$H$256,"NTIME")</f>
        <v>0</v>
      </c>
      <c r="Q78" s="24" t="n">
        <f aca="false">SUMIFS($I$7:$I$256,$B$7:$B$256,L78,$H$7:$H$256,"P6")</f>
        <v>0</v>
      </c>
      <c r="R78" s="24" t="n">
        <f aca="false">IF(N78="Overhead only",O78,IF(AND(N78="Working",P78+Q78&gt;0),MAX(0,O78-P78-Q78),0))</f>
        <v>0</v>
      </c>
      <c r="S78" s="24" t="n">
        <f aca="false">IF(OR(N78="Working",N78="Overhead only"),MAX(0,P78+Q78-O78),0)</f>
        <v>0</v>
      </c>
      <c r="T78" s="24" t="n">
        <f aca="false">P78+Q78+R78</f>
        <v>0</v>
      </c>
      <c r="U78" s="24" t="str">
        <f aca="true">IF(N78="Working",IF(P78+Q78=0,IF(L78&lt;=TODAY(),"Not logged",""),IF(P78+Q78&gt;O78,IF(AllowOT="Yes","Overtime","Over "&amp;O78&amp;" h!"),"✓")),IF(N78="Overhead only","✓ Overhead day",IF(P78+Q78&gt;0,"Entries on "&amp;LOWER(N78)&amp;" day",N78)))</f>
        <v>Weekend</v>
      </c>
      <c r="V78" s="1"/>
      <c r="W78" s="1" t="str">
        <f aca="false">IF(Projects!B76="","",Projects!B76)</f>
        <v/>
      </c>
      <c r="X78" s="1" t="n">
        <f aca="false">IF(W78="",0,SUMIFS($I$7:$I$256,$D$7:$D$256,W78,$H$7:$H$256,"NTIME"))</f>
        <v>0</v>
      </c>
      <c r="Y78" s="1" t="n">
        <f aca="false">IF(W78="",0,SUMIFS($I$7:$I$256,$D$7:$D$256,W78,$H$7:$H$256,"P6"))</f>
        <v>0</v>
      </c>
      <c r="Z78" s="1" t="n">
        <f aca="false">X78+Y78</f>
        <v>0</v>
      </c>
      <c r="AA78" s="1" t="n">
        <f aca="false">IF(Z78&gt;0,Z78+(201-72)/10^6,0)</f>
        <v>0</v>
      </c>
      <c r="AB78" s="1"/>
      <c r="AC78" s="1"/>
      <c r="AD78" s="1"/>
      <c r="AE78" s="1"/>
      <c r="AF78" s="1"/>
      <c r="AG78" s="1"/>
      <c r="AH78" s="1"/>
    </row>
    <row r="79" customFormat="false" ht="15" hidden="false" customHeight="false" outlineLevel="0" collapsed="false">
      <c r="A79" s="1"/>
      <c r="B79" s="10"/>
      <c r="C79" s="31" t="str">
        <f aca="false">IF(B79="","",TEXT(B79,"ddd"))</f>
        <v/>
      </c>
      <c r="D79" s="11"/>
      <c r="E79" s="8" t="str">
        <f aca="false">IF(D79="","",IFERROR(INDEX(ProjNumbers,MATCH(D79,ProjNames,0)),""))</f>
        <v/>
      </c>
      <c r="F79" s="8" t="str">
        <f aca="false">IF(D79="","",IFERROR(INDEX(ProjCodes,MATCH(D79,ProjNames,0)),""))</f>
        <v/>
      </c>
      <c r="G79" s="32"/>
      <c r="H79" s="11"/>
      <c r="I79" s="33"/>
      <c r="J79" s="8" t="str">
        <f aca="false">IF(COUNTA(B79,D79,G79,H79,I79)=0,"",IF(B79="","Enter date",IF(OR(B79&lt;$AC$2,B79&gt;$AC$3),"Date not in June",IF(D79="","Pick project",IF(ISNA(MATCH(D79,ProjNames,0)),"Project not in list",IF(G79="","Add task description",IF(H79="","Pick NTIME or P6",IF(N(I79)&lt;=0,"Enter hours",IF(AND(AllowOT&lt;&gt;"Yes",SUMIF($B$7:$B$256,B79,$I$7:$I$256)&gt;INDEX($O$58:$O$87,DAY(B79))),"Day over "&amp;INDEX($O$58:$O$87,DAY(B79))&amp;" h","✓")))))))))</f>
        <v/>
      </c>
      <c r="K79" s="1"/>
      <c r="L79" s="35" t="n">
        <v>46195</v>
      </c>
      <c r="M79" s="36" t="str">
        <f aca="false">TEXT(L79,"ddd")</f>
        <v>Mon</v>
      </c>
      <c r="N79" s="37" t="s">
        <v>93</v>
      </c>
      <c r="O79" s="37" t="n">
        <f aca="false">AvailHours</f>
        <v>8</v>
      </c>
      <c r="P79" s="24" t="n">
        <f aca="false">SUMIFS($I$7:$I$256,$B$7:$B$256,L79,$H$7:$H$256,"NTIME")</f>
        <v>0</v>
      </c>
      <c r="Q79" s="24" t="n">
        <f aca="false">SUMIFS($I$7:$I$256,$B$7:$B$256,L79,$H$7:$H$256,"P6")</f>
        <v>0</v>
      </c>
      <c r="R79" s="24" t="n">
        <f aca="false">IF(N79="Overhead only",O79,IF(AND(N79="Working",P79+Q79&gt;0),MAX(0,O79-P79-Q79),0))</f>
        <v>0</v>
      </c>
      <c r="S79" s="24" t="n">
        <f aca="false">IF(OR(N79="Working",N79="Overhead only"),MAX(0,P79+Q79-O79),0)</f>
        <v>0</v>
      </c>
      <c r="T79" s="24" t="n">
        <f aca="false">P79+Q79+R79</f>
        <v>0</v>
      </c>
      <c r="U79" s="24" t="str">
        <f aca="true">IF(N79="Working",IF(P79+Q79=0,IF(L79&lt;=TODAY(),"Not logged",""),IF(P79+Q79&gt;O79,IF(AllowOT="Yes","Overtime","Over "&amp;O79&amp;" h!"),"✓")),IF(N79="Overhead only","✓ Overhead day",IF(P79+Q79&gt;0,"Entries on "&amp;LOWER(N79)&amp;" day",N79)))</f>
        <v>Not logged</v>
      </c>
      <c r="V79" s="1"/>
      <c r="W79" s="1" t="str">
        <f aca="false">IF(Projects!B77="","",Projects!B77)</f>
        <v/>
      </c>
      <c r="X79" s="1" t="n">
        <f aca="false">IF(W79="",0,SUMIFS($I$7:$I$256,$D$7:$D$256,W79,$H$7:$H$256,"NTIME"))</f>
        <v>0</v>
      </c>
      <c r="Y79" s="1" t="n">
        <f aca="false">IF(W79="",0,SUMIFS($I$7:$I$256,$D$7:$D$256,W79,$H$7:$H$256,"P6"))</f>
        <v>0</v>
      </c>
      <c r="Z79" s="1" t="n">
        <f aca="false">X79+Y79</f>
        <v>0</v>
      </c>
      <c r="AA79" s="1" t="n">
        <f aca="false">IF(Z79&gt;0,Z79+(201-73)/10^6,0)</f>
        <v>0</v>
      </c>
      <c r="AB79" s="1"/>
      <c r="AC79" s="1"/>
      <c r="AD79" s="1"/>
      <c r="AE79" s="1"/>
      <c r="AF79" s="1"/>
      <c r="AG79" s="1"/>
      <c r="AH79" s="1"/>
    </row>
    <row r="80" customFormat="false" ht="15" hidden="false" customHeight="false" outlineLevel="0" collapsed="false">
      <c r="A80" s="1"/>
      <c r="B80" s="10"/>
      <c r="C80" s="31" t="str">
        <f aca="false">IF(B80="","",TEXT(B80,"ddd"))</f>
        <v/>
      </c>
      <c r="D80" s="11"/>
      <c r="E80" s="8" t="str">
        <f aca="false">IF(D80="","",IFERROR(INDEX(ProjNumbers,MATCH(D80,ProjNames,0)),""))</f>
        <v/>
      </c>
      <c r="F80" s="8" t="str">
        <f aca="false">IF(D80="","",IFERROR(INDEX(ProjCodes,MATCH(D80,ProjNames,0)),""))</f>
        <v/>
      </c>
      <c r="G80" s="32"/>
      <c r="H80" s="11"/>
      <c r="I80" s="33"/>
      <c r="J80" s="8" t="str">
        <f aca="false">IF(COUNTA(B80,D80,G80,H80,I80)=0,"",IF(B80="","Enter date",IF(OR(B80&lt;$AC$2,B80&gt;$AC$3),"Date not in June",IF(D80="","Pick project",IF(ISNA(MATCH(D80,ProjNames,0)),"Project not in list",IF(G80="","Add task description",IF(H80="","Pick NTIME or P6",IF(N(I80)&lt;=0,"Enter hours",IF(AND(AllowOT&lt;&gt;"Yes",SUMIF($B$7:$B$256,B80,$I$7:$I$256)&gt;INDEX($O$58:$O$87,DAY(B80))),"Day over "&amp;INDEX($O$58:$O$87,DAY(B80))&amp;" h","✓")))))))))</f>
        <v/>
      </c>
      <c r="K80" s="1"/>
      <c r="L80" s="35" t="n">
        <v>46196</v>
      </c>
      <c r="M80" s="36" t="str">
        <f aca="false">TEXT(L80,"ddd")</f>
        <v>Tue</v>
      </c>
      <c r="N80" s="37" t="s">
        <v>93</v>
      </c>
      <c r="O80" s="37" t="n">
        <f aca="false">AvailHours</f>
        <v>8</v>
      </c>
      <c r="P80" s="24" t="n">
        <f aca="false">SUMIFS($I$7:$I$256,$B$7:$B$256,L80,$H$7:$H$256,"NTIME")</f>
        <v>0</v>
      </c>
      <c r="Q80" s="24" t="n">
        <f aca="false">SUMIFS($I$7:$I$256,$B$7:$B$256,L80,$H$7:$H$256,"P6")</f>
        <v>0</v>
      </c>
      <c r="R80" s="24" t="n">
        <f aca="false">IF(N80="Overhead only",O80,IF(AND(N80="Working",P80+Q80&gt;0),MAX(0,O80-P80-Q80),0))</f>
        <v>0</v>
      </c>
      <c r="S80" s="24" t="n">
        <f aca="false">IF(OR(N80="Working",N80="Overhead only"),MAX(0,P80+Q80-O80),0)</f>
        <v>0</v>
      </c>
      <c r="T80" s="24" t="n">
        <f aca="false">P80+Q80+R80</f>
        <v>0</v>
      </c>
      <c r="U80" s="24" t="str">
        <f aca="true">IF(N80="Working",IF(P80+Q80=0,IF(L80&lt;=TODAY(),"Not logged",""),IF(P80+Q80&gt;O80,IF(AllowOT="Yes","Overtime","Over "&amp;O80&amp;" h!"),"✓")),IF(N80="Overhead only","✓ Overhead day",IF(P80+Q80&gt;0,"Entries on "&amp;LOWER(N80)&amp;" day",N80)))</f>
        <v>Not logged</v>
      </c>
      <c r="V80" s="1"/>
      <c r="W80" s="1" t="str">
        <f aca="false">IF(Projects!B78="","",Projects!B78)</f>
        <v/>
      </c>
      <c r="X80" s="1" t="n">
        <f aca="false">IF(W80="",0,SUMIFS($I$7:$I$256,$D$7:$D$256,W80,$H$7:$H$256,"NTIME"))</f>
        <v>0</v>
      </c>
      <c r="Y80" s="1" t="n">
        <f aca="false">IF(W80="",0,SUMIFS($I$7:$I$256,$D$7:$D$256,W80,$H$7:$H$256,"P6"))</f>
        <v>0</v>
      </c>
      <c r="Z80" s="1" t="n">
        <f aca="false">X80+Y80</f>
        <v>0</v>
      </c>
      <c r="AA80" s="1" t="n">
        <f aca="false">IF(Z80&gt;0,Z80+(201-74)/10^6,0)</f>
        <v>0</v>
      </c>
      <c r="AB80" s="1"/>
      <c r="AC80" s="1"/>
      <c r="AD80" s="1"/>
      <c r="AE80" s="1"/>
      <c r="AF80" s="1"/>
      <c r="AG80" s="1"/>
      <c r="AH80" s="1"/>
    </row>
    <row r="81" customFormat="false" ht="15" hidden="false" customHeight="false" outlineLevel="0" collapsed="false">
      <c r="A81" s="1"/>
      <c r="B81" s="10"/>
      <c r="C81" s="31" t="str">
        <f aca="false">IF(B81="","",TEXT(B81,"ddd"))</f>
        <v/>
      </c>
      <c r="D81" s="11"/>
      <c r="E81" s="8" t="str">
        <f aca="false">IF(D81="","",IFERROR(INDEX(ProjNumbers,MATCH(D81,ProjNames,0)),""))</f>
        <v/>
      </c>
      <c r="F81" s="8" t="str">
        <f aca="false">IF(D81="","",IFERROR(INDEX(ProjCodes,MATCH(D81,ProjNames,0)),""))</f>
        <v/>
      </c>
      <c r="G81" s="32"/>
      <c r="H81" s="11"/>
      <c r="I81" s="33"/>
      <c r="J81" s="8" t="str">
        <f aca="false">IF(COUNTA(B81,D81,G81,H81,I81)=0,"",IF(B81="","Enter date",IF(OR(B81&lt;$AC$2,B81&gt;$AC$3),"Date not in June",IF(D81="","Pick project",IF(ISNA(MATCH(D81,ProjNames,0)),"Project not in list",IF(G81="","Add task description",IF(H81="","Pick NTIME or P6",IF(N(I81)&lt;=0,"Enter hours",IF(AND(AllowOT&lt;&gt;"Yes",SUMIF($B$7:$B$256,B81,$I$7:$I$256)&gt;INDEX($O$58:$O$87,DAY(B81))),"Day over "&amp;INDEX($O$58:$O$87,DAY(B81))&amp;" h","✓")))))))))</f>
        <v/>
      </c>
      <c r="K81" s="1"/>
      <c r="L81" s="35" t="n">
        <v>46197</v>
      </c>
      <c r="M81" s="36" t="str">
        <f aca="false">TEXT(L81,"ddd")</f>
        <v>Wed</v>
      </c>
      <c r="N81" s="37" t="s">
        <v>93</v>
      </c>
      <c r="O81" s="37" t="n">
        <f aca="false">AvailHours</f>
        <v>8</v>
      </c>
      <c r="P81" s="24" t="n">
        <f aca="false">SUMIFS($I$7:$I$256,$B$7:$B$256,L81,$H$7:$H$256,"NTIME")</f>
        <v>0</v>
      </c>
      <c r="Q81" s="24" t="n">
        <f aca="false">SUMIFS($I$7:$I$256,$B$7:$B$256,L81,$H$7:$H$256,"P6")</f>
        <v>0</v>
      </c>
      <c r="R81" s="24" t="n">
        <f aca="false">IF(N81="Overhead only",O81,IF(AND(N81="Working",P81+Q81&gt;0),MAX(0,O81-P81-Q81),0))</f>
        <v>0</v>
      </c>
      <c r="S81" s="24" t="n">
        <f aca="false">IF(OR(N81="Working",N81="Overhead only"),MAX(0,P81+Q81-O81),0)</f>
        <v>0</v>
      </c>
      <c r="T81" s="24" t="n">
        <f aca="false">P81+Q81+R81</f>
        <v>0</v>
      </c>
      <c r="U81" s="24" t="str">
        <f aca="true">IF(N81="Working",IF(P81+Q81=0,IF(L81&lt;=TODAY(),"Not logged",""),IF(P81+Q81&gt;O81,IF(AllowOT="Yes","Overtime","Over "&amp;O81&amp;" h!"),"✓")),IF(N81="Overhead only","✓ Overhead day",IF(P81+Q81&gt;0,"Entries on "&amp;LOWER(N81)&amp;" day",N81)))</f>
        <v>Not logged</v>
      </c>
      <c r="V81" s="1"/>
      <c r="W81" s="1" t="str">
        <f aca="false">IF(Projects!B79="","",Projects!B79)</f>
        <v/>
      </c>
      <c r="X81" s="1" t="n">
        <f aca="false">IF(W81="",0,SUMIFS($I$7:$I$256,$D$7:$D$256,W81,$H$7:$H$256,"NTIME"))</f>
        <v>0</v>
      </c>
      <c r="Y81" s="1" t="n">
        <f aca="false">IF(W81="",0,SUMIFS($I$7:$I$256,$D$7:$D$256,W81,$H$7:$H$256,"P6"))</f>
        <v>0</v>
      </c>
      <c r="Z81" s="1" t="n">
        <f aca="false">X81+Y81</f>
        <v>0</v>
      </c>
      <c r="AA81" s="1" t="n">
        <f aca="false">IF(Z81&gt;0,Z81+(201-75)/10^6,0)</f>
        <v>0</v>
      </c>
      <c r="AB81" s="1"/>
      <c r="AC81" s="1"/>
      <c r="AD81" s="1"/>
      <c r="AE81" s="1"/>
      <c r="AF81" s="1"/>
      <c r="AG81" s="1"/>
      <c r="AH81" s="1"/>
    </row>
    <row r="82" customFormat="false" ht="15" hidden="false" customHeight="false" outlineLevel="0" collapsed="false">
      <c r="A82" s="1"/>
      <c r="B82" s="10"/>
      <c r="C82" s="31" t="str">
        <f aca="false">IF(B82="","",TEXT(B82,"ddd"))</f>
        <v/>
      </c>
      <c r="D82" s="11"/>
      <c r="E82" s="8" t="str">
        <f aca="false">IF(D82="","",IFERROR(INDEX(ProjNumbers,MATCH(D82,ProjNames,0)),""))</f>
        <v/>
      </c>
      <c r="F82" s="8" t="str">
        <f aca="false">IF(D82="","",IFERROR(INDEX(ProjCodes,MATCH(D82,ProjNames,0)),""))</f>
        <v/>
      </c>
      <c r="G82" s="32"/>
      <c r="H82" s="11"/>
      <c r="I82" s="33"/>
      <c r="J82" s="8" t="str">
        <f aca="false">IF(COUNTA(B82,D82,G82,H82,I82)=0,"",IF(B82="","Enter date",IF(OR(B82&lt;$AC$2,B82&gt;$AC$3),"Date not in June",IF(D82="","Pick project",IF(ISNA(MATCH(D82,ProjNames,0)),"Project not in list",IF(G82="","Add task description",IF(H82="","Pick NTIME or P6",IF(N(I82)&lt;=0,"Enter hours",IF(AND(AllowOT&lt;&gt;"Yes",SUMIF($B$7:$B$256,B82,$I$7:$I$256)&gt;INDEX($O$58:$O$87,DAY(B82))),"Day over "&amp;INDEX($O$58:$O$87,DAY(B82))&amp;" h","✓")))))))))</f>
        <v/>
      </c>
      <c r="K82" s="1"/>
      <c r="L82" s="35" t="n">
        <v>46198</v>
      </c>
      <c r="M82" s="36" t="str">
        <f aca="false">TEXT(L82,"ddd")</f>
        <v>Thu</v>
      </c>
      <c r="N82" s="37" t="s">
        <v>93</v>
      </c>
      <c r="O82" s="37" t="n">
        <f aca="false">AvailHours</f>
        <v>8</v>
      </c>
      <c r="P82" s="24" t="n">
        <f aca="false">SUMIFS($I$7:$I$256,$B$7:$B$256,L82,$H$7:$H$256,"NTIME")</f>
        <v>0</v>
      </c>
      <c r="Q82" s="24" t="n">
        <f aca="false">SUMIFS($I$7:$I$256,$B$7:$B$256,L82,$H$7:$H$256,"P6")</f>
        <v>0</v>
      </c>
      <c r="R82" s="24" t="n">
        <f aca="false">IF(N82="Overhead only",O82,IF(AND(N82="Working",P82+Q82&gt;0),MAX(0,O82-P82-Q82),0))</f>
        <v>0</v>
      </c>
      <c r="S82" s="24" t="n">
        <f aca="false">IF(OR(N82="Working",N82="Overhead only"),MAX(0,P82+Q82-O82),0)</f>
        <v>0</v>
      </c>
      <c r="T82" s="24" t="n">
        <f aca="false">P82+Q82+R82</f>
        <v>0</v>
      </c>
      <c r="U82" s="24" t="str">
        <f aca="true">IF(N82="Working",IF(P82+Q82=0,IF(L82&lt;=TODAY(),"Not logged",""),IF(P82+Q82&gt;O82,IF(AllowOT="Yes","Overtime","Over "&amp;O82&amp;" h!"),"✓")),IF(N82="Overhead only","✓ Overhead day",IF(P82+Q82&gt;0,"Entries on "&amp;LOWER(N82)&amp;" day",N82)))</f>
        <v>Not logged</v>
      </c>
      <c r="V82" s="1"/>
      <c r="W82" s="1" t="str">
        <f aca="false">IF(Projects!B80="","",Projects!B80)</f>
        <v/>
      </c>
      <c r="X82" s="1" t="n">
        <f aca="false">IF(W82="",0,SUMIFS($I$7:$I$256,$D$7:$D$256,W82,$H$7:$H$256,"NTIME"))</f>
        <v>0</v>
      </c>
      <c r="Y82" s="1" t="n">
        <f aca="false">IF(W82="",0,SUMIFS($I$7:$I$256,$D$7:$D$256,W82,$H$7:$H$256,"P6"))</f>
        <v>0</v>
      </c>
      <c r="Z82" s="1" t="n">
        <f aca="false">X82+Y82</f>
        <v>0</v>
      </c>
      <c r="AA82" s="1" t="n">
        <f aca="false">IF(Z82&gt;0,Z82+(201-76)/10^6,0)</f>
        <v>0</v>
      </c>
      <c r="AB82" s="1"/>
      <c r="AC82" s="1"/>
      <c r="AD82" s="1"/>
      <c r="AE82" s="1"/>
      <c r="AF82" s="1"/>
      <c r="AG82" s="1"/>
      <c r="AH82" s="1"/>
    </row>
    <row r="83" customFormat="false" ht="15" hidden="false" customHeight="false" outlineLevel="0" collapsed="false">
      <c r="A83" s="1"/>
      <c r="B83" s="10"/>
      <c r="C83" s="31" t="str">
        <f aca="false">IF(B83="","",TEXT(B83,"ddd"))</f>
        <v/>
      </c>
      <c r="D83" s="11"/>
      <c r="E83" s="8" t="str">
        <f aca="false">IF(D83="","",IFERROR(INDEX(ProjNumbers,MATCH(D83,ProjNames,0)),""))</f>
        <v/>
      </c>
      <c r="F83" s="8" t="str">
        <f aca="false">IF(D83="","",IFERROR(INDEX(ProjCodes,MATCH(D83,ProjNames,0)),""))</f>
        <v/>
      </c>
      <c r="G83" s="32"/>
      <c r="H83" s="11"/>
      <c r="I83" s="33"/>
      <c r="J83" s="8" t="str">
        <f aca="false">IF(COUNTA(B83,D83,G83,H83,I83)=0,"",IF(B83="","Enter date",IF(OR(B83&lt;$AC$2,B83&gt;$AC$3),"Date not in June",IF(D83="","Pick project",IF(ISNA(MATCH(D83,ProjNames,0)),"Project not in list",IF(G83="","Add task description",IF(H83="","Pick NTIME or P6",IF(N(I83)&lt;=0,"Enter hours",IF(AND(AllowOT&lt;&gt;"Yes",SUMIF($B$7:$B$256,B83,$I$7:$I$256)&gt;INDEX($O$58:$O$87,DAY(B83))),"Day over "&amp;INDEX($O$58:$O$87,DAY(B83))&amp;" h","✓")))))))))</f>
        <v/>
      </c>
      <c r="K83" s="1"/>
      <c r="L83" s="35" t="n">
        <v>46199</v>
      </c>
      <c r="M83" s="36" t="str">
        <f aca="false">TEXT(L83,"ddd")</f>
        <v>Fri</v>
      </c>
      <c r="N83" s="37" t="s">
        <v>93</v>
      </c>
      <c r="O83" s="37" t="n">
        <f aca="false">AvailHours</f>
        <v>8</v>
      </c>
      <c r="P83" s="24" t="n">
        <f aca="false">SUMIFS($I$7:$I$256,$B$7:$B$256,L83,$H$7:$H$256,"NTIME")</f>
        <v>0</v>
      </c>
      <c r="Q83" s="24" t="n">
        <f aca="false">SUMIFS($I$7:$I$256,$B$7:$B$256,L83,$H$7:$H$256,"P6")</f>
        <v>0</v>
      </c>
      <c r="R83" s="24" t="n">
        <f aca="false">IF(N83="Overhead only",O83,IF(AND(N83="Working",P83+Q83&gt;0),MAX(0,O83-P83-Q83),0))</f>
        <v>0</v>
      </c>
      <c r="S83" s="24" t="n">
        <f aca="false">IF(OR(N83="Working",N83="Overhead only"),MAX(0,P83+Q83-O83),0)</f>
        <v>0</v>
      </c>
      <c r="T83" s="24" t="n">
        <f aca="false">P83+Q83+R83</f>
        <v>0</v>
      </c>
      <c r="U83" s="24" t="str">
        <f aca="true">IF(N83="Working",IF(P83+Q83=0,IF(L83&lt;=TODAY(),"Not logged",""),IF(P83+Q83&gt;O83,IF(AllowOT="Yes","Overtime","Over "&amp;O83&amp;" h!"),"✓")),IF(N83="Overhead only","✓ Overhead day",IF(P83+Q83&gt;0,"Entries on "&amp;LOWER(N83)&amp;" day",N83)))</f>
        <v>Not logged</v>
      </c>
      <c r="V83" s="1"/>
      <c r="W83" s="1" t="str">
        <f aca="false">IF(Projects!B81="","",Projects!B81)</f>
        <v/>
      </c>
      <c r="X83" s="1" t="n">
        <f aca="false">IF(W83="",0,SUMIFS($I$7:$I$256,$D$7:$D$256,W83,$H$7:$H$256,"NTIME"))</f>
        <v>0</v>
      </c>
      <c r="Y83" s="1" t="n">
        <f aca="false">IF(W83="",0,SUMIFS($I$7:$I$256,$D$7:$D$256,W83,$H$7:$H$256,"P6"))</f>
        <v>0</v>
      </c>
      <c r="Z83" s="1" t="n">
        <f aca="false">X83+Y83</f>
        <v>0</v>
      </c>
      <c r="AA83" s="1" t="n">
        <f aca="false">IF(Z83&gt;0,Z83+(201-77)/10^6,0)</f>
        <v>0</v>
      </c>
      <c r="AB83" s="1"/>
      <c r="AC83" s="1"/>
      <c r="AD83" s="1"/>
      <c r="AE83" s="1"/>
      <c r="AF83" s="1"/>
      <c r="AG83" s="1"/>
      <c r="AH83" s="1"/>
    </row>
    <row r="84" customFormat="false" ht="15" hidden="false" customHeight="false" outlineLevel="0" collapsed="false">
      <c r="A84" s="1"/>
      <c r="B84" s="10"/>
      <c r="C84" s="31" t="str">
        <f aca="false">IF(B84="","",TEXT(B84,"ddd"))</f>
        <v/>
      </c>
      <c r="D84" s="11"/>
      <c r="E84" s="8" t="str">
        <f aca="false">IF(D84="","",IFERROR(INDEX(ProjNumbers,MATCH(D84,ProjNames,0)),""))</f>
        <v/>
      </c>
      <c r="F84" s="8" t="str">
        <f aca="false">IF(D84="","",IFERROR(INDEX(ProjCodes,MATCH(D84,ProjNames,0)),""))</f>
        <v/>
      </c>
      <c r="G84" s="32"/>
      <c r="H84" s="11"/>
      <c r="I84" s="33"/>
      <c r="J84" s="8" t="str">
        <f aca="false">IF(COUNTA(B84,D84,G84,H84,I84)=0,"",IF(B84="","Enter date",IF(OR(B84&lt;$AC$2,B84&gt;$AC$3),"Date not in June",IF(D84="","Pick project",IF(ISNA(MATCH(D84,ProjNames,0)),"Project not in list",IF(G84="","Add task description",IF(H84="","Pick NTIME or P6",IF(N(I84)&lt;=0,"Enter hours",IF(AND(AllowOT&lt;&gt;"Yes",SUMIF($B$7:$B$256,B84,$I$7:$I$256)&gt;INDEX($O$58:$O$87,DAY(B84))),"Day over "&amp;INDEX($O$58:$O$87,DAY(B84))&amp;" h","✓")))))))))</f>
        <v/>
      </c>
      <c r="K84" s="1"/>
      <c r="L84" s="35" t="n">
        <v>46200</v>
      </c>
      <c r="M84" s="36" t="str">
        <f aca="false">TEXT(L84,"ddd")</f>
        <v>Sat</v>
      </c>
      <c r="N84" s="37" t="s">
        <v>94</v>
      </c>
      <c r="O84" s="37" t="n">
        <f aca="false">AvailHours</f>
        <v>8</v>
      </c>
      <c r="P84" s="24" t="n">
        <f aca="false">SUMIFS($I$7:$I$256,$B$7:$B$256,L84,$H$7:$H$256,"NTIME")</f>
        <v>0</v>
      </c>
      <c r="Q84" s="24" t="n">
        <f aca="false">SUMIFS($I$7:$I$256,$B$7:$B$256,L84,$H$7:$H$256,"P6")</f>
        <v>0</v>
      </c>
      <c r="R84" s="24" t="n">
        <f aca="false">IF(N84="Overhead only",O84,IF(AND(N84="Working",P84+Q84&gt;0),MAX(0,O84-P84-Q84),0))</f>
        <v>0</v>
      </c>
      <c r="S84" s="24" t="n">
        <f aca="false">IF(OR(N84="Working",N84="Overhead only"),MAX(0,P84+Q84-O84),0)</f>
        <v>0</v>
      </c>
      <c r="T84" s="24" t="n">
        <f aca="false">P84+Q84+R84</f>
        <v>0</v>
      </c>
      <c r="U84" s="24" t="str">
        <f aca="true">IF(N84="Working",IF(P84+Q84=0,IF(L84&lt;=TODAY(),"Not logged",""),IF(P84+Q84&gt;O84,IF(AllowOT="Yes","Overtime","Over "&amp;O84&amp;" h!"),"✓")),IF(N84="Overhead only","✓ Overhead day",IF(P84+Q84&gt;0,"Entries on "&amp;LOWER(N84)&amp;" day",N84)))</f>
        <v>Weekend</v>
      </c>
      <c r="V84" s="1"/>
      <c r="W84" s="1" t="str">
        <f aca="false">IF(Projects!B82="","",Projects!B82)</f>
        <v/>
      </c>
      <c r="X84" s="1" t="n">
        <f aca="false">IF(W84="",0,SUMIFS($I$7:$I$256,$D$7:$D$256,W84,$H$7:$H$256,"NTIME"))</f>
        <v>0</v>
      </c>
      <c r="Y84" s="1" t="n">
        <f aca="false">IF(W84="",0,SUMIFS($I$7:$I$256,$D$7:$D$256,W84,$H$7:$H$256,"P6"))</f>
        <v>0</v>
      </c>
      <c r="Z84" s="1" t="n">
        <f aca="false">X84+Y84</f>
        <v>0</v>
      </c>
      <c r="AA84" s="1" t="n">
        <f aca="false">IF(Z84&gt;0,Z84+(201-78)/10^6,0)</f>
        <v>0</v>
      </c>
      <c r="AB84" s="1"/>
      <c r="AC84" s="1"/>
      <c r="AD84" s="1"/>
      <c r="AE84" s="1"/>
      <c r="AF84" s="1"/>
      <c r="AG84" s="1"/>
      <c r="AH84" s="1"/>
    </row>
    <row r="85" customFormat="false" ht="15" hidden="false" customHeight="false" outlineLevel="0" collapsed="false">
      <c r="A85" s="1"/>
      <c r="B85" s="10"/>
      <c r="C85" s="31" t="str">
        <f aca="false">IF(B85="","",TEXT(B85,"ddd"))</f>
        <v/>
      </c>
      <c r="D85" s="11"/>
      <c r="E85" s="8" t="str">
        <f aca="false">IF(D85="","",IFERROR(INDEX(ProjNumbers,MATCH(D85,ProjNames,0)),""))</f>
        <v/>
      </c>
      <c r="F85" s="8" t="str">
        <f aca="false">IF(D85="","",IFERROR(INDEX(ProjCodes,MATCH(D85,ProjNames,0)),""))</f>
        <v/>
      </c>
      <c r="G85" s="32"/>
      <c r="H85" s="11"/>
      <c r="I85" s="33"/>
      <c r="J85" s="8" t="str">
        <f aca="false">IF(COUNTA(B85,D85,G85,H85,I85)=0,"",IF(B85="","Enter date",IF(OR(B85&lt;$AC$2,B85&gt;$AC$3),"Date not in June",IF(D85="","Pick project",IF(ISNA(MATCH(D85,ProjNames,0)),"Project not in list",IF(G85="","Add task description",IF(H85="","Pick NTIME or P6",IF(N(I85)&lt;=0,"Enter hours",IF(AND(AllowOT&lt;&gt;"Yes",SUMIF($B$7:$B$256,B85,$I$7:$I$256)&gt;INDEX($O$58:$O$87,DAY(B85))),"Day over "&amp;INDEX($O$58:$O$87,DAY(B85))&amp;" h","✓")))))))))</f>
        <v/>
      </c>
      <c r="K85" s="1"/>
      <c r="L85" s="35" t="n">
        <v>46201</v>
      </c>
      <c r="M85" s="36" t="str">
        <f aca="false">TEXT(L85,"ddd")</f>
        <v>Sun</v>
      </c>
      <c r="N85" s="37" t="s">
        <v>94</v>
      </c>
      <c r="O85" s="37" t="n">
        <f aca="false">AvailHours</f>
        <v>8</v>
      </c>
      <c r="P85" s="24" t="n">
        <f aca="false">SUMIFS($I$7:$I$256,$B$7:$B$256,L85,$H$7:$H$256,"NTIME")</f>
        <v>0</v>
      </c>
      <c r="Q85" s="24" t="n">
        <f aca="false">SUMIFS($I$7:$I$256,$B$7:$B$256,L85,$H$7:$H$256,"P6")</f>
        <v>0</v>
      </c>
      <c r="R85" s="24" t="n">
        <f aca="false">IF(N85="Overhead only",O85,IF(AND(N85="Working",P85+Q85&gt;0),MAX(0,O85-P85-Q85),0))</f>
        <v>0</v>
      </c>
      <c r="S85" s="24" t="n">
        <f aca="false">IF(OR(N85="Working",N85="Overhead only"),MAX(0,P85+Q85-O85),0)</f>
        <v>0</v>
      </c>
      <c r="T85" s="24" t="n">
        <f aca="false">P85+Q85+R85</f>
        <v>0</v>
      </c>
      <c r="U85" s="24" t="str">
        <f aca="true">IF(N85="Working",IF(P85+Q85=0,IF(L85&lt;=TODAY(),"Not logged",""),IF(P85+Q85&gt;O85,IF(AllowOT="Yes","Overtime","Over "&amp;O85&amp;" h!"),"✓")),IF(N85="Overhead only","✓ Overhead day",IF(P85+Q85&gt;0,"Entries on "&amp;LOWER(N85)&amp;" day",N85)))</f>
        <v>Weekend</v>
      </c>
      <c r="V85" s="1"/>
      <c r="W85" s="1" t="str">
        <f aca="false">IF(Projects!B83="","",Projects!B83)</f>
        <v/>
      </c>
      <c r="X85" s="1" t="n">
        <f aca="false">IF(W85="",0,SUMIFS($I$7:$I$256,$D$7:$D$256,W85,$H$7:$H$256,"NTIME"))</f>
        <v>0</v>
      </c>
      <c r="Y85" s="1" t="n">
        <f aca="false">IF(W85="",0,SUMIFS($I$7:$I$256,$D$7:$D$256,W85,$H$7:$H$256,"P6"))</f>
        <v>0</v>
      </c>
      <c r="Z85" s="1" t="n">
        <f aca="false">X85+Y85</f>
        <v>0</v>
      </c>
      <c r="AA85" s="1" t="n">
        <f aca="false">IF(Z85&gt;0,Z85+(201-79)/10^6,0)</f>
        <v>0</v>
      </c>
      <c r="AB85" s="1"/>
      <c r="AC85" s="1"/>
      <c r="AD85" s="1"/>
      <c r="AE85" s="1"/>
      <c r="AF85" s="1"/>
      <c r="AG85" s="1"/>
      <c r="AH85" s="1"/>
    </row>
    <row r="86" customFormat="false" ht="15" hidden="false" customHeight="false" outlineLevel="0" collapsed="false">
      <c r="A86" s="1"/>
      <c r="B86" s="10"/>
      <c r="C86" s="31" t="str">
        <f aca="false">IF(B86="","",TEXT(B86,"ddd"))</f>
        <v/>
      </c>
      <c r="D86" s="11"/>
      <c r="E86" s="8" t="str">
        <f aca="false">IF(D86="","",IFERROR(INDEX(ProjNumbers,MATCH(D86,ProjNames,0)),""))</f>
        <v/>
      </c>
      <c r="F86" s="8" t="str">
        <f aca="false">IF(D86="","",IFERROR(INDEX(ProjCodes,MATCH(D86,ProjNames,0)),""))</f>
        <v/>
      </c>
      <c r="G86" s="32"/>
      <c r="H86" s="11"/>
      <c r="I86" s="33"/>
      <c r="J86" s="8" t="str">
        <f aca="false">IF(COUNTA(B86,D86,G86,H86,I86)=0,"",IF(B86="","Enter date",IF(OR(B86&lt;$AC$2,B86&gt;$AC$3),"Date not in June",IF(D86="","Pick project",IF(ISNA(MATCH(D86,ProjNames,0)),"Project not in list",IF(G86="","Add task description",IF(H86="","Pick NTIME or P6",IF(N(I86)&lt;=0,"Enter hours",IF(AND(AllowOT&lt;&gt;"Yes",SUMIF($B$7:$B$256,B86,$I$7:$I$256)&gt;INDEX($O$58:$O$87,DAY(B86))),"Day over "&amp;INDEX($O$58:$O$87,DAY(B86))&amp;" h","✓")))))))))</f>
        <v/>
      </c>
      <c r="K86" s="1"/>
      <c r="L86" s="35" t="n">
        <v>46202</v>
      </c>
      <c r="M86" s="36" t="str">
        <f aca="false">TEXT(L86,"ddd")</f>
        <v>Mon</v>
      </c>
      <c r="N86" s="37" t="s">
        <v>93</v>
      </c>
      <c r="O86" s="37" t="n">
        <f aca="false">AvailHours</f>
        <v>8</v>
      </c>
      <c r="P86" s="24" t="n">
        <f aca="false">SUMIFS($I$7:$I$256,$B$7:$B$256,L86,$H$7:$H$256,"NTIME")</f>
        <v>0</v>
      </c>
      <c r="Q86" s="24" t="n">
        <f aca="false">SUMIFS($I$7:$I$256,$B$7:$B$256,L86,$H$7:$H$256,"P6")</f>
        <v>0</v>
      </c>
      <c r="R86" s="24" t="n">
        <f aca="false">IF(N86="Overhead only",O86,IF(AND(N86="Working",P86+Q86&gt;0),MAX(0,O86-P86-Q86),0))</f>
        <v>0</v>
      </c>
      <c r="S86" s="24" t="n">
        <f aca="false">IF(OR(N86="Working",N86="Overhead only"),MAX(0,P86+Q86-O86),0)</f>
        <v>0</v>
      </c>
      <c r="T86" s="24" t="n">
        <f aca="false">P86+Q86+R86</f>
        <v>0</v>
      </c>
      <c r="U86" s="24" t="str">
        <f aca="true">IF(N86="Working",IF(P86+Q86=0,IF(L86&lt;=TODAY(),"Not logged",""),IF(P86+Q86&gt;O86,IF(AllowOT="Yes","Overtime","Over "&amp;O86&amp;" h!"),"✓")),IF(N86="Overhead only","✓ Overhead day",IF(P86+Q86&gt;0,"Entries on "&amp;LOWER(N86)&amp;" day",N86)))</f>
        <v>Not logged</v>
      </c>
      <c r="V86" s="1"/>
      <c r="W86" s="1" t="str">
        <f aca="false">IF(Projects!B84="","",Projects!B84)</f>
        <v/>
      </c>
      <c r="X86" s="1" t="n">
        <f aca="false">IF(W86="",0,SUMIFS($I$7:$I$256,$D$7:$D$256,W86,$H$7:$H$256,"NTIME"))</f>
        <v>0</v>
      </c>
      <c r="Y86" s="1" t="n">
        <f aca="false">IF(W86="",0,SUMIFS($I$7:$I$256,$D$7:$D$256,W86,$H$7:$H$256,"P6"))</f>
        <v>0</v>
      </c>
      <c r="Z86" s="1" t="n">
        <f aca="false">X86+Y86</f>
        <v>0</v>
      </c>
      <c r="AA86" s="1" t="n">
        <f aca="false">IF(Z86&gt;0,Z86+(201-80)/10^6,0)</f>
        <v>0</v>
      </c>
      <c r="AB86" s="1"/>
      <c r="AC86" s="1"/>
      <c r="AD86" s="1"/>
      <c r="AE86" s="1"/>
      <c r="AF86" s="1"/>
      <c r="AG86" s="1"/>
      <c r="AH86" s="1"/>
    </row>
    <row r="87" customFormat="false" ht="15" hidden="false" customHeight="false" outlineLevel="0" collapsed="false">
      <c r="A87" s="1"/>
      <c r="B87" s="10"/>
      <c r="C87" s="31" t="str">
        <f aca="false">IF(B87="","",TEXT(B87,"ddd"))</f>
        <v/>
      </c>
      <c r="D87" s="11"/>
      <c r="E87" s="8" t="str">
        <f aca="false">IF(D87="","",IFERROR(INDEX(ProjNumbers,MATCH(D87,ProjNames,0)),""))</f>
        <v/>
      </c>
      <c r="F87" s="8" t="str">
        <f aca="false">IF(D87="","",IFERROR(INDEX(ProjCodes,MATCH(D87,ProjNames,0)),""))</f>
        <v/>
      </c>
      <c r="G87" s="32"/>
      <c r="H87" s="11"/>
      <c r="I87" s="33"/>
      <c r="J87" s="8" t="str">
        <f aca="false">IF(COUNTA(B87,D87,G87,H87,I87)=0,"",IF(B87="","Enter date",IF(OR(B87&lt;$AC$2,B87&gt;$AC$3),"Date not in June",IF(D87="","Pick project",IF(ISNA(MATCH(D87,ProjNames,0)),"Project not in list",IF(G87="","Add task description",IF(H87="","Pick NTIME or P6",IF(N(I87)&lt;=0,"Enter hours",IF(AND(AllowOT&lt;&gt;"Yes",SUMIF($B$7:$B$256,B87,$I$7:$I$256)&gt;INDEX($O$58:$O$87,DAY(B87))),"Day over "&amp;INDEX($O$58:$O$87,DAY(B87))&amp;" h","✓")))))))))</f>
        <v/>
      </c>
      <c r="K87" s="1"/>
      <c r="L87" s="35" t="n">
        <v>46203</v>
      </c>
      <c r="M87" s="36" t="str">
        <f aca="false">TEXT(L87,"ddd")</f>
        <v>Tue</v>
      </c>
      <c r="N87" s="37" t="s">
        <v>93</v>
      </c>
      <c r="O87" s="37" t="n">
        <f aca="false">AvailHours</f>
        <v>8</v>
      </c>
      <c r="P87" s="24" t="n">
        <f aca="false">SUMIFS($I$7:$I$256,$B$7:$B$256,L87,$H$7:$H$256,"NTIME")</f>
        <v>0</v>
      </c>
      <c r="Q87" s="24" t="n">
        <f aca="false">SUMIFS($I$7:$I$256,$B$7:$B$256,L87,$H$7:$H$256,"P6")</f>
        <v>0</v>
      </c>
      <c r="R87" s="24" t="n">
        <f aca="false">IF(N87="Overhead only",O87,IF(AND(N87="Working",P87+Q87&gt;0),MAX(0,O87-P87-Q87),0))</f>
        <v>0</v>
      </c>
      <c r="S87" s="24" t="n">
        <f aca="false">IF(OR(N87="Working",N87="Overhead only"),MAX(0,P87+Q87-O87),0)</f>
        <v>0</v>
      </c>
      <c r="T87" s="24" t="n">
        <f aca="false">P87+Q87+R87</f>
        <v>0</v>
      </c>
      <c r="U87" s="24" t="str">
        <f aca="true">IF(N87="Working",IF(P87+Q87=0,IF(L87&lt;=TODAY(),"Not logged",""),IF(P87+Q87&gt;O87,IF(AllowOT="Yes","Overtime","Over "&amp;O87&amp;" h!"),"✓")),IF(N87="Overhead only","✓ Overhead day",IF(P87+Q87&gt;0,"Entries on "&amp;LOWER(N87)&amp;" day",N87)))</f>
        <v>Not logged</v>
      </c>
      <c r="V87" s="1"/>
      <c r="W87" s="1" t="str">
        <f aca="false">IF(Projects!B85="","",Projects!B85)</f>
        <v/>
      </c>
      <c r="X87" s="1" t="n">
        <f aca="false">IF(W87="",0,SUMIFS($I$7:$I$256,$D$7:$D$256,W87,$H$7:$H$256,"NTIME"))</f>
        <v>0</v>
      </c>
      <c r="Y87" s="1" t="n">
        <f aca="false">IF(W87="",0,SUMIFS($I$7:$I$256,$D$7:$D$256,W87,$H$7:$H$256,"P6"))</f>
        <v>0</v>
      </c>
      <c r="Z87" s="1" t="n">
        <f aca="false">X87+Y87</f>
        <v>0</v>
      </c>
      <c r="AA87" s="1" t="n">
        <f aca="false">IF(Z87&gt;0,Z87+(201-81)/10^6,0)</f>
        <v>0</v>
      </c>
      <c r="AB87" s="1"/>
      <c r="AC87" s="1"/>
      <c r="AD87" s="1"/>
      <c r="AE87" s="1"/>
      <c r="AF87" s="1"/>
      <c r="AG87" s="1"/>
      <c r="AH87" s="1"/>
    </row>
    <row r="88" customFormat="false" ht="15" hidden="false" customHeight="false" outlineLevel="0" collapsed="false">
      <c r="A88" s="1"/>
      <c r="B88" s="10"/>
      <c r="C88" s="31" t="str">
        <f aca="false">IF(B88="","",TEXT(B88,"ddd"))</f>
        <v/>
      </c>
      <c r="D88" s="11"/>
      <c r="E88" s="8" t="str">
        <f aca="false">IF(D88="","",IFERROR(INDEX(ProjNumbers,MATCH(D88,ProjNames,0)),""))</f>
        <v/>
      </c>
      <c r="F88" s="8" t="str">
        <f aca="false">IF(D88="","",IFERROR(INDEX(ProjCodes,MATCH(D88,ProjNames,0)),""))</f>
        <v/>
      </c>
      <c r="G88" s="32"/>
      <c r="H88" s="11"/>
      <c r="I88" s="33"/>
      <c r="J88" s="8" t="str">
        <f aca="false">IF(COUNTA(B88,D88,G88,H88,I88)=0,"",IF(B88="","Enter date",IF(OR(B88&lt;$AC$2,B88&gt;$AC$3),"Date not in June",IF(D88="","Pick project",IF(ISNA(MATCH(D88,ProjNames,0)),"Project not in list",IF(G88="","Add task description",IF(H88="","Pick NTIME or P6",IF(N(I88)&lt;=0,"Enter hours",IF(AND(AllowOT&lt;&gt;"Yes",SUMIF($B$7:$B$256,B88,$I$7:$I$256)&gt;INDEX($O$58:$O$87,DAY(B88))),"Day over "&amp;INDEX($O$58:$O$87,DAY(B88))&amp;" h","✓")))))))))</f>
        <v/>
      </c>
      <c r="K88" s="1"/>
      <c r="L88" s="27" t="s">
        <v>84</v>
      </c>
      <c r="M88" s="27"/>
      <c r="N88" s="27"/>
      <c r="O88" s="27"/>
      <c r="P88" s="27" t="n">
        <f aca="false">SUM(P58:P87)</f>
        <v>0</v>
      </c>
      <c r="Q88" s="27" t="n">
        <f aca="false">SUM(Q58:Q87)</f>
        <v>0</v>
      </c>
      <c r="R88" s="27" t="n">
        <f aca="false">SUM(R58:R87)</f>
        <v>0</v>
      </c>
      <c r="S88" s="27" t="n">
        <f aca="false">SUM(S58:S87)</f>
        <v>0</v>
      </c>
      <c r="T88" s="27" t="n">
        <f aca="false">SUM(T58:T87)</f>
        <v>0</v>
      </c>
      <c r="U88" s="27"/>
      <c r="V88" s="1"/>
      <c r="W88" s="1" t="str">
        <f aca="false">IF(Projects!B86="","",Projects!B86)</f>
        <v/>
      </c>
      <c r="X88" s="1" t="n">
        <f aca="false">IF(W88="",0,SUMIFS($I$7:$I$256,$D$7:$D$256,W88,$H$7:$H$256,"NTIME"))</f>
        <v>0</v>
      </c>
      <c r="Y88" s="1" t="n">
        <f aca="false">IF(W88="",0,SUMIFS($I$7:$I$256,$D$7:$D$256,W88,$H$7:$H$256,"P6"))</f>
        <v>0</v>
      </c>
      <c r="Z88" s="1" t="n">
        <f aca="false">X88+Y88</f>
        <v>0</v>
      </c>
      <c r="AA88" s="1" t="n">
        <f aca="false">IF(Z88&gt;0,Z88+(201-82)/10^6,0)</f>
        <v>0</v>
      </c>
      <c r="AB88" s="1"/>
      <c r="AC88" s="1"/>
      <c r="AD88" s="1"/>
      <c r="AE88" s="1"/>
      <c r="AF88" s="1"/>
      <c r="AG88" s="1"/>
      <c r="AH88" s="1"/>
    </row>
    <row r="89" customFormat="false" ht="15" hidden="false" customHeight="false" outlineLevel="0" collapsed="false">
      <c r="A89" s="1"/>
      <c r="B89" s="10"/>
      <c r="C89" s="31" t="str">
        <f aca="false">IF(B89="","",TEXT(B89,"ddd"))</f>
        <v/>
      </c>
      <c r="D89" s="11"/>
      <c r="E89" s="8" t="str">
        <f aca="false">IF(D89="","",IFERROR(INDEX(ProjNumbers,MATCH(D89,ProjNames,0)),""))</f>
        <v/>
      </c>
      <c r="F89" s="8" t="str">
        <f aca="false">IF(D89="","",IFERROR(INDEX(ProjCodes,MATCH(D89,ProjNames,0)),""))</f>
        <v/>
      </c>
      <c r="G89" s="32"/>
      <c r="H89" s="11"/>
      <c r="I89" s="33"/>
      <c r="J89" s="8" t="str">
        <f aca="false">IF(COUNTA(B89,D89,G89,H89,I89)=0,"",IF(B89="","Enter date",IF(OR(B89&lt;$AC$2,B89&gt;$AC$3),"Date not in June",IF(D89="","Pick project",IF(ISNA(MATCH(D89,ProjNames,0)),"Project not in list",IF(G89="","Add task description",IF(H89="","Pick NTIME or P6",IF(N(I89)&lt;=0,"Enter hours",IF(AND(AllowOT&lt;&gt;"Yes",SUMIF($B$7:$B$256,B89,$I$7:$I$256)&gt;INDEX($O$58:$O$87,DAY(B89))),"Day over "&amp;INDEX($O$58:$O$87,DAY(B89))&amp;" h","✓")))))))))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 t="str">
        <f aca="false">IF(Projects!B87="","",Projects!B87)</f>
        <v/>
      </c>
      <c r="X89" s="1" t="n">
        <f aca="false">IF(W89="",0,SUMIFS($I$7:$I$256,$D$7:$D$256,W89,$H$7:$H$256,"NTIME"))</f>
        <v>0</v>
      </c>
      <c r="Y89" s="1" t="n">
        <f aca="false">IF(W89="",0,SUMIFS($I$7:$I$256,$D$7:$D$256,W89,$H$7:$H$256,"P6"))</f>
        <v>0</v>
      </c>
      <c r="Z89" s="1" t="n">
        <f aca="false">X89+Y89</f>
        <v>0</v>
      </c>
      <c r="AA89" s="1" t="n">
        <f aca="false">IF(Z89&gt;0,Z89+(201-83)/10^6,0)</f>
        <v>0</v>
      </c>
      <c r="AB89" s="1"/>
      <c r="AC89" s="1"/>
      <c r="AD89" s="1"/>
      <c r="AE89" s="1"/>
      <c r="AF89" s="1"/>
      <c r="AG89" s="1"/>
      <c r="AH89" s="1"/>
    </row>
    <row r="90" customFormat="false" ht="15" hidden="false" customHeight="false" outlineLevel="0" collapsed="false">
      <c r="A90" s="1"/>
      <c r="B90" s="10"/>
      <c r="C90" s="31" t="str">
        <f aca="false">IF(B90="","",TEXT(B90,"ddd"))</f>
        <v/>
      </c>
      <c r="D90" s="11"/>
      <c r="E90" s="8" t="str">
        <f aca="false">IF(D90="","",IFERROR(INDEX(ProjNumbers,MATCH(D90,ProjNames,0)),""))</f>
        <v/>
      </c>
      <c r="F90" s="8" t="str">
        <f aca="false">IF(D90="","",IFERROR(INDEX(ProjCodes,MATCH(D90,ProjNames,0)),""))</f>
        <v/>
      </c>
      <c r="G90" s="32"/>
      <c r="H90" s="11"/>
      <c r="I90" s="33"/>
      <c r="J90" s="8" t="str">
        <f aca="false">IF(COUNTA(B90,D90,G90,H90,I90)=0,"",IF(B90="","Enter date",IF(OR(B90&lt;$AC$2,B90&gt;$AC$3),"Date not in June",IF(D90="","Pick project",IF(ISNA(MATCH(D90,ProjNames,0)),"Project not in list",IF(G90="","Add task description",IF(H90="","Pick NTIME or P6",IF(N(I90)&lt;=0,"Enter hours",IF(AND(AllowOT&lt;&gt;"Yes",SUMIF($B$7:$B$256,B90,$I$7:$I$256)&gt;INDEX($O$58:$O$87,DAY(B90))),"Day over "&amp;INDEX($O$58:$O$87,DAY(B90))&amp;" h","✓")))))))))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tr">
        <f aca="false">IF(Projects!B88="","",Projects!B88)</f>
        <v/>
      </c>
      <c r="X90" s="1" t="n">
        <f aca="false">IF(W90="",0,SUMIFS($I$7:$I$256,$D$7:$D$256,W90,$H$7:$H$256,"NTIME"))</f>
        <v>0</v>
      </c>
      <c r="Y90" s="1" t="n">
        <f aca="false">IF(W90="",0,SUMIFS($I$7:$I$256,$D$7:$D$256,W90,$H$7:$H$256,"P6"))</f>
        <v>0</v>
      </c>
      <c r="Z90" s="1" t="n">
        <f aca="false">X90+Y90</f>
        <v>0</v>
      </c>
      <c r="AA90" s="1" t="n">
        <f aca="false">IF(Z90&gt;0,Z90+(201-84)/10^6,0)</f>
        <v>0</v>
      </c>
      <c r="AB90" s="1"/>
      <c r="AC90" s="1"/>
      <c r="AD90" s="1"/>
      <c r="AE90" s="1"/>
      <c r="AF90" s="1"/>
      <c r="AG90" s="1"/>
      <c r="AH90" s="1"/>
    </row>
    <row r="91" customFormat="false" ht="15" hidden="false" customHeight="false" outlineLevel="0" collapsed="false">
      <c r="A91" s="1"/>
      <c r="B91" s="10"/>
      <c r="C91" s="31" t="str">
        <f aca="false">IF(B91="","",TEXT(B91,"ddd"))</f>
        <v/>
      </c>
      <c r="D91" s="11"/>
      <c r="E91" s="8" t="str">
        <f aca="false">IF(D91="","",IFERROR(INDEX(ProjNumbers,MATCH(D91,ProjNames,0)),""))</f>
        <v/>
      </c>
      <c r="F91" s="8" t="str">
        <f aca="false">IF(D91="","",IFERROR(INDEX(ProjCodes,MATCH(D91,ProjNames,0)),""))</f>
        <v/>
      </c>
      <c r="G91" s="32"/>
      <c r="H91" s="11"/>
      <c r="I91" s="33"/>
      <c r="J91" s="8" t="str">
        <f aca="false">IF(COUNTA(B91,D91,G91,H91,I91)=0,"",IF(B91="","Enter date",IF(OR(B91&lt;$AC$2,B91&gt;$AC$3),"Date not in June",IF(D91="","Pick project",IF(ISNA(MATCH(D91,ProjNames,0)),"Project not in list",IF(G91="","Add task description",IF(H91="","Pick NTIME or P6",IF(N(I91)&lt;=0,"Enter hours",IF(AND(AllowOT&lt;&gt;"Yes",SUMIF($B$7:$B$256,B91,$I$7:$I$256)&gt;INDEX($O$58:$O$87,DAY(B91))),"Day over "&amp;INDEX($O$58:$O$87,DAY(B91))&amp;" h","✓")))))))))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tr">
        <f aca="false">IF(Projects!B89="","",Projects!B89)</f>
        <v/>
      </c>
      <c r="X91" s="1" t="n">
        <f aca="false">IF(W91="",0,SUMIFS($I$7:$I$256,$D$7:$D$256,W91,$H$7:$H$256,"NTIME"))</f>
        <v>0</v>
      </c>
      <c r="Y91" s="1" t="n">
        <f aca="false">IF(W91="",0,SUMIFS($I$7:$I$256,$D$7:$D$256,W91,$H$7:$H$256,"P6"))</f>
        <v>0</v>
      </c>
      <c r="Z91" s="1" t="n">
        <f aca="false">X91+Y91</f>
        <v>0</v>
      </c>
      <c r="AA91" s="1" t="n">
        <f aca="false">IF(Z91&gt;0,Z91+(201-85)/10^6,0)</f>
        <v>0</v>
      </c>
      <c r="AB91" s="1"/>
      <c r="AC91" s="1"/>
      <c r="AD91" s="1"/>
      <c r="AE91" s="1"/>
      <c r="AF91" s="1"/>
      <c r="AG91" s="1"/>
      <c r="AH91" s="1"/>
    </row>
    <row r="92" customFormat="false" ht="15" hidden="false" customHeight="false" outlineLevel="0" collapsed="false">
      <c r="A92" s="1"/>
      <c r="B92" s="10"/>
      <c r="C92" s="31" t="str">
        <f aca="false">IF(B92="","",TEXT(B92,"ddd"))</f>
        <v/>
      </c>
      <c r="D92" s="11"/>
      <c r="E92" s="8" t="str">
        <f aca="false">IF(D92="","",IFERROR(INDEX(ProjNumbers,MATCH(D92,ProjNames,0)),""))</f>
        <v/>
      </c>
      <c r="F92" s="8" t="str">
        <f aca="false">IF(D92="","",IFERROR(INDEX(ProjCodes,MATCH(D92,ProjNames,0)),""))</f>
        <v/>
      </c>
      <c r="G92" s="32"/>
      <c r="H92" s="11"/>
      <c r="I92" s="33"/>
      <c r="J92" s="8" t="str">
        <f aca="false">IF(COUNTA(B92,D92,G92,H92,I92)=0,"",IF(B92="","Enter date",IF(OR(B92&lt;$AC$2,B92&gt;$AC$3),"Date not in June",IF(D92="","Pick project",IF(ISNA(MATCH(D92,ProjNames,0)),"Project not in list",IF(G92="","Add task description",IF(H92="","Pick NTIME or P6",IF(N(I92)&lt;=0,"Enter hours",IF(AND(AllowOT&lt;&gt;"Yes",SUMIF($B$7:$B$256,B92,$I$7:$I$256)&gt;INDEX($O$58:$O$87,DAY(B92))),"Day over "&amp;INDEX($O$58:$O$87,DAY(B92))&amp;" h","✓")))))))))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tr">
        <f aca="false">IF(Projects!B90="","",Projects!B90)</f>
        <v/>
      </c>
      <c r="X92" s="1" t="n">
        <f aca="false">IF(W92="",0,SUMIFS($I$7:$I$256,$D$7:$D$256,W92,$H$7:$H$256,"NTIME"))</f>
        <v>0</v>
      </c>
      <c r="Y92" s="1" t="n">
        <f aca="false">IF(W92="",0,SUMIFS($I$7:$I$256,$D$7:$D$256,W92,$H$7:$H$256,"P6"))</f>
        <v>0</v>
      </c>
      <c r="Z92" s="1" t="n">
        <f aca="false">X92+Y92</f>
        <v>0</v>
      </c>
      <c r="AA92" s="1" t="n">
        <f aca="false">IF(Z92&gt;0,Z92+(201-86)/10^6,0)</f>
        <v>0</v>
      </c>
      <c r="AB92" s="1"/>
      <c r="AC92" s="1"/>
      <c r="AD92" s="1"/>
      <c r="AE92" s="1"/>
      <c r="AF92" s="1"/>
      <c r="AG92" s="1"/>
      <c r="AH92" s="1"/>
    </row>
    <row r="93" customFormat="false" ht="15" hidden="false" customHeight="false" outlineLevel="0" collapsed="false">
      <c r="A93" s="1"/>
      <c r="B93" s="10"/>
      <c r="C93" s="31" t="str">
        <f aca="false">IF(B93="","",TEXT(B93,"ddd"))</f>
        <v/>
      </c>
      <c r="D93" s="11"/>
      <c r="E93" s="8" t="str">
        <f aca="false">IF(D93="","",IFERROR(INDEX(ProjNumbers,MATCH(D93,ProjNames,0)),""))</f>
        <v/>
      </c>
      <c r="F93" s="8" t="str">
        <f aca="false">IF(D93="","",IFERROR(INDEX(ProjCodes,MATCH(D93,ProjNames,0)),""))</f>
        <v/>
      </c>
      <c r="G93" s="32"/>
      <c r="H93" s="11"/>
      <c r="I93" s="33"/>
      <c r="J93" s="8" t="str">
        <f aca="false">IF(COUNTA(B93,D93,G93,H93,I93)=0,"",IF(B93="","Enter date",IF(OR(B93&lt;$AC$2,B93&gt;$AC$3),"Date not in June",IF(D93="","Pick project",IF(ISNA(MATCH(D93,ProjNames,0)),"Project not in list",IF(G93="","Add task description",IF(H93="","Pick NTIME or P6",IF(N(I93)&lt;=0,"Enter hours",IF(AND(AllowOT&lt;&gt;"Yes",SUMIF($B$7:$B$256,B93,$I$7:$I$256)&gt;INDEX($O$58:$O$87,DAY(B93))),"Day over "&amp;INDEX($O$58:$O$87,DAY(B93))&amp;" h","✓")))))))))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tr">
        <f aca="false">IF(Projects!B91="","",Projects!B91)</f>
        <v/>
      </c>
      <c r="X93" s="1" t="n">
        <f aca="false">IF(W93="",0,SUMIFS($I$7:$I$256,$D$7:$D$256,W93,$H$7:$H$256,"NTIME"))</f>
        <v>0</v>
      </c>
      <c r="Y93" s="1" t="n">
        <f aca="false">IF(W93="",0,SUMIFS($I$7:$I$256,$D$7:$D$256,W93,$H$7:$H$256,"P6"))</f>
        <v>0</v>
      </c>
      <c r="Z93" s="1" t="n">
        <f aca="false">X93+Y93</f>
        <v>0</v>
      </c>
      <c r="AA93" s="1" t="n">
        <f aca="false">IF(Z93&gt;0,Z93+(201-87)/10^6,0)</f>
        <v>0</v>
      </c>
      <c r="AB93" s="1"/>
      <c r="AC93" s="1"/>
      <c r="AD93" s="1"/>
      <c r="AE93" s="1"/>
      <c r="AF93" s="1"/>
      <c r="AG93" s="1"/>
      <c r="AH93" s="1"/>
    </row>
    <row r="94" customFormat="false" ht="15" hidden="false" customHeight="false" outlineLevel="0" collapsed="false">
      <c r="A94" s="1"/>
      <c r="B94" s="10"/>
      <c r="C94" s="31" t="str">
        <f aca="false">IF(B94="","",TEXT(B94,"ddd"))</f>
        <v/>
      </c>
      <c r="D94" s="11"/>
      <c r="E94" s="8" t="str">
        <f aca="false">IF(D94="","",IFERROR(INDEX(ProjNumbers,MATCH(D94,ProjNames,0)),""))</f>
        <v/>
      </c>
      <c r="F94" s="8" t="str">
        <f aca="false">IF(D94="","",IFERROR(INDEX(ProjCodes,MATCH(D94,ProjNames,0)),""))</f>
        <v/>
      </c>
      <c r="G94" s="32"/>
      <c r="H94" s="11"/>
      <c r="I94" s="33"/>
      <c r="J94" s="8" t="str">
        <f aca="false">IF(COUNTA(B94,D94,G94,H94,I94)=0,"",IF(B94="","Enter date",IF(OR(B94&lt;$AC$2,B94&gt;$AC$3),"Date not in June",IF(D94="","Pick project",IF(ISNA(MATCH(D94,ProjNames,0)),"Project not in list",IF(G94="","Add task description",IF(H94="","Pick NTIME or P6",IF(N(I94)&lt;=0,"Enter hours",IF(AND(AllowOT&lt;&gt;"Yes",SUMIF($B$7:$B$256,B94,$I$7:$I$256)&gt;INDEX($O$58:$O$87,DAY(B94))),"Day over "&amp;INDEX($O$58:$O$87,DAY(B94))&amp;" h","✓")))))))))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tr">
        <f aca="false">IF(Projects!B92="","",Projects!B92)</f>
        <v/>
      </c>
      <c r="X94" s="1" t="n">
        <f aca="false">IF(W94="",0,SUMIFS($I$7:$I$256,$D$7:$D$256,W94,$H$7:$H$256,"NTIME"))</f>
        <v>0</v>
      </c>
      <c r="Y94" s="1" t="n">
        <f aca="false">IF(W94="",0,SUMIFS($I$7:$I$256,$D$7:$D$256,W94,$H$7:$H$256,"P6"))</f>
        <v>0</v>
      </c>
      <c r="Z94" s="1" t="n">
        <f aca="false">X94+Y94</f>
        <v>0</v>
      </c>
      <c r="AA94" s="1" t="n">
        <f aca="false">IF(Z94&gt;0,Z94+(201-88)/10^6,0)</f>
        <v>0</v>
      </c>
      <c r="AB94" s="1"/>
      <c r="AC94" s="1"/>
      <c r="AD94" s="1"/>
      <c r="AE94" s="1"/>
      <c r="AF94" s="1"/>
      <c r="AG94" s="1"/>
      <c r="AH94" s="1"/>
    </row>
    <row r="95" customFormat="false" ht="15" hidden="false" customHeight="false" outlineLevel="0" collapsed="false">
      <c r="A95" s="1"/>
      <c r="B95" s="10"/>
      <c r="C95" s="31" t="str">
        <f aca="false">IF(B95="","",TEXT(B95,"ddd"))</f>
        <v/>
      </c>
      <c r="D95" s="11"/>
      <c r="E95" s="8" t="str">
        <f aca="false">IF(D95="","",IFERROR(INDEX(ProjNumbers,MATCH(D95,ProjNames,0)),""))</f>
        <v/>
      </c>
      <c r="F95" s="8" t="str">
        <f aca="false">IF(D95="","",IFERROR(INDEX(ProjCodes,MATCH(D95,ProjNames,0)),""))</f>
        <v/>
      </c>
      <c r="G95" s="32"/>
      <c r="H95" s="11"/>
      <c r="I95" s="33"/>
      <c r="J95" s="8" t="str">
        <f aca="false">IF(COUNTA(B95,D95,G95,H95,I95)=0,"",IF(B95="","Enter date",IF(OR(B95&lt;$AC$2,B95&gt;$AC$3),"Date not in June",IF(D95="","Pick project",IF(ISNA(MATCH(D95,ProjNames,0)),"Project not in list",IF(G95="","Add task description",IF(H95="","Pick NTIME or P6",IF(N(I95)&lt;=0,"Enter hours",IF(AND(AllowOT&lt;&gt;"Yes",SUMIF($B$7:$B$256,B95,$I$7:$I$256)&gt;INDEX($O$58:$O$87,DAY(B95))),"Day over "&amp;INDEX($O$58:$O$87,DAY(B95))&amp;" h","✓")))))))))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tr">
        <f aca="false">IF(Projects!B93="","",Projects!B93)</f>
        <v/>
      </c>
      <c r="X95" s="1" t="n">
        <f aca="false">IF(W95="",0,SUMIFS($I$7:$I$256,$D$7:$D$256,W95,$H$7:$H$256,"NTIME"))</f>
        <v>0</v>
      </c>
      <c r="Y95" s="1" t="n">
        <f aca="false">IF(W95="",0,SUMIFS($I$7:$I$256,$D$7:$D$256,W95,$H$7:$H$256,"P6"))</f>
        <v>0</v>
      </c>
      <c r="Z95" s="1" t="n">
        <f aca="false">X95+Y95</f>
        <v>0</v>
      </c>
      <c r="AA95" s="1" t="n">
        <f aca="false">IF(Z95&gt;0,Z95+(201-89)/10^6,0)</f>
        <v>0</v>
      </c>
      <c r="AB95" s="1"/>
      <c r="AC95" s="1"/>
      <c r="AD95" s="1"/>
      <c r="AE95" s="1"/>
      <c r="AF95" s="1"/>
      <c r="AG95" s="1"/>
      <c r="AH95" s="1"/>
    </row>
    <row r="96" customFormat="false" ht="15" hidden="false" customHeight="false" outlineLevel="0" collapsed="false">
      <c r="A96" s="1"/>
      <c r="B96" s="10"/>
      <c r="C96" s="31" t="str">
        <f aca="false">IF(B96="","",TEXT(B96,"ddd"))</f>
        <v/>
      </c>
      <c r="D96" s="11"/>
      <c r="E96" s="8" t="str">
        <f aca="false">IF(D96="","",IFERROR(INDEX(ProjNumbers,MATCH(D96,ProjNames,0)),""))</f>
        <v/>
      </c>
      <c r="F96" s="8" t="str">
        <f aca="false">IF(D96="","",IFERROR(INDEX(ProjCodes,MATCH(D96,ProjNames,0)),""))</f>
        <v/>
      </c>
      <c r="G96" s="32"/>
      <c r="H96" s="11"/>
      <c r="I96" s="33"/>
      <c r="J96" s="8" t="str">
        <f aca="false">IF(COUNTA(B96,D96,G96,H96,I96)=0,"",IF(B96="","Enter date",IF(OR(B96&lt;$AC$2,B96&gt;$AC$3),"Date not in June",IF(D96="","Pick project",IF(ISNA(MATCH(D96,ProjNames,0)),"Project not in list",IF(G96="","Add task description",IF(H96="","Pick NTIME or P6",IF(N(I96)&lt;=0,"Enter hours",IF(AND(AllowOT&lt;&gt;"Yes",SUMIF($B$7:$B$256,B96,$I$7:$I$256)&gt;INDEX($O$58:$O$87,DAY(B96))),"Day over "&amp;INDEX($O$58:$O$87,DAY(B96))&amp;" h","✓")))))))))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tr">
        <f aca="false">IF(Projects!B94="","",Projects!B94)</f>
        <v/>
      </c>
      <c r="X96" s="1" t="n">
        <f aca="false">IF(W96="",0,SUMIFS($I$7:$I$256,$D$7:$D$256,W96,$H$7:$H$256,"NTIME"))</f>
        <v>0</v>
      </c>
      <c r="Y96" s="1" t="n">
        <f aca="false">IF(W96="",0,SUMIFS($I$7:$I$256,$D$7:$D$256,W96,$H$7:$H$256,"P6"))</f>
        <v>0</v>
      </c>
      <c r="Z96" s="1" t="n">
        <f aca="false">X96+Y96</f>
        <v>0</v>
      </c>
      <c r="AA96" s="1" t="n">
        <f aca="false">IF(Z96&gt;0,Z96+(201-90)/10^6,0)</f>
        <v>0</v>
      </c>
      <c r="AB96" s="1"/>
      <c r="AC96" s="1"/>
      <c r="AD96" s="1"/>
      <c r="AE96" s="1"/>
      <c r="AF96" s="1"/>
      <c r="AG96" s="1"/>
      <c r="AH96" s="1"/>
    </row>
    <row r="97" customFormat="false" ht="15" hidden="false" customHeight="false" outlineLevel="0" collapsed="false">
      <c r="A97" s="1"/>
      <c r="B97" s="10"/>
      <c r="C97" s="31" t="str">
        <f aca="false">IF(B97="","",TEXT(B97,"ddd"))</f>
        <v/>
      </c>
      <c r="D97" s="11"/>
      <c r="E97" s="8" t="str">
        <f aca="false">IF(D97="","",IFERROR(INDEX(ProjNumbers,MATCH(D97,ProjNames,0)),""))</f>
        <v/>
      </c>
      <c r="F97" s="8" t="str">
        <f aca="false">IF(D97="","",IFERROR(INDEX(ProjCodes,MATCH(D97,ProjNames,0)),""))</f>
        <v/>
      </c>
      <c r="G97" s="32"/>
      <c r="H97" s="11"/>
      <c r="I97" s="33"/>
      <c r="J97" s="8" t="str">
        <f aca="false">IF(COUNTA(B97,D97,G97,H97,I97)=0,"",IF(B97="","Enter date",IF(OR(B97&lt;$AC$2,B97&gt;$AC$3),"Date not in June",IF(D97="","Pick project",IF(ISNA(MATCH(D97,ProjNames,0)),"Project not in list",IF(G97="","Add task description",IF(H97="","Pick NTIME or P6",IF(N(I97)&lt;=0,"Enter hours",IF(AND(AllowOT&lt;&gt;"Yes",SUMIF($B$7:$B$256,B97,$I$7:$I$256)&gt;INDEX($O$58:$O$87,DAY(B97))),"Day over "&amp;INDEX($O$58:$O$87,DAY(B97))&amp;" h","✓")))))))))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tr">
        <f aca="false">IF(Projects!B95="","",Projects!B95)</f>
        <v/>
      </c>
      <c r="X97" s="1" t="n">
        <f aca="false">IF(W97="",0,SUMIFS($I$7:$I$256,$D$7:$D$256,W97,$H$7:$H$256,"NTIME"))</f>
        <v>0</v>
      </c>
      <c r="Y97" s="1" t="n">
        <f aca="false">IF(W97="",0,SUMIFS($I$7:$I$256,$D$7:$D$256,W97,$H$7:$H$256,"P6"))</f>
        <v>0</v>
      </c>
      <c r="Z97" s="1" t="n">
        <f aca="false">X97+Y97</f>
        <v>0</v>
      </c>
      <c r="AA97" s="1" t="n">
        <f aca="false">IF(Z97&gt;0,Z97+(201-91)/10^6,0)</f>
        <v>0</v>
      </c>
      <c r="AB97" s="1"/>
      <c r="AC97" s="1"/>
      <c r="AD97" s="1"/>
      <c r="AE97" s="1"/>
      <c r="AF97" s="1"/>
      <c r="AG97" s="1"/>
      <c r="AH97" s="1"/>
    </row>
    <row r="98" customFormat="false" ht="15" hidden="false" customHeight="false" outlineLevel="0" collapsed="false">
      <c r="A98" s="1"/>
      <c r="B98" s="10"/>
      <c r="C98" s="31" t="str">
        <f aca="false">IF(B98="","",TEXT(B98,"ddd"))</f>
        <v/>
      </c>
      <c r="D98" s="11"/>
      <c r="E98" s="8" t="str">
        <f aca="false">IF(D98="","",IFERROR(INDEX(ProjNumbers,MATCH(D98,ProjNames,0)),""))</f>
        <v/>
      </c>
      <c r="F98" s="8" t="str">
        <f aca="false">IF(D98="","",IFERROR(INDEX(ProjCodes,MATCH(D98,ProjNames,0)),""))</f>
        <v/>
      </c>
      <c r="G98" s="32"/>
      <c r="H98" s="11"/>
      <c r="I98" s="33"/>
      <c r="J98" s="8" t="str">
        <f aca="false">IF(COUNTA(B98,D98,G98,H98,I98)=0,"",IF(B98="","Enter date",IF(OR(B98&lt;$AC$2,B98&gt;$AC$3),"Date not in June",IF(D98="","Pick project",IF(ISNA(MATCH(D98,ProjNames,0)),"Project not in list",IF(G98="","Add task description",IF(H98="","Pick NTIME or P6",IF(N(I98)&lt;=0,"Enter hours",IF(AND(AllowOT&lt;&gt;"Yes",SUMIF($B$7:$B$256,B98,$I$7:$I$256)&gt;INDEX($O$58:$O$87,DAY(B98))),"Day over "&amp;INDEX($O$58:$O$87,DAY(B98))&amp;" h","✓")))))))))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tr">
        <f aca="false">IF(Projects!B96="","",Projects!B96)</f>
        <v/>
      </c>
      <c r="X98" s="1" t="n">
        <f aca="false">IF(W98="",0,SUMIFS($I$7:$I$256,$D$7:$D$256,W98,$H$7:$H$256,"NTIME"))</f>
        <v>0</v>
      </c>
      <c r="Y98" s="1" t="n">
        <f aca="false">IF(W98="",0,SUMIFS($I$7:$I$256,$D$7:$D$256,W98,$H$7:$H$256,"P6"))</f>
        <v>0</v>
      </c>
      <c r="Z98" s="1" t="n">
        <f aca="false">X98+Y98</f>
        <v>0</v>
      </c>
      <c r="AA98" s="1" t="n">
        <f aca="false">IF(Z98&gt;0,Z98+(201-92)/10^6,0)</f>
        <v>0</v>
      </c>
      <c r="AB98" s="1"/>
      <c r="AC98" s="1"/>
      <c r="AD98" s="1"/>
      <c r="AE98" s="1"/>
      <c r="AF98" s="1"/>
      <c r="AG98" s="1"/>
      <c r="AH98" s="1"/>
    </row>
    <row r="99" customFormat="false" ht="15" hidden="false" customHeight="false" outlineLevel="0" collapsed="false">
      <c r="A99" s="1"/>
      <c r="B99" s="10"/>
      <c r="C99" s="31" t="str">
        <f aca="false">IF(B99="","",TEXT(B99,"ddd"))</f>
        <v/>
      </c>
      <c r="D99" s="11"/>
      <c r="E99" s="8" t="str">
        <f aca="false">IF(D99="","",IFERROR(INDEX(ProjNumbers,MATCH(D99,ProjNames,0)),""))</f>
        <v/>
      </c>
      <c r="F99" s="8" t="str">
        <f aca="false">IF(D99="","",IFERROR(INDEX(ProjCodes,MATCH(D99,ProjNames,0)),""))</f>
        <v/>
      </c>
      <c r="G99" s="32"/>
      <c r="H99" s="11"/>
      <c r="I99" s="33"/>
      <c r="J99" s="8" t="str">
        <f aca="false">IF(COUNTA(B99,D99,G99,H99,I99)=0,"",IF(B99="","Enter date",IF(OR(B99&lt;$AC$2,B99&gt;$AC$3),"Date not in June",IF(D99="","Pick project",IF(ISNA(MATCH(D99,ProjNames,0)),"Project not in list",IF(G99="","Add task description",IF(H99="","Pick NTIME or P6",IF(N(I99)&lt;=0,"Enter hours",IF(AND(AllowOT&lt;&gt;"Yes",SUMIF($B$7:$B$256,B99,$I$7:$I$256)&gt;INDEX($O$58:$O$87,DAY(B99))),"Day over "&amp;INDEX($O$58:$O$87,DAY(B99))&amp;" h","✓")))))))))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tr">
        <f aca="false">IF(Projects!B97="","",Projects!B97)</f>
        <v/>
      </c>
      <c r="X99" s="1" t="n">
        <f aca="false">IF(W99="",0,SUMIFS($I$7:$I$256,$D$7:$D$256,W99,$H$7:$H$256,"NTIME"))</f>
        <v>0</v>
      </c>
      <c r="Y99" s="1" t="n">
        <f aca="false">IF(W99="",0,SUMIFS($I$7:$I$256,$D$7:$D$256,W99,$H$7:$H$256,"P6"))</f>
        <v>0</v>
      </c>
      <c r="Z99" s="1" t="n">
        <f aca="false">X99+Y99</f>
        <v>0</v>
      </c>
      <c r="AA99" s="1" t="n">
        <f aca="false">IF(Z99&gt;0,Z99+(201-93)/10^6,0)</f>
        <v>0</v>
      </c>
      <c r="AB99" s="1"/>
      <c r="AC99" s="1"/>
      <c r="AD99" s="1"/>
      <c r="AE99" s="1"/>
      <c r="AF99" s="1"/>
      <c r="AG99" s="1"/>
      <c r="AH99" s="1"/>
    </row>
    <row r="100" customFormat="false" ht="15" hidden="false" customHeight="false" outlineLevel="0" collapsed="false">
      <c r="A100" s="1"/>
      <c r="B100" s="10"/>
      <c r="C100" s="31" t="str">
        <f aca="false">IF(B100="","",TEXT(B100,"ddd"))</f>
        <v/>
      </c>
      <c r="D100" s="11"/>
      <c r="E100" s="8" t="str">
        <f aca="false">IF(D100="","",IFERROR(INDEX(ProjNumbers,MATCH(D100,ProjNames,0)),""))</f>
        <v/>
      </c>
      <c r="F100" s="8" t="str">
        <f aca="false">IF(D100="","",IFERROR(INDEX(ProjCodes,MATCH(D100,ProjNames,0)),""))</f>
        <v/>
      </c>
      <c r="G100" s="32"/>
      <c r="H100" s="11"/>
      <c r="I100" s="33"/>
      <c r="J100" s="8" t="str">
        <f aca="false">IF(COUNTA(B100,D100,G100,H100,I100)=0,"",IF(B100="","Enter date",IF(OR(B100&lt;$AC$2,B100&gt;$AC$3),"Date not in June",IF(D100="","Pick project",IF(ISNA(MATCH(D100,ProjNames,0)),"Project not in list",IF(G100="","Add task description",IF(H100="","Pick NTIME or P6",IF(N(I100)&lt;=0,"Enter hours",IF(AND(AllowOT&lt;&gt;"Yes",SUMIF($B$7:$B$256,B100,$I$7:$I$256)&gt;INDEX($O$58:$O$87,DAY(B100))),"Day over "&amp;INDEX($O$58:$O$87,DAY(B100))&amp;" h","✓")))))))))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tr">
        <f aca="false">IF(Projects!B98="","",Projects!B98)</f>
        <v/>
      </c>
      <c r="X100" s="1" t="n">
        <f aca="false">IF(W100="",0,SUMIFS($I$7:$I$256,$D$7:$D$256,W100,$H$7:$H$256,"NTIME"))</f>
        <v>0</v>
      </c>
      <c r="Y100" s="1" t="n">
        <f aca="false">IF(W100="",0,SUMIFS($I$7:$I$256,$D$7:$D$256,W100,$H$7:$H$256,"P6"))</f>
        <v>0</v>
      </c>
      <c r="Z100" s="1" t="n">
        <f aca="false">X100+Y100</f>
        <v>0</v>
      </c>
      <c r="AA100" s="1" t="n">
        <f aca="false">IF(Z100&gt;0,Z100+(201-94)/10^6,0)</f>
        <v>0</v>
      </c>
      <c r="AB100" s="1"/>
      <c r="AC100" s="1"/>
      <c r="AD100" s="1"/>
      <c r="AE100" s="1"/>
      <c r="AF100" s="1"/>
      <c r="AG100" s="1"/>
      <c r="AH100" s="1"/>
    </row>
    <row r="101" customFormat="false" ht="15" hidden="false" customHeight="false" outlineLevel="0" collapsed="false">
      <c r="A101" s="1"/>
      <c r="B101" s="10"/>
      <c r="C101" s="31" t="str">
        <f aca="false">IF(B101="","",TEXT(B101,"ddd"))</f>
        <v/>
      </c>
      <c r="D101" s="11"/>
      <c r="E101" s="8" t="str">
        <f aca="false">IF(D101="","",IFERROR(INDEX(ProjNumbers,MATCH(D101,ProjNames,0)),""))</f>
        <v/>
      </c>
      <c r="F101" s="8" t="str">
        <f aca="false">IF(D101="","",IFERROR(INDEX(ProjCodes,MATCH(D101,ProjNames,0)),""))</f>
        <v/>
      </c>
      <c r="G101" s="32"/>
      <c r="H101" s="11"/>
      <c r="I101" s="33"/>
      <c r="J101" s="8" t="str">
        <f aca="false">IF(COUNTA(B101,D101,G101,H101,I101)=0,"",IF(B101="","Enter date",IF(OR(B101&lt;$AC$2,B101&gt;$AC$3),"Date not in June",IF(D101="","Pick project",IF(ISNA(MATCH(D101,ProjNames,0)),"Project not in list",IF(G101="","Add task description",IF(H101="","Pick NTIME or P6",IF(N(I101)&lt;=0,"Enter hours",IF(AND(AllowOT&lt;&gt;"Yes",SUMIF($B$7:$B$256,B101,$I$7:$I$256)&gt;INDEX($O$58:$O$87,DAY(B101))),"Day over "&amp;INDEX($O$58:$O$87,DAY(B101))&amp;" h","✓")))))))))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aca="false">IF(Projects!B99="","",Projects!B99)</f>
        <v/>
      </c>
      <c r="X101" s="1" t="n">
        <f aca="false">IF(W101="",0,SUMIFS($I$7:$I$256,$D$7:$D$256,W101,$H$7:$H$256,"NTIME"))</f>
        <v>0</v>
      </c>
      <c r="Y101" s="1" t="n">
        <f aca="false">IF(W101="",0,SUMIFS($I$7:$I$256,$D$7:$D$256,W101,$H$7:$H$256,"P6"))</f>
        <v>0</v>
      </c>
      <c r="Z101" s="1" t="n">
        <f aca="false">X101+Y101</f>
        <v>0</v>
      </c>
      <c r="AA101" s="1" t="n">
        <f aca="false">IF(Z101&gt;0,Z101+(201-95)/10^6,0)</f>
        <v>0</v>
      </c>
      <c r="AB101" s="1"/>
      <c r="AC101" s="1"/>
      <c r="AD101" s="1"/>
      <c r="AE101" s="1"/>
      <c r="AF101" s="1"/>
      <c r="AG101" s="1"/>
      <c r="AH101" s="1"/>
    </row>
    <row r="102" customFormat="false" ht="15" hidden="false" customHeight="false" outlineLevel="0" collapsed="false">
      <c r="A102" s="1"/>
      <c r="B102" s="10"/>
      <c r="C102" s="31" t="str">
        <f aca="false">IF(B102="","",TEXT(B102,"ddd"))</f>
        <v/>
      </c>
      <c r="D102" s="11"/>
      <c r="E102" s="8" t="str">
        <f aca="false">IF(D102="","",IFERROR(INDEX(ProjNumbers,MATCH(D102,ProjNames,0)),""))</f>
        <v/>
      </c>
      <c r="F102" s="8" t="str">
        <f aca="false">IF(D102="","",IFERROR(INDEX(ProjCodes,MATCH(D102,ProjNames,0)),""))</f>
        <v/>
      </c>
      <c r="G102" s="32"/>
      <c r="H102" s="11"/>
      <c r="I102" s="33"/>
      <c r="J102" s="8" t="str">
        <f aca="false">IF(COUNTA(B102,D102,G102,H102,I102)=0,"",IF(B102="","Enter date",IF(OR(B102&lt;$AC$2,B102&gt;$AC$3),"Date not in June",IF(D102="","Pick project",IF(ISNA(MATCH(D102,ProjNames,0)),"Project not in list",IF(G102="","Add task description",IF(H102="","Pick NTIME or P6",IF(N(I102)&lt;=0,"Enter hours",IF(AND(AllowOT&lt;&gt;"Yes",SUMIF($B$7:$B$256,B102,$I$7:$I$256)&gt;INDEX($O$58:$O$87,DAY(B102))),"Day over "&amp;INDEX($O$58:$O$87,DAY(B102))&amp;" h","✓")))))))))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tr">
        <f aca="false">IF(Projects!B100="","",Projects!B100)</f>
        <v/>
      </c>
      <c r="X102" s="1" t="n">
        <f aca="false">IF(W102="",0,SUMIFS($I$7:$I$256,$D$7:$D$256,W102,$H$7:$H$256,"NTIME"))</f>
        <v>0</v>
      </c>
      <c r="Y102" s="1" t="n">
        <f aca="false">IF(W102="",0,SUMIFS($I$7:$I$256,$D$7:$D$256,W102,$H$7:$H$256,"P6"))</f>
        <v>0</v>
      </c>
      <c r="Z102" s="1" t="n">
        <f aca="false">X102+Y102</f>
        <v>0</v>
      </c>
      <c r="AA102" s="1" t="n">
        <f aca="false">IF(Z102&gt;0,Z102+(201-96)/10^6,0)</f>
        <v>0</v>
      </c>
      <c r="AB102" s="1"/>
      <c r="AC102" s="1"/>
      <c r="AD102" s="1"/>
      <c r="AE102" s="1"/>
      <c r="AF102" s="1"/>
      <c r="AG102" s="1"/>
      <c r="AH102" s="1"/>
    </row>
    <row r="103" customFormat="false" ht="15" hidden="false" customHeight="false" outlineLevel="0" collapsed="false">
      <c r="A103" s="1"/>
      <c r="B103" s="10"/>
      <c r="C103" s="31" t="str">
        <f aca="false">IF(B103="","",TEXT(B103,"ddd"))</f>
        <v/>
      </c>
      <c r="D103" s="11"/>
      <c r="E103" s="8" t="str">
        <f aca="false">IF(D103="","",IFERROR(INDEX(ProjNumbers,MATCH(D103,ProjNames,0)),""))</f>
        <v/>
      </c>
      <c r="F103" s="8" t="str">
        <f aca="false">IF(D103="","",IFERROR(INDEX(ProjCodes,MATCH(D103,ProjNames,0)),""))</f>
        <v/>
      </c>
      <c r="G103" s="32"/>
      <c r="H103" s="11"/>
      <c r="I103" s="33"/>
      <c r="J103" s="8" t="str">
        <f aca="false">IF(COUNTA(B103,D103,G103,H103,I103)=0,"",IF(B103="","Enter date",IF(OR(B103&lt;$AC$2,B103&gt;$AC$3),"Date not in June",IF(D103="","Pick project",IF(ISNA(MATCH(D103,ProjNames,0)),"Project not in list",IF(G103="","Add task description",IF(H103="","Pick NTIME or P6",IF(N(I103)&lt;=0,"Enter hours",IF(AND(AllowOT&lt;&gt;"Yes",SUMIF($B$7:$B$256,B103,$I$7:$I$256)&gt;INDEX($O$58:$O$87,DAY(B103))),"Day over "&amp;INDEX($O$58:$O$87,DAY(B103))&amp;" h","✓")))))))))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tr">
        <f aca="false">IF(Projects!B101="","",Projects!B101)</f>
        <v/>
      </c>
      <c r="X103" s="1" t="n">
        <f aca="false">IF(W103="",0,SUMIFS($I$7:$I$256,$D$7:$D$256,W103,$H$7:$H$256,"NTIME"))</f>
        <v>0</v>
      </c>
      <c r="Y103" s="1" t="n">
        <f aca="false">IF(W103="",0,SUMIFS($I$7:$I$256,$D$7:$D$256,W103,$H$7:$H$256,"P6"))</f>
        <v>0</v>
      </c>
      <c r="Z103" s="1" t="n">
        <f aca="false">X103+Y103</f>
        <v>0</v>
      </c>
      <c r="AA103" s="1" t="n">
        <f aca="false">IF(Z103&gt;0,Z103+(201-97)/10^6,0)</f>
        <v>0</v>
      </c>
      <c r="AB103" s="1"/>
      <c r="AC103" s="1"/>
      <c r="AD103" s="1"/>
      <c r="AE103" s="1"/>
      <c r="AF103" s="1"/>
      <c r="AG103" s="1"/>
      <c r="AH103" s="1"/>
    </row>
    <row r="104" customFormat="false" ht="15" hidden="false" customHeight="false" outlineLevel="0" collapsed="false">
      <c r="A104" s="1"/>
      <c r="B104" s="10"/>
      <c r="C104" s="31" t="str">
        <f aca="false">IF(B104="","",TEXT(B104,"ddd"))</f>
        <v/>
      </c>
      <c r="D104" s="11"/>
      <c r="E104" s="8" t="str">
        <f aca="false">IF(D104="","",IFERROR(INDEX(ProjNumbers,MATCH(D104,ProjNames,0)),""))</f>
        <v/>
      </c>
      <c r="F104" s="8" t="str">
        <f aca="false">IF(D104="","",IFERROR(INDEX(ProjCodes,MATCH(D104,ProjNames,0)),""))</f>
        <v/>
      </c>
      <c r="G104" s="32"/>
      <c r="H104" s="11"/>
      <c r="I104" s="33"/>
      <c r="J104" s="8" t="str">
        <f aca="false">IF(COUNTA(B104,D104,G104,H104,I104)=0,"",IF(B104="","Enter date",IF(OR(B104&lt;$AC$2,B104&gt;$AC$3),"Date not in June",IF(D104="","Pick project",IF(ISNA(MATCH(D104,ProjNames,0)),"Project not in list",IF(G104="","Add task description",IF(H104="","Pick NTIME or P6",IF(N(I104)&lt;=0,"Enter hours",IF(AND(AllowOT&lt;&gt;"Yes",SUMIF($B$7:$B$256,B104,$I$7:$I$256)&gt;INDEX($O$58:$O$87,DAY(B104))),"Day over "&amp;INDEX($O$58:$O$87,DAY(B104))&amp;" h","✓")))))))))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tr">
        <f aca="false">IF(Projects!B102="","",Projects!B102)</f>
        <v/>
      </c>
      <c r="X104" s="1" t="n">
        <f aca="false">IF(W104="",0,SUMIFS($I$7:$I$256,$D$7:$D$256,W104,$H$7:$H$256,"NTIME"))</f>
        <v>0</v>
      </c>
      <c r="Y104" s="1" t="n">
        <f aca="false">IF(W104="",0,SUMIFS($I$7:$I$256,$D$7:$D$256,W104,$H$7:$H$256,"P6"))</f>
        <v>0</v>
      </c>
      <c r="Z104" s="1" t="n">
        <f aca="false">X104+Y104</f>
        <v>0</v>
      </c>
      <c r="AA104" s="1" t="n">
        <f aca="false">IF(Z104&gt;0,Z104+(201-98)/10^6,0)</f>
        <v>0</v>
      </c>
      <c r="AB104" s="1"/>
      <c r="AC104" s="1"/>
      <c r="AD104" s="1"/>
      <c r="AE104" s="1"/>
      <c r="AF104" s="1"/>
      <c r="AG104" s="1"/>
      <c r="AH104" s="1"/>
    </row>
    <row r="105" customFormat="false" ht="15" hidden="false" customHeight="false" outlineLevel="0" collapsed="false">
      <c r="A105" s="1"/>
      <c r="B105" s="10"/>
      <c r="C105" s="31" t="str">
        <f aca="false">IF(B105="","",TEXT(B105,"ddd"))</f>
        <v/>
      </c>
      <c r="D105" s="11"/>
      <c r="E105" s="8" t="str">
        <f aca="false">IF(D105="","",IFERROR(INDEX(ProjNumbers,MATCH(D105,ProjNames,0)),""))</f>
        <v/>
      </c>
      <c r="F105" s="8" t="str">
        <f aca="false">IF(D105="","",IFERROR(INDEX(ProjCodes,MATCH(D105,ProjNames,0)),""))</f>
        <v/>
      </c>
      <c r="G105" s="32"/>
      <c r="H105" s="11"/>
      <c r="I105" s="33"/>
      <c r="J105" s="8" t="str">
        <f aca="false">IF(COUNTA(B105,D105,G105,H105,I105)=0,"",IF(B105="","Enter date",IF(OR(B105&lt;$AC$2,B105&gt;$AC$3),"Date not in June",IF(D105="","Pick project",IF(ISNA(MATCH(D105,ProjNames,0)),"Project not in list",IF(G105="","Add task description",IF(H105="","Pick NTIME or P6",IF(N(I105)&lt;=0,"Enter hours",IF(AND(AllowOT&lt;&gt;"Yes",SUMIF($B$7:$B$256,B105,$I$7:$I$256)&gt;INDEX($O$58:$O$87,DAY(B105))),"Day over "&amp;INDEX($O$58:$O$87,DAY(B105))&amp;" h","✓")))))))))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tr">
        <f aca="false">IF(Projects!B103="","",Projects!B103)</f>
        <v/>
      </c>
      <c r="X105" s="1" t="n">
        <f aca="false">IF(W105="",0,SUMIFS($I$7:$I$256,$D$7:$D$256,W105,$H$7:$H$256,"NTIME"))</f>
        <v>0</v>
      </c>
      <c r="Y105" s="1" t="n">
        <f aca="false">IF(W105="",0,SUMIFS($I$7:$I$256,$D$7:$D$256,W105,$H$7:$H$256,"P6"))</f>
        <v>0</v>
      </c>
      <c r="Z105" s="1" t="n">
        <f aca="false">X105+Y105</f>
        <v>0</v>
      </c>
      <c r="AA105" s="1" t="n">
        <f aca="false">IF(Z105&gt;0,Z105+(201-99)/10^6,0)</f>
        <v>0</v>
      </c>
      <c r="AB105" s="1"/>
      <c r="AC105" s="1"/>
      <c r="AD105" s="1"/>
      <c r="AE105" s="1"/>
      <c r="AF105" s="1"/>
      <c r="AG105" s="1"/>
      <c r="AH105" s="1"/>
    </row>
    <row r="106" customFormat="false" ht="15" hidden="false" customHeight="false" outlineLevel="0" collapsed="false">
      <c r="A106" s="1"/>
      <c r="B106" s="10"/>
      <c r="C106" s="31" t="str">
        <f aca="false">IF(B106="","",TEXT(B106,"ddd"))</f>
        <v/>
      </c>
      <c r="D106" s="11"/>
      <c r="E106" s="8" t="str">
        <f aca="false">IF(D106="","",IFERROR(INDEX(ProjNumbers,MATCH(D106,ProjNames,0)),""))</f>
        <v/>
      </c>
      <c r="F106" s="8" t="str">
        <f aca="false">IF(D106="","",IFERROR(INDEX(ProjCodes,MATCH(D106,ProjNames,0)),""))</f>
        <v/>
      </c>
      <c r="G106" s="32"/>
      <c r="H106" s="11"/>
      <c r="I106" s="33"/>
      <c r="J106" s="8" t="str">
        <f aca="false">IF(COUNTA(B106,D106,G106,H106,I106)=0,"",IF(B106="","Enter date",IF(OR(B106&lt;$AC$2,B106&gt;$AC$3),"Date not in June",IF(D106="","Pick project",IF(ISNA(MATCH(D106,ProjNames,0)),"Project not in list",IF(G106="","Add task description",IF(H106="","Pick NTIME or P6",IF(N(I106)&lt;=0,"Enter hours",IF(AND(AllowOT&lt;&gt;"Yes",SUMIF($B$7:$B$256,B106,$I$7:$I$256)&gt;INDEX($O$58:$O$87,DAY(B106))),"Day over "&amp;INDEX($O$58:$O$87,DAY(B106))&amp;" h","✓")))))))))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tr">
        <f aca="false">IF(Projects!B104="","",Projects!B104)</f>
        <v/>
      </c>
      <c r="X106" s="1" t="n">
        <f aca="false">IF(W106="",0,SUMIFS($I$7:$I$256,$D$7:$D$256,W106,$H$7:$H$256,"NTIME"))</f>
        <v>0</v>
      </c>
      <c r="Y106" s="1" t="n">
        <f aca="false">IF(W106="",0,SUMIFS($I$7:$I$256,$D$7:$D$256,W106,$H$7:$H$256,"P6"))</f>
        <v>0</v>
      </c>
      <c r="Z106" s="1" t="n">
        <f aca="false">X106+Y106</f>
        <v>0</v>
      </c>
      <c r="AA106" s="1" t="n">
        <f aca="false">IF(Z106&gt;0,Z106+(201-100)/10^6,0)</f>
        <v>0</v>
      </c>
      <c r="AB106" s="1"/>
      <c r="AC106" s="1"/>
      <c r="AD106" s="1"/>
      <c r="AE106" s="1"/>
      <c r="AF106" s="1"/>
      <c r="AG106" s="1"/>
      <c r="AH106" s="1"/>
    </row>
    <row r="107" customFormat="false" ht="15" hidden="false" customHeight="false" outlineLevel="0" collapsed="false">
      <c r="A107" s="1"/>
      <c r="B107" s="10"/>
      <c r="C107" s="31" t="str">
        <f aca="false">IF(B107="","",TEXT(B107,"ddd"))</f>
        <v/>
      </c>
      <c r="D107" s="11"/>
      <c r="E107" s="8" t="str">
        <f aca="false">IF(D107="","",IFERROR(INDEX(ProjNumbers,MATCH(D107,ProjNames,0)),""))</f>
        <v/>
      </c>
      <c r="F107" s="8" t="str">
        <f aca="false">IF(D107="","",IFERROR(INDEX(ProjCodes,MATCH(D107,ProjNames,0)),""))</f>
        <v/>
      </c>
      <c r="G107" s="32"/>
      <c r="H107" s="11"/>
      <c r="I107" s="33"/>
      <c r="J107" s="8" t="str">
        <f aca="false">IF(COUNTA(B107,D107,G107,H107,I107)=0,"",IF(B107="","Enter date",IF(OR(B107&lt;$AC$2,B107&gt;$AC$3),"Date not in June",IF(D107="","Pick project",IF(ISNA(MATCH(D107,ProjNames,0)),"Project not in list",IF(G107="","Add task description",IF(H107="","Pick NTIME or P6",IF(N(I107)&lt;=0,"Enter hours",IF(AND(AllowOT&lt;&gt;"Yes",SUMIF($B$7:$B$256,B107,$I$7:$I$256)&gt;INDEX($O$58:$O$87,DAY(B107))),"Day over "&amp;INDEX($O$58:$O$87,DAY(B107))&amp;" h","✓")))))))))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tr">
        <f aca="false">IF(Projects!B105="","",Projects!B105)</f>
        <v/>
      </c>
      <c r="X107" s="1" t="n">
        <f aca="false">IF(W107="",0,SUMIFS($I$7:$I$256,$D$7:$D$256,W107,$H$7:$H$256,"NTIME"))</f>
        <v>0</v>
      </c>
      <c r="Y107" s="1" t="n">
        <f aca="false">IF(W107="",0,SUMIFS($I$7:$I$256,$D$7:$D$256,W107,$H$7:$H$256,"P6"))</f>
        <v>0</v>
      </c>
      <c r="Z107" s="1" t="n">
        <f aca="false">X107+Y107</f>
        <v>0</v>
      </c>
      <c r="AA107" s="1" t="n">
        <f aca="false">IF(Z107&gt;0,Z107+(201-101)/10^6,0)</f>
        <v>0</v>
      </c>
      <c r="AB107" s="1"/>
      <c r="AC107" s="1"/>
      <c r="AD107" s="1"/>
      <c r="AE107" s="1"/>
      <c r="AF107" s="1"/>
      <c r="AG107" s="1"/>
      <c r="AH107" s="1"/>
    </row>
    <row r="108" customFormat="false" ht="15" hidden="false" customHeight="false" outlineLevel="0" collapsed="false">
      <c r="A108" s="1"/>
      <c r="B108" s="10"/>
      <c r="C108" s="31" t="str">
        <f aca="false">IF(B108="","",TEXT(B108,"ddd"))</f>
        <v/>
      </c>
      <c r="D108" s="11"/>
      <c r="E108" s="8" t="str">
        <f aca="false">IF(D108="","",IFERROR(INDEX(ProjNumbers,MATCH(D108,ProjNames,0)),""))</f>
        <v/>
      </c>
      <c r="F108" s="8" t="str">
        <f aca="false">IF(D108="","",IFERROR(INDEX(ProjCodes,MATCH(D108,ProjNames,0)),""))</f>
        <v/>
      </c>
      <c r="G108" s="32"/>
      <c r="H108" s="11"/>
      <c r="I108" s="33"/>
      <c r="J108" s="8" t="str">
        <f aca="false">IF(COUNTA(B108,D108,G108,H108,I108)=0,"",IF(B108="","Enter date",IF(OR(B108&lt;$AC$2,B108&gt;$AC$3),"Date not in June",IF(D108="","Pick project",IF(ISNA(MATCH(D108,ProjNames,0)),"Project not in list",IF(G108="","Add task description",IF(H108="","Pick NTIME or P6",IF(N(I108)&lt;=0,"Enter hours",IF(AND(AllowOT&lt;&gt;"Yes",SUMIF($B$7:$B$256,B108,$I$7:$I$256)&gt;INDEX($O$58:$O$87,DAY(B108))),"Day over "&amp;INDEX($O$58:$O$87,DAY(B108))&amp;" h","✓")))))))))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aca="false">IF(Projects!B106="","",Projects!B106)</f>
        <v/>
      </c>
      <c r="X108" s="1" t="n">
        <f aca="false">IF(W108="",0,SUMIFS($I$7:$I$256,$D$7:$D$256,W108,$H$7:$H$256,"NTIME"))</f>
        <v>0</v>
      </c>
      <c r="Y108" s="1" t="n">
        <f aca="false">IF(W108="",0,SUMIFS($I$7:$I$256,$D$7:$D$256,W108,$H$7:$H$256,"P6"))</f>
        <v>0</v>
      </c>
      <c r="Z108" s="1" t="n">
        <f aca="false">X108+Y108</f>
        <v>0</v>
      </c>
      <c r="AA108" s="1" t="n">
        <f aca="false">IF(Z108&gt;0,Z108+(201-102)/10^6,0)</f>
        <v>0</v>
      </c>
      <c r="AB108" s="1"/>
      <c r="AC108" s="1"/>
      <c r="AD108" s="1"/>
      <c r="AE108" s="1"/>
      <c r="AF108" s="1"/>
      <c r="AG108" s="1"/>
      <c r="AH108" s="1"/>
    </row>
    <row r="109" customFormat="false" ht="15" hidden="false" customHeight="false" outlineLevel="0" collapsed="false">
      <c r="A109" s="1"/>
      <c r="B109" s="10"/>
      <c r="C109" s="31" t="str">
        <f aca="false">IF(B109="","",TEXT(B109,"ddd"))</f>
        <v/>
      </c>
      <c r="D109" s="11"/>
      <c r="E109" s="8" t="str">
        <f aca="false">IF(D109="","",IFERROR(INDEX(ProjNumbers,MATCH(D109,ProjNames,0)),""))</f>
        <v/>
      </c>
      <c r="F109" s="8" t="str">
        <f aca="false">IF(D109="","",IFERROR(INDEX(ProjCodes,MATCH(D109,ProjNames,0)),""))</f>
        <v/>
      </c>
      <c r="G109" s="32"/>
      <c r="H109" s="11"/>
      <c r="I109" s="33"/>
      <c r="J109" s="8" t="str">
        <f aca="false">IF(COUNTA(B109,D109,G109,H109,I109)=0,"",IF(B109="","Enter date",IF(OR(B109&lt;$AC$2,B109&gt;$AC$3),"Date not in June",IF(D109="","Pick project",IF(ISNA(MATCH(D109,ProjNames,0)),"Project not in list",IF(G109="","Add task description",IF(H109="","Pick NTIME or P6",IF(N(I109)&lt;=0,"Enter hours",IF(AND(AllowOT&lt;&gt;"Yes",SUMIF($B$7:$B$256,B109,$I$7:$I$256)&gt;INDEX($O$58:$O$87,DAY(B109))),"Day over "&amp;INDEX($O$58:$O$87,DAY(B109))&amp;" h","✓")))))))))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tr">
        <f aca="false">IF(Projects!B107="","",Projects!B107)</f>
        <v/>
      </c>
      <c r="X109" s="1" t="n">
        <f aca="false">IF(W109="",0,SUMIFS($I$7:$I$256,$D$7:$D$256,W109,$H$7:$H$256,"NTIME"))</f>
        <v>0</v>
      </c>
      <c r="Y109" s="1" t="n">
        <f aca="false">IF(W109="",0,SUMIFS($I$7:$I$256,$D$7:$D$256,W109,$H$7:$H$256,"P6"))</f>
        <v>0</v>
      </c>
      <c r="Z109" s="1" t="n">
        <f aca="false">X109+Y109</f>
        <v>0</v>
      </c>
      <c r="AA109" s="1" t="n">
        <f aca="false">IF(Z109&gt;0,Z109+(201-103)/10^6,0)</f>
        <v>0</v>
      </c>
      <c r="AB109" s="1"/>
      <c r="AC109" s="1"/>
      <c r="AD109" s="1"/>
      <c r="AE109" s="1"/>
      <c r="AF109" s="1"/>
      <c r="AG109" s="1"/>
      <c r="AH109" s="1"/>
    </row>
    <row r="110" customFormat="false" ht="15" hidden="false" customHeight="false" outlineLevel="0" collapsed="false">
      <c r="A110" s="1"/>
      <c r="B110" s="10"/>
      <c r="C110" s="31" t="str">
        <f aca="false">IF(B110="","",TEXT(B110,"ddd"))</f>
        <v/>
      </c>
      <c r="D110" s="11"/>
      <c r="E110" s="8" t="str">
        <f aca="false">IF(D110="","",IFERROR(INDEX(ProjNumbers,MATCH(D110,ProjNames,0)),""))</f>
        <v/>
      </c>
      <c r="F110" s="8" t="str">
        <f aca="false">IF(D110="","",IFERROR(INDEX(ProjCodes,MATCH(D110,ProjNames,0)),""))</f>
        <v/>
      </c>
      <c r="G110" s="32"/>
      <c r="H110" s="11"/>
      <c r="I110" s="33"/>
      <c r="J110" s="8" t="str">
        <f aca="false">IF(COUNTA(B110,D110,G110,H110,I110)=0,"",IF(B110="","Enter date",IF(OR(B110&lt;$AC$2,B110&gt;$AC$3),"Date not in June",IF(D110="","Pick project",IF(ISNA(MATCH(D110,ProjNames,0)),"Project not in list",IF(G110="","Add task description",IF(H110="","Pick NTIME or P6",IF(N(I110)&lt;=0,"Enter hours",IF(AND(AllowOT&lt;&gt;"Yes",SUMIF($B$7:$B$256,B110,$I$7:$I$256)&gt;INDEX($O$58:$O$87,DAY(B110))),"Day over "&amp;INDEX($O$58:$O$87,DAY(B110))&amp;" h","✓")))))))))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tr">
        <f aca="false">IF(Projects!B108="","",Projects!B108)</f>
        <v/>
      </c>
      <c r="X110" s="1" t="n">
        <f aca="false">IF(W110="",0,SUMIFS($I$7:$I$256,$D$7:$D$256,W110,$H$7:$H$256,"NTIME"))</f>
        <v>0</v>
      </c>
      <c r="Y110" s="1" t="n">
        <f aca="false">IF(W110="",0,SUMIFS($I$7:$I$256,$D$7:$D$256,W110,$H$7:$H$256,"P6"))</f>
        <v>0</v>
      </c>
      <c r="Z110" s="1" t="n">
        <f aca="false">X110+Y110</f>
        <v>0</v>
      </c>
      <c r="AA110" s="1" t="n">
        <f aca="false">IF(Z110&gt;0,Z110+(201-104)/10^6,0)</f>
        <v>0</v>
      </c>
      <c r="AB110" s="1"/>
      <c r="AC110" s="1"/>
      <c r="AD110" s="1"/>
      <c r="AE110" s="1"/>
      <c r="AF110" s="1"/>
      <c r="AG110" s="1"/>
      <c r="AH110" s="1"/>
    </row>
    <row r="111" customFormat="false" ht="15" hidden="false" customHeight="false" outlineLevel="0" collapsed="false">
      <c r="A111" s="1"/>
      <c r="B111" s="10"/>
      <c r="C111" s="31" t="str">
        <f aca="false">IF(B111="","",TEXT(B111,"ddd"))</f>
        <v/>
      </c>
      <c r="D111" s="11"/>
      <c r="E111" s="8" t="str">
        <f aca="false">IF(D111="","",IFERROR(INDEX(ProjNumbers,MATCH(D111,ProjNames,0)),""))</f>
        <v/>
      </c>
      <c r="F111" s="8" t="str">
        <f aca="false">IF(D111="","",IFERROR(INDEX(ProjCodes,MATCH(D111,ProjNames,0)),""))</f>
        <v/>
      </c>
      <c r="G111" s="32"/>
      <c r="H111" s="11"/>
      <c r="I111" s="33"/>
      <c r="J111" s="8" t="str">
        <f aca="false">IF(COUNTA(B111,D111,G111,H111,I111)=0,"",IF(B111="","Enter date",IF(OR(B111&lt;$AC$2,B111&gt;$AC$3),"Date not in June",IF(D111="","Pick project",IF(ISNA(MATCH(D111,ProjNames,0)),"Project not in list",IF(G111="","Add task description",IF(H111="","Pick NTIME or P6",IF(N(I111)&lt;=0,"Enter hours",IF(AND(AllowOT&lt;&gt;"Yes",SUMIF($B$7:$B$256,B111,$I$7:$I$256)&gt;INDEX($O$58:$O$87,DAY(B111))),"Day over "&amp;INDEX($O$58:$O$87,DAY(B111))&amp;" h","✓")))))))))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tr">
        <f aca="false">IF(Projects!B109="","",Projects!B109)</f>
        <v/>
      </c>
      <c r="X111" s="1" t="n">
        <f aca="false">IF(W111="",0,SUMIFS($I$7:$I$256,$D$7:$D$256,W111,$H$7:$H$256,"NTIME"))</f>
        <v>0</v>
      </c>
      <c r="Y111" s="1" t="n">
        <f aca="false">IF(W111="",0,SUMIFS($I$7:$I$256,$D$7:$D$256,W111,$H$7:$H$256,"P6"))</f>
        <v>0</v>
      </c>
      <c r="Z111" s="1" t="n">
        <f aca="false">X111+Y111</f>
        <v>0</v>
      </c>
      <c r="AA111" s="1" t="n">
        <f aca="false">IF(Z111&gt;0,Z111+(201-105)/10^6,0)</f>
        <v>0</v>
      </c>
      <c r="AB111" s="1"/>
      <c r="AC111" s="1"/>
      <c r="AD111" s="1"/>
      <c r="AE111" s="1"/>
      <c r="AF111" s="1"/>
      <c r="AG111" s="1"/>
      <c r="AH111" s="1"/>
    </row>
    <row r="112" customFormat="false" ht="15" hidden="false" customHeight="false" outlineLevel="0" collapsed="false">
      <c r="A112" s="1"/>
      <c r="B112" s="10"/>
      <c r="C112" s="31" t="str">
        <f aca="false">IF(B112="","",TEXT(B112,"ddd"))</f>
        <v/>
      </c>
      <c r="D112" s="11"/>
      <c r="E112" s="8" t="str">
        <f aca="false">IF(D112="","",IFERROR(INDEX(ProjNumbers,MATCH(D112,ProjNames,0)),""))</f>
        <v/>
      </c>
      <c r="F112" s="8" t="str">
        <f aca="false">IF(D112="","",IFERROR(INDEX(ProjCodes,MATCH(D112,ProjNames,0)),""))</f>
        <v/>
      </c>
      <c r="G112" s="32"/>
      <c r="H112" s="11"/>
      <c r="I112" s="33"/>
      <c r="J112" s="8" t="str">
        <f aca="false">IF(COUNTA(B112,D112,G112,H112,I112)=0,"",IF(B112="","Enter date",IF(OR(B112&lt;$AC$2,B112&gt;$AC$3),"Date not in June",IF(D112="","Pick project",IF(ISNA(MATCH(D112,ProjNames,0)),"Project not in list",IF(G112="","Add task description",IF(H112="","Pick NTIME or P6",IF(N(I112)&lt;=0,"Enter hours",IF(AND(AllowOT&lt;&gt;"Yes",SUMIF($B$7:$B$256,B112,$I$7:$I$256)&gt;INDEX($O$58:$O$87,DAY(B112))),"Day over "&amp;INDEX($O$58:$O$87,DAY(B112))&amp;" h","✓")))))))))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tr">
        <f aca="false">IF(Projects!B110="","",Projects!B110)</f>
        <v/>
      </c>
      <c r="X112" s="1" t="n">
        <f aca="false">IF(W112="",0,SUMIFS($I$7:$I$256,$D$7:$D$256,W112,$H$7:$H$256,"NTIME"))</f>
        <v>0</v>
      </c>
      <c r="Y112" s="1" t="n">
        <f aca="false">IF(W112="",0,SUMIFS($I$7:$I$256,$D$7:$D$256,W112,$H$7:$H$256,"P6"))</f>
        <v>0</v>
      </c>
      <c r="Z112" s="1" t="n">
        <f aca="false">X112+Y112</f>
        <v>0</v>
      </c>
      <c r="AA112" s="1" t="n">
        <f aca="false">IF(Z112&gt;0,Z112+(201-106)/10^6,0)</f>
        <v>0</v>
      </c>
      <c r="AB112" s="1"/>
      <c r="AC112" s="1"/>
      <c r="AD112" s="1"/>
      <c r="AE112" s="1"/>
      <c r="AF112" s="1"/>
      <c r="AG112" s="1"/>
      <c r="AH112" s="1"/>
    </row>
    <row r="113" customFormat="false" ht="15" hidden="false" customHeight="false" outlineLevel="0" collapsed="false">
      <c r="A113" s="1"/>
      <c r="B113" s="10"/>
      <c r="C113" s="31" t="str">
        <f aca="false">IF(B113="","",TEXT(B113,"ddd"))</f>
        <v/>
      </c>
      <c r="D113" s="11"/>
      <c r="E113" s="8" t="str">
        <f aca="false">IF(D113="","",IFERROR(INDEX(ProjNumbers,MATCH(D113,ProjNames,0)),""))</f>
        <v/>
      </c>
      <c r="F113" s="8" t="str">
        <f aca="false">IF(D113="","",IFERROR(INDEX(ProjCodes,MATCH(D113,ProjNames,0)),""))</f>
        <v/>
      </c>
      <c r="G113" s="32"/>
      <c r="H113" s="11"/>
      <c r="I113" s="33"/>
      <c r="J113" s="8" t="str">
        <f aca="false">IF(COUNTA(B113,D113,G113,H113,I113)=0,"",IF(B113="","Enter date",IF(OR(B113&lt;$AC$2,B113&gt;$AC$3),"Date not in June",IF(D113="","Pick project",IF(ISNA(MATCH(D113,ProjNames,0)),"Project not in list",IF(G113="","Add task description",IF(H113="","Pick NTIME or P6",IF(N(I113)&lt;=0,"Enter hours",IF(AND(AllowOT&lt;&gt;"Yes",SUMIF($B$7:$B$256,B113,$I$7:$I$256)&gt;INDEX($O$58:$O$87,DAY(B113))),"Day over "&amp;INDEX($O$58:$O$87,DAY(B113))&amp;" h","✓")))))))))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tr">
        <f aca="false">IF(Projects!B111="","",Projects!B111)</f>
        <v/>
      </c>
      <c r="X113" s="1" t="n">
        <f aca="false">IF(W113="",0,SUMIFS($I$7:$I$256,$D$7:$D$256,W113,$H$7:$H$256,"NTIME"))</f>
        <v>0</v>
      </c>
      <c r="Y113" s="1" t="n">
        <f aca="false">IF(W113="",0,SUMIFS($I$7:$I$256,$D$7:$D$256,W113,$H$7:$H$256,"P6"))</f>
        <v>0</v>
      </c>
      <c r="Z113" s="1" t="n">
        <f aca="false">X113+Y113</f>
        <v>0</v>
      </c>
      <c r="AA113" s="1" t="n">
        <f aca="false">IF(Z113&gt;0,Z113+(201-107)/10^6,0)</f>
        <v>0</v>
      </c>
      <c r="AB113" s="1"/>
      <c r="AC113" s="1"/>
      <c r="AD113" s="1"/>
      <c r="AE113" s="1"/>
      <c r="AF113" s="1"/>
      <c r="AG113" s="1"/>
      <c r="AH113" s="1"/>
    </row>
    <row r="114" customFormat="false" ht="15" hidden="false" customHeight="false" outlineLevel="0" collapsed="false">
      <c r="A114" s="1"/>
      <c r="B114" s="10"/>
      <c r="C114" s="31" t="str">
        <f aca="false">IF(B114="","",TEXT(B114,"ddd"))</f>
        <v/>
      </c>
      <c r="D114" s="11"/>
      <c r="E114" s="8" t="str">
        <f aca="false">IF(D114="","",IFERROR(INDEX(ProjNumbers,MATCH(D114,ProjNames,0)),""))</f>
        <v/>
      </c>
      <c r="F114" s="8" t="str">
        <f aca="false">IF(D114="","",IFERROR(INDEX(ProjCodes,MATCH(D114,ProjNames,0)),""))</f>
        <v/>
      </c>
      <c r="G114" s="32"/>
      <c r="H114" s="11"/>
      <c r="I114" s="33"/>
      <c r="J114" s="8" t="str">
        <f aca="false">IF(COUNTA(B114,D114,G114,H114,I114)=0,"",IF(B114="","Enter date",IF(OR(B114&lt;$AC$2,B114&gt;$AC$3),"Date not in June",IF(D114="","Pick project",IF(ISNA(MATCH(D114,ProjNames,0)),"Project not in list",IF(G114="","Add task description",IF(H114="","Pick NTIME or P6",IF(N(I114)&lt;=0,"Enter hours",IF(AND(AllowOT&lt;&gt;"Yes",SUMIF($B$7:$B$256,B114,$I$7:$I$256)&gt;INDEX($O$58:$O$87,DAY(B114))),"Day over "&amp;INDEX($O$58:$O$87,DAY(B114))&amp;" h","✓")))))))))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tr">
        <f aca="false">IF(Projects!B112="","",Projects!B112)</f>
        <v/>
      </c>
      <c r="X114" s="1" t="n">
        <f aca="false">IF(W114="",0,SUMIFS($I$7:$I$256,$D$7:$D$256,W114,$H$7:$H$256,"NTIME"))</f>
        <v>0</v>
      </c>
      <c r="Y114" s="1" t="n">
        <f aca="false">IF(W114="",0,SUMIFS($I$7:$I$256,$D$7:$D$256,W114,$H$7:$H$256,"P6"))</f>
        <v>0</v>
      </c>
      <c r="Z114" s="1" t="n">
        <f aca="false">X114+Y114</f>
        <v>0</v>
      </c>
      <c r="AA114" s="1" t="n">
        <f aca="false">IF(Z114&gt;0,Z114+(201-108)/10^6,0)</f>
        <v>0</v>
      </c>
      <c r="AB114" s="1"/>
      <c r="AC114" s="1"/>
      <c r="AD114" s="1"/>
      <c r="AE114" s="1"/>
      <c r="AF114" s="1"/>
      <c r="AG114" s="1"/>
      <c r="AH114" s="1"/>
    </row>
    <row r="115" customFormat="false" ht="15" hidden="false" customHeight="false" outlineLevel="0" collapsed="false">
      <c r="A115" s="1"/>
      <c r="B115" s="10"/>
      <c r="C115" s="31" t="str">
        <f aca="false">IF(B115="","",TEXT(B115,"ddd"))</f>
        <v/>
      </c>
      <c r="D115" s="11"/>
      <c r="E115" s="8" t="str">
        <f aca="false">IF(D115="","",IFERROR(INDEX(ProjNumbers,MATCH(D115,ProjNames,0)),""))</f>
        <v/>
      </c>
      <c r="F115" s="8" t="str">
        <f aca="false">IF(D115="","",IFERROR(INDEX(ProjCodes,MATCH(D115,ProjNames,0)),""))</f>
        <v/>
      </c>
      <c r="G115" s="32"/>
      <c r="H115" s="11"/>
      <c r="I115" s="33"/>
      <c r="J115" s="8" t="str">
        <f aca="false">IF(COUNTA(B115,D115,G115,H115,I115)=0,"",IF(B115="","Enter date",IF(OR(B115&lt;$AC$2,B115&gt;$AC$3),"Date not in June",IF(D115="","Pick project",IF(ISNA(MATCH(D115,ProjNames,0)),"Project not in list",IF(G115="","Add task description",IF(H115="","Pick NTIME or P6",IF(N(I115)&lt;=0,"Enter hours",IF(AND(AllowOT&lt;&gt;"Yes",SUMIF($B$7:$B$256,B115,$I$7:$I$256)&gt;INDEX($O$58:$O$87,DAY(B115))),"Day over "&amp;INDEX($O$58:$O$87,DAY(B115))&amp;" h","✓")))))))))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tr">
        <f aca="false">IF(Projects!B113="","",Projects!B113)</f>
        <v/>
      </c>
      <c r="X115" s="1" t="n">
        <f aca="false">IF(W115="",0,SUMIFS($I$7:$I$256,$D$7:$D$256,W115,$H$7:$H$256,"NTIME"))</f>
        <v>0</v>
      </c>
      <c r="Y115" s="1" t="n">
        <f aca="false">IF(W115="",0,SUMIFS($I$7:$I$256,$D$7:$D$256,W115,$H$7:$H$256,"P6"))</f>
        <v>0</v>
      </c>
      <c r="Z115" s="1" t="n">
        <f aca="false">X115+Y115</f>
        <v>0</v>
      </c>
      <c r="AA115" s="1" t="n">
        <f aca="false">IF(Z115&gt;0,Z115+(201-109)/10^6,0)</f>
        <v>0</v>
      </c>
      <c r="AB115" s="1"/>
      <c r="AC115" s="1"/>
      <c r="AD115" s="1"/>
      <c r="AE115" s="1"/>
      <c r="AF115" s="1"/>
      <c r="AG115" s="1"/>
      <c r="AH115" s="1"/>
    </row>
    <row r="116" customFormat="false" ht="15" hidden="false" customHeight="false" outlineLevel="0" collapsed="false">
      <c r="A116" s="1"/>
      <c r="B116" s="10"/>
      <c r="C116" s="31" t="str">
        <f aca="false">IF(B116="","",TEXT(B116,"ddd"))</f>
        <v/>
      </c>
      <c r="D116" s="11"/>
      <c r="E116" s="8" t="str">
        <f aca="false">IF(D116="","",IFERROR(INDEX(ProjNumbers,MATCH(D116,ProjNames,0)),""))</f>
        <v/>
      </c>
      <c r="F116" s="8" t="str">
        <f aca="false">IF(D116="","",IFERROR(INDEX(ProjCodes,MATCH(D116,ProjNames,0)),""))</f>
        <v/>
      </c>
      <c r="G116" s="32"/>
      <c r="H116" s="11"/>
      <c r="I116" s="33"/>
      <c r="J116" s="8" t="str">
        <f aca="false">IF(COUNTA(B116,D116,G116,H116,I116)=0,"",IF(B116="","Enter date",IF(OR(B116&lt;$AC$2,B116&gt;$AC$3),"Date not in June",IF(D116="","Pick project",IF(ISNA(MATCH(D116,ProjNames,0)),"Project not in list",IF(G116="","Add task description",IF(H116="","Pick NTIME or P6",IF(N(I116)&lt;=0,"Enter hours",IF(AND(AllowOT&lt;&gt;"Yes",SUMIF($B$7:$B$256,B116,$I$7:$I$256)&gt;INDEX($O$58:$O$87,DAY(B116))),"Day over "&amp;INDEX($O$58:$O$87,DAY(B116))&amp;" h","✓")))))))))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tr">
        <f aca="false">IF(Projects!B114="","",Projects!B114)</f>
        <v/>
      </c>
      <c r="X116" s="1" t="n">
        <f aca="false">IF(W116="",0,SUMIFS($I$7:$I$256,$D$7:$D$256,W116,$H$7:$H$256,"NTIME"))</f>
        <v>0</v>
      </c>
      <c r="Y116" s="1" t="n">
        <f aca="false">IF(W116="",0,SUMIFS($I$7:$I$256,$D$7:$D$256,W116,$H$7:$H$256,"P6"))</f>
        <v>0</v>
      </c>
      <c r="Z116" s="1" t="n">
        <f aca="false">X116+Y116</f>
        <v>0</v>
      </c>
      <c r="AA116" s="1" t="n">
        <f aca="false">IF(Z116&gt;0,Z116+(201-110)/10^6,0)</f>
        <v>0</v>
      </c>
      <c r="AB116" s="1"/>
      <c r="AC116" s="1"/>
      <c r="AD116" s="1"/>
      <c r="AE116" s="1"/>
      <c r="AF116" s="1"/>
      <c r="AG116" s="1"/>
      <c r="AH116" s="1"/>
    </row>
    <row r="117" customFormat="false" ht="15" hidden="false" customHeight="false" outlineLevel="0" collapsed="false">
      <c r="A117" s="1"/>
      <c r="B117" s="10"/>
      <c r="C117" s="31" t="str">
        <f aca="false">IF(B117="","",TEXT(B117,"ddd"))</f>
        <v/>
      </c>
      <c r="D117" s="11"/>
      <c r="E117" s="8" t="str">
        <f aca="false">IF(D117="","",IFERROR(INDEX(ProjNumbers,MATCH(D117,ProjNames,0)),""))</f>
        <v/>
      </c>
      <c r="F117" s="8" t="str">
        <f aca="false">IF(D117="","",IFERROR(INDEX(ProjCodes,MATCH(D117,ProjNames,0)),""))</f>
        <v/>
      </c>
      <c r="G117" s="32"/>
      <c r="H117" s="11"/>
      <c r="I117" s="33"/>
      <c r="J117" s="8" t="str">
        <f aca="false">IF(COUNTA(B117,D117,G117,H117,I117)=0,"",IF(B117="","Enter date",IF(OR(B117&lt;$AC$2,B117&gt;$AC$3),"Date not in June",IF(D117="","Pick project",IF(ISNA(MATCH(D117,ProjNames,0)),"Project not in list",IF(G117="","Add task description",IF(H117="","Pick NTIME or P6",IF(N(I117)&lt;=0,"Enter hours",IF(AND(AllowOT&lt;&gt;"Yes",SUMIF($B$7:$B$256,B117,$I$7:$I$256)&gt;INDEX($O$58:$O$87,DAY(B117))),"Day over "&amp;INDEX($O$58:$O$87,DAY(B117))&amp;" h","✓")))))))))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tr">
        <f aca="false">IF(Projects!B115="","",Projects!B115)</f>
        <v/>
      </c>
      <c r="X117" s="1" t="n">
        <f aca="false">IF(W117="",0,SUMIFS($I$7:$I$256,$D$7:$D$256,W117,$H$7:$H$256,"NTIME"))</f>
        <v>0</v>
      </c>
      <c r="Y117" s="1" t="n">
        <f aca="false">IF(W117="",0,SUMIFS($I$7:$I$256,$D$7:$D$256,W117,$H$7:$H$256,"P6"))</f>
        <v>0</v>
      </c>
      <c r="Z117" s="1" t="n">
        <f aca="false">X117+Y117</f>
        <v>0</v>
      </c>
      <c r="AA117" s="1" t="n">
        <f aca="false">IF(Z117&gt;0,Z117+(201-111)/10^6,0)</f>
        <v>0</v>
      </c>
      <c r="AB117" s="1"/>
      <c r="AC117" s="1"/>
      <c r="AD117" s="1"/>
      <c r="AE117" s="1"/>
      <c r="AF117" s="1"/>
      <c r="AG117" s="1"/>
      <c r="AH117" s="1"/>
    </row>
    <row r="118" customFormat="false" ht="15" hidden="false" customHeight="false" outlineLevel="0" collapsed="false">
      <c r="A118" s="1"/>
      <c r="B118" s="10"/>
      <c r="C118" s="31" t="str">
        <f aca="false">IF(B118="","",TEXT(B118,"ddd"))</f>
        <v/>
      </c>
      <c r="D118" s="11"/>
      <c r="E118" s="8" t="str">
        <f aca="false">IF(D118="","",IFERROR(INDEX(ProjNumbers,MATCH(D118,ProjNames,0)),""))</f>
        <v/>
      </c>
      <c r="F118" s="8" t="str">
        <f aca="false">IF(D118="","",IFERROR(INDEX(ProjCodes,MATCH(D118,ProjNames,0)),""))</f>
        <v/>
      </c>
      <c r="G118" s="32"/>
      <c r="H118" s="11"/>
      <c r="I118" s="33"/>
      <c r="J118" s="8" t="str">
        <f aca="false">IF(COUNTA(B118,D118,G118,H118,I118)=0,"",IF(B118="","Enter date",IF(OR(B118&lt;$AC$2,B118&gt;$AC$3),"Date not in June",IF(D118="","Pick project",IF(ISNA(MATCH(D118,ProjNames,0)),"Project not in list",IF(G118="","Add task description",IF(H118="","Pick NTIME or P6",IF(N(I118)&lt;=0,"Enter hours",IF(AND(AllowOT&lt;&gt;"Yes",SUMIF($B$7:$B$256,B118,$I$7:$I$256)&gt;INDEX($O$58:$O$87,DAY(B118))),"Day over "&amp;INDEX($O$58:$O$87,DAY(B118))&amp;" h","✓")))))))))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tr">
        <f aca="false">IF(Projects!B116="","",Projects!B116)</f>
        <v/>
      </c>
      <c r="X118" s="1" t="n">
        <f aca="false">IF(W118="",0,SUMIFS($I$7:$I$256,$D$7:$D$256,W118,$H$7:$H$256,"NTIME"))</f>
        <v>0</v>
      </c>
      <c r="Y118" s="1" t="n">
        <f aca="false">IF(W118="",0,SUMIFS($I$7:$I$256,$D$7:$D$256,W118,$H$7:$H$256,"P6"))</f>
        <v>0</v>
      </c>
      <c r="Z118" s="1" t="n">
        <f aca="false">X118+Y118</f>
        <v>0</v>
      </c>
      <c r="AA118" s="1" t="n">
        <f aca="false">IF(Z118&gt;0,Z118+(201-112)/10^6,0)</f>
        <v>0</v>
      </c>
      <c r="AB118" s="1"/>
      <c r="AC118" s="1"/>
      <c r="AD118" s="1"/>
      <c r="AE118" s="1"/>
      <c r="AF118" s="1"/>
      <c r="AG118" s="1"/>
      <c r="AH118" s="1"/>
    </row>
    <row r="119" customFormat="false" ht="15" hidden="false" customHeight="false" outlineLevel="0" collapsed="false">
      <c r="A119" s="1"/>
      <c r="B119" s="10"/>
      <c r="C119" s="31" t="str">
        <f aca="false">IF(B119="","",TEXT(B119,"ddd"))</f>
        <v/>
      </c>
      <c r="D119" s="11"/>
      <c r="E119" s="8" t="str">
        <f aca="false">IF(D119="","",IFERROR(INDEX(ProjNumbers,MATCH(D119,ProjNames,0)),""))</f>
        <v/>
      </c>
      <c r="F119" s="8" t="str">
        <f aca="false">IF(D119="","",IFERROR(INDEX(ProjCodes,MATCH(D119,ProjNames,0)),""))</f>
        <v/>
      </c>
      <c r="G119" s="32"/>
      <c r="H119" s="11"/>
      <c r="I119" s="33"/>
      <c r="J119" s="8" t="str">
        <f aca="false">IF(COUNTA(B119,D119,G119,H119,I119)=0,"",IF(B119="","Enter date",IF(OR(B119&lt;$AC$2,B119&gt;$AC$3),"Date not in June",IF(D119="","Pick project",IF(ISNA(MATCH(D119,ProjNames,0)),"Project not in list",IF(G119="","Add task description",IF(H119="","Pick NTIME or P6",IF(N(I119)&lt;=0,"Enter hours",IF(AND(AllowOT&lt;&gt;"Yes",SUMIF($B$7:$B$256,B119,$I$7:$I$256)&gt;INDEX($O$58:$O$87,DAY(B119))),"Day over "&amp;INDEX($O$58:$O$87,DAY(B119))&amp;" h","✓")))))))))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 aca="false">IF(Projects!B117="","",Projects!B117)</f>
        <v/>
      </c>
      <c r="X119" s="1" t="n">
        <f aca="false">IF(W119="",0,SUMIFS($I$7:$I$256,$D$7:$D$256,W119,$H$7:$H$256,"NTIME"))</f>
        <v>0</v>
      </c>
      <c r="Y119" s="1" t="n">
        <f aca="false">IF(W119="",0,SUMIFS($I$7:$I$256,$D$7:$D$256,W119,$H$7:$H$256,"P6"))</f>
        <v>0</v>
      </c>
      <c r="Z119" s="1" t="n">
        <f aca="false">X119+Y119</f>
        <v>0</v>
      </c>
      <c r="AA119" s="1" t="n">
        <f aca="false">IF(Z119&gt;0,Z119+(201-113)/10^6,0)</f>
        <v>0</v>
      </c>
      <c r="AB119" s="1"/>
      <c r="AC119" s="1"/>
      <c r="AD119" s="1"/>
      <c r="AE119" s="1"/>
      <c r="AF119" s="1"/>
      <c r="AG119" s="1"/>
      <c r="AH119" s="1"/>
    </row>
    <row r="120" customFormat="false" ht="15" hidden="false" customHeight="false" outlineLevel="0" collapsed="false">
      <c r="A120" s="1"/>
      <c r="B120" s="10"/>
      <c r="C120" s="31" t="str">
        <f aca="false">IF(B120="","",TEXT(B120,"ddd"))</f>
        <v/>
      </c>
      <c r="D120" s="11"/>
      <c r="E120" s="8" t="str">
        <f aca="false">IF(D120="","",IFERROR(INDEX(ProjNumbers,MATCH(D120,ProjNames,0)),""))</f>
        <v/>
      </c>
      <c r="F120" s="8" t="str">
        <f aca="false">IF(D120="","",IFERROR(INDEX(ProjCodes,MATCH(D120,ProjNames,0)),""))</f>
        <v/>
      </c>
      <c r="G120" s="32"/>
      <c r="H120" s="11"/>
      <c r="I120" s="33"/>
      <c r="J120" s="8" t="str">
        <f aca="false">IF(COUNTA(B120,D120,G120,H120,I120)=0,"",IF(B120="","Enter date",IF(OR(B120&lt;$AC$2,B120&gt;$AC$3),"Date not in June",IF(D120="","Pick project",IF(ISNA(MATCH(D120,ProjNames,0)),"Project not in list",IF(G120="","Add task description",IF(H120="","Pick NTIME or P6",IF(N(I120)&lt;=0,"Enter hours",IF(AND(AllowOT&lt;&gt;"Yes",SUMIF($B$7:$B$256,B120,$I$7:$I$256)&gt;INDEX($O$58:$O$87,DAY(B120))),"Day over "&amp;INDEX($O$58:$O$87,DAY(B120))&amp;" h","✓")))))))))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tr">
        <f aca="false">IF(Projects!B118="","",Projects!B118)</f>
        <v/>
      </c>
      <c r="X120" s="1" t="n">
        <f aca="false">IF(W120="",0,SUMIFS($I$7:$I$256,$D$7:$D$256,W120,$H$7:$H$256,"NTIME"))</f>
        <v>0</v>
      </c>
      <c r="Y120" s="1" t="n">
        <f aca="false">IF(W120="",0,SUMIFS($I$7:$I$256,$D$7:$D$256,W120,$H$7:$H$256,"P6"))</f>
        <v>0</v>
      </c>
      <c r="Z120" s="1" t="n">
        <f aca="false">X120+Y120</f>
        <v>0</v>
      </c>
      <c r="AA120" s="1" t="n">
        <f aca="false">IF(Z120&gt;0,Z120+(201-114)/10^6,0)</f>
        <v>0</v>
      </c>
      <c r="AB120" s="1"/>
      <c r="AC120" s="1"/>
      <c r="AD120" s="1"/>
      <c r="AE120" s="1"/>
      <c r="AF120" s="1"/>
      <c r="AG120" s="1"/>
      <c r="AH120" s="1"/>
    </row>
    <row r="121" customFormat="false" ht="15" hidden="false" customHeight="false" outlineLevel="0" collapsed="false">
      <c r="A121" s="1"/>
      <c r="B121" s="10"/>
      <c r="C121" s="31" t="str">
        <f aca="false">IF(B121="","",TEXT(B121,"ddd"))</f>
        <v/>
      </c>
      <c r="D121" s="11"/>
      <c r="E121" s="8" t="str">
        <f aca="false">IF(D121="","",IFERROR(INDEX(ProjNumbers,MATCH(D121,ProjNames,0)),""))</f>
        <v/>
      </c>
      <c r="F121" s="8" t="str">
        <f aca="false">IF(D121="","",IFERROR(INDEX(ProjCodes,MATCH(D121,ProjNames,0)),""))</f>
        <v/>
      </c>
      <c r="G121" s="32"/>
      <c r="H121" s="11"/>
      <c r="I121" s="33"/>
      <c r="J121" s="8" t="str">
        <f aca="false">IF(COUNTA(B121,D121,G121,H121,I121)=0,"",IF(B121="","Enter date",IF(OR(B121&lt;$AC$2,B121&gt;$AC$3),"Date not in June",IF(D121="","Pick project",IF(ISNA(MATCH(D121,ProjNames,0)),"Project not in list",IF(G121="","Add task description",IF(H121="","Pick NTIME or P6",IF(N(I121)&lt;=0,"Enter hours",IF(AND(AllowOT&lt;&gt;"Yes",SUMIF($B$7:$B$256,B121,$I$7:$I$256)&gt;INDEX($O$58:$O$87,DAY(B121))),"Day over "&amp;INDEX($O$58:$O$87,DAY(B121))&amp;" h","✓")))))))))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tr">
        <f aca="false">IF(Projects!B119="","",Projects!B119)</f>
        <v/>
      </c>
      <c r="X121" s="1" t="n">
        <f aca="false">IF(W121="",0,SUMIFS($I$7:$I$256,$D$7:$D$256,W121,$H$7:$H$256,"NTIME"))</f>
        <v>0</v>
      </c>
      <c r="Y121" s="1" t="n">
        <f aca="false">IF(W121="",0,SUMIFS($I$7:$I$256,$D$7:$D$256,W121,$H$7:$H$256,"P6"))</f>
        <v>0</v>
      </c>
      <c r="Z121" s="1" t="n">
        <f aca="false">X121+Y121</f>
        <v>0</v>
      </c>
      <c r="AA121" s="1" t="n">
        <f aca="false">IF(Z121&gt;0,Z121+(201-115)/10^6,0)</f>
        <v>0</v>
      </c>
      <c r="AB121" s="1"/>
      <c r="AC121" s="1"/>
      <c r="AD121" s="1"/>
      <c r="AE121" s="1"/>
      <c r="AF121" s="1"/>
      <c r="AG121" s="1"/>
      <c r="AH121" s="1"/>
    </row>
    <row r="122" customFormat="false" ht="15" hidden="false" customHeight="false" outlineLevel="0" collapsed="false">
      <c r="A122" s="1"/>
      <c r="B122" s="10"/>
      <c r="C122" s="31" t="str">
        <f aca="false">IF(B122="","",TEXT(B122,"ddd"))</f>
        <v/>
      </c>
      <c r="D122" s="11"/>
      <c r="E122" s="8" t="str">
        <f aca="false">IF(D122="","",IFERROR(INDEX(ProjNumbers,MATCH(D122,ProjNames,0)),""))</f>
        <v/>
      </c>
      <c r="F122" s="8" t="str">
        <f aca="false">IF(D122="","",IFERROR(INDEX(ProjCodes,MATCH(D122,ProjNames,0)),""))</f>
        <v/>
      </c>
      <c r="G122" s="32"/>
      <c r="H122" s="11"/>
      <c r="I122" s="33"/>
      <c r="J122" s="8" t="str">
        <f aca="false">IF(COUNTA(B122,D122,G122,H122,I122)=0,"",IF(B122="","Enter date",IF(OR(B122&lt;$AC$2,B122&gt;$AC$3),"Date not in June",IF(D122="","Pick project",IF(ISNA(MATCH(D122,ProjNames,0)),"Project not in list",IF(G122="","Add task description",IF(H122="","Pick NTIME or P6",IF(N(I122)&lt;=0,"Enter hours",IF(AND(AllowOT&lt;&gt;"Yes",SUMIF($B$7:$B$256,B122,$I$7:$I$256)&gt;INDEX($O$58:$O$87,DAY(B122))),"Day over "&amp;INDEX($O$58:$O$87,DAY(B122))&amp;" h","✓")))))))))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tr">
        <f aca="false">IF(Projects!B120="","",Projects!B120)</f>
        <v/>
      </c>
      <c r="X122" s="1" t="n">
        <f aca="false">IF(W122="",0,SUMIFS($I$7:$I$256,$D$7:$D$256,W122,$H$7:$H$256,"NTIME"))</f>
        <v>0</v>
      </c>
      <c r="Y122" s="1" t="n">
        <f aca="false">IF(W122="",0,SUMIFS($I$7:$I$256,$D$7:$D$256,W122,$H$7:$H$256,"P6"))</f>
        <v>0</v>
      </c>
      <c r="Z122" s="1" t="n">
        <f aca="false">X122+Y122</f>
        <v>0</v>
      </c>
      <c r="AA122" s="1" t="n">
        <f aca="false">IF(Z122&gt;0,Z122+(201-116)/10^6,0)</f>
        <v>0</v>
      </c>
      <c r="AB122" s="1"/>
      <c r="AC122" s="1"/>
      <c r="AD122" s="1"/>
      <c r="AE122" s="1"/>
      <c r="AF122" s="1"/>
      <c r="AG122" s="1"/>
      <c r="AH122" s="1"/>
    </row>
    <row r="123" customFormat="false" ht="15" hidden="false" customHeight="false" outlineLevel="0" collapsed="false">
      <c r="A123" s="1"/>
      <c r="B123" s="10"/>
      <c r="C123" s="31" t="str">
        <f aca="false">IF(B123="","",TEXT(B123,"ddd"))</f>
        <v/>
      </c>
      <c r="D123" s="11"/>
      <c r="E123" s="8" t="str">
        <f aca="false">IF(D123="","",IFERROR(INDEX(ProjNumbers,MATCH(D123,ProjNames,0)),""))</f>
        <v/>
      </c>
      <c r="F123" s="8" t="str">
        <f aca="false">IF(D123="","",IFERROR(INDEX(ProjCodes,MATCH(D123,ProjNames,0)),""))</f>
        <v/>
      </c>
      <c r="G123" s="32"/>
      <c r="H123" s="11"/>
      <c r="I123" s="33"/>
      <c r="J123" s="8" t="str">
        <f aca="false">IF(COUNTA(B123,D123,G123,H123,I123)=0,"",IF(B123="","Enter date",IF(OR(B123&lt;$AC$2,B123&gt;$AC$3),"Date not in June",IF(D123="","Pick project",IF(ISNA(MATCH(D123,ProjNames,0)),"Project not in list",IF(G123="","Add task description",IF(H123="","Pick NTIME or P6",IF(N(I123)&lt;=0,"Enter hours",IF(AND(AllowOT&lt;&gt;"Yes",SUMIF($B$7:$B$256,B123,$I$7:$I$256)&gt;INDEX($O$58:$O$87,DAY(B123))),"Day over "&amp;INDEX($O$58:$O$87,DAY(B123))&amp;" h","✓")))))))))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tr">
        <f aca="false">IF(Projects!B121="","",Projects!B121)</f>
        <v/>
      </c>
      <c r="X123" s="1" t="n">
        <f aca="false">IF(W123="",0,SUMIFS($I$7:$I$256,$D$7:$D$256,W123,$H$7:$H$256,"NTIME"))</f>
        <v>0</v>
      </c>
      <c r="Y123" s="1" t="n">
        <f aca="false">IF(W123="",0,SUMIFS($I$7:$I$256,$D$7:$D$256,W123,$H$7:$H$256,"P6"))</f>
        <v>0</v>
      </c>
      <c r="Z123" s="1" t="n">
        <f aca="false">X123+Y123</f>
        <v>0</v>
      </c>
      <c r="AA123" s="1" t="n">
        <f aca="false">IF(Z123&gt;0,Z123+(201-117)/10^6,0)</f>
        <v>0</v>
      </c>
      <c r="AB123" s="1"/>
      <c r="AC123" s="1"/>
      <c r="AD123" s="1"/>
      <c r="AE123" s="1"/>
      <c r="AF123" s="1"/>
      <c r="AG123" s="1"/>
      <c r="AH123" s="1"/>
    </row>
    <row r="124" customFormat="false" ht="15" hidden="false" customHeight="false" outlineLevel="0" collapsed="false">
      <c r="A124" s="1"/>
      <c r="B124" s="10"/>
      <c r="C124" s="31" t="str">
        <f aca="false">IF(B124="","",TEXT(B124,"ddd"))</f>
        <v/>
      </c>
      <c r="D124" s="11"/>
      <c r="E124" s="8" t="str">
        <f aca="false">IF(D124="","",IFERROR(INDEX(ProjNumbers,MATCH(D124,ProjNames,0)),""))</f>
        <v/>
      </c>
      <c r="F124" s="8" t="str">
        <f aca="false">IF(D124="","",IFERROR(INDEX(ProjCodes,MATCH(D124,ProjNames,0)),""))</f>
        <v/>
      </c>
      <c r="G124" s="32"/>
      <c r="H124" s="11"/>
      <c r="I124" s="33"/>
      <c r="J124" s="8" t="str">
        <f aca="false">IF(COUNTA(B124,D124,G124,H124,I124)=0,"",IF(B124="","Enter date",IF(OR(B124&lt;$AC$2,B124&gt;$AC$3),"Date not in June",IF(D124="","Pick project",IF(ISNA(MATCH(D124,ProjNames,0)),"Project not in list",IF(G124="","Add task description",IF(H124="","Pick NTIME or P6",IF(N(I124)&lt;=0,"Enter hours",IF(AND(AllowOT&lt;&gt;"Yes",SUMIF($B$7:$B$256,B124,$I$7:$I$256)&gt;INDEX($O$58:$O$87,DAY(B124))),"Day over "&amp;INDEX($O$58:$O$87,DAY(B124))&amp;" h","✓")))))))))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tr">
        <f aca="false">IF(Projects!B122="","",Projects!B122)</f>
        <v/>
      </c>
      <c r="X124" s="1" t="n">
        <f aca="false">IF(W124="",0,SUMIFS($I$7:$I$256,$D$7:$D$256,W124,$H$7:$H$256,"NTIME"))</f>
        <v>0</v>
      </c>
      <c r="Y124" s="1" t="n">
        <f aca="false">IF(W124="",0,SUMIFS($I$7:$I$256,$D$7:$D$256,W124,$H$7:$H$256,"P6"))</f>
        <v>0</v>
      </c>
      <c r="Z124" s="1" t="n">
        <f aca="false">X124+Y124</f>
        <v>0</v>
      </c>
      <c r="AA124" s="1" t="n">
        <f aca="false">IF(Z124&gt;0,Z124+(201-118)/10^6,0)</f>
        <v>0</v>
      </c>
      <c r="AB124" s="1"/>
      <c r="AC124" s="1"/>
      <c r="AD124" s="1"/>
      <c r="AE124" s="1"/>
      <c r="AF124" s="1"/>
      <c r="AG124" s="1"/>
      <c r="AH124" s="1"/>
    </row>
    <row r="125" customFormat="false" ht="15" hidden="false" customHeight="false" outlineLevel="0" collapsed="false">
      <c r="A125" s="1"/>
      <c r="B125" s="10"/>
      <c r="C125" s="31" t="str">
        <f aca="false">IF(B125="","",TEXT(B125,"ddd"))</f>
        <v/>
      </c>
      <c r="D125" s="11"/>
      <c r="E125" s="8" t="str">
        <f aca="false">IF(D125="","",IFERROR(INDEX(ProjNumbers,MATCH(D125,ProjNames,0)),""))</f>
        <v/>
      </c>
      <c r="F125" s="8" t="str">
        <f aca="false">IF(D125="","",IFERROR(INDEX(ProjCodes,MATCH(D125,ProjNames,0)),""))</f>
        <v/>
      </c>
      <c r="G125" s="32"/>
      <c r="H125" s="11"/>
      <c r="I125" s="33"/>
      <c r="J125" s="8" t="str">
        <f aca="false">IF(COUNTA(B125,D125,G125,H125,I125)=0,"",IF(B125="","Enter date",IF(OR(B125&lt;$AC$2,B125&gt;$AC$3),"Date not in June",IF(D125="","Pick project",IF(ISNA(MATCH(D125,ProjNames,0)),"Project not in list",IF(G125="","Add task description",IF(H125="","Pick NTIME or P6",IF(N(I125)&lt;=0,"Enter hours",IF(AND(AllowOT&lt;&gt;"Yes",SUMIF($B$7:$B$256,B125,$I$7:$I$256)&gt;INDEX($O$58:$O$87,DAY(B125))),"Day over "&amp;INDEX($O$58:$O$87,DAY(B125))&amp;" h","✓")))))))))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tr">
        <f aca="false">IF(Projects!B123="","",Projects!B123)</f>
        <v/>
      </c>
      <c r="X125" s="1" t="n">
        <f aca="false">IF(W125="",0,SUMIFS($I$7:$I$256,$D$7:$D$256,W125,$H$7:$H$256,"NTIME"))</f>
        <v>0</v>
      </c>
      <c r="Y125" s="1" t="n">
        <f aca="false">IF(W125="",0,SUMIFS($I$7:$I$256,$D$7:$D$256,W125,$H$7:$H$256,"P6"))</f>
        <v>0</v>
      </c>
      <c r="Z125" s="1" t="n">
        <f aca="false">X125+Y125</f>
        <v>0</v>
      </c>
      <c r="AA125" s="1" t="n">
        <f aca="false">IF(Z125&gt;0,Z125+(201-119)/10^6,0)</f>
        <v>0</v>
      </c>
      <c r="AB125" s="1"/>
      <c r="AC125" s="1"/>
      <c r="AD125" s="1"/>
      <c r="AE125" s="1"/>
      <c r="AF125" s="1"/>
      <c r="AG125" s="1"/>
      <c r="AH125" s="1"/>
    </row>
    <row r="126" customFormat="false" ht="15" hidden="false" customHeight="false" outlineLevel="0" collapsed="false">
      <c r="A126" s="1"/>
      <c r="B126" s="10"/>
      <c r="C126" s="31" t="str">
        <f aca="false">IF(B126="","",TEXT(B126,"ddd"))</f>
        <v/>
      </c>
      <c r="D126" s="11"/>
      <c r="E126" s="8" t="str">
        <f aca="false">IF(D126="","",IFERROR(INDEX(ProjNumbers,MATCH(D126,ProjNames,0)),""))</f>
        <v/>
      </c>
      <c r="F126" s="8" t="str">
        <f aca="false">IF(D126="","",IFERROR(INDEX(ProjCodes,MATCH(D126,ProjNames,0)),""))</f>
        <v/>
      </c>
      <c r="G126" s="32"/>
      <c r="H126" s="11"/>
      <c r="I126" s="33"/>
      <c r="J126" s="8" t="str">
        <f aca="false">IF(COUNTA(B126,D126,G126,H126,I126)=0,"",IF(B126="","Enter date",IF(OR(B126&lt;$AC$2,B126&gt;$AC$3),"Date not in June",IF(D126="","Pick project",IF(ISNA(MATCH(D126,ProjNames,0)),"Project not in list",IF(G126="","Add task description",IF(H126="","Pick NTIME or P6",IF(N(I126)&lt;=0,"Enter hours",IF(AND(AllowOT&lt;&gt;"Yes",SUMIF($B$7:$B$256,B126,$I$7:$I$256)&gt;INDEX($O$58:$O$87,DAY(B126))),"Day over "&amp;INDEX($O$58:$O$87,DAY(B126))&amp;" h","✓")))))))))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tr">
        <f aca="false">IF(Projects!B124="","",Projects!B124)</f>
        <v/>
      </c>
      <c r="X126" s="1" t="n">
        <f aca="false">IF(W126="",0,SUMIFS($I$7:$I$256,$D$7:$D$256,W126,$H$7:$H$256,"NTIME"))</f>
        <v>0</v>
      </c>
      <c r="Y126" s="1" t="n">
        <f aca="false">IF(W126="",0,SUMIFS($I$7:$I$256,$D$7:$D$256,W126,$H$7:$H$256,"P6"))</f>
        <v>0</v>
      </c>
      <c r="Z126" s="1" t="n">
        <f aca="false">X126+Y126</f>
        <v>0</v>
      </c>
      <c r="AA126" s="1" t="n">
        <f aca="false">IF(Z126&gt;0,Z126+(201-120)/10^6,0)</f>
        <v>0</v>
      </c>
      <c r="AB126" s="1"/>
      <c r="AC126" s="1"/>
      <c r="AD126" s="1"/>
      <c r="AE126" s="1"/>
      <c r="AF126" s="1"/>
      <c r="AG126" s="1"/>
      <c r="AH126" s="1"/>
    </row>
    <row r="127" customFormat="false" ht="15" hidden="false" customHeight="false" outlineLevel="0" collapsed="false">
      <c r="A127" s="1"/>
      <c r="B127" s="10"/>
      <c r="C127" s="31" t="str">
        <f aca="false">IF(B127="","",TEXT(B127,"ddd"))</f>
        <v/>
      </c>
      <c r="D127" s="11"/>
      <c r="E127" s="8" t="str">
        <f aca="false">IF(D127="","",IFERROR(INDEX(ProjNumbers,MATCH(D127,ProjNames,0)),""))</f>
        <v/>
      </c>
      <c r="F127" s="8" t="str">
        <f aca="false">IF(D127="","",IFERROR(INDEX(ProjCodes,MATCH(D127,ProjNames,0)),""))</f>
        <v/>
      </c>
      <c r="G127" s="32"/>
      <c r="H127" s="11"/>
      <c r="I127" s="33"/>
      <c r="J127" s="8" t="str">
        <f aca="false">IF(COUNTA(B127,D127,G127,H127,I127)=0,"",IF(B127="","Enter date",IF(OR(B127&lt;$AC$2,B127&gt;$AC$3),"Date not in June",IF(D127="","Pick project",IF(ISNA(MATCH(D127,ProjNames,0)),"Project not in list",IF(G127="","Add task description",IF(H127="","Pick NTIME or P6",IF(N(I127)&lt;=0,"Enter hours",IF(AND(AllowOT&lt;&gt;"Yes",SUMIF($B$7:$B$256,B127,$I$7:$I$256)&gt;INDEX($O$58:$O$87,DAY(B127))),"Day over "&amp;INDEX($O$58:$O$87,DAY(B127))&amp;" h","✓")))))))))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tr">
        <f aca="false">IF(Projects!B125="","",Projects!B125)</f>
        <v/>
      </c>
      <c r="X127" s="1" t="n">
        <f aca="false">IF(W127="",0,SUMIFS($I$7:$I$256,$D$7:$D$256,W127,$H$7:$H$256,"NTIME"))</f>
        <v>0</v>
      </c>
      <c r="Y127" s="1" t="n">
        <f aca="false">IF(W127="",0,SUMIFS($I$7:$I$256,$D$7:$D$256,W127,$H$7:$H$256,"P6"))</f>
        <v>0</v>
      </c>
      <c r="Z127" s="1" t="n">
        <f aca="false">X127+Y127</f>
        <v>0</v>
      </c>
      <c r="AA127" s="1" t="n">
        <f aca="false">IF(Z127&gt;0,Z127+(201-121)/10^6,0)</f>
        <v>0</v>
      </c>
      <c r="AB127" s="1"/>
      <c r="AC127" s="1"/>
      <c r="AD127" s="1"/>
      <c r="AE127" s="1"/>
      <c r="AF127" s="1"/>
      <c r="AG127" s="1"/>
      <c r="AH127" s="1"/>
    </row>
    <row r="128" customFormat="false" ht="15" hidden="false" customHeight="false" outlineLevel="0" collapsed="false">
      <c r="A128" s="1"/>
      <c r="B128" s="10"/>
      <c r="C128" s="31" t="str">
        <f aca="false">IF(B128="","",TEXT(B128,"ddd"))</f>
        <v/>
      </c>
      <c r="D128" s="11"/>
      <c r="E128" s="8" t="str">
        <f aca="false">IF(D128="","",IFERROR(INDEX(ProjNumbers,MATCH(D128,ProjNames,0)),""))</f>
        <v/>
      </c>
      <c r="F128" s="8" t="str">
        <f aca="false">IF(D128="","",IFERROR(INDEX(ProjCodes,MATCH(D128,ProjNames,0)),""))</f>
        <v/>
      </c>
      <c r="G128" s="32"/>
      <c r="H128" s="11"/>
      <c r="I128" s="33"/>
      <c r="J128" s="8" t="str">
        <f aca="false">IF(COUNTA(B128,D128,G128,H128,I128)=0,"",IF(B128="","Enter date",IF(OR(B128&lt;$AC$2,B128&gt;$AC$3),"Date not in June",IF(D128="","Pick project",IF(ISNA(MATCH(D128,ProjNames,0)),"Project not in list",IF(G128="","Add task description",IF(H128="","Pick NTIME or P6",IF(N(I128)&lt;=0,"Enter hours",IF(AND(AllowOT&lt;&gt;"Yes",SUMIF($B$7:$B$256,B128,$I$7:$I$256)&gt;INDEX($O$58:$O$87,DAY(B128))),"Day over "&amp;INDEX($O$58:$O$87,DAY(B128))&amp;" h","✓")))))))))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tr">
        <f aca="false">IF(Projects!B126="","",Projects!B126)</f>
        <v/>
      </c>
      <c r="X128" s="1" t="n">
        <f aca="false">IF(W128="",0,SUMIFS($I$7:$I$256,$D$7:$D$256,W128,$H$7:$H$256,"NTIME"))</f>
        <v>0</v>
      </c>
      <c r="Y128" s="1" t="n">
        <f aca="false">IF(W128="",0,SUMIFS($I$7:$I$256,$D$7:$D$256,W128,$H$7:$H$256,"P6"))</f>
        <v>0</v>
      </c>
      <c r="Z128" s="1" t="n">
        <f aca="false">X128+Y128</f>
        <v>0</v>
      </c>
      <c r="AA128" s="1" t="n">
        <f aca="false">IF(Z128&gt;0,Z128+(201-122)/10^6,0)</f>
        <v>0</v>
      </c>
      <c r="AB128" s="1"/>
      <c r="AC128" s="1"/>
      <c r="AD128" s="1"/>
      <c r="AE128" s="1"/>
      <c r="AF128" s="1"/>
      <c r="AG128" s="1"/>
      <c r="AH128" s="1"/>
    </row>
    <row r="129" customFormat="false" ht="15" hidden="false" customHeight="false" outlineLevel="0" collapsed="false">
      <c r="A129" s="1"/>
      <c r="B129" s="10"/>
      <c r="C129" s="31" t="str">
        <f aca="false">IF(B129="","",TEXT(B129,"ddd"))</f>
        <v/>
      </c>
      <c r="D129" s="11"/>
      <c r="E129" s="8" t="str">
        <f aca="false">IF(D129="","",IFERROR(INDEX(ProjNumbers,MATCH(D129,ProjNames,0)),""))</f>
        <v/>
      </c>
      <c r="F129" s="8" t="str">
        <f aca="false">IF(D129="","",IFERROR(INDEX(ProjCodes,MATCH(D129,ProjNames,0)),""))</f>
        <v/>
      </c>
      <c r="G129" s="32"/>
      <c r="H129" s="11"/>
      <c r="I129" s="33"/>
      <c r="J129" s="8" t="str">
        <f aca="false">IF(COUNTA(B129,D129,G129,H129,I129)=0,"",IF(B129="","Enter date",IF(OR(B129&lt;$AC$2,B129&gt;$AC$3),"Date not in June",IF(D129="","Pick project",IF(ISNA(MATCH(D129,ProjNames,0)),"Project not in list",IF(G129="","Add task description",IF(H129="","Pick NTIME or P6",IF(N(I129)&lt;=0,"Enter hours",IF(AND(AllowOT&lt;&gt;"Yes",SUMIF($B$7:$B$256,B129,$I$7:$I$256)&gt;INDEX($O$58:$O$87,DAY(B129))),"Day over "&amp;INDEX($O$58:$O$87,DAY(B129))&amp;" h","✓")))))))))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tr">
        <f aca="false">IF(Projects!B127="","",Projects!B127)</f>
        <v/>
      </c>
      <c r="X129" s="1" t="n">
        <f aca="false">IF(W129="",0,SUMIFS($I$7:$I$256,$D$7:$D$256,W129,$H$7:$H$256,"NTIME"))</f>
        <v>0</v>
      </c>
      <c r="Y129" s="1" t="n">
        <f aca="false">IF(W129="",0,SUMIFS($I$7:$I$256,$D$7:$D$256,W129,$H$7:$H$256,"P6"))</f>
        <v>0</v>
      </c>
      <c r="Z129" s="1" t="n">
        <f aca="false">X129+Y129</f>
        <v>0</v>
      </c>
      <c r="AA129" s="1" t="n">
        <f aca="false">IF(Z129&gt;0,Z129+(201-123)/10^6,0)</f>
        <v>0</v>
      </c>
      <c r="AB129" s="1"/>
      <c r="AC129" s="1"/>
      <c r="AD129" s="1"/>
      <c r="AE129" s="1"/>
      <c r="AF129" s="1"/>
      <c r="AG129" s="1"/>
      <c r="AH129" s="1"/>
    </row>
    <row r="130" customFormat="false" ht="15" hidden="false" customHeight="false" outlineLevel="0" collapsed="false">
      <c r="A130" s="1"/>
      <c r="B130" s="10"/>
      <c r="C130" s="31" t="str">
        <f aca="false">IF(B130="","",TEXT(B130,"ddd"))</f>
        <v/>
      </c>
      <c r="D130" s="11"/>
      <c r="E130" s="8" t="str">
        <f aca="false">IF(D130="","",IFERROR(INDEX(ProjNumbers,MATCH(D130,ProjNames,0)),""))</f>
        <v/>
      </c>
      <c r="F130" s="8" t="str">
        <f aca="false">IF(D130="","",IFERROR(INDEX(ProjCodes,MATCH(D130,ProjNames,0)),""))</f>
        <v/>
      </c>
      <c r="G130" s="32"/>
      <c r="H130" s="11"/>
      <c r="I130" s="33"/>
      <c r="J130" s="8" t="str">
        <f aca="false">IF(COUNTA(B130,D130,G130,H130,I130)=0,"",IF(B130="","Enter date",IF(OR(B130&lt;$AC$2,B130&gt;$AC$3),"Date not in June",IF(D130="","Pick project",IF(ISNA(MATCH(D130,ProjNames,0)),"Project not in list",IF(G130="","Add task description",IF(H130="","Pick NTIME or P6",IF(N(I130)&lt;=0,"Enter hours",IF(AND(AllowOT&lt;&gt;"Yes",SUMIF($B$7:$B$256,B130,$I$7:$I$256)&gt;INDEX($O$58:$O$87,DAY(B130))),"Day over "&amp;INDEX($O$58:$O$87,DAY(B130))&amp;" h","✓")))))))))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tr">
        <f aca="false">IF(Projects!B128="","",Projects!B128)</f>
        <v/>
      </c>
      <c r="X130" s="1" t="n">
        <f aca="false">IF(W130="",0,SUMIFS($I$7:$I$256,$D$7:$D$256,W130,$H$7:$H$256,"NTIME"))</f>
        <v>0</v>
      </c>
      <c r="Y130" s="1" t="n">
        <f aca="false">IF(W130="",0,SUMIFS($I$7:$I$256,$D$7:$D$256,W130,$H$7:$H$256,"P6"))</f>
        <v>0</v>
      </c>
      <c r="Z130" s="1" t="n">
        <f aca="false">X130+Y130</f>
        <v>0</v>
      </c>
      <c r="AA130" s="1" t="n">
        <f aca="false">IF(Z130&gt;0,Z130+(201-124)/10^6,0)</f>
        <v>0</v>
      </c>
      <c r="AB130" s="1"/>
      <c r="AC130" s="1"/>
      <c r="AD130" s="1"/>
      <c r="AE130" s="1"/>
      <c r="AF130" s="1"/>
      <c r="AG130" s="1"/>
      <c r="AH130" s="1"/>
    </row>
    <row r="131" customFormat="false" ht="15" hidden="false" customHeight="false" outlineLevel="0" collapsed="false">
      <c r="A131" s="1"/>
      <c r="B131" s="10"/>
      <c r="C131" s="31" t="str">
        <f aca="false">IF(B131="","",TEXT(B131,"ddd"))</f>
        <v/>
      </c>
      <c r="D131" s="11"/>
      <c r="E131" s="8" t="str">
        <f aca="false">IF(D131="","",IFERROR(INDEX(ProjNumbers,MATCH(D131,ProjNames,0)),""))</f>
        <v/>
      </c>
      <c r="F131" s="8" t="str">
        <f aca="false">IF(D131="","",IFERROR(INDEX(ProjCodes,MATCH(D131,ProjNames,0)),""))</f>
        <v/>
      </c>
      <c r="G131" s="32"/>
      <c r="H131" s="11"/>
      <c r="I131" s="33"/>
      <c r="J131" s="8" t="str">
        <f aca="false">IF(COUNTA(B131,D131,G131,H131,I131)=0,"",IF(B131="","Enter date",IF(OR(B131&lt;$AC$2,B131&gt;$AC$3),"Date not in June",IF(D131="","Pick project",IF(ISNA(MATCH(D131,ProjNames,0)),"Project not in list",IF(G131="","Add task description",IF(H131="","Pick NTIME or P6",IF(N(I131)&lt;=0,"Enter hours",IF(AND(AllowOT&lt;&gt;"Yes",SUMIF($B$7:$B$256,B131,$I$7:$I$256)&gt;INDEX($O$58:$O$87,DAY(B131))),"Day over "&amp;INDEX($O$58:$O$87,DAY(B131))&amp;" h","✓")))))))))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tr">
        <f aca="false">IF(Projects!B129="","",Projects!B129)</f>
        <v/>
      </c>
      <c r="X131" s="1" t="n">
        <f aca="false">IF(W131="",0,SUMIFS($I$7:$I$256,$D$7:$D$256,W131,$H$7:$H$256,"NTIME"))</f>
        <v>0</v>
      </c>
      <c r="Y131" s="1" t="n">
        <f aca="false">IF(W131="",0,SUMIFS($I$7:$I$256,$D$7:$D$256,W131,$H$7:$H$256,"P6"))</f>
        <v>0</v>
      </c>
      <c r="Z131" s="1" t="n">
        <f aca="false">X131+Y131</f>
        <v>0</v>
      </c>
      <c r="AA131" s="1" t="n">
        <f aca="false">IF(Z131&gt;0,Z131+(201-125)/10^6,0)</f>
        <v>0</v>
      </c>
      <c r="AB131" s="1"/>
      <c r="AC131" s="1"/>
      <c r="AD131" s="1"/>
      <c r="AE131" s="1"/>
      <c r="AF131" s="1"/>
      <c r="AG131" s="1"/>
      <c r="AH131" s="1"/>
    </row>
    <row r="132" customFormat="false" ht="15" hidden="false" customHeight="false" outlineLevel="0" collapsed="false">
      <c r="A132" s="1"/>
      <c r="B132" s="10"/>
      <c r="C132" s="31" t="str">
        <f aca="false">IF(B132="","",TEXT(B132,"ddd"))</f>
        <v/>
      </c>
      <c r="D132" s="11"/>
      <c r="E132" s="8" t="str">
        <f aca="false">IF(D132="","",IFERROR(INDEX(ProjNumbers,MATCH(D132,ProjNames,0)),""))</f>
        <v/>
      </c>
      <c r="F132" s="8" t="str">
        <f aca="false">IF(D132="","",IFERROR(INDEX(ProjCodes,MATCH(D132,ProjNames,0)),""))</f>
        <v/>
      </c>
      <c r="G132" s="32"/>
      <c r="H132" s="11"/>
      <c r="I132" s="33"/>
      <c r="J132" s="8" t="str">
        <f aca="false">IF(COUNTA(B132,D132,G132,H132,I132)=0,"",IF(B132="","Enter date",IF(OR(B132&lt;$AC$2,B132&gt;$AC$3),"Date not in June",IF(D132="","Pick project",IF(ISNA(MATCH(D132,ProjNames,0)),"Project not in list",IF(G132="","Add task description",IF(H132="","Pick NTIME or P6",IF(N(I132)&lt;=0,"Enter hours",IF(AND(AllowOT&lt;&gt;"Yes",SUMIF($B$7:$B$256,B132,$I$7:$I$256)&gt;INDEX($O$58:$O$87,DAY(B132))),"Day over "&amp;INDEX($O$58:$O$87,DAY(B132))&amp;" h","✓")))))))))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tr">
        <f aca="false">IF(Projects!B130="","",Projects!B130)</f>
        <v/>
      </c>
      <c r="X132" s="1" t="n">
        <f aca="false">IF(W132="",0,SUMIFS($I$7:$I$256,$D$7:$D$256,W132,$H$7:$H$256,"NTIME"))</f>
        <v>0</v>
      </c>
      <c r="Y132" s="1" t="n">
        <f aca="false">IF(W132="",0,SUMIFS($I$7:$I$256,$D$7:$D$256,W132,$H$7:$H$256,"P6"))</f>
        <v>0</v>
      </c>
      <c r="Z132" s="1" t="n">
        <f aca="false">X132+Y132</f>
        <v>0</v>
      </c>
      <c r="AA132" s="1" t="n">
        <f aca="false">IF(Z132&gt;0,Z132+(201-126)/10^6,0)</f>
        <v>0</v>
      </c>
      <c r="AB132" s="1"/>
      <c r="AC132" s="1"/>
      <c r="AD132" s="1"/>
      <c r="AE132" s="1"/>
      <c r="AF132" s="1"/>
      <c r="AG132" s="1"/>
      <c r="AH132" s="1"/>
    </row>
    <row r="133" customFormat="false" ht="15" hidden="false" customHeight="false" outlineLevel="0" collapsed="false">
      <c r="A133" s="1"/>
      <c r="B133" s="10"/>
      <c r="C133" s="31" t="str">
        <f aca="false">IF(B133="","",TEXT(B133,"ddd"))</f>
        <v/>
      </c>
      <c r="D133" s="11"/>
      <c r="E133" s="8" t="str">
        <f aca="false">IF(D133="","",IFERROR(INDEX(ProjNumbers,MATCH(D133,ProjNames,0)),""))</f>
        <v/>
      </c>
      <c r="F133" s="8" t="str">
        <f aca="false">IF(D133="","",IFERROR(INDEX(ProjCodes,MATCH(D133,ProjNames,0)),""))</f>
        <v/>
      </c>
      <c r="G133" s="32"/>
      <c r="H133" s="11"/>
      <c r="I133" s="33"/>
      <c r="J133" s="8" t="str">
        <f aca="false">IF(COUNTA(B133,D133,G133,H133,I133)=0,"",IF(B133="","Enter date",IF(OR(B133&lt;$AC$2,B133&gt;$AC$3),"Date not in June",IF(D133="","Pick project",IF(ISNA(MATCH(D133,ProjNames,0)),"Project not in list",IF(G133="","Add task description",IF(H133="","Pick NTIME or P6",IF(N(I133)&lt;=0,"Enter hours",IF(AND(AllowOT&lt;&gt;"Yes",SUMIF($B$7:$B$256,B133,$I$7:$I$256)&gt;INDEX($O$58:$O$87,DAY(B133))),"Day over "&amp;INDEX($O$58:$O$87,DAY(B133))&amp;" h","✓")))))))))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tr">
        <f aca="false">IF(Projects!B131="","",Projects!B131)</f>
        <v/>
      </c>
      <c r="X133" s="1" t="n">
        <f aca="false">IF(W133="",0,SUMIFS($I$7:$I$256,$D$7:$D$256,W133,$H$7:$H$256,"NTIME"))</f>
        <v>0</v>
      </c>
      <c r="Y133" s="1" t="n">
        <f aca="false">IF(W133="",0,SUMIFS($I$7:$I$256,$D$7:$D$256,W133,$H$7:$H$256,"P6"))</f>
        <v>0</v>
      </c>
      <c r="Z133" s="1" t="n">
        <f aca="false">X133+Y133</f>
        <v>0</v>
      </c>
      <c r="AA133" s="1" t="n">
        <f aca="false">IF(Z133&gt;0,Z133+(201-127)/10^6,0)</f>
        <v>0</v>
      </c>
      <c r="AB133" s="1"/>
      <c r="AC133" s="1"/>
      <c r="AD133" s="1"/>
      <c r="AE133" s="1"/>
      <c r="AF133" s="1"/>
      <c r="AG133" s="1"/>
      <c r="AH133" s="1"/>
    </row>
    <row r="134" customFormat="false" ht="15" hidden="false" customHeight="false" outlineLevel="0" collapsed="false">
      <c r="A134" s="1"/>
      <c r="B134" s="10"/>
      <c r="C134" s="31" t="str">
        <f aca="false">IF(B134="","",TEXT(B134,"ddd"))</f>
        <v/>
      </c>
      <c r="D134" s="11"/>
      <c r="E134" s="8" t="str">
        <f aca="false">IF(D134="","",IFERROR(INDEX(ProjNumbers,MATCH(D134,ProjNames,0)),""))</f>
        <v/>
      </c>
      <c r="F134" s="8" t="str">
        <f aca="false">IF(D134="","",IFERROR(INDEX(ProjCodes,MATCH(D134,ProjNames,0)),""))</f>
        <v/>
      </c>
      <c r="G134" s="32"/>
      <c r="H134" s="11"/>
      <c r="I134" s="33"/>
      <c r="J134" s="8" t="str">
        <f aca="false">IF(COUNTA(B134,D134,G134,H134,I134)=0,"",IF(B134="","Enter date",IF(OR(B134&lt;$AC$2,B134&gt;$AC$3),"Date not in June",IF(D134="","Pick project",IF(ISNA(MATCH(D134,ProjNames,0)),"Project not in list",IF(G134="","Add task description",IF(H134="","Pick NTIME or P6",IF(N(I134)&lt;=0,"Enter hours",IF(AND(AllowOT&lt;&gt;"Yes",SUMIF($B$7:$B$256,B134,$I$7:$I$256)&gt;INDEX($O$58:$O$87,DAY(B134))),"Day over "&amp;INDEX($O$58:$O$87,DAY(B134))&amp;" h","✓")))))))))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tr">
        <f aca="false">IF(Projects!B132="","",Projects!B132)</f>
        <v/>
      </c>
      <c r="X134" s="1" t="n">
        <f aca="false">IF(W134="",0,SUMIFS($I$7:$I$256,$D$7:$D$256,W134,$H$7:$H$256,"NTIME"))</f>
        <v>0</v>
      </c>
      <c r="Y134" s="1" t="n">
        <f aca="false">IF(W134="",0,SUMIFS($I$7:$I$256,$D$7:$D$256,W134,$H$7:$H$256,"P6"))</f>
        <v>0</v>
      </c>
      <c r="Z134" s="1" t="n">
        <f aca="false">X134+Y134</f>
        <v>0</v>
      </c>
      <c r="AA134" s="1" t="n">
        <f aca="false">IF(Z134&gt;0,Z134+(201-128)/10^6,0)</f>
        <v>0</v>
      </c>
      <c r="AB134" s="1"/>
      <c r="AC134" s="1"/>
      <c r="AD134" s="1"/>
      <c r="AE134" s="1"/>
      <c r="AF134" s="1"/>
      <c r="AG134" s="1"/>
      <c r="AH134" s="1"/>
    </row>
    <row r="135" customFormat="false" ht="15" hidden="false" customHeight="false" outlineLevel="0" collapsed="false">
      <c r="A135" s="1"/>
      <c r="B135" s="10"/>
      <c r="C135" s="31" t="str">
        <f aca="false">IF(B135="","",TEXT(B135,"ddd"))</f>
        <v/>
      </c>
      <c r="D135" s="11"/>
      <c r="E135" s="8" t="str">
        <f aca="false">IF(D135="","",IFERROR(INDEX(ProjNumbers,MATCH(D135,ProjNames,0)),""))</f>
        <v/>
      </c>
      <c r="F135" s="8" t="str">
        <f aca="false">IF(D135="","",IFERROR(INDEX(ProjCodes,MATCH(D135,ProjNames,0)),""))</f>
        <v/>
      </c>
      <c r="G135" s="32"/>
      <c r="H135" s="11"/>
      <c r="I135" s="33"/>
      <c r="J135" s="8" t="str">
        <f aca="false">IF(COUNTA(B135,D135,G135,H135,I135)=0,"",IF(B135="","Enter date",IF(OR(B135&lt;$AC$2,B135&gt;$AC$3),"Date not in June",IF(D135="","Pick project",IF(ISNA(MATCH(D135,ProjNames,0)),"Project not in list",IF(G135="","Add task description",IF(H135="","Pick NTIME or P6",IF(N(I135)&lt;=0,"Enter hours",IF(AND(AllowOT&lt;&gt;"Yes",SUMIF($B$7:$B$256,B135,$I$7:$I$256)&gt;INDEX($O$58:$O$87,DAY(B135))),"Day over "&amp;INDEX($O$58:$O$87,DAY(B135))&amp;" h","✓")))))))))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tr">
        <f aca="false">IF(Projects!B133="","",Projects!B133)</f>
        <v/>
      </c>
      <c r="X135" s="1" t="n">
        <f aca="false">IF(W135="",0,SUMIFS($I$7:$I$256,$D$7:$D$256,W135,$H$7:$H$256,"NTIME"))</f>
        <v>0</v>
      </c>
      <c r="Y135" s="1" t="n">
        <f aca="false">IF(W135="",0,SUMIFS($I$7:$I$256,$D$7:$D$256,W135,$H$7:$H$256,"P6"))</f>
        <v>0</v>
      </c>
      <c r="Z135" s="1" t="n">
        <f aca="false">X135+Y135</f>
        <v>0</v>
      </c>
      <c r="AA135" s="1" t="n">
        <f aca="false">IF(Z135&gt;0,Z135+(201-129)/10^6,0)</f>
        <v>0</v>
      </c>
      <c r="AB135" s="1"/>
      <c r="AC135" s="1"/>
      <c r="AD135" s="1"/>
      <c r="AE135" s="1"/>
      <c r="AF135" s="1"/>
      <c r="AG135" s="1"/>
      <c r="AH135" s="1"/>
    </row>
    <row r="136" customFormat="false" ht="15" hidden="false" customHeight="false" outlineLevel="0" collapsed="false">
      <c r="A136" s="1"/>
      <c r="B136" s="10"/>
      <c r="C136" s="31" t="str">
        <f aca="false">IF(B136="","",TEXT(B136,"ddd"))</f>
        <v/>
      </c>
      <c r="D136" s="11"/>
      <c r="E136" s="8" t="str">
        <f aca="false">IF(D136="","",IFERROR(INDEX(ProjNumbers,MATCH(D136,ProjNames,0)),""))</f>
        <v/>
      </c>
      <c r="F136" s="8" t="str">
        <f aca="false">IF(D136="","",IFERROR(INDEX(ProjCodes,MATCH(D136,ProjNames,0)),""))</f>
        <v/>
      </c>
      <c r="G136" s="32"/>
      <c r="H136" s="11"/>
      <c r="I136" s="33"/>
      <c r="J136" s="8" t="str">
        <f aca="false">IF(COUNTA(B136,D136,G136,H136,I136)=0,"",IF(B136="","Enter date",IF(OR(B136&lt;$AC$2,B136&gt;$AC$3),"Date not in June",IF(D136="","Pick project",IF(ISNA(MATCH(D136,ProjNames,0)),"Project not in list",IF(G136="","Add task description",IF(H136="","Pick NTIME or P6",IF(N(I136)&lt;=0,"Enter hours",IF(AND(AllowOT&lt;&gt;"Yes",SUMIF($B$7:$B$256,B136,$I$7:$I$256)&gt;INDEX($O$58:$O$87,DAY(B136))),"Day over "&amp;INDEX($O$58:$O$87,DAY(B136))&amp;" h","✓")))))))))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tr">
        <f aca="false">IF(Projects!B134="","",Projects!B134)</f>
        <v/>
      </c>
      <c r="X136" s="1" t="n">
        <f aca="false">IF(W136="",0,SUMIFS($I$7:$I$256,$D$7:$D$256,W136,$H$7:$H$256,"NTIME"))</f>
        <v>0</v>
      </c>
      <c r="Y136" s="1" t="n">
        <f aca="false">IF(W136="",0,SUMIFS($I$7:$I$256,$D$7:$D$256,W136,$H$7:$H$256,"P6"))</f>
        <v>0</v>
      </c>
      <c r="Z136" s="1" t="n">
        <f aca="false">X136+Y136</f>
        <v>0</v>
      </c>
      <c r="AA136" s="1" t="n">
        <f aca="false">IF(Z136&gt;0,Z136+(201-130)/10^6,0)</f>
        <v>0</v>
      </c>
      <c r="AB136" s="1"/>
      <c r="AC136" s="1"/>
      <c r="AD136" s="1"/>
      <c r="AE136" s="1"/>
      <c r="AF136" s="1"/>
      <c r="AG136" s="1"/>
      <c r="AH136" s="1"/>
    </row>
    <row r="137" customFormat="false" ht="15" hidden="false" customHeight="false" outlineLevel="0" collapsed="false">
      <c r="A137" s="1"/>
      <c r="B137" s="10"/>
      <c r="C137" s="31" t="str">
        <f aca="false">IF(B137="","",TEXT(B137,"ddd"))</f>
        <v/>
      </c>
      <c r="D137" s="11"/>
      <c r="E137" s="8" t="str">
        <f aca="false">IF(D137="","",IFERROR(INDEX(ProjNumbers,MATCH(D137,ProjNames,0)),""))</f>
        <v/>
      </c>
      <c r="F137" s="8" t="str">
        <f aca="false">IF(D137="","",IFERROR(INDEX(ProjCodes,MATCH(D137,ProjNames,0)),""))</f>
        <v/>
      </c>
      <c r="G137" s="32"/>
      <c r="H137" s="11"/>
      <c r="I137" s="33"/>
      <c r="J137" s="8" t="str">
        <f aca="false">IF(COUNTA(B137,D137,G137,H137,I137)=0,"",IF(B137="","Enter date",IF(OR(B137&lt;$AC$2,B137&gt;$AC$3),"Date not in June",IF(D137="","Pick project",IF(ISNA(MATCH(D137,ProjNames,0)),"Project not in list",IF(G137="","Add task description",IF(H137="","Pick NTIME or P6",IF(N(I137)&lt;=0,"Enter hours",IF(AND(AllowOT&lt;&gt;"Yes",SUMIF($B$7:$B$256,B137,$I$7:$I$256)&gt;INDEX($O$58:$O$87,DAY(B137))),"Day over "&amp;INDEX($O$58:$O$87,DAY(B137))&amp;" h","✓")))))))))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tr">
        <f aca="false">IF(Projects!B135="","",Projects!B135)</f>
        <v/>
      </c>
      <c r="X137" s="1" t="n">
        <f aca="false">IF(W137="",0,SUMIFS($I$7:$I$256,$D$7:$D$256,W137,$H$7:$H$256,"NTIME"))</f>
        <v>0</v>
      </c>
      <c r="Y137" s="1" t="n">
        <f aca="false">IF(W137="",0,SUMIFS($I$7:$I$256,$D$7:$D$256,W137,$H$7:$H$256,"P6"))</f>
        <v>0</v>
      </c>
      <c r="Z137" s="1" t="n">
        <f aca="false">X137+Y137</f>
        <v>0</v>
      </c>
      <c r="AA137" s="1" t="n">
        <f aca="false">IF(Z137&gt;0,Z137+(201-131)/10^6,0)</f>
        <v>0</v>
      </c>
      <c r="AB137" s="1"/>
      <c r="AC137" s="1"/>
      <c r="AD137" s="1"/>
      <c r="AE137" s="1"/>
      <c r="AF137" s="1"/>
      <c r="AG137" s="1"/>
      <c r="AH137" s="1"/>
    </row>
    <row r="138" customFormat="false" ht="15" hidden="false" customHeight="false" outlineLevel="0" collapsed="false">
      <c r="A138" s="1"/>
      <c r="B138" s="10"/>
      <c r="C138" s="31" t="str">
        <f aca="false">IF(B138="","",TEXT(B138,"ddd"))</f>
        <v/>
      </c>
      <c r="D138" s="11"/>
      <c r="E138" s="8" t="str">
        <f aca="false">IF(D138="","",IFERROR(INDEX(ProjNumbers,MATCH(D138,ProjNames,0)),""))</f>
        <v/>
      </c>
      <c r="F138" s="8" t="str">
        <f aca="false">IF(D138="","",IFERROR(INDEX(ProjCodes,MATCH(D138,ProjNames,0)),""))</f>
        <v/>
      </c>
      <c r="G138" s="32"/>
      <c r="H138" s="11"/>
      <c r="I138" s="33"/>
      <c r="J138" s="8" t="str">
        <f aca="false">IF(COUNTA(B138,D138,G138,H138,I138)=0,"",IF(B138="","Enter date",IF(OR(B138&lt;$AC$2,B138&gt;$AC$3),"Date not in June",IF(D138="","Pick project",IF(ISNA(MATCH(D138,ProjNames,0)),"Project not in list",IF(G138="","Add task description",IF(H138="","Pick NTIME or P6",IF(N(I138)&lt;=0,"Enter hours",IF(AND(AllowOT&lt;&gt;"Yes",SUMIF($B$7:$B$256,B138,$I$7:$I$256)&gt;INDEX($O$58:$O$87,DAY(B138))),"Day over "&amp;INDEX($O$58:$O$87,DAY(B138))&amp;" h","✓")))))))))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tr">
        <f aca="false">IF(Projects!B136="","",Projects!B136)</f>
        <v/>
      </c>
      <c r="X138" s="1" t="n">
        <f aca="false">IF(W138="",0,SUMIFS($I$7:$I$256,$D$7:$D$256,W138,$H$7:$H$256,"NTIME"))</f>
        <v>0</v>
      </c>
      <c r="Y138" s="1" t="n">
        <f aca="false">IF(W138="",0,SUMIFS($I$7:$I$256,$D$7:$D$256,W138,$H$7:$H$256,"P6"))</f>
        <v>0</v>
      </c>
      <c r="Z138" s="1" t="n">
        <f aca="false">X138+Y138</f>
        <v>0</v>
      </c>
      <c r="AA138" s="1" t="n">
        <f aca="false">IF(Z138&gt;0,Z138+(201-132)/10^6,0)</f>
        <v>0</v>
      </c>
      <c r="AB138" s="1"/>
      <c r="AC138" s="1"/>
      <c r="AD138" s="1"/>
      <c r="AE138" s="1"/>
      <c r="AF138" s="1"/>
      <c r="AG138" s="1"/>
      <c r="AH138" s="1"/>
    </row>
    <row r="139" customFormat="false" ht="15" hidden="false" customHeight="false" outlineLevel="0" collapsed="false">
      <c r="A139" s="1"/>
      <c r="B139" s="10"/>
      <c r="C139" s="31" t="str">
        <f aca="false">IF(B139="","",TEXT(B139,"ddd"))</f>
        <v/>
      </c>
      <c r="D139" s="11"/>
      <c r="E139" s="8" t="str">
        <f aca="false">IF(D139="","",IFERROR(INDEX(ProjNumbers,MATCH(D139,ProjNames,0)),""))</f>
        <v/>
      </c>
      <c r="F139" s="8" t="str">
        <f aca="false">IF(D139="","",IFERROR(INDEX(ProjCodes,MATCH(D139,ProjNames,0)),""))</f>
        <v/>
      </c>
      <c r="G139" s="32"/>
      <c r="H139" s="11"/>
      <c r="I139" s="33"/>
      <c r="J139" s="8" t="str">
        <f aca="false">IF(COUNTA(B139,D139,G139,H139,I139)=0,"",IF(B139="","Enter date",IF(OR(B139&lt;$AC$2,B139&gt;$AC$3),"Date not in June",IF(D139="","Pick project",IF(ISNA(MATCH(D139,ProjNames,0)),"Project not in list",IF(G139="","Add task description",IF(H139="","Pick NTIME or P6",IF(N(I139)&lt;=0,"Enter hours",IF(AND(AllowOT&lt;&gt;"Yes",SUMIF($B$7:$B$256,B139,$I$7:$I$256)&gt;INDEX($O$58:$O$87,DAY(B139))),"Day over "&amp;INDEX($O$58:$O$87,DAY(B139))&amp;" h","✓")))))))))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tr">
        <f aca="false">IF(Projects!B137="","",Projects!B137)</f>
        <v/>
      </c>
      <c r="X139" s="1" t="n">
        <f aca="false">IF(W139="",0,SUMIFS($I$7:$I$256,$D$7:$D$256,W139,$H$7:$H$256,"NTIME"))</f>
        <v>0</v>
      </c>
      <c r="Y139" s="1" t="n">
        <f aca="false">IF(W139="",0,SUMIFS($I$7:$I$256,$D$7:$D$256,W139,$H$7:$H$256,"P6"))</f>
        <v>0</v>
      </c>
      <c r="Z139" s="1" t="n">
        <f aca="false">X139+Y139</f>
        <v>0</v>
      </c>
      <c r="AA139" s="1" t="n">
        <f aca="false">IF(Z139&gt;0,Z139+(201-133)/10^6,0)</f>
        <v>0</v>
      </c>
      <c r="AB139" s="1"/>
      <c r="AC139" s="1"/>
      <c r="AD139" s="1"/>
      <c r="AE139" s="1"/>
      <c r="AF139" s="1"/>
      <c r="AG139" s="1"/>
      <c r="AH139" s="1"/>
    </row>
    <row r="140" customFormat="false" ht="15" hidden="false" customHeight="false" outlineLevel="0" collapsed="false">
      <c r="A140" s="1"/>
      <c r="B140" s="10"/>
      <c r="C140" s="31" t="str">
        <f aca="false">IF(B140="","",TEXT(B140,"ddd"))</f>
        <v/>
      </c>
      <c r="D140" s="11"/>
      <c r="E140" s="8" t="str">
        <f aca="false">IF(D140="","",IFERROR(INDEX(ProjNumbers,MATCH(D140,ProjNames,0)),""))</f>
        <v/>
      </c>
      <c r="F140" s="8" t="str">
        <f aca="false">IF(D140="","",IFERROR(INDEX(ProjCodes,MATCH(D140,ProjNames,0)),""))</f>
        <v/>
      </c>
      <c r="G140" s="32"/>
      <c r="H140" s="11"/>
      <c r="I140" s="33"/>
      <c r="J140" s="8" t="str">
        <f aca="false">IF(COUNTA(B140,D140,G140,H140,I140)=0,"",IF(B140="","Enter date",IF(OR(B140&lt;$AC$2,B140&gt;$AC$3),"Date not in June",IF(D140="","Pick project",IF(ISNA(MATCH(D140,ProjNames,0)),"Project not in list",IF(G140="","Add task description",IF(H140="","Pick NTIME or P6",IF(N(I140)&lt;=0,"Enter hours",IF(AND(AllowOT&lt;&gt;"Yes",SUMIF($B$7:$B$256,B140,$I$7:$I$256)&gt;INDEX($O$58:$O$87,DAY(B140))),"Day over "&amp;INDEX($O$58:$O$87,DAY(B140))&amp;" h","✓")))))))))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tr">
        <f aca="false">IF(Projects!B138="","",Projects!B138)</f>
        <v/>
      </c>
      <c r="X140" s="1" t="n">
        <f aca="false">IF(W140="",0,SUMIFS($I$7:$I$256,$D$7:$D$256,W140,$H$7:$H$256,"NTIME"))</f>
        <v>0</v>
      </c>
      <c r="Y140" s="1" t="n">
        <f aca="false">IF(W140="",0,SUMIFS($I$7:$I$256,$D$7:$D$256,W140,$H$7:$H$256,"P6"))</f>
        <v>0</v>
      </c>
      <c r="Z140" s="1" t="n">
        <f aca="false">X140+Y140</f>
        <v>0</v>
      </c>
      <c r="AA140" s="1" t="n">
        <f aca="false">IF(Z140&gt;0,Z140+(201-134)/10^6,0)</f>
        <v>0</v>
      </c>
      <c r="AB140" s="1"/>
      <c r="AC140" s="1"/>
      <c r="AD140" s="1"/>
      <c r="AE140" s="1"/>
      <c r="AF140" s="1"/>
      <c r="AG140" s="1"/>
      <c r="AH140" s="1"/>
    </row>
    <row r="141" customFormat="false" ht="15" hidden="false" customHeight="false" outlineLevel="0" collapsed="false">
      <c r="A141" s="1"/>
      <c r="B141" s="10"/>
      <c r="C141" s="31" t="str">
        <f aca="false">IF(B141="","",TEXT(B141,"ddd"))</f>
        <v/>
      </c>
      <c r="D141" s="11"/>
      <c r="E141" s="8" t="str">
        <f aca="false">IF(D141="","",IFERROR(INDEX(ProjNumbers,MATCH(D141,ProjNames,0)),""))</f>
        <v/>
      </c>
      <c r="F141" s="8" t="str">
        <f aca="false">IF(D141="","",IFERROR(INDEX(ProjCodes,MATCH(D141,ProjNames,0)),""))</f>
        <v/>
      </c>
      <c r="G141" s="32"/>
      <c r="H141" s="11"/>
      <c r="I141" s="33"/>
      <c r="J141" s="8" t="str">
        <f aca="false">IF(COUNTA(B141,D141,G141,H141,I141)=0,"",IF(B141="","Enter date",IF(OR(B141&lt;$AC$2,B141&gt;$AC$3),"Date not in June",IF(D141="","Pick project",IF(ISNA(MATCH(D141,ProjNames,0)),"Project not in list",IF(G141="","Add task description",IF(H141="","Pick NTIME or P6",IF(N(I141)&lt;=0,"Enter hours",IF(AND(AllowOT&lt;&gt;"Yes",SUMIF($B$7:$B$256,B141,$I$7:$I$256)&gt;INDEX($O$58:$O$87,DAY(B141))),"Day over "&amp;INDEX($O$58:$O$87,DAY(B141))&amp;" h","✓")))))))))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tr">
        <f aca="false">IF(Projects!B139="","",Projects!B139)</f>
        <v/>
      </c>
      <c r="X141" s="1" t="n">
        <f aca="false">IF(W141="",0,SUMIFS($I$7:$I$256,$D$7:$D$256,W141,$H$7:$H$256,"NTIME"))</f>
        <v>0</v>
      </c>
      <c r="Y141" s="1" t="n">
        <f aca="false">IF(W141="",0,SUMIFS($I$7:$I$256,$D$7:$D$256,W141,$H$7:$H$256,"P6"))</f>
        <v>0</v>
      </c>
      <c r="Z141" s="1" t="n">
        <f aca="false">X141+Y141</f>
        <v>0</v>
      </c>
      <c r="AA141" s="1" t="n">
        <f aca="false">IF(Z141&gt;0,Z141+(201-135)/10^6,0)</f>
        <v>0</v>
      </c>
      <c r="AB141" s="1"/>
      <c r="AC141" s="1"/>
      <c r="AD141" s="1"/>
      <c r="AE141" s="1"/>
      <c r="AF141" s="1"/>
      <c r="AG141" s="1"/>
      <c r="AH141" s="1"/>
    </row>
    <row r="142" customFormat="false" ht="15" hidden="false" customHeight="false" outlineLevel="0" collapsed="false">
      <c r="A142" s="1"/>
      <c r="B142" s="10"/>
      <c r="C142" s="31" t="str">
        <f aca="false">IF(B142="","",TEXT(B142,"ddd"))</f>
        <v/>
      </c>
      <c r="D142" s="11"/>
      <c r="E142" s="8" t="str">
        <f aca="false">IF(D142="","",IFERROR(INDEX(ProjNumbers,MATCH(D142,ProjNames,0)),""))</f>
        <v/>
      </c>
      <c r="F142" s="8" t="str">
        <f aca="false">IF(D142="","",IFERROR(INDEX(ProjCodes,MATCH(D142,ProjNames,0)),""))</f>
        <v/>
      </c>
      <c r="G142" s="32"/>
      <c r="H142" s="11"/>
      <c r="I142" s="33"/>
      <c r="J142" s="8" t="str">
        <f aca="false">IF(COUNTA(B142,D142,G142,H142,I142)=0,"",IF(B142="","Enter date",IF(OR(B142&lt;$AC$2,B142&gt;$AC$3),"Date not in June",IF(D142="","Pick project",IF(ISNA(MATCH(D142,ProjNames,0)),"Project not in list",IF(G142="","Add task description",IF(H142="","Pick NTIME or P6",IF(N(I142)&lt;=0,"Enter hours",IF(AND(AllowOT&lt;&gt;"Yes",SUMIF($B$7:$B$256,B142,$I$7:$I$256)&gt;INDEX($O$58:$O$87,DAY(B142))),"Day over "&amp;INDEX($O$58:$O$87,DAY(B142))&amp;" h","✓")))))))))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tr">
        <f aca="false">IF(Projects!B140="","",Projects!B140)</f>
        <v/>
      </c>
      <c r="X142" s="1" t="n">
        <f aca="false">IF(W142="",0,SUMIFS($I$7:$I$256,$D$7:$D$256,W142,$H$7:$H$256,"NTIME"))</f>
        <v>0</v>
      </c>
      <c r="Y142" s="1" t="n">
        <f aca="false">IF(W142="",0,SUMIFS($I$7:$I$256,$D$7:$D$256,W142,$H$7:$H$256,"P6"))</f>
        <v>0</v>
      </c>
      <c r="Z142" s="1" t="n">
        <f aca="false">X142+Y142</f>
        <v>0</v>
      </c>
      <c r="AA142" s="1" t="n">
        <f aca="false">IF(Z142&gt;0,Z142+(201-136)/10^6,0)</f>
        <v>0</v>
      </c>
      <c r="AB142" s="1"/>
      <c r="AC142" s="1"/>
      <c r="AD142" s="1"/>
      <c r="AE142" s="1"/>
      <c r="AF142" s="1"/>
      <c r="AG142" s="1"/>
      <c r="AH142" s="1"/>
    </row>
    <row r="143" customFormat="false" ht="15" hidden="false" customHeight="false" outlineLevel="0" collapsed="false">
      <c r="A143" s="1"/>
      <c r="B143" s="10"/>
      <c r="C143" s="31" t="str">
        <f aca="false">IF(B143="","",TEXT(B143,"ddd"))</f>
        <v/>
      </c>
      <c r="D143" s="11"/>
      <c r="E143" s="8" t="str">
        <f aca="false">IF(D143="","",IFERROR(INDEX(ProjNumbers,MATCH(D143,ProjNames,0)),""))</f>
        <v/>
      </c>
      <c r="F143" s="8" t="str">
        <f aca="false">IF(D143="","",IFERROR(INDEX(ProjCodes,MATCH(D143,ProjNames,0)),""))</f>
        <v/>
      </c>
      <c r="G143" s="32"/>
      <c r="H143" s="11"/>
      <c r="I143" s="33"/>
      <c r="J143" s="8" t="str">
        <f aca="false">IF(COUNTA(B143,D143,G143,H143,I143)=0,"",IF(B143="","Enter date",IF(OR(B143&lt;$AC$2,B143&gt;$AC$3),"Date not in June",IF(D143="","Pick project",IF(ISNA(MATCH(D143,ProjNames,0)),"Project not in list",IF(G143="","Add task description",IF(H143="","Pick NTIME or P6",IF(N(I143)&lt;=0,"Enter hours",IF(AND(AllowOT&lt;&gt;"Yes",SUMIF($B$7:$B$256,B143,$I$7:$I$256)&gt;INDEX($O$58:$O$87,DAY(B143))),"Day over "&amp;INDEX($O$58:$O$87,DAY(B143))&amp;" h","✓")))))))))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tr">
        <f aca="false">IF(Projects!B141="","",Projects!B141)</f>
        <v/>
      </c>
      <c r="X143" s="1" t="n">
        <f aca="false">IF(W143="",0,SUMIFS($I$7:$I$256,$D$7:$D$256,W143,$H$7:$H$256,"NTIME"))</f>
        <v>0</v>
      </c>
      <c r="Y143" s="1" t="n">
        <f aca="false">IF(W143="",0,SUMIFS($I$7:$I$256,$D$7:$D$256,W143,$H$7:$H$256,"P6"))</f>
        <v>0</v>
      </c>
      <c r="Z143" s="1" t="n">
        <f aca="false">X143+Y143</f>
        <v>0</v>
      </c>
      <c r="AA143" s="1" t="n">
        <f aca="false">IF(Z143&gt;0,Z143+(201-137)/10^6,0)</f>
        <v>0</v>
      </c>
      <c r="AB143" s="1"/>
      <c r="AC143" s="1"/>
      <c r="AD143" s="1"/>
      <c r="AE143" s="1"/>
      <c r="AF143" s="1"/>
      <c r="AG143" s="1"/>
      <c r="AH143" s="1"/>
    </row>
    <row r="144" customFormat="false" ht="15" hidden="false" customHeight="false" outlineLevel="0" collapsed="false">
      <c r="A144" s="1"/>
      <c r="B144" s="10"/>
      <c r="C144" s="31" t="str">
        <f aca="false">IF(B144="","",TEXT(B144,"ddd"))</f>
        <v/>
      </c>
      <c r="D144" s="11"/>
      <c r="E144" s="8" t="str">
        <f aca="false">IF(D144="","",IFERROR(INDEX(ProjNumbers,MATCH(D144,ProjNames,0)),""))</f>
        <v/>
      </c>
      <c r="F144" s="8" t="str">
        <f aca="false">IF(D144="","",IFERROR(INDEX(ProjCodes,MATCH(D144,ProjNames,0)),""))</f>
        <v/>
      </c>
      <c r="G144" s="32"/>
      <c r="H144" s="11"/>
      <c r="I144" s="33"/>
      <c r="J144" s="8" t="str">
        <f aca="false">IF(COUNTA(B144,D144,G144,H144,I144)=0,"",IF(B144="","Enter date",IF(OR(B144&lt;$AC$2,B144&gt;$AC$3),"Date not in June",IF(D144="","Pick project",IF(ISNA(MATCH(D144,ProjNames,0)),"Project not in list",IF(G144="","Add task description",IF(H144="","Pick NTIME or P6",IF(N(I144)&lt;=0,"Enter hours",IF(AND(AllowOT&lt;&gt;"Yes",SUMIF($B$7:$B$256,B144,$I$7:$I$256)&gt;INDEX($O$58:$O$87,DAY(B144))),"Day over "&amp;INDEX($O$58:$O$87,DAY(B144))&amp;" h","✓")))))))))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tr">
        <f aca="false">IF(Projects!B142="","",Projects!B142)</f>
        <v/>
      </c>
      <c r="X144" s="1" t="n">
        <f aca="false">IF(W144="",0,SUMIFS($I$7:$I$256,$D$7:$D$256,W144,$H$7:$H$256,"NTIME"))</f>
        <v>0</v>
      </c>
      <c r="Y144" s="1" t="n">
        <f aca="false">IF(W144="",0,SUMIFS($I$7:$I$256,$D$7:$D$256,W144,$H$7:$H$256,"P6"))</f>
        <v>0</v>
      </c>
      <c r="Z144" s="1" t="n">
        <f aca="false">X144+Y144</f>
        <v>0</v>
      </c>
      <c r="AA144" s="1" t="n">
        <f aca="false">IF(Z144&gt;0,Z144+(201-138)/10^6,0)</f>
        <v>0</v>
      </c>
      <c r="AB144" s="1"/>
      <c r="AC144" s="1"/>
      <c r="AD144" s="1"/>
      <c r="AE144" s="1"/>
      <c r="AF144" s="1"/>
      <c r="AG144" s="1"/>
      <c r="AH144" s="1"/>
    </row>
    <row r="145" customFormat="false" ht="15" hidden="false" customHeight="false" outlineLevel="0" collapsed="false">
      <c r="A145" s="1"/>
      <c r="B145" s="10"/>
      <c r="C145" s="31" t="str">
        <f aca="false">IF(B145="","",TEXT(B145,"ddd"))</f>
        <v/>
      </c>
      <c r="D145" s="11"/>
      <c r="E145" s="8" t="str">
        <f aca="false">IF(D145="","",IFERROR(INDEX(ProjNumbers,MATCH(D145,ProjNames,0)),""))</f>
        <v/>
      </c>
      <c r="F145" s="8" t="str">
        <f aca="false">IF(D145="","",IFERROR(INDEX(ProjCodes,MATCH(D145,ProjNames,0)),""))</f>
        <v/>
      </c>
      <c r="G145" s="32"/>
      <c r="H145" s="11"/>
      <c r="I145" s="33"/>
      <c r="J145" s="8" t="str">
        <f aca="false">IF(COUNTA(B145,D145,G145,H145,I145)=0,"",IF(B145="","Enter date",IF(OR(B145&lt;$AC$2,B145&gt;$AC$3),"Date not in June",IF(D145="","Pick project",IF(ISNA(MATCH(D145,ProjNames,0)),"Project not in list",IF(G145="","Add task description",IF(H145="","Pick NTIME or P6",IF(N(I145)&lt;=0,"Enter hours",IF(AND(AllowOT&lt;&gt;"Yes",SUMIF($B$7:$B$256,B145,$I$7:$I$256)&gt;INDEX($O$58:$O$87,DAY(B145))),"Day over "&amp;INDEX($O$58:$O$87,DAY(B145))&amp;" h","✓")))))))))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tr">
        <f aca="false">IF(Projects!B143="","",Projects!B143)</f>
        <v/>
      </c>
      <c r="X145" s="1" t="n">
        <f aca="false">IF(W145="",0,SUMIFS($I$7:$I$256,$D$7:$D$256,W145,$H$7:$H$256,"NTIME"))</f>
        <v>0</v>
      </c>
      <c r="Y145" s="1" t="n">
        <f aca="false">IF(W145="",0,SUMIFS($I$7:$I$256,$D$7:$D$256,W145,$H$7:$H$256,"P6"))</f>
        <v>0</v>
      </c>
      <c r="Z145" s="1" t="n">
        <f aca="false">X145+Y145</f>
        <v>0</v>
      </c>
      <c r="AA145" s="1" t="n">
        <f aca="false">IF(Z145&gt;0,Z145+(201-139)/10^6,0)</f>
        <v>0</v>
      </c>
      <c r="AB145" s="1"/>
      <c r="AC145" s="1"/>
      <c r="AD145" s="1"/>
      <c r="AE145" s="1"/>
      <c r="AF145" s="1"/>
      <c r="AG145" s="1"/>
      <c r="AH145" s="1"/>
    </row>
    <row r="146" customFormat="false" ht="15" hidden="false" customHeight="false" outlineLevel="0" collapsed="false">
      <c r="A146" s="1"/>
      <c r="B146" s="10"/>
      <c r="C146" s="31" t="str">
        <f aca="false">IF(B146="","",TEXT(B146,"ddd"))</f>
        <v/>
      </c>
      <c r="D146" s="11"/>
      <c r="E146" s="8" t="str">
        <f aca="false">IF(D146="","",IFERROR(INDEX(ProjNumbers,MATCH(D146,ProjNames,0)),""))</f>
        <v/>
      </c>
      <c r="F146" s="8" t="str">
        <f aca="false">IF(D146="","",IFERROR(INDEX(ProjCodes,MATCH(D146,ProjNames,0)),""))</f>
        <v/>
      </c>
      <c r="G146" s="32"/>
      <c r="H146" s="11"/>
      <c r="I146" s="33"/>
      <c r="J146" s="8" t="str">
        <f aca="false">IF(COUNTA(B146,D146,G146,H146,I146)=0,"",IF(B146="","Enter date",IF(OR(B146&lt;$AC$2,B146&gt;$AC$3),"Date not in June",IF(D146="","Pick project",IF(ISNA(MATCH(D146,ProjNames,0)),"Project not in list",IF(G146="","Add task description",IF(H146="","Pick NTIME or P6",IF(N(I146)&lt;=0,"Enter hours",IF(AND(AllowOT&lt;&gt;"Yes",SUMIF($B$7:$B$256,B146,$I$7:$I$256)&gt;INDEX($O$58:$O$87,DAY(B146))),"Day over "&amp;INDEX($O$58:$O$87,DAY(B146))&amp;" h","✓")))))))))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tr">
        <f aca="false">IF(Projects!B144="","",Projects!B144)</f>
        <v/>
      </c>
      <c r="X146" s="1" t="n">
        <f aca="false">IF(W146="",0,SUMIFS($I$7:$I$256,$D$7:$D$256,W146,$H$7:$H$256,"NTIME"))</f>
        <v>0</v>
      </c>
      <c r="Y146" s="1" t="n">
        <f aca="false">IF(W146="",0,SUMIFS($I$7:$I$256,$D$7:$D$256,W146,$H$7:$H$256,"P6"))</f>
        <v>0</v>
      </c>
      <c r="Z146" s="1" t="n">
        <f aca="false">X146+Y146</f>
        <v>0</v>
      </c>
      <c r="AA146" s="1" t="n">
        <f aca="false">IF(Z146&gt;0,Z146+(201-140)/10^6,0)</f>
        <v>0</v>
      </c>
      <c r="AB146" s="1"/>
      <c r="AC146" s="1"/>
      <c r="AD146" s="1"/>
      <c r="AE146" s="1"/>
      <c r="AF146" s="1"/>
      <c r="AG146" s="1"/>
      <c r="AH146" s="1"/>
    </row>
    <row r="147" customFormat="false" ht="15" hidden="false" customHeight="false" outlineLevel="0" collapsed="false">
      <c r="A147" s="1"/>
      <c r="B147" s="10"/>
      <c r="C147" s="31" t="str">
        <f aca="false">IF(B147="","",TEXT(B147,"ddd"))</f>
        <v/>
      </c>
      <c r="D147" s="11"/>
      <c r="E147" s="8" t="str">
        <f aca="false">IF(D147="","",IFERROR(INDEX(ProjNumbers,MATCH(D147,ProjNames,0)),""))</f>
        <v/>
      </c>
      <c r="F147" s="8" t="str">
        <f aca="false">IF(D147="","",IFERROR(INDEX(ProjCodes,MATCH(D147,ProjNames,0)),""))</f>
        <v/>
      </c>
      <c r="G147" s="32"/>
      <c r="H147" s="11"/>
      <c r="I147" s="33"/>
      <c r="J147" s="8" t="str">
        <f aca="false">IF(COUNTA(B147,D147,G147,H147,I147)=0,"",IF(B147="","Enter date",IF(OR(B147&lt;$AC$2,B147&gt;$AC$3),"Date not in June",IF(D147="","Pick project",IF(ISNA(MATCH(D147,ProjNames,0)),"Project not in list",IF(G147="","Add task description",IF(H147="","Pick NTIME or P6",IF(N(I147)&lt;=0,"Enter hours",IF(AND(AllowOT&lt;&gt;"Yes",SUMIF($B$7:$B$256,B147,$I$7:$I$256)&gt;INDEX($O$58:$O$87,DAY(B147))),"Day over "&amp;INDEX($O$58:$O$87,DAY(B147))&amp;" h","✓")))))))))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tr">
        <f aca="false">IF(Projects!B145="","",Projects!B145)</f>
        <v/>
      </c>
      <c r="X147" s="1" t="n">
        <f aca="false">IF(W147="",0,SUMIFS($I$7:$I$256,$D$7:$D$256,W147,$H$7:$H$256,"NTIME"))</f>
        <v>0</v>
      </c>
      <c r="Y147" s="1" t="n">
        <f aca="false">IF(W147="",0,SUMIFS($I$7:$I$256,$D$7:$D$256,W147,$H$7:$H$256,"P6"))</f>
        <v>0</v>
      </c>
      <c r="Z147" s="1" t="n">
        <f aca="false">X147+Y147</f>
        <v>0</v>
      </c>
      <c r="AA147" s="1" t="n">
        <f aca="false">IF(Z147&gt;0,Z147+(201-141)/10^6,0)</f>
        <v>0</v>
      </c>
      <c r="AB147" s="1"/>
      <c r="AC147" s="1"/>
      <c r="AD147" s="1"/>
      <c r="AE147" s="1"/>
      <c r="AF147" s="1"/>
      <c r="AG147" s="1"/>
      <c r="AH147" s="1"/>
    </row>
    <row r="148" customFormat="false" ht="15" hidden="false" customHeight="false" outlineLevel="0" collapsed="false">
      <c r="A148" s="1"/>
      <c r="B148" s="10"/>
      <c r="C148" s="31" t="str">
        <f aca="false">IF(B148="","",TEXT(B148,"ddd"))</f>
        <v/>
      </c>
      <c r="D148" s="11"/>
      <c r="E148" s="8" t="str">
        <f aca="false">IF(D148="","",IFERROR(INDEX(ProjNumbers,MATCH(D148,ProjNames,0)),""))</f>
        <v/>
      </c>
      <c r="F148" s="8" t="str">
        <f aca="false">IF(D148="","",IFERROR(INDEX(ProjCodes,MATCH(D148,ProjNames,0)),""))</f>
        <v/>
      </c>
      <c r="G148" s="32"/>
      <c r="H148" s="11"/>
      <c r="I148" s="33"/>
      <c r="J148" s="8" t="str">
        <f aca="false">IF(COUNTA(B148,D148,G148,H148,I148)=0,"",IF(B148="","Enter date",IF(OR(B148&lt;$AC$2,B148&gt;$AC$3),"Date not in June",IF(D148="","Pick project",IF(ISNA(MATCH(D148,ProjNames,0)),"Project not in list",IF(G148="","Add task description",IF(H148="","Pick NTIME or P6",IF(N(I148)&lt;=0,"Enter hours",IF(AND(AllowOT&lt;&gt;"Yes",SUMIF($B$7:$B$256,B148,$I$7:$I$256)&gt;INDEX($O$58:$O$87,DAY(B148))),"Day over "&amp;INDEX($O$58:$O$87,DAY(B148))&amp;" h","✓")))))))))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tr">
        <f aca="false">IF(Projects!B146="","",Projects!B146)</f>
        <v/>
      </c>
      <c r="X148" s="1" t="n">
        <f aca="false">IF(W148="",0,SUMIFS($I$7:$I$256,$D$7:$D$256,W148,$H$7:$H$256,"NTIME"))</f>
        <v>0</v>
      </c>
      <c r="Y148" s="1" t="n">
        <f aca="false">IF(W148="",0,SUMIFS($I$7:$I$256,$D$7:$D$256,W148,$H$7:$H$256,"P6"))</f>
        <v>0</v>
      </c>
      <c r="Z148" s="1" t="n">
        <f aca="false">X148+Y148</f>
        <v>0</v>
      </c>
      <c r="AA148" s="1" t="n">
        <f aca="false">IF(Z148&gt;0,Z148+(201-142)/10^6,0)</f>
        <v>0</v>
      </c>
      <c r="AB148" s="1"/>
      <c r="AC148" s="1"/>
      <c r="AD148" s="1"/>
      <c r="AE148" s="1"/>
      <c r="AF148" s="1"/>
      <c r="AG148" s="1"/>
      <c r="AH148" s="1"/>
    </row>
    <row r="149" customFormat="false" ht="15" hidden="false" customHeight="false" outlineLevel="0" collapsed="false">
      <c r="A149" s="1"/>
      <c r="B149" s="10"/>
      <c r="C149" s="31" t="str">
        <f aca="false">IF(B149="","",TEXT(B149,"ddd"))</f>
        <v/>
      </c>
      <c r="D149" s="11"/>
      <c r="E149" s="8" t="str">
        <f aca="false">IF(D149="","",IFERROR(INDEX(ProjNumbers,MATCH(D149,ProjNames,0)),""))</f>
        <v/>
      </c>
      <c r="F149" s="8" t="str">
        <f aca="false">IF(D149="","",IFERROR(INDEX(ProjCodes,MATCH(D149,ProjNames,0)),""))</f>
        <v/>
      </c>
      <c r="G149" s="32"/>
      <c r="H149" s="11"/>
      <c r="I149" s="33"/>
      <c r="J149" s="8" t="str">
        <f aca="false">IF(COUNTA(B149,D149,G149,H149,I149)=0,"",IF(B149="","Enter date",IF(OR(B149&lt;$AC$2,B149&gt;$AC$3),"Date not in June",IF(D149="","Pick project",IF(ISNA(MATCH(D149,ProjNames,0)),"Project not in list",IF(G149="","Add task description",IF(H149="","Pick NTIME or P6",IF(N(I149)&lt;=0,"Enter hours",IF(AND(AllowOT&lt;&gt;"Yes",SUMIF($B$7:$B$256,B149,$I$7:$I$256)&gt;INDEX($O$58:$O$87,DAY(B149))),"Day over "&amp;INDEX($O$58:$O$87,DAY(B149))&amp;" h","✓")))))))))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tr">
        <f aca="false">IF(Projects!B147="","",Projects!B147)</f>
        <v/>
      </c>
      <c r="X149" s="1" t="n">
        <f aca="false">IF(W149="",0,SUMIFS($I$7:$I$256,$D$7:$D$256,W149,$H$7:$H$256,"NTIME"))</f>
        <v>0</v>
      </c>
      <c r="Y149" s="1" t="n">
        <f aca="false">IF(W149="",0,SUMIFS($I$7:$I$256,$D$7:$D$256,W149,$H$7:$H$256,"P6"))</f>
        <v>0</v>
      </c>
      <c r="Z149" s="1" t="n">
        <f aca="false">X149+Y149</f>
        <v>0</v>
      </c>
      <c r="AA149" s="1" t="n">
        <f aca="false">IF(Z149&gt;0,Z149+(201-143)/10^6,0)</f>
        <v>0</v>
      </c>
      <c r="AB149" s="1"/>
      <c r="AC149" s="1"/>
      <c r="AD149" s="1"/>
      <c r="AE149" s="1"/>
      <c r="AF149" s="1"/>
      <c r="AG149" s="1"/>
      <c r="AH149" s="1"/>
    </row>
    <row r="150" customFormat="false" ht="15" hidden="false" customHeight="false" outlineLevel="0" collapsed="false">
      <c r="A150" s="1"/>
      <c r="B150" s="10"/>
      <c r="C150" s="31" t="str">
        <f aca="false">IF(B150="","",TEXT(B150,"ddd"))</f>
        <v/>
      </c>
      <c r="D150" s="11"/>
      <c r="E150" s="8" t="str">
        <f aca="false">IF(D150="","",IFERROR(INDEX(ProjNumbers,MATCH(D150,ProjNames,0)),""))</f>
        <v/>
      </c>
      <c r="F150" s="8" t="str">
        <f aca="false">IF(D150="","",IFERROR(INDEX(ProjCodes,MATCH(D150,ProjNames,0)),""))</f>
        <v/>
      </c>
      <c r="G150" s="32"/>
      <c r="H150" s="11"/>
      <c r="I150" s="33"/>
      <c r="J150" s="8" t="str">
        <f aca="false">IF(COUNTA(B150,D150,G150,H150,I150)=0,"",IF(B150="","Enter date",IF(OR(B150&lt;$AC$2,B150&gt;$AC$3),"Date not in June",IF(D150="","Pick project",IF(ISNA(MATCH(D150,ProjNames,0)),"Project not in list",IF(G150="","Add task description",IF(H150="","Pick NTIME or P6",IF(N(I150)&lt;=0,"Enter hours",IF(AND(AllowOT&lt;&gt;"Yes",SUMIF($B$7:$B$256,B150,$I$7:$I$256)&gt;INDEX($O$58:$O$87,DAY(B150))),"Day over "&amp;INDEX($O$58:$O$87,DAY(B150))&amp;" h","✓")))))))))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tr">
        <f aca="false">IF(Projects!B148="","",Projects!B148)</f>
        <v/>
      </c>
      <c r="X150" s="1" t="n">
        <f aca="false">IF(W150="",0,SUMIFS($I$7:$I$256,$D$7:$D$256,W150,$H$7:$H$256,"NTIME"))</f>
        <v>0</v>
      </c>
      <c r="Y150" s="1" t="n">
        <f aca="false">IF(W150="",0,SUMIFS($I$7:$I$256,$D$7:$D$256,W150,$H$7:$H$256,"P6"))</f>
        <v>0</v>
      </c>
      <c r="Z150" s="1" t="n">
        <f aca="false">X150+Y150</f>
        <v>0</v>
      </c>
      <c r="AA150" s="1" t="n">
        <f aca="false">IF(Z150&gt;0,Z150+(201-144)/10^6,0)</f>
        <v>0</v>
      </c>
      <c r="AB150" s="1"/>
      <c r="AC150" s="1"/>
      <c r="AD150" s="1"/>
      <c r="AE150" s="1"/>
      <c r="AF150" s="1"/>
      <c r="AG150" s="1"/>
      <c r="AH150" s="1"/>
    </row>
    <row r="151" customFormat="false" ht="15" hidden="false" customHeight="false" outlineLevel="0" collapsed="false">
      <c r="A151" s="1"/>
      <c r="B151" s="10"/>
      <c r="C151" s="31" t="str">
        <f aca="false">IF(B151="","",TEXT(B151,"ddd"))</f>
        <v/>
      </c>
      <c r="D151" s="11"/>
      <c r="E151" s="8" t="str">
        <f aca="false">IF(D151="","",IFERROR(INDEX(ProjNumbers,MATCH(D151,ProjNames,0)),""))</f>
        <v/>
      </c>
      <c r="F151" s="8" t="str">
        <f aca="false">IF(D151="","",IFERROR(INDEX(ProjCodes,MATCH(D151,ProjNames,0)),""))</f>
        <v/>
      </c>
      <c r="G151" s="32"/>
      <c r="H151" s="11"/>
      <c r="I151" s="33"/>
      <c r="J151" s="8" t="str">
        <f aca="false">IF(COUNTA(B151,D151,G151,H151,I151)=0,"",IF(B151="","Enter date",IF(OR(B151&lt;$AC$2,B151&gt;$AC$3),"Date not in June",IF(D151="","Pick project",IF(ISNA(MATCH(D151,ProjNames,0)),"Project not in list",IF(G151="","Add task description",IF(H151="","Pick NTIME or P6",IF(N(I151)&lt;=0,"Enter hours",IF(AND(AllowOT&lt;&gt;"Yes",SUMIF($B$7:$B$256,B151,$I$7:$I$256)&gt;INDEX($O$58:$O$87,DAY(B151))),"Day over "&amp;INDEX($O$58:$O$87,DAY(B151))&amp;" h","✓")))))))))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tr">
        <f aca="false">IF(Projects!B149="","",Projects!B149)</f>
        <v/>
      </c>
      <c r="X151" s="1" t="n">
        <f aca="false">IF(W151="",0,SUMIFS($I$7:$I$256,$D$7:$D$256,W151,$H$7:$H$256,"NTIME"))</f>
        <v>0</v>
      </c>
      <c r="Y151" s="1" t="n">
        <f aca="false">IF(W151="",0,SUMIFS($I$7:$I$256,$D$7:$D$256,W151,$H$7:$H$256,"P6"))</f>
        <v>0</v>
      </c>
      <c r="Z151" s="1" t="n">
        <f aca="false">X151+Y151</f>
        <v>0</v>
      </c>
      <c r="AA151" s="1" t="n">
        <f aca="false">IF(Z151&gt;0,Z151+(201-145)/10^6,0)</f>
        <v>0</v>
      </c>
      <c r="AB151" s="1"/>
      <c r="AC151" s="1"/>
      <c r="AD151" s="1"/>
      <c r="AE151" s="1"/>
      <c r="AF151" s="1"/>
      <c r="AG151" s="1"/>
      <c r="AH151" s="1"/>
    </row>
    <row r="152" customFormat="false" ht="15" hidden="false" customHeight="false" outlineLevel="0" collapsed="false">
      <c r="A152" s="1"/>
      <c r="B152" s="10"/>
      <c r="C152" s="31" t="str">
        <f aca="false">IF(B152="","",TEXT(B152,"ddd"))</f>
        <v/>
      </c>
      <c r="D152" s="11"/>
      <c r="E152" s="8" t="str">
        <f aca="false">IF(D152="","",IFERROR(INDEX(ProjNumbers,MATCH(D152,ProjNames,0)),""))</f>
        <v/>
      </c>
      <c r="F152" s="8" t="str">
        <f aca="false">IF(D152="","",IFERROR(INDEX(ProjCodes,MATCH(D152,ProjNames,0)),""))</f>
        <v/>
      </c>
      <c r="G152" s="32"/>
      <c r="H152" s="11"/>
      <c r="I152" s="33"/>
      <c r="J152" s="8" t="str">
        <f aca="false">IF(COUNTA(B152,D152,G152,H152,I152)=0,"",IF(B152="","Enter date",IF(OR(B152&lt;$AC$2,B152&gt;$AC$3),"Date not in June",IF(D152="","Pick project",IF(ISNA(MATCH(D152,ProjNames,0)),"Project not in list",IF(G152="","Add task description",IF(H152="","Pick NTIME or P6",IF(N(I152)&lt;=0,"Enter hours",IF(AND(AllowOT&lt;&gt;"Yes",SUMIF($B$7:$B$256,B152,$I$7:$I$256)&gt;INDEX($O$58:$O$87,DAY(B152))),"Day over "&amp;INDEX($O$58:$O$87,DAY(B152))&amp;" h","✓")))))))))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tr">
        <f aca="false">IF(Projects!B150="","",Projects!B150)</f>
        <v/>
      </c>
      <c r="X152" s="1" t="n">
        <f aca="false">IF(W152="",0,SUMIFS($I$7:$I$256,$D$7:$D$256,W152,$H$7:$H$256,"NTIME"))</f>
        <v>0</v>
      </c>
      <c r="Y152" s="1" t="n">
        <f aca="false">IF(W152="",0,SUMIFS($I$7:$I$256,$D$7:$D$256,W152,$H$7:$H$256,"P6"))</f>
        <v>0</v>
      </c>
      <c r="Z152" s="1" t="n">
        <f aca="false">X152+Y152</f>
        <v>0</v>
      </c>
      <c r="AA152" s="1" t="n">
        <f aca="false">IF(Z152&gt;0,Z152+(201-146)/10^6,0)</f>
        <v>0</v>
      </c>
      <c r="AB152" s="1"/>
      <c r="AC152" s="1"/>
      <c r="AD152" s="1"/>
      <c r="AE152" s="1"/>
      <c r="AF152" s="1"/>
      <c r="AG152" s="1"/>
      <c r="AH152" s="1"/>
    </row>
    <row r="153" customFormat="false" ht="15" hidden="false" customHeight="false" outlineLevel="0" collapsed="false">
      <c r="A153" s="1"/>
      <c r="B153" s="10"/>
      <c r="C153" s="31" t="str">
        <f aca="false">IF(B153="","",TEXT(B153,"ddd"))</f>
        <v/>
      </c>
      <c r="D153" s="11"/>
      <c r="E153" s="8" t="str">
        <f aca="false">IF(D153="","",IFERROR(INDEX(ProjNumbers,MATCH(D153,ProjNames,0)),""))</f>
        <v/>
      </c>
      <c r="F153" s="8" t="str">
        <f aca="false">IF(D153="","",IFERROR(INDEX(ProjCodes,MATCH(D153,ProjNames,0)),""))</f>
        <v/>
      </c>
      <c r="G153" s="32"/>
      <c r="H153" s="11"/>
      <c r="I153" s="33"/>
      <c r="J153" s="8" t="str">
        <f aca="false">IF(COUNTA(B153,D153,G153,H153,I153)=0,"",IF(B153="","Enter date",IF(OR(B153&lt;$AC$2,B153&gt;$AC$3),"Date not in June",IF(D153="","Pick project",IF(ISNA(MATCH(D153,ProjNames,0)),"Project not in list",IF(G153="","Add task description",IF(H153="","Pick NTIME or P6",IF(N(I153)&lt;=0,"Enter hours",IF(AND(AllowOT&lt;&gt;"Yes",SUMIF($B$7:$B$256,B153,$I$7:$I$256)&gt;INDEX($O$58:$O$87,DAY(B153))),"Day over "&amp;INDEX($O$58:$O$87,DAY(B153))&amp;" h","✓")))))))))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tr">
        <f aca="false">IF(Projects!B151="","",Projects!B151)</f>
        <v/>
      </c>
      <c r="X153" s="1" t="n">
        <f aca="false">IF(W153="",0,SUMIFS($I$7:$I$256,$D$7:$D$256,W153,$H$7:$H$256,"NTIME"))</f>
        <v>0</v>
      </c>
      <c r="Y153" s="1" t="n">
        <f aca="false">IF(W153="",0,SUMIFS($I$7:$I$256,$D$7:$D$256,W153,$H$7:$H$256,"P6"))</f>
        <v>0</v>
      </c>
      <c r="Z153" s="1" t="n">
        <f aca="false">X153+Y153</f>
        <v>0</v>
      </c>
      <c r="AA153" s="1" t="n">
        <f aca="false">IF(Z153&gt;0,Z153+(201-147)/10^6,0)</f>
        <v>0</v>
      </c>
      <c r="AB153" s="1"/>
      <c r="AC153" s="1"/>
      <c r="AD153" s="1"/>
      <c r="AE153" s="1"/>
      <c r="AF153" s="1"/>
      <c r="AG153" s="1"/>
      <c r="AH153" s="1"/>
    </row>
    <row r="154" customFormat="false" ht="15" hidden="false" customHeight="false" outlineLevel="0" collapsed="false">
      <c r="A154" s="1"/>
      <c r="B154" s="10"/>
      <c r="C154" s="31" t="str">
        <f aca="false">IF(B154="","",TEXT(B154,"ddd"))</f>
        <v/>
      </c>
      <c r="D154" s="11"/>
      <c r="E154" s="8" t="str">
        <f aca="false">IF(D154="","",IFERROR(INDEX(ProjNumbers,MATCH(D154,ProjNames,0)),""))</f>
        <v/>
      </c>
      <c r="F154" s="8" t="str">
        <f aca="false">IF(D154="","",IFERROR(INDEX(ProjCodes,MATCH(D154,ProjNames,0)),""))</f>
        <v/>
      </c>
      <c r="G154" s="32"/>
      <c r="H154" s="11"/>
      <c r="I154" s="33"/>
      <c r="J154" s="8" t="str">
        <f aca="false">IF(COUNTA(B154,D154,G154,H154,I154)=0,"",IF(B154="","Enter date",IF(OR(B154&lt;$AC$2,B154&gt;$AC$3),"Date not in June",IF(D154="","Pick project",IF(ISNA(MATCH(D154,ProjNames,0)),"Project not in list",IF(G154="","Add task description",IF(H154="","Pick NTIME or P6",IF(N(I154)&lt;=0,"Enter hours",IF(AND(AllowOT&lt;&gt;"Yes",SUMIF($B$7:$B$256,B154,$I$7:$I$256)&gt;INDEX($O$58:$O$87,DAY(B154))),"Day over "&amp;INDEX($O$58:$O$87,DAY(B154))&amp;" h","✓")))))))))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tr">
        <f aca="false">IF(Projects!B152="","",Projects!B152)</f>
        <v/>
      </c>
      <c r="X154" s="1" t="n">
        <f aca="false">IF(W154="",0,SUMIFS($I$7:$I$256,$D$7:$D$256,W154,$H$7:$H$256,"NTIME"))</f>
        <v>0</v>
      </c>
      <c r="Y154" s="1" t="n">
        <f aca="false">IF(W154="",0,SUMIFS($I$7:$I$256,$D$7:$D$256,W154,$H$7:$H$256,"P6"))</f>
        <v>0</v>
      </c>
      <c r="Z154" s="1" t="n">
        <f aca="false">X154+Y154</f>
        <v>0</v>
      </c>
      <c r="AA154" s="1" t="n">
        <f aca="false">IF(Z154&gt;0,Z154+(201-148)/10^6,0)</f>
        <v>0</v>
      </c>
      <c r="AB154" s="1"/>
      <c r="AC154" s="1"/>
      <c r="AD154" s="1"/>
      <c r="AE154" s="1"/>
      <c r="AF154" s="1"/>
      <c r="AG154" s="1"/>
      <c r="AH154" s="1"/>
    </row>
    <row r="155" customFormat="false" ht="15" hidden="false" customHeight="false" outlineLevel="0" collapsed="false">
      <c r="A155" s="1"/>
      <c r="B155" s="10"/>
      <c r="C155" s="31" t="str">
        <f aca="false">IF(B155="","",TEXT(B155,"ddd"))</f>
        <v/>
      </c>
      <c r="D155" s="11"/>
      <c r="E155" s="8" t="str">
        <f aca="false">IF(D155="","",IFERROR(INDEX(ProjNumbers,MATCH(D155,ProjNames,0)),""))</f>
        <v/>
      </c>
      <c r="F155" s="8" t="str">
        <f aca="false">IF(D155="","",IFERROR(INDEX(ProjCodes,MATCH(D155,ProjNames,0)),""))</f>
        <v/>
      </c>
      <c r="G155" s="32"/>
      <c r="H155" s="11"/>
      <c r="I155" s="33"/>
      <c r="J155" s="8" t="str">
        <f aca="false">IF(COUNTA(B155,D155,G155,H155,I155)=0,"",IF(B155="","Enter date",IF(OR(B155&lt;$AC$2,B155&gt;$AC$3),"Date not in June",IF(D155="","Pick project",IF(ISNA(MATCH(D155,ProjNames,0)),"Project not in list",IF(G155="","Add task description",IF(H155="","Pick NTIME or P6",IF(N(I155)&lt;=0,"Enter hours",IF(AND(AllowOT&lt;&gt;"Yes",SUMIF($B$7:$B$256,B155,$I$7:$I$256)&gt;INDEX($O$58:$O$87,DAY(B155))),"Day over "&amp;INDEX($O$58:$O$87,DAY(B155))&amp;" h","✓")))))))))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tr">
        <f aca="false">IF(Projects!B153="","",Projects!B153)</f>
        <v/>
      </c>
      <c r="X155" s="1" t="n">
        <f aca="false">IF(W155="",0,SUMIFS($I$7:$I$256,$D$7:$D$256,W155,$H$7:$H$256,"NTIME"))</f>
        <v>0</v>
      </c>
      <c r="Y155" s="1" t="n">
        <f aca="false">IF(W155="",0,SUMIFS($I$7:$I$256,$D$7:$D$256,W155,$H$7:$H$256,"P6"))</f>
        <v>0</v>
      </c>
      <c r="Z155" s="1" t="n">
        <f aca="false">X155+Y155</f>
        <v>0</v>
      </c>
      <c r="AA155" s="1" t="n">
        <f aca="false">IF(Z155&gt;0,Z155+(201-149)/10^6,0)</f>
        <v>0</v>
      </c>
      <c r="AB155" s="1"/>
      <c r="AC155" s="1"/>
      <c r="AD155" s="1"/>
      <c r="AE155" s="1"/>
      <c r="AF155" s="1"/>
      <c r="AG155" s="1"/>
      <c r="AH155" s="1"/>
    </row>
    <row r="156" customFormat="false" ht="15" hidden="false" customHeight="false" outlineLevel="0" collapsed="false">
      <c r="A156" s="1"/>
      <c r="B156" s="10"/>
      <c r="C156" s="31" t="str">
        <f aca="false">IF(B156="","",TEXT(B156,"ddd"))</f>
        <v/>
      </c>
      <c r="D156" s="11"/>
      <c r="E156" s="8" t="str">
        <f aca="false">IF(D156="","",IFERROR(INDEX(ProjNumbers,MATCH(D156,ProjNames,0)),""))</f>
        <v/>
      </c>
      <c r="F156" s="8" t="str">
        <f aca="false">IF(D156="","",IFERROR(INDEX(ProjCodes,MATCH(D156,ProjNames,0)),""))</f>
        <v/>
      </c>
      <c r="G156" s="32"/>
      <c r="H156" s="11"/>
      <c r="I156" s="33"/>
      <c r="J156" s="8" t="str">
        <f aca="false">IF(COUNTA(B156,D156,G156,H156,I156)=0,"",IF(B156="","Enter date",IF(OR(B156&lt;$AC$2,B156&gt;$AC$3),"Date not in June",IF(D156="","Pick project",IF(ISNA(MATCH(D156,ProjNames,0)),"Project not in list",IF(G156="","Add task description",IF(H156="","Pick NTIME or P6",IF(N(I156)&lt;=0,"Enter hours",IF(AND(AllowOT&lt;&gt;"Yes",SUMIF($B$7:$B$256,B156,$I$7:$I$256)&gt;INDEX($O$58:$O$87,DAY(B156))),"Day over "&amp;INDEX($O$58:$O$87,DAY(B156))&amp;" h","✓")))))))))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tr">
        <f aca="false">IF(Projects!B154="","",Projects!B154)</f>
        <v/>
      </c>
      <c r="X156" s="1" t="n">
        <f aca="false">IF(W156="",0,SUMIFS($I$7:$I$256,$D$7:$D$256,W156,$H$7:$H$256,"NTIME"))</f>
        <v>0</v>
      </c>
      <c r="Y156" s="1" t="n">
        <f aca="false">IF(W156="",0,SUMIFS($I$7:$I$256,$D$7:$D$256,W156,$H$7:$H$256,"P6"))</f>
        <v>0</v>
      </c>
      <c r="Z156" s="1" t="n">
        <f aca="false">X156+Y156</f>
        <v>0</v>
      </c>
      <c r="AA156" s="1" t="n">
        <f aca="false">IF(Z156&gt;0,Z156+(201-150)/10^6,0)</f>
        <v>0</v>
      </c>
      <c r="AB156" s="1"/>
      <c r="AC156" s="1"/>
      <c r="AD156" s="1"/>
      <c r="AE156" s="1"/>
      <c r="AF156" s="1"/>
      <c r="AG156" s="1"/>
      <c r="AH156" s="1"/>
    </row>
    <row r="157" customFormat="false" ht="15" hidden="false" customHeight="false" outlineLevel="0" collapsed="false">
      <c r="A157" s="1"/>
      <c r="B157" s="10"/>
      <c r="C157" s="31" t="str">
        <f aca="false">IF(B157="","",TEXT(B157,"ddd"))</f>
        <v/>
      </c>
      <c r="D157" s="11"/>
      <c r="E157" s="8" t="str">
        <f aca="false">IF(D157="","",IFERROR(INDEX(ProjNumbers,MATCH(D157,ProjNames,0)),""))</f>
        <v/>
      </c>
      <c r="F157" s="8" t="str">
        <f aca="false">IF(D157="","",IFERROR(INDEX(ProjCodes,MATCH(D157,ProjNames,0)),""))</f>
        <v/>
      </c>
      <c r="G157" s="32"/>
      <c r="H157" s="11"/>
      <c r="I157" s="33"/>
      <c r="J157" s="8" t="str">
        <f aca="false">IF(COUNTA(B157,D157,G157,H157,I157)=0,"",IF(B157="","Enter date",IF(OR(B157&lt;$AC$2,B157&gt;$AC$3),"Date not in June",IF(D157="","Pick project",IF(ISNA(MATCH(D157,ProjNames,0)),"Project not in list",IF(G157="","Add task description",IF(H157="","Pick NTIME or P6",IF(N(I157)&lt;=0,"Enter hours",IF(AND(AllowOT&lt;&gt;"Yes",SUMIF($B$7:$B$256,B157,$I$7:$I$256)&gt;INDEX($O$58:$O$87,DAY(B157))),"Day over "&amp;INDEX($O$58:$O$87,DAY(B157))&amp;" h","✓")))))))))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tr">
        <f aca="false">IF(Projects!B155="","",Projects!B155)</f>
        <v/>
      </c>
      <c r="X157" s="1" t="n">
        <f aca="false">IF(W157="",0,SUMIFS($I$7:$I$256,$D$7:$D$256,W157,$H$7:$H$256,"NTIME"))</f>
        <v>0</v>
      </c>
      <c r="Y157" s="1" t="n">
        <f aca="false">IF(W157="",0,SUMIFS($I$7:$I$256,$D$7:$D$256,W157,$H$7:$H$256,"P6"))</f>
        <v>0</v>
      </c>
      <c r="Z157" s="1" t="n">
        <f aca="false">X157+Y157</f>
        <v>0</v>
      </c>
      <c r="AA157" s="1" t="n">
        <f aca="false">IF(Z157&gt;0,Z157+(201-151)/10^6,0)</f>
        <v>0</v>
      </c>
      <c r="AB157" s="1"/>
      <c r="AC157" s="1"/>
      <c r="AD157" s="1"/>
      <c r="AE157" s="1"/>
      <c r="AF157" s="1"/>
      <c r="AG157" s="1"/>
      <c r="AH157" s="1"/>
    </row>
    <row r="158" customFormat="false" ht="15" hidden="false" customHeight="false" outlineLevel="0" collapsed="false">
      <c r="A158" s="1"/>
      <c r="B158" s="10"/>
      <c r="C158" s="31" t="str">
        <f aca="false">IF(B158="","",TEXT(B158,"ddd"))</f>
        <v/>
      </c>
      <c r="D158" s="11"/>
      <c r="E158" s="8" t="str">
        <f aca="false">IF(D158="","",IFERROR(INDEX(ProjNumbers,MATCH(D158,ProjNames,0)),""))</f>
        <v/>
      </c>
      <c r="F158" s="8" t="str">
        <f aca="false">IF(D158="","",IFERROR(INDEX(ProjCodes,MATCH(D158,ProjNames,0)),""))</f>
        <v/>
      </c>
      <c r="G158" s="32"/>
      <c r="H158" s="11"/>
      <c r="I158" s="33"/>
      <c r="J158" s="8" t="str">
        <f aca="false">IF(COUNTA(B158,D158,G158,H158,I158)=0,"",IF(B158="","Enter date",IF(OR(B158&lt;$AC$2,B158&gt;$AC$3),"Date not in June",IF(D158="","Pick project",IF(ISNA(MATCH(D158,ProjNames,0)),"Project not in list",IF(G158="","Add task description",IF(H158="","Pick NTIME or P6",IF(N(I158)&lt;=0,"Enter hours",IF(AND(AllowOT&lt;&gt;"Yes",SUMIF($B$7:$B$256,B158,$I$7:$I$256)&gt;INDEX($O$58:$O$87,DAY(B158))),"Day over "&amp;INDEX($O$58:$O$87,DAY(B158))&amp;" h","✓")))))))))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tr">
        <f aca="false">IF(Projects!B156="","",Projects!B156)</f>
        <v/>
      </c>
      <c r="X158" s="1" t="n">
        <f aca="false">IF(W158="",0,SUMIFS($I$7:$I$256,$D$7:$D$256,W158,$H$7:$H$256,"NTIME"))</f>
        <v>0</v>
      </c>
      <c r="Y158" s="1" t="n">
        <f aca="false">IF(W158="",0,SUMIFS($I$7:$I$256,$D$7:$D$256,W158,$H$7:$H$256,"P6"))</f>
        <v>0</v>
      </c>
      <c r="Z158" s="1" t="n">
        <f aca="false">X158+Y158</f>
        <v>0</v>
      </c>
      <c r="AA158" s="1" t="n">
        <f aca="false">IF(Z158&gt;0,Z158+(201-152)/10^6,0)</f>
        <v>0</v>
      </c>
      <c r="AB158" s="1"/>
      <c r="AC158" s="1"/>
      <c r="AD158" s="1"/>
      <c r="AE158" s="1"/>
      <c r="AF158" s="1"/>
      <c r="AG158" s="1"/>
      <c r="AH158" s="1"/>
    </row>
    <row r="159" customFormat="false" ht="15" hidden="false" customHeight="false" outlineLevel="0" collapsed="false">
      <c r="A159" s="1"/>
      <c r="B159" s="10"/>
      <c r="C159" s="31" t="str">
        <f aca="false">IF(B159="","",TEXT(B159,"ddd"))</f>
        <v/>
      </c>
      <c r="D159" s="11"/>
      <c r="E159" s="8" t="str">
        <f aca="false">IF(D159="","",IFERROR(INDEX(ProjNumbers,MATCH(D159,ProjNames,0)),""))</f>
        <v/>
      </c>
      <c r="F159" s="8" t="str">
        <f aca="false">IF(D159="","",IFERROR(INDEX(ProjCodes,MATCH(D159,ProjNames,0)),""))</f>
        <v/>
      </c>
      <c r="G159" s="32"/>
      <c r="H159" s="11"/>
      <c r="I159" s="33"/>
      <c r="J159" s="8" t="str">
        <f aca="false">IF(COUNTA(B159,D159,G159,H159,I159)=0,"",IF(B159="","Enter date",IF(OR(B159&lt;$AC$2,B159&gt;$AC$3),"Date not in June",IF(D159="","Pick project",IF(ISNA(MATCH(D159,ProjNames,0)),"Project not in list",IF(G159="","Add task description",IF(H159="","Pick NTIME or P6",IF(N(I159)&lt;=0,"Enter hours",IF(AND(AllowOT&lt;&gt;"Yes",SUMIF($B$7:$B$256,B159,$I$7:$I$256)&gt;INDEX($O$58:$O$87,DAY(B159))),"Day over "&amp;INDEX($O$58:$O$87,DAY(B159))&amp;" h","✓")))))))))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tr">
        <f aca="false">IF(Projects!B157="","",Projects!B157)</f>
        <v/>
      </c>
      <c r="X159" s="1" t="n">
        <f aca="false">IF(W159="",0,SUMIFS($I$7:$I$256,$D$7:$D$256,W159,$H$7:$H$256,"NTIME"))</f>
        <v>0</v>
      </c>
      <c r="Y159" s="1" t="n">
        <f aca="false">IF(W159="",0,SUMIFS($I$7:$I$256,$D$7:$D$256,W159,$H$7:$H$256,"P6"))</f>
        <v>0</v>
      </c>
      <c r="Z159" s="1" t="n">
        <f aca="false">X159+Y159</f>
        <v>0</v>
      </c>
      <c r="AA159" s="1" t="n">
        <f aca="false">IF(Z159&gt;0,Z159+(201-153)/10^6,0)</f>
        <v>0</v>
      </c>
      <c r="AB159" s="1"/>
      <c r="AC159" s="1"/>
      <c r="AD159" s="1"/>
      <c r="AE159" s="1"/>
      <c r="AF159" s="1"/>
      <c r="AG159" s="1"/>
      <c r="AH159" s="1"/>
    </row>
    <row r="160" customFormat="false" ht="15" hidden="false" customHeight="false" outlineLevel="0" collapsed="false">
      <c r="A160" s="1"/>
      <c r="B160" s="10"/>
      <c r="C160" s="31" t="str">
        <f aca="false">IF(B160="","",TEXT(B160,"ddd"))</f>
        <v/>
      </c>
      <c r="D160" s="11"/>
      <c r="E160" s="8" t="str">
        <f aca="false">IF(D160="","",IFERROR(INDEX(ProjNumbers,MATCH(D160,ProjNames,0)),""))</f>
        <v/>
      </c>
      <c r="F160" s="8" t="str">
        <f aca="false">IF(D160="","",IFERROR(INDEX(ProjCodes,MATCH(D160,ProjNames,0)),""))</f>
        <v/>
      </c>
      <c r="G160" s="32"/>
      <c r="H160" s="11"/>
      <c r="I160" s="33"/>
      <c r="J160" s="8" t="str">
        <f aca="false">IF(COUNTA(B160,D160,G160,H160,I160)=0,"",IF(B160="","Enter date",IF(OR(B160&lt;$AC$2,B160&gt;$AC$3),"Date not in June",IF(D160="","Pick project",IF(ISNA(MATCH(D160,ProjNames,0)),"Project not in list",IF(G160="","Add task description",IF(H160="","Pick NTIME or P6",IF(N(I160)&lt;=0,"Enter hours",IF(AND(AllowOT&lt;&gt;"Yes",SUMIF($B$7:$B$256,B160,$I$7:$I$256)&gt;INDEX($O$58:$O$87,DAY(B160))),"Day over "&amp;INDEX($O$58:$O$87,DAY(B160))&amp;" h","✓")))))))))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tr">
        <f aca="false">IF(Projects!B158="","",Projects!B158)</f>
        <v/>
      </c>
      <c r="X160" s="1" t="n">
        <f aca="false">IF(W160="",0,SUMIFS($I$7:$I$256,$D$7:$D$256,W160,$H$7:$H$256,"NTIME"))</f>
        <v>0</v>
      </c>
      <c r="Y160" s="1" t="n">
        <f aca="false">IF(W160="",0,SUMIFS($I$7:$I$256,$D$7:$D$256,W160,$H$7:$H$256,"P6"))</f>
        <v>0</v>
      </c>
      <c r="Z160" s="1" t="n">
        <f aca="false">X160+Y160</f>
        <v>0</v>
      </c>
      <c r="AA160" s="1" t="n">
        <f aca="false">IF(Z160&gt;0,Z160+(201-154)/10^6,0)</f>
        <v>0</v>
      </c>
      <c r="AB160" s="1"/>
      <c r="AC160" s="1"/>
      <c r="AD160" s="1"/>
      <c r="AE160" s="1"/>
      <c r="AF160" s="1"/>
      <c r="AG160" s="1"/>
      <c r="AH160" s="1"/>
    </row>
    <row r="161" customFormat="false" ht="15" hidden="false" customHeight="false" outlineLevel="0" collapsed="false">
      <c r="A161" s="1"/>
      <c r="B161" s="10"/>
      <c r="C161" s="31" t="str">
        <f aca="false">IF(B161="","",TEXT(B161,"ddd"))</f>
        <v/>
      </c>
      <c r="D161" s="11"/>
      <c r="E161" s="8" t="str">
        <f aca="false">IF(D161="","",IFERROR(INDEX(ProjNumbers,MATCH(D161,ProjNames,0)),""))</f>
        <v/>
      </c>
      <c r="F161" s="8" t="str">
        <f aca="false">IF(D161="","",IFERROR(INDEX(ProjCodes,MATCH(D161,ProjNames,0)),""))</f>
        <v/>
      </c>
      <c r="G161" s="32"/>
      <c r="H161" s="11"/>
      <c r="I161" s="33"/>
      <c r="J161" s="8" t="str">
        <f aca="false">IF(COUNTA(B161,D161,G161,H161,I161)=0,"",IF(B161="","Enter date",IF(OR(B161&lt;$AC$2,B161&gt;$AC$3),"Date not in June",IF(D161="","Pick project",IF(ISNA(MATCH(D161,ProjNames,0)),"Project not in list",IF(G161="","Add task description",IF(H161="","Pick NTIME or P6",IF(N(I161)&lt;=0,"Enter hours",IF(AND(AllowOT&lt;&gt;"Yes",SUMIF($B$7:$B$256,B161,$I$7:$I$256)&gt;INDEX($O$58:$O$87,DAY(B161))),"Day over "&amp;INDEX($O$58:$O$87,DAY(B161))&amp;" h","✓")))))))))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tr">
        <f aca="false">IF(Projects!B159="","",Projects!B159)</f>
        <v/>
      </c>
      <c r="X161" s="1" t="n">
        <f aca="false">IF(W161="",0,SUMIFS($I$7:$I$256,$D$7:$D$256,W161,$H$7:$H$256,"NTIME"))</f>
        <v>0</v>
      </c>
      <c r="Y161" s="1" t="n">
        <f aca="false">IF(W161="",0,SUMIFS($I$7:$I$256,$D$7:$D$256,W161,$H$7:$H$256,"P6"))</f>
        <v>0</v>
      </c>
      <c r="Z161" s="1" t="n">
        <f aca="false">X161+Y161</f>
        <v>0</v>
      </c>
      <c r="AA161" s="1" t="n">
        <f aca="false">IF(Z161&gt;0,Z161+(201-155)/10^6,0)</f>
        <v>0</v>
      </c>
      <c r="AB161" s="1"/>
      <c r="AC161" s="1"/>
      <c r="AD161" s="1"/>
      <c r="AE161" s="1"/>
      <c r="AF161" s="1"/>
      <c r="AG161" s="1"/>
      <c r="AH161" s="1"/>
    </row>
    <row r="162" customFormat="false" ht="15" hidden="false" customHeight="false" outlineLevel="0" collapsed="false">
      <c r="A162" s="1"/>
      <c r="B162" s="10"/>
      <c r="C162" s="31" t="str">
        <f aca="false">IF(B162="","",TEXT(B162,"ddd"))</f>
        <v/>
      </c>
      <c r="D162" s="11"/>
      <c r="E162" s="8" t="str">
        <f aca="false">IF(D162="","",IFERROR(INDEX(ProjNumbers,MATCH(D162,ProjNames,0)),""))</f>
        <v/>
      </c>
      <c r="F162" s="8" t="str">
        <f aca="false">IF(D162="","",IFERROR(INDEX(ProjCodes,MATCH(D162,ProjNames,0)),""))</f>
        <v/>
      </c>
      <c r="G162" s="32"/>
      <c r="H162" s="11"/>
      <c r="I162" s="33"/>
      <c r="J162" s="8" t="str">
        <f aca="false">IF(COUNTA(B162,D162,G162,H162,I162)=0,"",IF(B162="","Enter date",IF(OR(B162&lt;$AC$2,B162&gt;$AC$3),"Date not in June",IF(D162="","Pick project",IF(ISNA(MATCH(D162,ProjNames,0)),"Project not in list",IF(G162="","Add task description",IF(H162="","Pick NTIME or P6",IF(N(I162)&lt;=0,"Enter hours",IF(AND(AllowOT&lt;&gt;"Yes",SUMIF($B$7:$B$256,B162,$I$7:$I$256)&gt;INDEX($O$58:$O$87,DAY(B162))),"Day over "&amp;INDEX($O$58:$O$87,DAY(B162))&amp;" h","✓")))))))))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tr">
        <f aca="false">IF(Projects!B160="","",Projects!B160)</f>
        <v/>
      </c>
      <c r="X162" s="1" t="n">
        <f aca="false">IF(W162="",0,SUMIFS($I$7:$I$256,$D$7:$D$256,W162,$H$7:$H$256,"NTIME"))</f>
        <v>0</v>
      </c>
      <c r="Y162" s="1" t="n">
        <f aca="false">IF(W162="",0,SUMIFS($I$7:$I$256,$D$7:$D$256,W162,$H$7:$H$256,"P6"))</f>
        <v>0</v>
      </c>
      <c r="Z162" s="1" t="n">
        <f aca="false">X162+Y162</f>
        <v>0</v>
      </c>
      <c r="AA162" s="1" t="n">
        <f aca="false">IF(Z162&gt;0,Z162+(201-156)/10^6,0)</f>
        <v>0</v>
      </c>
      <c r="AB162" s="1"/>
      <c r="AC162" s="1"/>
      <c r="AD162" s="1"/>
      <c r="AE162" s="1"/>
      <c r="AF162" s="1"/>
      <c r="AG162" s="1"/>
      <c r="AH162" s="1"/>
    </row>
    <row r="163" customFormat="false" ht="15" hidden="false" customHeight="false" outlineLevel="0" collapsed="false">
      <c r="A163" s="1"/>
      <c r="B163" s="10"/>
      <c r="C163" s="31" t="str">
        <f aca="false">IF(B163="","",TEXT(B163,"ddd"))</f>
        <v/>
      </c>
      <c r="D163" s="11"/>
      <c r="E163" s="8" t="str">
        <f aca="false">IF(D163="","",IFERROR(INDEX(ProjNumbers,MATCH(D163,ProjNames,0)),""))</f>
        <v/>
      </c>
      <c r="F163" s="8" t="str">
        <f aca="false">IF(D163="","",IFERROR(INDEX(ProjCodes,MATCH(D163,ProjNames,0)),""))</f>
        <v/>
      </c>
      <c r="G163" s="32"/>
      <c r="H163" s="11"/>
      <c r="I163" s="33"/>
      <c r="J163" s="8" t="str">
        <f aca="false">IF(COUNTA(B163,D163,G163,H163,I163)=0,"",IF(B163="","Enter date",IF(OR(B163&lt;$AC$2,B163&gt;$AC$3),"Date not in June",IF(D163="","Pick project",IF(ISNA(MATCH(D163,ProjNames,0)),"Project not in list",IF(G163="","Add task description",IF(H163="","Pick NTIME or P6",IF(N(I163)&lt;=0,"Enter hours",IF(AND(AllowOT&lt;&gt;"Yes",SUMIF($B$7:$B$256,B163,$I$7:$I$256)&gt;INDEX($O$58:$O$87,DAY(B163))),"Day over "&amp;INDEX($O$58:$O$87,DAY(B163))&amp;" h","✓")))))))))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tr">
        <f aca="false">IF(Projects!B161="","",Projects!B161)</f>
        <v/>
      </c>
      <c r="X163" s="1" t="n">
        <f aca="false">IF(W163="",0,SUMIFS($I$7:$I$256,$D$7:$D$256,W163,$H$7:$H$256,"NTIME"))</f>
        <v>0</v>
      </c>
      <c r="Y163" s="1" t="n">
        <f aca="false">IF(W163="",0,SUMIFS($I$7:$I$256,$D$7:$D$256,W163,$H$7:$H$256,"P6"))</f>
        <v>0</v>
      </c>
      <c r="Z163" s="1" t="n">
        <f aca="false">X163+Y163</f>
        <v>0</v>
      </c>
      <c r="AA163" s="1" t="n">
        <f aca="false">IF(Z163&gt;0,Z163+(201-157)/10^6,0)</f>
        <v>0</v>
      </c>
      <c r="AB163" s="1"/>
      <c r="AC163" s="1"/>
      <c r="AD163" s="1"/>
      <c r="AE163" s="1"/>
      <c r="AF163" s="1"/>
      <c r="AG163" s="1"/>
      <c r="AH163" s="1"/>
    </row>
    <row r="164" customFormat="false" ht="15" hidden="false" customHeight="false" outlineLevel="0" collapsed="false">
      <c r="A164" s="1"/>
      <c r="B164" s="10"/>
      <c r="C164" s="31" t="str">
        <f aca="false">IF(B164="","",TEXT(B164,"ddd"))</f>
        <v/>
      </c>
      <c r="D164" s="11"/>
      <c r="E164" s="8" t="str">
        <f aca="false">IF(D164="","",IFERROR(INDEX(ProjNumbers,MATCH(D164,ProjNames,0)),""))</f>
        <v/>
      </c>
      <c r="F164" s="8" t="str">
        <f aca="false">IF(D164="","",IFERROR(INDEX(ProjCodes,MATCH(D164,ProjNames,0)),""))</f>
        <v/>
      </c>
      <c r="G164" s="32"/>
      <c r="H164" s="11"/>
      <c r="I164" s="33"/>
      <c r="J164" s="8" t="str">
        <f aca="false">IF(COUNTA(B164,D164,G164,H164,I164)=0,"",IF(B164="","Enter date",IF(OR(B164&lt;$AC$2,B164&gt;$AC$3),"Date not in June",IF(D164="","Pick project",IF(ISNA(MATCH(D164,ProjNames,0)),"Project not in list",IF(G164="","Add task description",IF(H164="","Pick NTIME or P6",IF(N(I164)&lt;=0,"Enter hours",IF(AND(AllowOT&lt;&gt;"Yes",SUMIF($B$7:$B$256,B164,$I$7:$I$256)&gt;INDEX($O$58:$O$87,DAY(B164))),"Day over "&amp;INDEX($O$58:$O$87,DAY(B164))&amp;" h","✓")))))))))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tr">
        <f aca="false">IF(Projects!B162="","",Projects!B162)</f>
        <v/>
      </c>
      <c r="X164" s="1" t="n">
        <f aca="false">IF(W164="",0,SUMIFS($I$7:$I$256,$D$7:$D$256,W164,$H$7:$H$256,"NTIME"))</f>
        <v>0</v>
      </c>
      <c r="Y164" s="1" t="n">
        <f aca="false">IF(W164="",0,SUMIFS($I$7:$I$256,$D$7:$D$256,W164,$H$7:$H$256,"P6"))</f>
        <v>0</v>
      </c>
      <c r="Z164" s="1" t="n">
        <f aca="false">X164+Y164</f>
        <v>0</v>
      </c>
      <c r="AA164" s="1" t="n">
        <f aca="false">IF(Z164&gt;0,Z164+(201-158)/10^6,0)</f>
        <v>0</v>
      </c>
      <c r="AB164" s="1"/>
      <c r="AC164" s="1"/>
      <c r="AD164" s="1"/>
      <c r="AE164" s="1"/>
      <c r="AF164" s="1"/>
      <c r="AG164" s="1"/>
      <c r="AH164" s="1"/>
    </row>
    <row r="165" customFormat="false" ht="15" hidden="false" customHeight="false" outlineLevel="0" collapsed="false">
      <c r="A165" s="1"/>
      <c r="B165" s="10"/>
      <c r="C165" s="31" t="str">
        <f aca="false">IF(B165="","",TEXT(B165,"ddd"))</f>
        <v/>
      </c>
      <c r="D165" s="11"/>
      <c r="E165" s="8" t="str">
        <f aca="false">IF(D165="","",IFERROR(INDEX(ProjNumbers,MATCH(D165,ProjNames,0)),""))</f>
        <v/>
      </c>
      <c r="F165" s="8" t="str">
        <f aca="false">IF(D165="","",IFERROR(INDEX(ProjCodes,MATCH(D165,ProjNames,0)),""))</f>
        <v/>
      </c>
      <c r="G165" s="32"/>
      <c r="H165" s="11"/>
      <c r="I165" s="33"/>
      <c r="J165" s="8" t="str">
        <f aca="false">IF(COUNTA(B165,D165,G165,H165,I165)=0,"",IF(B165="","Enter date",IF(OR(B165&lt;$AC$2,B165&gt;$AC$3),"Date not in June",IF(D165="","Pick project",IF(ISNA(MATCH(D165,ProjNames,0)),"Project not in list",IF(G165="","Add task description",IF(H165="","Pick NTIME or P6",IF(N(I165)&lt;=0,"Enter hours",IF(AND(AllowOT&lt;&gt;"Yes",SUMIF($B$7:$B$256,B165,$I$7:$I$256)&gt;INDEX($O$58:$O$87,DAY(B165))),"Day over "&amp;INDEX($O$58:$O$87,DAY(B165))&amp;" h","✓")))))))))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tr">
        <f aca="false">IF(Projects!B163="","",Projects!B163)</f>
        <v/>
      </c>
      <c r="X165" s="1" t="n">
        <f aca="false">IF(W165="",0,SUMIFS($I$7:$I$256,$D$7:$D$256,W165,$H$7:$H$256,"NTIME"))</f>
        <v>0</v>
      </c>
      <c r="Y165" s="1" t="n">
        <f aca="false">IF(W165="",0,SUMIFS($I$7:$I$256,$D$7:$D$256,W165,$H$7:$H$256,"P6"))</f>
        <v>0</v>
      </c>
      <c r="Z165" s="1" t="n">
        <f aca="false">X165+Y165</f>
        <v>0</v>
      </c>
      <c r="AA165" s="1" t="n">
        <f aca="false">IF(Z165&gt;0,Z165+(201-159)/10^6,0)</f>
        <v>0</v>
      </c>
      <c r="AB165" s="1"/>
      <c r="AC165" s="1"/>
      <c r="AD165" s="1"/>
      <c r="AE165" s="1"/>
      <c r="AF165" s="1"/>
      <c r="AG165" s="1"/>
      <c r="AH165" s="1"/>
    </row>
    <row r="166" customFormat="false" ht="15" hidden="false" customHeight="false" outlineLevel="0" collapsed="false">
      <c r="A166" s="1"/>
      <c r="B166" s="10"/>
      <c r="C166" s="31" t="str">
        <f aca="false">IF(B166="","",TEXT(B166,"ddd"))</f>
        <v/>
      </c>
      <c r="D166" s="11"/>
      <c r="E166" s="8" t="str">
        <f aca="false">IF(D166="","",IFERROR(INDEX(ProjNumbers,MATCH(D166,ProjNames,0)),""))</f>
        <v/>
      </c>
      <c r="F166" s="8" t="str">
        <f aca="false">IF(D166="","",IFERROR(INDEX(ProjCodes,MATCH(D166,ProjNames,0)),""))</f>
        <v/>
      </c>
      <c r="G166" s="32"/>
      <c r="H166" s="11"/>
      <c r="I166" s="33"/>
      <c r="J166" s="8" t="str">
        <f aca="false">IF(COUNTA(B166,D166,G166,H166,I166)=0,"",IF(B166="","Enter date",IF(OR(B166&lt;$AC$2,B166&gt;$AC$3),"Date not in June",IF(D166="","Pick project",IF(ISNA(MATCH(D166,ProjNames,0)),"Project not in list",IF(G166="","Add task description",IF(H166="","Pick NTIME or P6",IF(N(I166)&lt;=0,"Enter hours",IF(AND(AllowOT&lt;&gt;"Yes",SUMIF($B$7:$B$256,B166,$I$7:$I$256)&gt;INDEX($O$58:$O$87,DAY(B166))),"Day over "&amp;INDEX($O$58:$O$87,DAY(B166))&amp;" h","✓")))))))))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tr">
        <f aca="false">IF(Projects!B164="","",Projects!B164)</f>
        <v/>
      </c>
      <c r="X166" s="1" t="n">
        <f aca="false">IF(W166="",0,SUMIFS($I$7:$I$256,$D$7:$D$256,W166,$H$7:$H$256,"NTIME"))</f>
        <v>0</v>
      </c>
      <c r="Y166" s="1" t="n">
        <f aca="false">IF(W166="",0,SUMIFS($I$7:$I$256,$D$7:$D$256,W166,$H$7:$H$256,"P6"))</f>
        <v>0</v>
      </c>
      <c r="Z166" s="1" t="n">
        <f aca="false">X166+Y166</f>
        <v>0</v>
      </c>
      <c r="AA166" s="1" t="n">
        <f aca="false">IF(Z166&gt;0,Z166+(201-160)/10^6,0)</f>
        <v>0</v>
      </c>
      <c r="AB166" s="1"/>
      <c r="AC166" s="1"/>
      <c r="AD166" s="1"/>
      <c r="AE166" s="1"/>
      <c r="AF166" s="1"/>
      <c r="AG166" s="1"/>
      <c r="AH166" s="1"/>
    </row>
    <row r="167" customFormat="false" ht="15" hidden="false" customHeight="false" outlineLevel="0" collapsed="false">
      <c r="A167" s="1"/>
      <c r="B167" s="10"/>
      <c r="C167" s="31" t="str">
        <f aca="false">IF(B167="","",TEXT(B167,"ddd"))</f>
        <v/>
      </c>
      <c r="D167" s="11"/>
      <c r="E167" s="8" t="str">
        <f aca="false">IF(D167="","",IFERROR(INDEX(ProjNumbers,MATCH(D167,ProjNames,0)),""))</f>
        <v/>
      </c>
      <c r="F167" s="8" t="str">
        <f aca="false">IF(D167="","",IFERROR(INDEX(ProjCodes,MATCH(D167,ProjNames,0)),""))</f>
        <v/>
      </c>
      <c r="G167" s="32"/>
      <c r="H167" s="11"/>
      <c r="I167" s="33"/>
      <c r="J167" s="8" t="str">
        <f aca="false">IF(COUNTA(B167,D167,G167,H167,I167)=0,"",IF(B167="","Enter date",IF(OR(B167&lt;$AC$2,B167&gt;$AC$3),"Date not in June",IF(D167="","Pick project",IF(ISNA(MATCH(D167,ProjNames,0)),"Project not in list",IF(G167="","Add task description",IF(H167="","Pick NTIME or P6",IF(N(I167)&lt;=0,"Enter hours",IF(AND(AllowOT&lt;&gt;"Yes",SUMIF($B$7:$B$256,B167,$I$7:$I$256)&gt;INDEX($O$58:$O$87,DAY(B167))),"Day over "&amp;INDEX($O$58:$O$87,DAY(B167))&amp;" h","✓")))))))))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 aca="false">IF(Projects!B165="","",Projects!B165)</f>
        <v/>
      </c>
      <c r="X167" s="1" t="n">
        <f aca="false">IF(W167="",0,SUMIFS($I$7:$I$256,$D$7:$D$256,W167,$H$7:$H$256,"NTIME"))</f>
        <v>0</v>
      </c>
      <c r="Y167" s="1" t="n">
        <f aca="false">IF(W167="",0,SUMIFS($I$7:$I$256,$D$7:$D$256,W167,$H$7:$H$256,"P6"))</f>
        <v>0</v>
      </c>
      <c r="Z167" s="1" t="n">
        <f aca="false">X167+Y167</f>
        <v>0</v>
      </c>
      <c r="AA167" s="1" t="n">
        <f aca="false">IF(Z167&gt;0,Z167+(201-161)/10^6,0)</f>
        <v>0</v>
      </c>
      <c r="AB167" s="1"/>
      <c r="AC167" s="1"/>
      <c r="AD167" s="1"/>
      <c r="AE167" s="1"/>
      <c r="AF167" s="1"/>
      <c r="AG167" s="1"/>
      <c r="AH167" s="1"/>
    </row>
    <row r="168" customFormat="false" ht="15" hidden="false" customHeight="false" outlineLevel="0" collapsed="false">
      <c r="A168" s="1"/>
      <c r="B168" s="10"/>
      <c r="C168" s="31" t="str">
        <f aca="false">IF(B168="","",TEXT(B168,"ddd"))</f>
        <v/>
      </c>
      <c r="D168" s="11"/>
      <c r="E168" s="8" t="str">
        <f aca="false">IF(D168="","",IFERROR(INDEX(ProjNumbers,MATCH(D168,ProjNames,0)),""))</f>
        <v/>
      </c>
      <c r="F168" s="8" t="str">
        <f aca="false">IF(D168="","",IFERROR(INDEX(ProjCodes,MATCH(D168,ProjNames,0)),""))</f>
        <v/>
      </c>
      <c r="G168" s="32"/>
      <c r="H168" s="11"/>
      <c r="I168" s="33"/>
      <c r="J168" s="8" t="str">
        <f aca="false">IF(COUNTA(B168,D168,G168,H168,I168)=0,"",IF(B168="","Enter date",IF(OR(B168&lt;$AC$2,B168&gt;$AC$3),"Date not in June",IF(D168="","Pick project",IF(ISNA(MATCH(D168,ProjNames,0)),"Project not in list",IF(G168="","Add task description",IF(H168="","Pick NTIME or P6",IF(N(I168)&lt;=0,"Enter hours",IF(AND(AllowOT&lt;&gt;"Yes",SUMIF($B$7:$B$256,B168,$I$7:$I$256)&gt;INDEX($O$58:$O$87,DAY(B168))),"Day over "&amp;INDEX($O$58:$O$87,DAY(B168))&amp;" h","✓")))))))))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tr">
        <f aca="false">IF(Projects!B166="","",Projects!B166)</f>
        <v/>
      </c>
      <c r="X168" s="1" t="n">
        <f aca="false">IF(W168="",0,SUMIFS($I$7:$I$256,$D$7:$D$256,W168,$H$7:$H$256,"NTIME"))</f>
        <v>0</v>
      </c>
      <c r="Y168" s="1" t="n">
        <f aca="false">IF(W168="",0,SUMIFS($I$7:$I$256,$D$7:$D$256,W168,$H$7:$H$256,"P6"))</f>
        <v>0</v>
      </c>
      <c r="Z168" s="1" t="n">
        <f aca="false">X168+Y168</f>
        <v>0</v>
      </c>
      <c r="AA168" s="1" t="n">
        <f aca="false">IF(Z168&gt;0,Z168+(201-162)/10^6,0)</f>
        <v>0</v>
      </c>
      <c r="AB168" s="1"/>
      <c r="AC168" s="1"/>
      <c r="AD168" s="1"/>
      <c r="AE168" s="1"/>
      <c r="AF168" s="1"/>
      <c r="AG168" s="1"/>
      <c r="AH168" s="1"/>
    </row>
    <row r="169" customFormat="false" ht="15" hidden="false" customHeight="false" outlineLevel="0" collapsed="false">
      <c r="A169" s="1"/>
      <c r="B169" s="10"/>
      <c r="C169" s="31" t="str">
        <f aca="false">IF(B169="","",TEXT(B169,"ddd"))</f>
        <v/>
      </c>
      <c r="D169" s="11"/>
      <c r="E169" s="8" t="str">
        <f aca="false">IF(D169="","",IFERROR(INDEX(ProjNumbers,MATCH(D169,ProjNames,0)),""))</f>
        <v/>
      </c>
      <c r="F169" s="8" t="str">
        <f aca="false">IF(D169="","",IFERROR(INDEX(ProjCodes,MATCH(D169,ProjNames,0)),""))</f>
        <v/>
      </c>
      <c r="G169" s="32"/>
      <c r="H169" s="11"/>
      <c r="I169" s="33"/>
      <c r="J169" s="8" t="str">
        <f aca="false">IF(COUNTA(B169,D169,G169,H169,I169)=0,"",IF(B169="","Enter date",IF(OR(B169&lt;$AC$2,B169&gt;$AC$3),"Date not in June",IF(D169="","Pick project",IF(ISNA(MATCH(D169,ProjNames,0)),"Project not in list",IF(G169="","Add task description",IF(H169="","Pick NTIME or P6",IF(N(I169)&lt;=0,"Enter hours",IF(AND(AllowOT&lt;&gt;"Yes",SUMIF($B$7:$B$256,B169,$I$7:$I$256)&gt;INDEX($O$58:$O$87,DAY(B169))),"Day over "&amp;INDEX($O$58:$O$87,DAY(B169))&amp;" h","✓")))))))))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tr">
        <f aca="false">IF(Projects!B167="","",Projects!B167)</f>
        <v/>
      </c>
      <c r="X169" s="1" t="n">
        <f aca="false">IF(W169="",0,SUMIFS($I$7:$I$256,$D$7:$D$256,W169,$H$7:$H$256,"NTIME"))</f>
        <v>0</v>
      </c>
      <c r="Y169" s="1" t="n">
        <f aca="false">IF(W169="",0,SUMIFS($I$7:$I$256,$D$7:$D$256,W169,$H$7:$H$256,"P6"))</f>
        <v>0</v>
      </c>
      <c r="Z169" s="1" t="n">
        <f aca="false">X169+Y169</f>
        <v>0</v>
      </c>
      <c r="AA169" s="1" t="n">
        <f aca="false">IF(Z169&gt;0,Z169+(201-163)/10^6,0)</f>
        <v>0</v>
      </c>
      <c r="AB169" s="1"/>
      <c r="AC169" s="1"/>
      <c r="AD169" s="1"/>
      <c r="AE169" s="1"/>
      <c r="AF169" s="1"/>
      <c r="AG169" s="1"/>
      <c r="AH169" s="1"/>
    </row>
    <row r="170" customFormat="false" ht="15" hidden="false" customHeight="false" outlineLevel="0" collapsed="false">
      <c r="A170" s="1"/>
      <c r="B170" s="10"/>
      <c r="C170" s="31" t="str">
        <f aca="false">IF(B170="","",TEXT(B170,"ddd"))</f>
        <v/>
      </c>
      <c r="D170" s="11"/>
      <c r="E170" s="8" t="str">
        <f aca="false">IF(D170="","",IFERROR(INDEX(ProjNumbers,MATCH(D170,ProjNames,0)),""))</f>
        <v/>
      </c>
      <c r="F170" s="8" t="str">
        <f aca="false">IF(D170="","",IFERROR(INDEX(ProjCodes,MATCH(D170,ProjNames,0)),""))</f>
        <v/>
      </c>
      <c r="G170" s="32"/>
      <c r="H170" s="11"/>
      <c r="I170" s="33"/>
      <c r="J170" s="8" t="str">
        <f aca="false">IF(COUNTA(B170,D170,G170,H170,I170)=0,"",IF(B170="","Enter date",IF(OR(B170&lt;$AC$2,B170&gt;$AC$3),"Date not in June",IF(D170="","Pick project",IF(ISNA(MATCH(D170,ProjNames,0)),"Project not in list",IF(G170="","Add task description",IF(H170="","Pick NTIME or P6",IF(N(I170)&lt;=0,"Enter hours",IF(AND(AllowOT&lt;&gt;"Yes",SUMIF($B$7:$B$256,B170,$I$7:$I$256)&gt;INDEX($O$58:$O$87,DAY(B170))),"Day over "&amp;INDEX($O$58:$O$87,DAY(B170))&amp;" h","✓")))))))))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tr">
        <f aca="false">IF(Projects!B168="","",Projects!B168)</f>
        <v/>
      </c>
      <c r="X170" s="1" t="n">
        <f aca="false">IF(W170="",0,SUMIFS($I$7:$I$256,$D$7:$D$256,W170,$H$7:$H$256,"NTIME"))</f>
        <v>0</v>
      </c>
      <c r="Y170" s="1" t="n">
        <f aca="false">IF(W170="",0,SUMIFS($I$7:$I$256,$D$7:$D$256,W170,$H$7:$H$256,"P6"))</f>
        <v>0</v>
      </c>
      <c r="Z170" s="1" t="n">
        <f aca="false">X170+Y170</f>
        <v>0</v>
      </c>
      <c r="AA170" s="1" t="n">
        <f aca="false">IF(Z170&gt;0,Z170+(201-164)/10^6,0)</f>
        <v>0</v>
      </c>
      <c r="AB170" s="1"/>
      <c r="AC170" s="1"/>
      <c r="AD170" s="1"/>
      <c r="AE170" s="1"/>
      <c r="AF170" s="1"/>
      <c r="AG170" s="1"/>
      <c r="AH170" s="1"/>
    </row>
    <row r="171" customFormat="false" ht="15" hidden="false" customHeight="false" outlineLevel="0" collapsed="false">
      <c r="A171" s="1"/>
      <c r="B171" s="10"/>
      <c r="C171" s="31" t="str">
        <f aca="false">IF(B171="","",TEXT(B171,"ddd"))</f>
        <v/>
      </c>
      <c r="D171" s="11"/>
      <c r="E171" s="8" t="str">
        <f aca="false">IF(D171="","",IFERROR(INDEX(ProjNumbers,MATCH(D171,ProjNames,0)),""))</f>
        <v/>
      </c>
      <c r="F171" s="8" t="str">
        <f aca="false">IF(D171="","",IFERROR(INDEX(ProjCodes,MATCH(D171,ProjNames,0)),""))</f>
        <v/>
      </c>
      <c r="G171" s="32"/>
      <c r="H171" s="11"/>
      <c r="I171" s="33"/>
      <c r="J171" s="8" t="str">
        <f aca="false">IF(COUNTA(B171,D171,G171,H171,I171)=0,"",IF(B171="","Enter date",IF(OR(B171&lt;$AC$2,B171&gt;$AC$3),"Date not in June",IF(D171="","Pick project",IF(ISNA(MATCH(D171,ProjNames,0)),"Project not in list",IF(G171="","Add task description",IF(H171="","Pick NTIME or P6",IF(N(I171)&lt;=0,"Enter hours",IF(AND(AllowOT&lt;&gt;"Yes",SUMIF($B$7:$B$256,B171,$I$7:$I$256)&gt;INDEX($O$58:$O$87,DAY(B171))),"Day over "&amp;INDEX($O$58:$O$87,DAY(B171))&amp;" h","✓")))))))))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tr">
        <f aca="false">IF(Projects!B169="","",Projects!B169)</f>
        <v/>
      </c>
      <c r="X171" s="1" t="n">
        <f aca="false">IF(W171="",0,SUMIFS($I$7:$I$256,$D$7:$D$256,W171,$H$7:$H$256,"NTIME"))</f>
        <v>0</v>
      </c>
      <c r="Y171" s="1" t="n">
        <f aca="false">IF(W171="",0,SUMIFS($I$7:$I$256,$D$7:$D$256,W171,$H$7:$H$256,"P6"))</f>
        <v>0</v>
      </c>
      <c r="Z171" s="1" t="n">
        <f aca="false">X171+Y171</f>
        <v>0</v>
      </c>
      <c r="AA171" s="1" t="n">
        <f aca="false">IF(Z171&gt;0,Z171+(201-165)/10^6,0)</f>
        <v>0</v>
      </c>
      <c r="AB171" s="1"/>
      <c r="AC171" s="1"/>
      <c r="AD171" s="1"/>
      <c r="AE171" s="1"/>
      <c r="AF171" s="1"/>
      <c r="AG171" s="1"/>
      <c r="AH171" s="1"/>
    </row>
    <row r="172" customFormat="false" ht="15" hidden="false" customHeight="false" outlineLevel="0" collapsed="false">
      <c r="A172" s="1"/>
      <c r="B172" s="10"/>
      <c r="C172" s="31" t="str">
        <f aca="false">IF(B172="","",TEXT(B172,"ddd"))</f>
        <v/>
      </c>
      <c r="D172" s="11"/>
      <c r="E172" s="8" t="str">
        <f aca="false">IF(D172="","",IFERROR(INDEX(ProjNumbers,MATCH(D172,ProjNames,0)),""))</f>
        <v/>
      </c>
      <c r="F172" s="8" t="str">
        <f aca="false">IF(D172="","",IFERROR(INDEX(ProjCodes,MATCH(D172,ProjNames,0)),""))</f>
        <v/>
      </c>
      <c r="G172" s="32"/>
      <c r="H172" s="11"/>
      <c r="I172" s="33"/>
      <c r="J172" s="8" t="str">
        <f aca="false">IF(COUNTA(B172,D172,G172,H172,I172)=0,"",IF(B172="","Enter date",IF(OR(B172&lt;$AC$2,B172&gt;$AC$3),"Date not in June",IF(D172="","Pick project",IF(ISNA(MATCH(D172,ProjNames,0)),"Project not in list",IF(G172="","Add task description",IF(H172="","Pick NTIME or P6",IF(N(I172)&lt;=0,"Enter hours",IF(AND(AllowOT&lt;&gt;"Yes",SUMIF($B$7:$B$256,B172,$I$7:$I$256)&gt;INDEX($O$58:$O$87,DAY(B172))),"Day over "&amp;INDEX($O$58:$O$87,DAY(B172))&amp;" h","✓")))))))))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tr">
        <f aca="false">IF(Projects!B170="","",Projects!B170)</f>
        <v/>
      </c>
      <c r="X172" s="1" t="n">
        <f aca="false">IF(W172="",0,SUMIFS($I$7:$I$256,$D$7:$D$256,W172,$H$7:$H$256,"NTIME"))</f>
        <v>0</v>
      </c>
      <c r="Y172" s="1" t="n">
        <f aca="false">IF(W172="",0,SUMIFS($I$7:$I$256,$D$7:$D$256,W172,$H$7:$H$256,"P6"))</f>
        <v>0</v>
      </c>
      <c r="Z172" s="1" t="n">
        <f aca="false">X172+Y172</f>
        <v>0</v>
      </c>
      <c r="AA172" s="1" t="n">
        <f aca="false">IF(Z172&gt;0,Z172+(201-166)/10^6,0)</f>
        <v>0</v>
      </c>
      <c r="AB172" s="1"/>
      <c r="AC172" s="1"/>
      <c r="AD172" s="1"/>
      <c r="AE172" s="1"/>
      <c r="AF172" s="1"/>
      <c r="AG172" s="1"/>
      <c r="AH172" s="1"/>
    </row>
    <row r="173" customFormat="false" ht="15" hidden="false" customHeight="false" outlineLevel="0" collapsed="false">
      <c r="A173" s="1"/>
      <c r="B173" s="10"/>
      <c r="C173" s="31" t="str">
        <f aca="false">IF(B173="","",TEXT(B173,"ddd"))</f>
        <v/>
      </c>
      <c r="D173" s="11"/>
      <c r="E173" s="8" t="str">
        <f aca="false">IF(D173="","",IFERROR(INDEX(ProjNumbers,MATCH(D173,ProjNames,0)),""))</f>
        <v/>
      </c>
      <c r="F173" s="8" t="str">
        <f aca="false">IF(D173="","",IFERROR(INDEX(ProjCodes,MATCH(D173,ProjNames,0)),""))</f>
        <v/>
      </c>
      <c r="G173" s="32"/>
      <c r="H173" s="11"/>
      <c r="I173" s="33"/>
      <c r="J173" s="8" t="str">
        <f aca="false">IF(COUNTA(B173,D173,G173,H173,I173)=0,"",IF(B173="","Enter date",IF(OR(B173&lt;$AC$2,B173&gt;$AC$3),"Date not in June",IF(D173="","Pick project",IF(ISNA(MATCH(D173,ProjNames,0)),"Project not in list",IF(G173="","Add task description",IF(H173="","Pick NTIME or P6",IF(N(I173)&lt;=0,"Enter hours",IF(AND(AllowOT&lt;&gt;"Yes",SUMIF($B$7:$B$256,B173,$I$7:$I$256)&gt;INDEX($O$58:$O$87,DAY(B173))),"Day over "&amp;INDEX($O$58:$O$87,DAY(B173))&amp;" h","✓")))))))))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tr">
        <f aca="false">IF(Projects!B171="","",Projects!B171)</f>
        <v/>
      </c>
      <c r="X173" s="1" t="n">
        <f aca="false">IF(W173="",0,SUMIFS($I$7:$I$256,$D$7:$D$256,W173,$H$7:$H$256,"NTIME"))</f>
        <v>0</v>
      </c>
      <c r="Y173" s="1" t="n">
        <f aca="false">IF(W173="",0,SUMIFS($I$7:$I$256,$D$7:$D$256,W173,$H$7:$H$256,"P6"))</f>
        <v>0</v>
      </c>
      <c r="Z173" s="1" t="n">
        <f aca="false">X173+Y173</f>
        <v>0</v>
      </c>
      <c r="AA173" s="1" t="n">
        <f aca="false">IF(Z173&gt;0,Z173+(201-167)/10^6,0)</f>
        <v>0</v>
      </c>
      <c r="AB173" s="1"/>
      <c r="AC173" s="1"/>
      <c r="AD173" s="1"/>
      <c r="AE173" s="1"/>
      <c r="AF173" s="1"/>
      <c r="AG173" s="1"/>
      <c r="AH173" s="1"/>
    </row>
    <row r="174" customFormat="false" ht="15" hidden="false" customHeight="false" outlineLevel="0" collapsed="false">
      <c r="A174" s="1"/>
      <c r="B174" s="10"/>
      <c r="C174" s="31" t="str">
        <f aca="false">IF(B174="","",TEXT(B174,"ddd"))</f>
        <v/>
      </c>
      <c r="D174" s="11"/>
      <c r="E174" s="8" t="str">
        <f aca="false">IF(D174="","",IFERROR(INDEX(ProjNumbers,MATCH(D174,ProjNames,0)),""))</f>
        <v/>
      </c>
      <c r="F174" s="8" t="str">
        <f aca="false">IF(D174="","",IFERROR(INDEX(ProjCodes,MATCH(D174,ProjNames,0)),""))</f>
        <v/>
      </c>
      <c r="G174" s="32"/>
      <c r="H174" s="11"/>
      <c r="I174" s="33"/>
      <c r="J174" s="8" t="str">
        <f aca="false">IF(COUNTA(B174,D174,G174,H174,I174)=0,"",IF(B174="","Enter date",IF(OR(B174&lt;$AC$2,B174&gt;$AC$3),"Date not in June",IF(D174="","Pick project",IF(ISNA(MATCH(D174,ProjNames,0)),"Project not in list",IF(G174="","Add task description",IF(H174="","Pick NTIME or P6",IF(N(I174)&lt;=0,"Enter hours",IF(AND(AllowOT&lt;&gt;"Yes",SUMIF($B$7:$B$256,B174,$I$7:$I$256)&gt;INDEX($O$58:$O$87,DAY(B174))),"Day over "&amp;INDEX($O$58:$O$87,DAY(B174))&amp;" h","✓")))))))))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tr">
        <f aca="false">IF(Projects!B172="","",Projects!B172)</f>
        <v/>
      </c>
      <c r="X174" s="1" t="n">
        <f aca="false">IF(W174="",0,SUMIFS($I$7:$I$256,$D$7:$D$256,W174,$H$7:$H$256,"NTIME"))</f>
        <v>0</v>
      </c>
      <c r="Y174" s="1" t="n">
        <f aca="false">IF(W174="",0,SUMIFS($I$7:$I$256,$D$7:$D$256,W174,$H$7:$H$256,"P6"))</f>
        <v>0</v>
      </c>
      <c r="Z174" s="1" t="n">
        <f aca="false">X174+Y174</f>
        <v>0</v>
      </c>
      <c r="AA174" s="1" t="n">
        <f aca="false">IF(Z174&gt;0,Z174+(201-168)/10^6,0)</f>
        <v>0</v>
      </c>
      <c r="AB174" s="1"/>
      <c r="AC174" s="1"/>
      <c r="AD174" s="1"/>
      <c r="AE174" s="1"/>
      <c r="AF174" s="1"/>
      <c r="AG174" s="1"/>
      <c r="AH174" s="1"/>
    </row>
    <row r="175" customFormat="false" ht="15" hidden="false" customHeight="false" outlineLevel="0" collapsed="false">
      <c r="A175" s="1"/>
      <c r="B175" s="10"/>
      <c r="C175" s="31" t="str">
        <f aca="false">IF(B175="","",TEXT(B175,"ddd"))</f>
        <v/>
      </c>
      <c r="D175" s="11"/>
      <c r="E175" s="8" t="str">
        <f aca="false">IF(D175="","",IFERROR(INDEX(ProjNumbers,MATCH(D175,ProjNames,0)),""))</f>
        <v/>
      </c>
      <c r="F175" s="8" t="str">
        <f aca="false">IF(D175="","",IFERROR(INDEX(ProjCodes,MATCH(D175,ProjNames,0)),""))</f>
        <v/>
      </c>
      <c r="G175" s="32"/>
      <c r="H175" s="11"/>
      <c r="I175" s="33"/>
      <c r="J175" s="8" t="str">
        <f aca="false">IF(COUNTA(B175,D175,G175,H175,I175)=0,"",IF(B175="","Enter date",IF(OR(B175&lt;$AC$2,B175&gt;$AC$3),"Date not in June",IF(D175="","Pick project",IF(ISNA(MATCH(D175,ProjNames,0)),"Project not in list",IF(G175="","Add task description",IF(H175="","Pick NTIME or P6",IF(N(I175)&lt;=0,"Enter hours",IF(AND(AllowOT&lt;&gt;"Yes",SUMIF($B$7:$B$256,B175,$I$7:$I$256)&gt;INDEX($O$58:$O$87,DAY(B175))),"Day over "&amp;INDEX($O$58:$O$87,DAY(B175))&amp;" h","✓")))))))))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tr">
        <f aca="false">IF(Projects!B173="","",Projects!B173)</f>
        <v/>
      </c>
      <c r="X175" s="1" t="n">
        <f aca="false">IF(W175="",0,SUMIFS($I$7:$I$256,$D$7:$D$256,W175,$H$7:$H$256,"NTIME"))</f>
        <v>0</v>
      </c>
      <c r="Y175" s="1" t="n">
        <f aca="false">IF(W175="",0,SUMIFS($I$7:$I$256,$D$7:$D$256,W175,$H$7:$H$256,"P6"))</f>
        <v>0</v>
      </c>
      <c r="Z175" s="1" t="n">
        <f aca="false">X175+Y175</f>
        <v>0</v>
      </c>
      <c r="AA175" s="1" t="n">
        <f aca="false">IF(Z175&gt;0,Z175+(201-169)/10^6,0)</f>
        <v>0</v>
      </c>
      <c r="AB175" s="1"/>
      <c r="AC175" s="1"/>
      <c r="AD175" s="1"/>
      <c r="AE175" s="1"/>
      <c r="AF175" s="1"/>
      <c r="AG175" s="1"/>
      <c r="AH175" s="1"/>
    </row>
    <row r="176" customFormat="false" ht="15" hidden="false" customHeight="false" outlineLevel="0" collapsed="false">
      <c r="A176" s="1"/>
      <c r="B176" s="10"/>
      <c r="C176" s="31" t="str">
        <f aca="false">IF(B176="","",TEXT(B176,"ddd"))</f>
        <v/>
      </c>
      <c r="D176" s="11"/>
      <c r="E176" s="8" t="str">
        <f aca="false">IF(D176="","",IFERROR(INDEX(ProjNumbers,MATCH(D176,ProjNames,0)),""))</f>
        <v/>
      </c>
      <c r="F176" s="8" t="str">
        <f aca="false">IF(D176="","",IFERROR(INDEX(ProjCodes,MATCH(D176,ProjNames,0)),""))</f>
        <v/>
      </c>
      <c r="G176" s="32"/>
      <c r="H176" s="11"/>
      <c r="I176" s="33"/>
      <c r="J176" s="8" t="str">
        <f aca="false">IF(COUNTA(B176,D176,G176,H176,I176)=0,"",IF(B176="","Enter date",IF(OR(B176&lt;$AC$2,B176&gt;$AC$3),"Date not in June",IF(D176="","Pick project",IF(ISNA(MATCH(D176,ProjNames,0)),"Project not in list",IF(G176="","Add task description",IF(H176="","Pick NTIME or P6",IF(N(I176)&lt;=0,"Enter hours",IF(AND(AllowOT&lt;&gt;"Yes",SUMIF($B$7:$B$256,B176,$I$7:$I$256)&gt;INDEX($O$58:$O$87,DAY(B176))),"Day over "&amp;INDEX($O$58:$O$87,DAY(B176))&amp;" h","✓")))))))))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tr">
        <f aca="false">IF(Projects!B174="","",Projects!B174)</f>
        <v/>
      </c>
      <c r="X176" s="1" t="n">
        <f aca="false">IF(W176="",0,SUMIFS($I$7:$I$256,$D$7:$D$256,W176,$H$7:$H$256,"NTIME"))</f>
        <v>0</v>
      </c>
      <c r="Y176" s="1" t="n">
        <f aca="false">IF(W176="",0,SUMIFS($I$7:$I$256,$D$7:$D$256,W176,$H$7:$H$256,"P6"))</f>
        <v>0</v>
      </c>
      <c r="Z176" s="1" t="n">
        <f aca="false">X176+Y176</f>
        <v>0</v>
      </c>
      <c r="AA176" s="1" t="n">
        <f aca="false">IF(Z176&gt;0,Z176+(201-170)/10^6,0)</f>
        <v>0</v>
      </c>
      <c r="AB176" s="1"/>
      <c r="AC176" s="1"/>
      <c r="AD176" s="1"/>
      <c r="AE176" s="1"/>
      <c r="AF176" s="1"/>
      <c r="AG176" s="1"/>
      <c r="AH176" s="1"/>
    </row>
    <row r="177" customFormat="false" ht="15" hidden="false" customHeight="false" outlineLevel="0" collapsed="false">
      <c r="A177" s="1"/>
      <c r="B177" s="10"/>
      <c r="C177" s="31" t="str">
        <f aca="false">IF(B177="","",TEXT(B177,"ddd"))</f>
        <v/>
      </c>
      <c r="D177" s="11"/>
      <c r="E177" s="8" t="str">
        <f aca="false">IF(D177="","",IFERROR(INDEX(ProjNumbers,MATCH(D177,ProjNames,0)),""))</f>
        <v/>
      </c>
      <c r="F177" s="8" t="str">
        <f aca="false">IF(D177="","",IFERROR(INDEX(ProjCodes,MATCH(D177,ProjNames,0)),""))</f>
        <v/>
      </c>
      <c r="G177" s="32"/>
      <c r="H177" s="11"/>
      <c r="I177" s="33"/>
      <c r="J177" s="8" t="str">
        <f aca="false">IF(COUNTA(B177,D177,G177,H177,I177)=0,"",IF(B177="","Enter date",IF(OR(B177&lt;$AC$2,B177&gt;$AC$3),"Date not in June",IF(D177="","Pick project",IF(ISNA(MATCH(D177,ProjNames,0)),"Project not in list",IF(G177="","Add task description",IF(H177="","Pick NTIME or P6",IF(N(I177)&lt;=0,"Enter hours",IF(AND(AllowOT&lt;&gt;"Yes",SUMIF($B$7:$B$256,B177,$I$7:$I$256)&gt;INDEX($O$58:$O$87,DAY(B177))),"Day over "&amp;INDEX($O$58:$O$87,DAY(B177))&amp;" h","✓")))))))))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tr">
        <f aca="false">IF(Projects!B175="","",Projects!B175)</f>
        <v/>
      </c>
      <c r="X177" s="1" t="n">
        <f aca="false">IF(W177="",0,SUMIFS($I$7:$I$256,$D$7:$D$256,W177,$H$7:$H$256,"NTIME"))</f>
        <v>0</v>
      </c>
      <c r="Y177" s="1" t="n">
        <f aca="false">IF(W177="",0,SUMIFS($I$7:$I$256,$D$7:$D$256,W177,$H$7:$H$256,"P6"))</f>
        <v>0</v>
      </c>
      <c r="Z177" s="1" t="n">
        <f aca="false">X177+Y177</f>
        <v>0</v>
      </c>
      <c r="AA177" s="1" t="n">
        <f aca="false">IF(Z177&gt;0,Z177+(201-171)/10^6,0)</f>
        <v>0</v>
      </c>
      <c r="AB177" s="1"/>
      <c r="AC177" s="1"/>
      <c r="AD177" s="1"/>
      <c r="AE177" s="1"/>
      <c r="AF177" s="1"/>
      <c r="AG177" s="1"/>
      <c r="AH177" s="1"/>
    </row>
    <row r="178" customFormat="false" ht="15" hidden="false" customHeight="false" outlineLevel="0" collapsed="false">
      <c r="A178" s="1"/>
      <c r="B178" s="10"/>
      <c r="C178" s="31" t="str">
        <f aca="false">IF(B178="","",TEXT(B178,"ddd"))</f>
        <v/>
      </c>
      <c r="D178" s="11"/>
      <c r="E178" s="8" t="str">
        <f aca="false">IF(D178="","",IFERROR(INDEX(ProjNumbers,MATCH(D178,ProjNames,0)),""))</f>
        <v/>
      </c>
      <c r="F178" s="8" t="str">
        <f aca="false">IF(D178="","",IFERROR(INDEX(ProjCodes,MATCH(D178,ProjNames,0)),""))</f>
        <v/>
      </c>
      <c r="G178" s="32"/>
      <c r="H178" s="11"/>
      <c r="I178" s="33"/>
      <c r="J178" s="8" t="str">
        <f aca="false">IF(COUNTA(B178,D178,G178,H178,I178)=0,"",IF(B178="","Enter date",IF(OR(B178&lt;$AC$2,B178&gt;$AC$3),"Date not in June",IF(D178="","Pick project",IF(ISNA(MATCH(D178,ProjNames,0)),"Project not in list",IF(G178="","Add task description",IF(H178="","Pick NTIME or P6",IF(N(I178)&lt;=0,"Enter hours",IF(AND(AllowOT&lt;&gt;"Yes",SUMIF($B$7:$B$256,B178,$I$7:$I$256)&gt;INDEX($O$58:$O$87,DAY(B178))),"Day over "&amp;INDEX($O$58:$O$87,DAY(B178))&amp;" h","✓")))))))))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tr">
        <f aca="false">IF(Projects!B176="","",Projects!B176)</f>
        <v/>
      </c>
      <c r="X178" s="1" t="n">
        <f aca="false">IF(W178="",0,SUMIFS($I$7:$I$256,$D$7:$D$256,W178,$H$7:$H$256,"NTIME"))</f>
        <v>0</v>
      </c>
      <c r="Y178" s="1" t="n">
        <f aca="false">IF(W178="",0,SUMIFS($I$7:$I$256,$D$7:$D$256,W178,$H$7:$H$256,"P6"))</f>
        <v>0</v>
      </c>
      <c r="Z178" s="1" t="n">
        <f aca="false">X178+Y178</f>
        <v>0</v>
      </c>
      <c r="AA178" s="1" t="n">
        <f aca="false">IF(Z178&gt;0,Z178+(201-172)/10^6,0)</f>
        <v>0</v>
      </c>
      <c r="AB178" s="1"/>
      <c r="AC178" s="1"/>
      <c r="AD178" s="1"/>
      <c r="AE178" s="1"/>
      <c r="AF178" s="1"/>
      <c r="AG178" s="1"/>
      <c r="AH178" s="1"/>
    </row>
    <row r="179" customFormat="false" ht="15" hidden="false" customHeight="false" outlineLevel="0" collapsed="false">
      <c r="A179" s="1"/>
      <c r="B179" s="10"/>
      <c r="C179" s="31" t="str">
        <f aca="false">IF(B179="","",TEXT(B179,"ddd"))</f>
        <v/>
      </c>
      <c r="D179" s="11"/>
      <c r="E179" s="8" t="str">
        <f aca="false">IF(D179="","",IFERROR(INDEX(ProjNumbers,MATCH(D179,ProjNames,0)),""))</f>
        <v/>
      </c>
      <c r="F179" s="8" t="str">
        <f aca="false">IF(D179="","",IFERROR(INDEX(ProjCodes,MATCH(D179,ProjNames,0)),""))</f>
        <v/>
      </c>
      <c r="G179" s="32"/>
      <c r="H179" s="11"/>
      <c r="I179" s="33"/>
      <c r="J179" s="8" t="str">
        <f aca="false">IF(COUNTA(B179,D179,G179,H179,I179)=0,"",IF(B179="","Enter date",IF(OR(B179&lt;$AC$2,B179&gt;$AC$3),"Date not in June",IF(D179="","Pick project",IF(ISNA(MATCH(D179,ProjNames,0)),"Project not in list",IF(G179="","Add task description",IF(H179="","Pick NTIME or P6",IF(N(I179)&lt;=0,"Enter hours",IF(AND(AllowOT&lt;&gt;"Yes",SUMIF($B$7:$B$256,B179,$I$7:$I$256)&gt;INDEX($O$58:$O$87,DAY(B179))),"Day over "&amp;INDEX($O$58:$O$87,DAY(B179))&amp;" h","✓")))))))))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tr">
        <f aca="false">IF(Projects!B177="","",Projects!B177)</f>
        <v/>
      </c>
      <c r="X179" s="1" t="n">
        <f aca="false">IF(W179="",0,SUMIFS($I$7:$I$256,$D$7:$D$256,W179,$H$7:$H$256,"NTIME"))</f>
        <v>0</v>
      </c>
      <c r="Y179" s="1" t="n">
        <f aca="false">IF(W179="",0,SUMIFS($I$7:$I$256,$D$7:$D$256,W179,$H$7:$H$256,"P6"))</f>
        <v>0</v>
      </c>
      <c r="Z179" s="1" t="n">
        <f aca="false">X179+Y179</f>
        <v>0</v>
      </c>
      <c r="AA179" s="1" t="n">
        <f aca="false">IF(Z179&gt;0,Z179+(201-173)/10^6,0)</f>
        <v>0</v>
      </c>
      <c r="AB179" s="1"/>
      <c r="AC179" s="1"/>
      <c r="AD179" s="1"/>
      <c r="AE179" s="1"/>
      <c r="AF179" s="1"/>
      <c r="AG179" s="1"/>
      <c r="AH179" s="1"/>
    </row>
    <row r="180" customFormat="false" ht="15" hidden="false" customHeight="false" outlineLevel="0" collapsed="false">
      <c r="A180" s="1"/>
      <c r="B180" s="10"/>
      <c r="C180" s="31" t="str">
        <f aca="false">IF(B180="","",TEXT(B180,"ddd"))</f>
        <v/>
      </c>
      <c r="D180" s="11"/>
      <c r="E180" s="8" t="str">
        <f aca="false">IF(D180="","",IFERROR(INDEX(ProjNumbers,MATCH(D180,ProjNames,0)),""))</f>
        <v/>
      </c>
      <c r="F180" s="8" t="str">
        <f aca="false">IF(D180="","",IFERROR(INDEX(ProjCodes,MATCH(D180,ProjNames,0)),""))</f>
        <v/>
      </c>
      <c r="G180" s="32"/>
      <c r="H180" s="11"/>
      <c r="I180" s="33"/>
      <c r="J180" s="8" t="str">
        <f aca="false">IF(COUNTA(B180,D180,G180,H180,I180)=0,"",IF(B180="","Enter date",IF(OR(B180&lt;$AC$2,B180&gt;$AC$3),"Date not in June",IF(D180="","Pick project",IF(ISNA(MATCH(D180,ProjNames,0)),"Project not in list",IF(G180="","Add task description",IF(H180="","Pick NTIME or P6",IF(N(I180)&lt;=0,"Enter hours",IF(AND(AllowOT&lt;&gt;"Yes",SUMIF($B$7:$B$256,B180,$I$7:$I$256)&gt;INDEX($O$58:$O$87,DAY(B180))),"Day over "&amp;INDEX($O$58:$O$87,DAY(B180))&amp;" h","✓")))))))))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tr">
        <f aca="false">IF(Projects!B178="","",Projects!B178)</f>
        <v/>
      </c>
      <c r="X180" s="1" t="n">
        <f aca="false">IF(W180="",0,SUMIFS($I$7:$I$256,$D$7:$D$256,W180,$H$7:$H$256,"NTIME"))</f>
        <v>0</v>
      </c>
      <c r="Y180" s="1" t="n">
        <f aca="false">IF(W180="",0,SUMIFS($I$7:$I$256,$D$7:$D$256,W180,$H$7:$H$256,"P6"))</f>
        <v>0</v>
      </c>
      <c r="Z180" s="1" t="n">
        <f aca="false">X180+Y180</f>
        <v>0</v>
      </c>
      <c r="AA180" s="1" t="n">
        <f aca="false">IF(Z180&gt;0,Z180+(201-174)/10^6,0)</f>
        <v>0</v>
      </c>
      <c r="AB180" s="1"/>
      <c r="AC180" s="1"/>
      <c r="AD180" s="1"/>
      <c r="AE180" s="1"/>
      <c r="AF180" s="1"/>
      <c r="AG180" s="1"/>
      <c r="AH180" s="1"/>
    </row>
    <row r="181" customFormat="false" ht="15" hidden="false" customHeight="false" outlineLevel="0" collapsed="false">
      <c r="A181" s="1"/>
      <c r="B181" s="10"/>
      <c r="C181" s="31" t="str">
        <f aca="false">IF(B181="","",TEXT(B181,"ddd"))</f>
        <v/>
      </c>
      <c r="D181" s="11"/>
      <c r="E181" s="8" t="str">
        <f aca="false">IF(D181="","",IFERROR(INDEX(ProjNumbers,MATCH(D181,ProjNames,0)),""))</f>
        <v/>
      </c>
      <c r="F181" s="8" t="str">
        <f aca="false">IF(D181="","",IFERROR(INDEX(ProjCodes,MATCH(D181,ProjNames,0)),""))</f>
        <v/>
      </c>
      <c r="G181" s="32"/>
      <c r="H181" s="11"/>
      <c r="I181" s="33"/>
      <c r="J181" s="8" t="str">
        <f aca="false">IF(COUNTA(B181,D181,G181,H181,I181)=0,"",IF(B181="","Enter date",IF(OR(B181&lt;$AC$2,B181&gt;$AC$3),"Date not in June",IF(D181="","Pick project",IF(ISNA(MATCH(D181,ProjNames,0)),"Project not in list",IF(G181="","Add task description",IF(H181="","Pick NTIME or P6",IF(N(I181)&lt;=0,"Enter hours",IF(AND(AllowOT&lt;&gt;"Yes",SUMIF($B$7:$B$256,B181,$I$7:$I$256)&gt;INDEX($O$58:$O$87,DAY(B181))),"Day over "&amp;INDEX($O$58:$O$87,DAY(B181))&amp;" h","✓")))))))))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tr">
        <f aca="false">IF(Projects!B179="","",Projects!B179)</f>
        <v/>
      </c>
      <c r="X181" s="1" t="n">
        <f aca="false">IF(W181="",0,SUMIFS($I$7:$I$256,$D$7:$D$256,W181,$H$7:$H$256,"NTIME"))</f>
        <v>0</v>
      </c>
      <c r="Y181" s="1" t="n">
        <f aca="false">IF(W181="",0,SUMIFS($I$7:$I$256,$D$7:$D$256,W181,$H$7:$H$256,"P6"))</f>
        <v>0</v>
      </c>
      <c r="Z181" s="1" t="n">
        <f aca="false">X181+Y181</f>
        <v>0</v>
      </c>
      <c r="AA181" s="1" t="n">
        <f aca="false">IF(Z181&gt;0,Z181+(201-175)/10^6,0)</f>
        <v>0</v>
      </c>
      <c r="AB181" s="1"/>
      <c r="AC181" s="1"/>
      <c r="AD181" s="1"/>
      <c r="AE181" s="1"/>
      <c r="AF181" s="1"/>
      <c r="AG181" s="1"/>
      <c r="AH181" s="1"/>
    </row>
    <row r="182" customFormat="false" ht="15" hidden="false" customHeight="false" outlineLevel="0" collapsed="false">
      <c r="A182" s="1"/>
      <c r="B182" s="10"/>
      <c r="C182" s="31" t="str">
        <f aca="false">IF(B182="","",TEXT(B182,"ddd"))</f>
        <v/>
      </c>
      <c r="D182" s="11"/>
      <c r="E182" s="8" t="str">
        <f aca="false">IF(D182="","",IFERROR(INDEX(ProjNumbers,MATCH(D182,ProjNames,0)),""))</f>
        <v/>
      </c>
      <c r="F182" s="8" t="str">
        <f aca="false">IF(D182="","",IFERROR(INDEX(ProjCodes,MATCH(D182,ProjNames,0)),""))</f>
        <v/>
      </c>
      <c r="G182" s="32"/>
      <c r="H182" s="11"/>
      <c r="I182" s="33"/>
      <c r="J182" s="8" t="str">
        <f aca="false">IF(COUNTA(B182,D182,G182,H182,I182)=0,"",IF(B182="","Enter date",IF(OR(B182&lt;$AC$2,B182&gt;$AC$3),"Date not in June",IF(D182="","Pick project",IF(ISNA(MATCH(D182,ProjNames,0)),"Project not in list",IF(G182="","Add task description",IF(H182="","Pick NTIME or P6",IF(N(I182)&lt;=0,"Enter hours",IF(AND(AllowOT&lt;&gt;"Yes",SUMIF($B$7:$B$256,B182,$I$7:$I$256)&gt;INDEX($O$58:$O$87,DAY(B182))),"Day over "&amp;INDEX($O$58:$O$87,DAY(B182))&amp;" h","✓")))))))))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tr">
        <f aca="false">IF(Projects!B180="","",Projects!B180)</f>
        <v/>
      </c>
      <c r="X182" s="1" t="n">
        <f aca="false">IF(W182="",0,SUMIFS($I$7:$I$256,$D$7:$D$256,W182,$H$7:$H$256,"NTIME"))</f>
        <v>0</v>
      </c>
      <c r="Y182" s="1" t="n">
        <f aca="false">IF(W182="",0,SUMIFS($I$7:$I$256,$D$7:$D$256,W182,$H$7:$H$256,"P6"))</f>
        <v>0</v>
      </c>
      <c r="Z182" s="1" t="n">
        <f aca="false">X182+Y182</f>
        <v>0</v>
      </c>
      <c r="AA182" s="1" t="n">
        <f aca="false">IF(Z182&gt;0,Z182+(201-176)/10^6,0)</f>
        <v>0</v>
      </c>
      <c r="AB182" s="1"/>
      <c r="AC182" s="1"/>
      <c r="AD182" s="1"/>
      <c r="AE182" s="1"/>
      <c r="AF182" s="1"/>
      <c r="AG182" s="1"/>
      <c r="AH182" s="1"/>
    </row>
    <row r="183" customFormat="false" ht="15" hidden="false" customHeight="false" outlineLevel="0" collapsed="false">
      <c r="A183" s="1"/>
      <c r="B183" s="10"/>
      <c r="C183" s="31" t="str">
        <f aca="false">IF(B183="","",TEXT(B183,"ddd"))</f>
        <v/>
      </c>
      <c r="D183" s="11"/>
      <c r="E183" s="8" t="str">
        <f aca="false">IF(D183="","",IFERROR(INDEX(ProjNumbers,MATCH(D183,ProjNames,0)),""))</f>
        <v/>
      </c>
      <c r="F183" s="8" t="str">
        <f aca="false">IF(D183="","",IFERROR(INDEX(ProjCodes,MATCH(D183,ProjNames,0)),""))</f>
        <v/>
      </c>
      <c r="G183" s="32"/>
      <c r="H183" s="11"/>
      <c r="I183" s="33"/>
      <c r="J183" s="8" t="str">
        <f aca="false">IF(COUNTA(B183,D183,G183,H183,I183)=0,"",IF(B183="","Enter date",IF(OR(B183&lt;$AC$2,B183&gt;$AC$3),"Date not in June",IF(D183="","Pick project",IF(ISNA(MATCH(D183,ProjNames,0)),"Project not in list",IF(G183="","Add task description",IF(H183="","Pick NTIME or P6",IF(N(I183)&lt;=0,"Enter hours",IF(AND(AllowOT&lt;&gt;"Yes",SUMIF($B$7:$B$256,B183,$I$7:$I$256)&gt;INDEX($O$58:$O$87,DAY(B183))),"Day over "&amp;INDEX($O$58:$O$87,DAY(B183))&amp;" h","✓")))))))))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tr">
        <f aca="false">IF(Projects!B181="","",Projects!B181)</f>
        <v/>
      </c>
      <c r="X183" s="1" t="n">
        <f aca="false">IF(W183="",0,SUMIFS($I$7:$I$256,$D$7:$D$256,W183,$H$7:$H$256,"NTIME"))</f>
        <v>0</v>
      </c>
      <c r="Y183" s="1" t="n">
        <f aca="false">IF(W183="",0,SUMIFS($I$7:$I$256,$D$7:$D$256,W183,$H$7:$H$256,"P6"))</f>
        <v>0</v>
      </c>
      <c r="Z183" s="1" t="n">
        <f aca="false">X183+Y183</f>
        <v>0</v>
      </c>
      <c r="AA183" s="1" t="n">
        <f aca="false">IF(Z183&gt;0,Z183+(201-177)/10^6,0)</f>
        <v>0</v>
      </c>
      <c r="AB183" s="1"/>
      <c r="AC183" s="1"/>
      <c r="AD183" s="1"/>
      <c r="AE183" s="1"/>
      <c r="AF183" s="1"/>
      <c r="AG183" s="1"/>
      <c r="AH183" s="1"/>
    </row>
    <row r="184" customFormat="false" ht="15" hidden="false" customHeight="false" outlineLevel="0" collapsed="false">
      <c r="A184" s="1"/>
      <c r="B184" s="10"/>
      <c r="C184" s="31" t="str">
        <f aca="false">IF(B184="","",TEXT(B184,"ddd"))</f>
        <v/>
      </c>
      <c r="D184" s="11"/>
      <c r="E184" s="8" t="str">
        <f aca="false">IF(D184="","",IFERROR(INDEX(ProjNumbers,MATCH(D184,ProjNames,0)),""))</f>
        <v/>
      </c>
      <c r="F184" s="8" t="str">
        <f aca="false">IF(D184="","",IFERROR(INDEX(ProjCodes,MATCH(D184,ProjNames,0)),""))</f>
        <v/>
      </c>
      <c r="G184" s="32"/>
      <c r="H184" s="11"/>
      <c r="I184" s="33"/>
      <c r="J184" s="8" t="str">
        <f aca="false">IF(COUNTA(B184,D184,G184,H184,I184)=0,"",IF(B184="","Enter date",IF(OR(B184&lt;$AC$2,B184&gt;$AC$3),"Date not in June",IF(D184="","Pick project",IF(ISNA(MATCH(D184,ProjNames,0)),"Project not in list",IF(G184="","Add task description",IF(H184="","Pick NTIME or P6",IF(N(I184)&lt;=0,"Enter hours",IF(AND(AllowOT&lt;&gt;"Yes",SUMIF($B$7:$B$256,B184,$I$7:$I$256)&gt;INDEX($O$58:$O$87,DAY(B184))),"Day over "&amp;INDEX($O$58:$O$87,DAY(B184))&amp;" h","✓")))))))))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tr">
        <f aca="false">IF(Projects!B182="","",Projects!B182)</f>
        <v/>
      </c>
      <c r="X184" s="1" t="n">
        <f aca="false">IF(W184="",0,SUMIFS($I$7:$I$256,$D$7:$D$256,W184,$H$7:$H$256,"NTIME"))</f>
        <v>0</v>
      </c>
      <c r="Y184" s="1" t="n">
        <f aca="false">IF(W184="",0,SUMIFS($I$7:$I$256,$D$7:$D$256,W184,$H$7:$H$256,"P6"))</f>
        <v>0</v>
      </c>
      <c r="Z184" s="1" t="n">
        <f aca="false">X184+Y184</f>
        <v>0</v>
      </c>
      <c r="AA184" s="1" t="n">
        <f aca="false">IF(Z184&gt;0,Z184+(201-178)/10^6,0)</f>
        <v>0</v>
      </c>
      <c r="AB184" s="1"/>
      <c r="AC184" s="1"/>
      <c r="AD184" s="1"/>
      <c r="AE184" s="1"/>
      <c r="AF184" s="1"/>
      <c r="AG184" s="1"/>
      <c r="AH184" s="1"/>
    </row>
    <row r="185" customFormat="false" ht="15" hidden="false" customHeight="false" outlineLevel="0" collapsed="false">
      <c r="A185" s="1"/>
      <c r="B185" s="10"/>
      <c r="C185" s="31" t="str">
        <f aca="false">IF(B185="","",TEXT(B185,"ddd"))</f>
        <v/>
      </c>
      <c r="D185" s="11"/>
      <c r="E185" s="8" t="str">
        <f aca="false">IF(D185="","",IFERROR(INDEX(ProjNumbers,MATCH(D185,ProjNames,0)),""))</f>
        <v/>
      </c>
      <c r="F185" s="8" t="str">
        <f aca="false">IF(D185="","",IFERROR(INDEX(ProjCodes,MATCH(D185,ProjNames,0)),""))</f>
        <v/>
      </c>
      <c r="G185" s="32"/>
      <c r="H185" s="11"/>
      <c r="I185" s="33"/>
      <c r="J185" s="8" t="str">
        <f aca="false">IF(COUNTA(B185,D185,G185,H185,I185)=0,"",IF(B185="","Enter date",IF(OR(B185&lt;$AC$2,B185&gt;$AC$3),"Date not in June",IF(D185="","Pick project",IF(ISNA(MATCH(D185,ProjNames,0)),"Project not in list",IF(G185="","Add task description",IF(H185="","Pick NTIME or P6",IF(N(I185)&lt;=0,"Enter hours",IF(AND(AllowOT&lt;&gt;"Yes",SUMIF($B$7:$B$256,B185,$I$7:$I$256)&gt;INDEX($O$58:$O$87,DAY(B185))),"Day over "&amp;INDEX($O$58:$O$87,DAY(B185))&amp;" h","✓")))))))))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tr">
        <f aca="false">IF(Projects!B183="","",Projects!B183)</f>
        <v/>
      </c>
      <c r="X185" s="1" t="n">
        <f aca="false">IF(W185="",0,SUMIFS($I$7:$I$256,$D$7:$D$256,W185,$H$7:$H$256,"NTIME"))</f>
        <v>0</v>
      </c>
      <c r="Y185" s="1" t="n">
        <f aca="false">IF(W185="",0,SUMIFS($I$7:$I$256,$D$7:$D$256,W185,$H$7:$H$256,"P6"))</f>
        <v>0</v>
      </c>
      <c r="Z185" s="1" t="n">
        <f aca="false">X185+Y185</f>
        <v>0</v>
      </c>
      <c r="AA185" s="1" t="n">
        <f aca="false">IF(Z185&gt;0,Z185+(201-179)/10^6,0)</f>
        <v>0</v>
      </c>
      <c r="AB185" s="1"/>
      <c r="AC185" s="1"/>
      <c r="AD185" s="1"/>
      <c r="AE185" s="1"/>
      <c r="AF185" s="1"/>
      <c r="AG185" s="1"/>
      <c r="AH185" s="1"/>
    </row>
    <row r="186" customFormat="false" ht="15" hidden="false" customHeight="false" outlineLevel="0" collapsed="false">
      <c r="A186" s="1"/>
      <c r="B186" s="10"/>
      <c r="C186" s="31" t="str">
        <f aca="false">IF(B186="","",TEXT(B186,"ddd"))</f>
        <v/>
      </c>
      <c r="D186" s="11"/>
      <c r="E186" s="8" t="str">
        <f aca="false">IF(D186="","",IFERROR(INDEX(ProjNumbers,MATCH(D186,ProjNames,0)),""))</f>
        <v/>
      </c>
      <c r="F186" s="8" t="str">
        <f aca="false">IF(D186="","",IFERROR(INDEX(ProjCodes,MATCH(D186,ProjNames,0)),""))</f>
        <v/>
      </c>
      <c r="G186" s="32"/>
      <c r="H186" s="11"/>
      <c r="I186" s="33"/>
      <c r="J186" s="8" t="str">
        <f aca="false">IF(COUNTA(B186,D186,G186,H186,I186)=0,"",IF(B186="","Enter date",IF(OR(B186&lt;$AC$2,B186&gt;$AC$3),"Date not in June",IF(D186="","Pick project",IF(ISNA(MATCH(D186,ProjNames,0)),"Project not in list",IF(G186="","Add task description",IF(H186="","Pick NTIME or P6",IF(N(I186)&lt;=0,"Enter hours",IF(AND(AllowOT&lt;&gt;"Yes",SUMIF($B$7:$B$256,B186,$I$7:$I$256)&gt;INDEX($O$58:$O$87,DAY(B186))),"Day over "&amp;INDEX($O$58:$O$87,DAY(B186))&amp;" h","✓")))))))))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tr">
        <f aca="false">IF(Projects!B184="","",Projects!B184)</f>
        <v/>
      </c>
      <c r="X186" s="1" t="n">
        <f aca="false">IF(W186="",0,SUMIFS($I$7:$I$256,$D$7:$D$256,W186,$H$7:$H$256,"NTIME"))</f>
        <v>0</v>
      </c>
      <c r="Y186" s="1" t="n">
        <f aca="false">IF(W186="",0,SUMIFS($I$7:$I$256,$D$7:$D$256,W186,$H$7:$H$256,"P6"))</f>
        <v>0</v>
      </c>
      <c r="Z186" s="1" t="n">
        <f aca="false">X186+Y186</f>
        <v>0</v>
      </c>
      <c r="AA186" s="1" t="n">
        <f aca="false">IF(Z186&gt;0,Z186+(201-180)/10^6,0)</f>
        <v>0</v>
      </c>
      <c r="AB186" s="1"/>
      <c r="AC186" s="1"/>
      <c r="AD186" s="1"/>
      <c r="AE186" s="1"/>
      <c r="AF186" s="1"/>
      <c r="AG186" s="1"/>
      <c r="AH186" s="1"/>
    </row>
    <row r="187" customFormat="false" ht="15" hidden="false" customHeight="false" outlineLevel="0" collapsed="false">
      <c r="A187" s="1"/>
      <c r="B187" s="10"/>
      <c r="C187" s="31" t="str">
        <f aca="false">IF(B187="","",TEXT(B187,"ddd"))</f>
        <v/>
      </c>
      <c r="D187" s="11"/>
      <c r="E187" s="8" t="str">
        <f aca="false">IF(D187="","",IFERROR(INDEX(ProjNumbers,MATCH(D187,ProjNames,0)),""))</f>
        <v/>
      </c>
      <c r="F187" s="8" t="str">
        <f aca="false">IF(D187="","",IFERROR(INDEX(ProjCodes,MATCH(D187,ProjNames,0)),""))</f>
        <v/>
      </c>
      <c r="G187" s="32"/>
      <c r="H187" s="11"/>
      <c r="I187" s="33"/>
      <c r="J187" s="8" t="str">
        <f aca="false">IF(COUNTA(B187,D187,G187,H187,I187)=0,"",IF(B187="","Enter date",IF(OR(B187&lt;$AC$2,B187&gt;$AC$3),"Date not in June",IF(D187="","Pick project",IF(ISNA(MATCH(D187,ProjNames,0)),"Project not in list",IF(G187="","Add task description",IF(H187="","Pick NTIME or P6",IF(N(I187)&lt;=0,"Enter hours",IF(AND(AllowOT&lt;&gt;"Yes",SUMIF($B$7:$B$256,B187,$I$7:$I$256)&gt;INDEX($O$58:$O$87,DAY(B187))),"Day over "&amp;INDEX($O$58:$O$87,DAY(B187))&amp;" h","✓")))))))))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tr">
        <f aca="false">IF(Projects!B185="","",Projects!B185)</f>
        <v/>
      </c>
      <c r="X187" s="1" t="n">
        <f aca="false">IF(W187="",0,SUMIFS($I$7:$I$256,$D$7:$D$256,W187,$H$7:$H$256,"NTIME"))</f>
        <v>0</v>
      </c>
      <c r="Y187" s="1" t="n">
        <f aca="false">IF(W187="",0,SUMIFS($I$7:$I$256,$D$7:$D$256,W187,$H$7:$H$256,"P6"))</f>
        <v>0</v>
      </c>
      <c r="Z187" s="1" t="n">
        <f aca="false">X187+Y187</f>
        <v>0</v>
      </c>
      <c r="AA187" s="1" t="n">
        <f aca="false">IF(Z187&gt;0,Z187+(201-181)/10^6,0)</f>
        <v>0</v>
      </c>
      <c r="AB187" s="1"/>
      <c r="AC187" s="1"/>
      <c r="AD187" s="1"/>
      <c r="AE187" s="1"/>
      <c r="AF187" s="1"/>
      <c r="AG187" s="1"/>
      <c r="AH187" s="1"/>
    </row>
    <row r="188" customFormat="false" ht="15" hidden="false" customHeight="false" outlineLevel="0" collapsed="false">
      <c r="A188" s="1"/>
      <c r="B188" s="10"/>
      <c r="C188" s="31" t="str">
        <f aca="false">IF(B188="","",TEXT(B188,"ddd"))</f>
        <v/>
      </c>
      <c r="D188" s="11"/>
      <c r="E188" s="8" t="str">
        <f aca="false">IF(D188="","",IFERROR(INDEX(ProjNumbers,MATCH(D188,ProjNames,0)),""))</f>
        <v/>
      </c>
      <c r="F188" s="8" t="str">
        <f aca="false">IF(D188="","",IFERROR(INDEX(ProjCodes,MATCH(D188,ProjNames,0)),""))</f>
        <v/>
      </c>
      <c r="G188" s="32"/>
      <c r="H188" s="11"/>
      <c r="I188" s="33"/>
      <c r="J188" s="8" t="str">
        <f aca="false">IF(COUNTA(B188,D188,G188,H188,I188)=0,"",IF(B188="","Enter date",IF(OR(B188&lt;$AC$2,B188&gt;$AC$3),"Date not in June",IF(D188="","Pick project",IF(ISNA(MATCH(D188,ProjNames,0)),"Project not in list",IF(G188="","Add task description",IF(H188="","Pick NTIME or P6",IF(N(I188)&lt;=0,"Enter hours",IF(AND(AllowOT&lt;&gt;"Yes",SUMIF($B$7:$B$256,B188,$I$7:$I$256)&gt;INDEX($O$58:$O$87,DAY(B188))),"Day over "&amp;INDEX($O$58:$O$87,DAY(B188))&amp;" h","✓")))))))))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tr">
        <f aca="false">IF(Projects!B186="","",Projects!B186)</f>
        <v/>
      </c>
      <c r="X188" s="1" t="n">
        <f aca="false">IF(W188="",0,SUMIFS($I$7:$I$256,$D$7:$D$256,W188,$H$7:$H$256,"NTIME"))</f>
        <v>0</v>
      </c>
      <c r="Y188" s="1" t="n">
        <f aca="false">IF(W188="",0,SUMIFS($I$7:$I$256,$D$7:$D$256,W188,$H$7:$H$256,"P6"))</f>
        <v>0</v>
      </c>
      <c r="Z188" s="1" t="n">
        <f aca="false">X188+Y188</f>
        <v>0</v>
      </c>
      <c r="AA188" s="1" t="n">
        <f aca="false">IF(Z188&gt;0,Z188+(201-182)/10^6,0)</f>
        <v>0</v>
      </c>
      <c r="AB188" s="1"/>
      <c r="AC188" s="1"/>
      <c r="AD188" s="1"/>
      <c r="AE188" s="1"/>
      <c r="AF188" s="1"/>
      <c r="AG188" s="1"/>
      <c r="AH188" s="1"/>
    </row>
    <row r="189" customFormat="false" ht="15" hidden="false" customHeight="false" outlineLevel="0" collapsed="false">
      <c r="A189" s="1"/>
      <c r="B189" s="10"/>
      <c r="C189" s="31" t="str">
        <f aca="false">IF(B189="","",TEXT(B189,"ddd"))</f>
        <v/>
      </c>
      <c r="D189" s="11"/>
      <c r="E189" s="8" t="str">
        <f aca="false">IF(D189="","",IFERROR(INDEX(ProjNumbers,MATCH(D189,ProjNames,0)),""))</f>
        <v/>
      </c>
      <c r="F189" s="8" t="str">
        <f aca="false">IF(D189="","",IFERROR(INDEX(ProjCodes,MATCH(D189,ProjNames,0)),""))</f>
        <v/>
      </c>
      <c r="G189" s="32"/>
      <c r="H189" s="11"/>
      <c r="I189" s="33"/>
      <c r="J189" s="8" t="str">
        <f aca="false">IF(COUNTA(B189,D189,G189,H189,I189)=0,"",IF(B189="","Enter date",IF(OR(B189&lt;$AC$2,B189&gt;$AC$3),"Date not in June",IF(D189="","Pick project",IF(ISNA(MATCH(D189,ProjNames,0)),"Project not in list",IF(G189="","Add task description",IF(H189="","Pick NTIME or P6",IF(N(I189)&lt;=0,"Enter hours",IF(AND(AllowOT&lt;&gt;"Yes",SUMIF($B$7:$B$256,B189,$I$7:$I$256)&gt;INDEX($O$58:$O$87,DAY(B189))),"Day over "&amp;INDEX($O$58:$O$87,DAY(B189))&amp;" h","✓")))))))))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tr">
        <f aca="false">IF(Projects!B187="","",Projects!B187)</f>
        <v/>
      </c>
      <c r="X189" s="1" t="n">
        <f aca="false">IF(W189="",0,SUMIFS($I$7:$I$256,$D$7:$D$256,W189,$H$7:$H$256,"NTIME"))</f>
        <v>0</v>
      </c>
      <c r="Y189" s="1" t="n">
        <f aca="false">IF(W189="",0,SUMIFS($I$7:$I$256,$D$7:$D$256,W189,$H$7:$H$256,"P6"))</f>
        <v>0</v>
      </c>
      <c r="Z189" s="1" t="n">
        <f aca="false">X189+Y189</f>
        <v>0</v>
      </c>
      <c r="AA189" s="1" t="n">
        <f aca="false">IF(Z189&gt;0,Z189+(201-183)/10^6,0)</f>
        <v>0</v>
      </c>
      <c r="AB189" s="1"/>
      <c r="AC189" s="1"/>
      <c r="AD189" s="1"/>
      <c r="AE189" s="1"/>
      <c r="AF189" s="1"/>
      <c r="AG189" s="1"/>
      <c r="AH189" s="1"/>
    </row>
    <row r="190" customFormat="false" ht="15" hidden="false" customHeight="false" outlineLevel="0" collapsed="false">
      <c r="A190" s="1"/>
      <c r="B190" s="10"/>
      <c r="C190" s="31" t="str">
        <f aca="false">IF(B190="","",TEXT(B190,"ddd"))</f>
        <v/>
      </c>
      <c r="D190" s="11"/>
      <c r="E190" s="8" t="str">
        <f aca="false">IF(D190="","",IFERROR(INDEX(ProjNumbers,MATCH(D190,ProjNames,0)),""))</f>
        <v/>
      </c>
      <c r="F190" s="8" t="str">
        <f aca="false">IF(D190="","",IFERROR(INDEX(ProjCodes,MATCH(D190,ProjNames,0)),""))</f>
        <v/>
      </c>
      <c r="G190" s="32"/>
      <c r="H190" s="11"/>
      <c r="I190" s="33"/>
      <c r="J190" s="8" t="str">
        <f aca="false">IF(COUNTA(B190,D190,G190,H190,I190)=0,"",IF(B190="","Enter date",IF(OR(B190&lt;$AC$2,B190&gt;$AC$3),"Date not in June",IF(D190="","Pick project",IF(ISNA(MATCH(D190,ProjNames,0)),"Project not in list",IF(G190="","Add task description",IF(H190="","Pick NTIME or P6",IF(N(I190)&lt;=0,"Enter hours",IF(AND(AllowOT&lt;&gt;"Yes",SUMIF($B$7:$B$256,B190,$I$7:$I$256)&gt;INDEX($O$58:$O$87,DAY(B190))),"Day over "&amp;INDEX($O$58:$O$87,DAY(B190))&amp;" h","✓")))))))))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tr">
        <f aca="false">IF(Projects!B188="","",Projects!B188)</f>
        <v/>
      </c>
      <c r="X190" s="1" t="n">
        <f aca="false">IF(W190="",0,SUMIFS($I$7:$I$256,$D$7:$D$256,W190,$H$7:$H$256,"NTIME"))</f>
        <v>0</v>
      </c>
      <c r="Y190" s="1" t="n">
        <f aca="false">IF(W190="",0,SUMIFS($I$7:$I$256,$D$7:$D$256,W190,$H$7:$H$256,"P6"))</f>
        <v>0</v>
      </c>
      <c r="Z190" s="1" t="n">
        <f aca="false">X190+Y190</f>
        <v>0</v>
      </c>
      <c r="AA190" s="1" t="n">
        <f aca="false">IF(Z190&gt;0,Z190+(201-184)/10^6,0)</f>
        <v>0</v>
      </c>
      <c r="AB190" s="1"/>
      <c r="AC190" s="1"/>
      <c r="AD190" s="1"/>
      <c r="AE190" s="1"/>
      <c r="AF190" s="1"/>
      <c r="AG190" s="1"/>
      <c r="AH190" s="1"/>
    </row>
    <row r="191" customFormat="false" ht="15" hidden="false" customHeight="false" outlineLevel="0" collapsed="false">
      <c r="A191" s="1"/>
      <c r="B191" s="10"/>
      <c r="C191" s="31" t="str">
        <f aca="false">IF(B191="","",TEXT(B191,"ddd"))</f>
        <v/>
      </c>
      <c r="D191" s="11"/>
      <c r="E191" s="8" t="str">
        <f aca="false">IF(D191="","",IFERROR(INDEX(ProjNumbers,MATCH(D191,ProjNames,0)),""))</f>
        <v/>
      </c>
      <c r="F191" s="8" t="str">
        <f aca="false">IF(D191="","",IFERROR(INDEX(ProjCodes,MATCH(D191,ProjNames,0)),""))</f>
        <v/>
      </c>
      <c r="G191" s="32"/>
      <c r="H191" s="11"/>
      <c r="I191" s="33"/>
      <c r="J191" s="8" t="str">
        <f aca="false">IF(COUNTA(B191,D191,G191,H191,I191)=0,"",IF(B191="","Enter date",IF(OR(B191&lt;$AC$2,B191&gt;$AC$3),"Date not in June",IF(D191="","Pick project",IF(ISNA(MATCH(D191,ProjNames,0)),"Project not in list",IF(G191="","Add task description",IF(H191="","Pick NTIME or P6",IF(N(I191)&lt;=0,"Enter hours",IF(AND(AllowOT&lt;&gt;"Yes",SUMIF($B$7:$B$256,B191,$I$7:$I$256)&gt;INDEX($O$58:$O$87,DAY(B191))),"Day over "&amp;INDEX($O$58:$O$87,DAY(B191))&amp;" h","✓")))))))))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tr">
        <f aca="false">IF(Projects!B189="","",Projects!B189)</f>
        <v/>
      </c>
      <c r="X191" s="1" t="n">
        <f aca="false">IF(W191="",0,SUMIFS($I$7:$I$256,$D$7:$D$256,W191,$H$7:$H$256,"NTIME"))</f>
        <v>0</v>
      </c>
      <c r="Y191" s="1" t="n">
        <f aca="false">IF(W191="",0,SUMIFS($I$7:$I$256,$D$7:$D$256,W191,$H$7:$H$256,"P6"))</f>
        <v>0</v>
      </c>
      <c r="Z191" s="1" t="n">
        <f aca="false">X191+Y191</f>
        <v>0</v>
      </c>
      <c r="AA191" s="1" t="n">
        <f aca="false">IF(Z191&gt;0,Z191+(201-185)/10^6,0)</f>
        <v>0</v>
      </c>
      <c r="AB191" s="1"/>
      <c r="AC191" s="1"/>
      <c r="AD191" s="1"/>
      <c r="AE191" s="1"/>
      <c r="AF191" s="1"/>
      <c r="AG191" s="1"/>
      <c r="AH191" s="1"/>
    </row>
    <row r="192" customFormat="false" ht="15" hidden="false" customHeight="false" outlineLevel="0" collapsed="false">
      <c r="A192" s="1"/>
      <c r="B192" s="10"/>
      <c r="C192" s="31" t="str">
        <f aca="false">IF(B192="","",TEXT(B192,"ddd"))</f>
        <v/>
      </c>
      <c r="D192" s="11"/>
      <c r="E192" s="8" t="str">
        <f aca="false">IF(D192="","",IFERROR(INDEX(ProjNumbers,MATCH(D192,ProjNames,0)),""))</f>
        <v/>
      </c>
      <c r="F192" s="8" t="str">
        <f aca="false">IF(D192="","",IFERROR(INDEX(ProjCodes,MATCH(D192,ProjNames,0)),""))</f>
        <v/>
      </c>
      <c r="G192" s="32"/>
      <c r="H192" s="11"/>
      <c r="I192" s="33"/>
      <c r="J192" s="8" t="str">
        <f aca="false">IF(COUNTA(B192,D192,G192,H192,I192)=0,"",IF(B192="","Enter date",IF(OR(B192&lt;$AC$2,B192&gt;$AC$3),"Date not in June",IF(D192="","Pick project",IF(ISNA(MATCH(D192,ProjNames,0)),"Project not in list",IF(G192="","Add task description",IF(H192="","Pick NTIME or P6",IF(N(I192)&lt;=0,"Enter hours",IF(AND(AllowOT&lt;&gt;"Yes",SUMIF($B$7:$B$256,B192,$I$7:$I$256)&gt;INDEX($O$58:$O$87,DAY(B192))),"Day over "&amp;INDEX($O$58:$O$87,DAY(B192))&amp;" h","✓")))))))))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tr">
        <f aca="false">IF(Projects!B190="","",Projects!B190)</f>
        <v/>
      </c>
      <c r="X192" s="1" t="n">
        <f aca="false">IF(W192="",0,SUMIFS($I$7:$I$256,$D$7:$D$256,W192,$H$7:$H$256,"NTIME"))</f>
        <v>0</v>
      </c>
      <c r="Y192" s="1" t="n">
        <f aca="false">IF(W192="",0,SUMIFS($I$7:$I$256,$D$7:$D$256,W192,$H$7:$H$256,"P6"))</f>
        <v>0</v>
      </c>
      <c r="Z192" s="1" t="n">
        <f aca="false">X192+Y192</f>
        <v>0</v>
      </c>
      <c r="AA192" s="1" t="n">
        <f aca="false">IF(Z192&gt;0,Z192+(201-186)/10^6,0)</f>
        <v>0</v>
      </c>
      <c r="AB192" s="1"/>
      <c r="AC192" s="1"/>
      <c r="AD192" s="1"/>
      <c r="AE192" s="1"/>
      <c r="AF192" s="1"/>
      <c r="AG192" s="1"/>
      <c r="AH192" s="1"/>
    </row>
    <row r="193" customFormat="false" ht="15" hidden="false" customHeight="false" outlineLevel="0" collapsed="false">
      <c r="A193" s="1"/>
      <c r="B193" s="10"/>
      <c r="C193" s="31" t="str">
        <f aca="false">IF(B193="","",TEXT(B193,"ddd"))</f>
        <v/>
      </c>
      <c r="D193" s="11"/>
      <c r="E193" s="8" t="str">
        <f aca="false">IF(D193="","",IFERROR(INDEX(ProjNumbers,MATCH(D193,ProjNames,0)),""))</f>
        <v/>
      </c>
      <c r="F193" s="8" t="str">
        <f aca="false">IF(D193="","",IFERROR(INDEX(ProjCodes,MATCH(D193,ProjNames,0)),""))</f>
        <v/>
      </c>
      <c r="G193" s="32"/>
      <c r="H193" s="11"/>
      <c r="I193" s="33"/>
      <c r="J193" s="8" t="str">
        <f aca="false">IF(COUNTA(B193,D193,G193,H193,I193)=0,"",IF(B193="","Enter date",IF(OR(B193&lt;$AC$2,B193&gt;$AC$3),"Date not in June",IF(D193="","Pick project",IF(ISNA(MATCH(D193,ProjNames,0)),"Project not in list",IF(G193="","Add task description",IF(H193="","Pick NTIME or P6",IF(N(I193)&lt;=0,"Enter hours",IF(AND(AllowOT&lt;&gt;"Yes",SUMIF($B$7:$B$256,B193,$I$7:$I$256)&gt;INDEX($O$58:$O$87,DAY(B193))),"Day over "&amp;INDEX($O$58:$O$87,DAY(B193))&amp;" h","✓")))))))))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tr">
        <f aca="false">IF(Projects!B191="","",Projects!B191)</f>
        <v/>
      </c>
      <c r="X193" s="1" t="n">
        <f aca="false">IF(W193="",0,SUMIFS($I$7:$I$256,$D$7:$D$256,W193,$H$7:$H$256,"NTIME"))</f>
        <v>0</v>
      </c>
      <c r="Y193" s="1" t="n">
        <f aca="false">IF(W193="",0,SUMIFS($I$7:$I$256,$D$7:$D$256,W193,$H$7:$H$256,"P6"))</f>
        <v>0</v>
      </c>
      <c r="Z193" s="1" t="n">
        <f aca="false">X193+Y193</f>
        <v>0</v>
      </c>
      <c r="AA193" s="1" t="n">
        <f aca="false">IF(Z193&gt;0,Z193+(201-187)/10^6,0)</f>
        <v>0</v>
      </c>
      <c r="AB193" s="1"/>
      <c r="AC193" s="1"/>
      <c r="AD193" s="1"/>
      <c r="AE193" s="1"/>
      <c r="AF193" s="1"/>
      <c r="AG193" s="1"/>
      <c r="AH193" s="1"/>
    </row>
    <row r="194" customFormat="false" ht="15" hidden="false" customHeight="false" outlineLevel="0" collapsed="false">
      <c r="A194" s="1"/>
      <c r="B194" s="10"/>
      <c r="C194" s="31" t="str">
        <f aca="false">IF(B194="","",TEXT(B194,"ddd"))</f>
        <v/>
      </c>
      <c r="D194" s="11"/>
      <c r="E194" s="8" t="str">
        <f aca="false">IF(D194="","",IFERROR(INDEX(ProjNumbers,MATCH(D194,ProjNames,0)),""))</f>
        <v/>
      </c>
      <c r="F194" s="8" t="str">
        <f aca="false">IF(D194="","",IFERROR(INDEX(ProjCodes,MATCH(D194,ProjNames,0)),""))</f>
        <v/>
      </c>
      <c r="G194" s="32"/>
      <c r="H194" s="11"/>
      <c r="I194" s="33"/>
      <c r="J194" s="8" t="str">
        <f aca="false">IF(COUNTA(B194,D194,G194,H194,I194)=0,"",IF(B194="","Enter date",IF(OR(B194&lt;$AC$2,B194&gt;$AC$3),"Date not in June",IF(D194="","Pick project",IF(ISNA(MATCH(D194,ProjNames,0)),"Project not in list",IF(G194="","Add task description",IF(H194="","Pick NTIME or P6",IF(N(I194)&lt;=0,"Enter hours",IF(AND(AllowOT&lt;&gt;"Yes",SUMIF($B$7:$B$256,B194,$I$7:$I$256)&gt;INDEX($O$58:$O$87,DAY(B194))),"Day over "&amp;INDEX($O$58:$O$87,DAY(B194))&amp;" h","✓")))))))))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tr">
        <f aca="false">IF(Projects!B192="","",Projects!B192)</f>
        <v/>
      </c>
      <c r="X194" s="1" t="n">
        <f aca="false">IF(W194="",0,SUMIFS($I$7:$I$256,$D$7:$D$256,W194,$H$7:$H$256,"NTIME"))</f>
        <v>0</v>
      </c>
      <c r="Y194" s="1" t="n">
        <f aca="false">IF(W194="",0,SUMIFS($I$7:$I$256,$D$7:$D$256,W194,$H$7:$H$256,"P6"))</f>
        <v>0</v>
      </c>
      <c r="Z194" s="1" t="n">
        <f aca="false">X194+Y194</f>
        <v>0</v>
      </c>
      <c r="AA194" s="1" t="n">
        <f aca="false">IF(Z194&gt;0,Z194+(201-188)/10^6,0)</f>
        <v>0</v>
      </c>
      <c r="AB194" s="1"/>
      <c r="AC194" s="1"/>
      <c r="AD194" s="1"/>
      <c r="AE194" s="1"/>
      <c r="AF194" s="1"/>
      <c r="AG194" s="1"/>
      <c r="AH194" s="1"/>
    </row>
    <row r="195" customFormat="false" ht="15" hidden="false" customHeight="false" outlineLevel="0" collapsed="false">
      <c r="A195" s="1"/>
      <c r="B195" s="10"/>
      <c r="C195" s="31" t="str">
        <f aca="false">IF(B195="","",TEXT(B195,"ddd"))</f>
        <v/>
      </c>
      <c r="D195" s="11"/>
      <c r="E195" s="8" t="str">
        <f aca="false">IF(D195="","",IFERROR(INDEX(ProjNumbers,MATCH(D195,ProjNames,0)),""))</f>
        <v/>
      </c>
      <c r="F195" s="8" t="str">
        <f aca="false">IF(D195="","",IFERROR(INDEX(ProjCodes,MATCH(D195,ProjNames,0)),""))</f>
        <v/>
      </c>
      <c r="G195" s="32"/>
      <c r="H195" s="11"/>
      <c r="I195" s="33"/>
      <c r="J195" s="8" t="str">
        <f aca="false">IF(COUNTA(B195,D195,G195,H195,I195)=0,"",IF(B195="","Enter date",IF(OR(B195&lt;$AC$2,B195&gt;$AC$3),"Date not in June",IF(D195="","Pick project",IF(ISNA(MATCH(D195,ProjNames,0)),"Project not in list",IF(G195="","Add task description",IF(H195="","Pick NTIME or P6",IF(N(I195)&lt;=0,"Enter hours",IF(AND(AllowOT&lt;&gt;"Yes",SUMIF($B$7:$B$256,B195,$I$7:$I$256)&gt;INDEX($O$58:$O$87,DAY(B195))),"Day over "&amp;INDEX($O$58:$O$87,DAY(B195))&amp;" h","✓")))))))))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tr">
        <f aca="false">IF(Projects!B193="","",Projects!B193)</f>
        <v/>
      </c>
      <c r="X195" s="1" t="n">
        <f aca="false">IF(W195="",0,SUMIFS($I$7:$I$256,$D$7:$D$256,W195,$H$7:$H$256,"NTIME"))</f>
        <v>0</v>
      </c>
      <c r="Y195" s="1" t="n">
        <f aca="false">IF(W195="",0,SUMIFS($I$7:$I$256,$D$7:$D$256,W195,$H$7:$H$256,"P6"))</f>
        <v>0</v>
      </c>
      <c r="Z195" s="1" t="n">
        <f aca="false">X195+Y195</f>
        <v>0</v>
      </c>
      <c r="AA195" s="1" t="n">
        <f aca="false">IF(Z195&gt;0,Z195+(201-189)/10^6,0)</f>
        <v>0</v>
      </c>
      <c r="AB195" s="1"/>
      <c r="AC195" s="1"/>
      <c r="AD195" s="1"/>
      <c r="AE195" s="1"/>
      <c r="AF195" s="1"/>
      <c r="AG195" s="1"/>
      <c r="AH195" s="1"/>
    </row>
    <row r="196" customFormat="false" ht="15" hidden="false" customHeight="false" outlineLevel="0" collapsed="false">
      <c r="A196" s="1"/>
      <c r="B196" s="10"/>
      <c r="C196" s="31" t="str">
        <f aca="false">IF(B196="","",TEXT(B196,"ddd"))</f>
        <v/>
      </c>
      <c r="D196" s="11"/>
      <c r="E196" s="8" t="str">
        <f aca="false">IF(D196="","",IFERROR(INDEX(ProjNumbers,MATCH(D196,ProjNames,0)),""))</f>
        <v/>
      </c>
      <c r="F196" s="8" t="str">
        <f aca="false">IF(D196="","",IFERROR(INDEX(ProjCodes,MATCH(D196,ProjNames,0)),""))</f>
        <v/>
      </c>
      <c r="G196" s="32"/>
      <c r="H196" s="11"/>
      <c r="I196" s="33"/>
      <c r="J196" s="8" t="str">
        <f aca="false">IF(COUNTA(B196,D196,G196,H196,I196)=0,"",IF(B196="","Enter date",IF(OR(B196&lt;$AC$2,B196&gt;$AC$3),"Date not in June",IF(D196="","Pick project",IF(ISNA(MATCH(D196,ProjNames,0)),"Project not in list",IF(G196="","Add task description",IF(H196="","Pick NTIME or P6",IF(N(I196)&lt;=0,"Enter hours",IF(AND(AllowOT&lt;&gt;"Yes",SUMIF($B$7:$B$256,B196,$I$7:$I$256)&gt;INDEX($O$58:$O$87,DAY(B196))),"Day over "&amp;INDEX($O$58:$O$87,DAY(B196))&amp;" h","✓")))))))))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tr">
        <f aca="false">IF(Projects!B194="","",Projects!B194)</f>
        <v/>
      </c>
      <c r="X196" s="1" t="n">
        <f aca="false">IF(W196="",0,SUMIFS($I$7:$I$256,$D$7:$D$256,W196,$H$7:$H$256,"NTIME"))</f>
        <v>0</v>
      </c>
      <c r="Y196" s="1" t="n">
        <f aca="false">IF(W196="",0,SUMIFS($I$7:$I$256,$D$7:$D$256,W196,$H$7:$H$256,"P6"))</f>
        <v>0</v>
      </c>
      <c r="Z196" s="1" t="n">
        <f aca="false">X196+Y196</f>
        <v>0</v>
      </c>
      <c r="AA196" s="1" t="n">
        <f aca="false">IF(Z196&gt;0,Z196+(201-190)/10^6,0)</f>
        <v>0</v>
      </c>
      <c r="AB196" s="1"/>
      <c r="AC196" s="1"/>
      <c r="AD196" s="1"/>
      <c r="AE196" s="1"/>
      <c r="AF196" s="1"/>
      <c r="AG196" s="1"/>
      <c r="AH196" s="1"/>
    </row>
    <row r="197" customFormat="false" ht="15" hidden="false" customHeight="false" outlineLevel="0" collapsed="false">
      <c r="A197" s="1"/>
      <c r="B197" s="10"/>
      <c r="C197" s="31" t="str">
        <f aca="false">IF(B197="","",TEXT(B197,"ddd"))</f>
        <v/>
      </c>
      <c r="D197" s="11"/>
      <c r="E197" s="8" t="str">
        <f aca="false">IF(D197="","",IFERROR(INDEX(ProjNumbers,MATCH(D197,ProjNames,0)),""))</f>
        <v/>
      </c>
      <c r="F197" s="8" t="str">
        <f aca="false">IF(D197="","",IFERROR(INDEX(ProjCodes,MATCH(D197,ProjNames,0)),""))</f>
        <v/>
      </c>
      <c r="G197" s="32"/>
      <c r="H197" s="11"/>
      <c r="I197" s="33"/>
      <c r="J197" s="8" t="str">
        <f aca="false">IF(COUNTA(B197,D197,G197,H197,I197)=0,"",IF(B197="","Enter date",IF(OR(B197&lt;$AC$2,B197&gt;$AC$3),"Date not in June",IF(D197="","Pick project",IF(ISNA(MATCH(D197,ProjNames,0)),"Project not in list",IF(G197="","Add task description",IF(H197="","Pick NTIME or P6",IF(N(I197)&lt;=0,"Enter hours",IF(AND(AllowOT&lt;&gt;"Yes",SUMIF($B$7:$B$256,B197,$I$7:$I$256)&gt;INDEX($O$58:$O$87,DAY(B197))),"Day over "&amp;INDEX($O$58:$O$87,DAY(B197))&amp;" h","✓")))))))))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tr">
        <f aca="false">IF(Projects!B195="","",Projects!B195)</f>
        <v/>
      </c>
      <c r="X197" s="1" t="n">
        <f aca="false">IF(W197="",0,SUMIFS($I$7:$I$256,$D$7:$D$256,W197,$H$7:$H$256,"NTIME"))</f>
        <v>0</v>
      </c>
      <c r="Y197" s="1" t="n">
        <f aca="false">IF(W197="",0,SUMIFS($I$7:$I$256,$D$7:$D$256,W197,$H$7:$H$256,"P6"))</f>
        <v>0</v>
      </c>
      <c r="Z197" s="1" t="n">
        <f aca="false">X197+Y197</f>
        <v>0</v>
      </c>
      <c r="AA197" s="1" t="n">
        <f aca="false">IF(Z197&gt;0,Z197+(201-191)/10^6,0)</f>
        <v>0</v>
      </c>
      <c r="AB197" s="1"/>
      <c r="AC197" s="1"/>
      <c r="AD197" s="1"/>
      <c r="AE197" s="1"/>
      <c r="AF197" s="1"/>
      <c r="AG197" s="1"/>
      <c r="AH197" s="1"/>
    </row>
    <row r="198" customFormat="false" ht="15" hidden="false" customHeight="false" outlineLevel="0" collapsed="false">
      <c r="A198" s="1"/>
      <c r="B198" s="10"/>
      <c r="C198" s="31" t="str">
        <f aca="false">IF(B198="","",TEXT(B198,"ddd"))</f>
        <v/>
      </c>
      <c r="D198" s="11"/>
      <c r="E198" s="8" t="str">
        <f aca="false">IF(D198="","",IFERROR(INDEX(ProjNumbers,MATCH(D198,ProjNames,0)),""))</f>
        <v/>
      </c>
      <c r="F198" s="8" t="str">
        <f aca="false">IF(D198="","",IFERROR(INDEX(ProjCodes,MATCH(D198,ProjNames,0)),""))</f>
        <v/>
      </c>
      <c r="G198" s="32"/>
      <c r="H198" s="11"/>
      <c r="I198" s="33"/>
      <c r="J198" s="8" t="str">
        <f aca="false">IF(COUNTA(B198,D198,G198,H198,I198)=0,"",IF(B198="","Enter date",IF(OR(B198&lt;$AC$2,B198&gt;$AC$3),"Date not in June",IF(D198="","Pick project",IF(ISNA(MATCH(D198,ProjNames,0)),"Project not in list",IF(G198="","Add task description",IF(H198="","Pick NTIME or P6",IF(N(I198)&lt;=0,"Enter hours",IF(AND(AllowOT&lt;&gt;"Yes",SUMIF($B$7:$B$256,B198,$I$7:$I$256)&gt;INDEX($O$58:$O$87,DAY(B198))),"Day over "&amp;INDEX($O$58:$O$87,DAY(B198))&amp;" h","✓")))))))))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tr">
        <f aca="false">IF(Projects!B196="","",Projects!B196)</f>
        <v/>
      </c>
      <c r="X198" s="1" t="n">
        <f aca="false">IF(W198="",0,SUMIFS($I$7:$I$256,$D$7:$D$256,W198,$H$7:$H$256,"NTIME"))</f>
        <v>0</v>
      </c>
      <c r="Y198" s="1" t="n">
        <f aca="false">IF(W198="",0,SUMIFS($I$7:$I$256,$D$7:$D$256,W198,$H$7:$H$256,"P6"))</f>
        <v>0</v>
      </c>
      <c r="Z198" s="1" t="n">
        <f aca="false">X198+Y198</f>
        <v>0</v>
      </c>
      <c r="AA198" s="1" t="n">
        <f aca="false">IF(Z198&gt;0,Z198+(201-192)/10^6,0)</f>
        <v>0</v>
      </c>
      <c r="AB198" s="1"/>
      <c r="AC198" s="1"/>
      <c r="AD198" s="1"/>
      <c r="AE198" s="1"/>
      <c r="AF198" s="1"/>
      <c r="AG198" s="1"/>
      <c r="AH198" s="1"/>
    </row>
    <row r="199" customFormat="false" ht="15" hidden="false" customHeight="false" outlineLevel="0" collapsed="false">
      <c r="A199" s="1"/>
      <c r="B199" s="10"/>
      <c r="C199" s="31" t="str">
        <f aca="false">IF(B199="","",TEXT(B199,"ddd"))</f>
        <v/>
      </c>
      <c r="D199" s="11"/>
      <c r="E199" s="8" t="str">
        <f aca="false">IF(D199="","",IFERROR(INDEX(ProjNumbers,MATCH(D199,ProjNames,0)),""))</f>
        <v/>
      </c>
      <c r="F199" s="8" t="str">
        <f aca="false">IF(D199="","",IFERROR(INDEX(ProjCodes,MATCH(D199,ProjNames,0)),""))</f>
        <v/>
      </c>
      <c r="G199" s="32"/>
      <c r="H199" s="11"/>
      <c r="I199" s="33"/>
      <c r="J199" s="8" t="str">
        <f aca="false">IF(COUNTA(B199,D199,G199,H199,I199)=0,"",IF(B199="","Enter date",IF(OR(B199&lt;$AC$2,B199&gt;$AC$3),"Date not in June",IF(D199="","Pick project",IF(ISNA(MATCH(D199,ProjNames,0)),"Project not in list",IF(G199="","Add task description",IF(H199="","Pick NTIME or P6",IF(N(I199)&lt;=0,"Enter hours",IF(AND(AllowOT&lt;&gt;"Yes",SUMIF($B$7:$B$256,B199,$I$7:$I$256)&gt;INDEX($O$58:$O$87,DAY(B199))),"Day over "&amp;INDEX($O$58:$O$87,DAY(B199))&amp;" h","✓")))))))))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tr">
        <f aca="false">IF(Projects!B197="","",Projects!B197)</f>
        <v/>
      </c>
      <c r="X199" s="1" t="n">
        <f aca="false">IF(W199="",0,SUMIFS($I$7:$I$256,$D$7:$D$256,W199,$H$7:$H$256,"NTIME"))</f>
        <v>0</v>
      </c>
      <c r="Y199" s="1" t="n">
        <f aca="false">IF(W199="",0,SUMIFS($I$7:$I$256,$D$7:$D$256,W199,$H$7:$H$256,"P6"))</f>
        <v>0</v>
      </c>
      <c r="Z199" s="1" t="n">
        <f aca="false">X199+Y199</f>
        <v>0</v>
      </c>
      <c r="AA199" s="1" t="n">
        <f aca="false">IF(Z199&gt;0,Z199+(201-193)/10^6,0)</f>
        <v>0</v>
      </c>
      <c r="AB199" s="1"/>
      <c r="AC199" s="1"/>
      <c r="AD199" s="1"/>
      <c r="AE199" s="1"/>
      <c r="AF199" s="1"/>
      <c r="AG199" s="1"/>
      <c r="AH199" s="1"/>
    </row>
    <row r="200" customFormat="false" ht="15" hidden="false" customHeight="false" outlineLevel="0" collapsed="false">
      <c r="A200" s="1"/>
      <c r="B200" s="10"/>
      <c r="C200" s="31" t="str">
        <f aca="false">IF(B200="","",TEXT(B200,"ddd"))</f>
        <v/>
      </c>
      <c r="D200" s="11"/>
      <c r="E200" s="8" t="str">
        <f aca="false">IF(D200="","",IFERROR(INDEX(ProjNumbers,MATCH(D200,ProjNames,0)),""))</f>
        <v/>
      </c>
      <c r="F200" s="8" t="str">
        <f aca="false">IF(D200="","",IFERROR(INDEX(ProjCodes,MATCH(D200,ProjNames,0)),""))</f>
        <v/>
      </c>
      <c r="G200" s="32"/>
      <c r="H200" s="11"/>
      <c r="I200" s="33"/>
      <c r="J200" s="8" t="str">
        <f aca="false">IF(COUNTA(B200,D200,G200,H200,I200)=0,"",IF(B200="","Enter date",IF(OR(B200&lt;$AC$2,B200&gt;$AC$3),"Date not in June",IF(D200="","Pick project",IF(ISNA(MATCH(D200,ProjNames,0)),"Project not in list",IF(G200="","Add task description",IF(H200="","Pick NTIME or P6",IF(N(I200)&lt;=0,"Enter hours",IF(AND(AllowOT&lt;&gt;"Yes",SUMIF($B$7:$B$256,B200,$I$7:$I$256)&gt;INDEX($O$58:$O$87,DAY(B200))),"Day over "&amp;INDEX($O$58:$O$87,DAY(B200))&amp;" h","✓")))))))))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tr">
        <f aca="false">IF(Projects!B198="","",Projects!B198)</f>
        <v/>
      </c>
      <c r="X200" s="1" t="n">
        <f aca="false">IF(W200="",0,SUMIFS($I$7:$I$256,$D$7:$D$256,W200,$H$7:$H$256,"NTIME"))</f>
        <v>0</v>
      </c>
      <c r="Y200" s="1" t="n">
        <f aca="false">IF(W200="",0,SUMIFS($I$7:$I$256,$D$7:$D$256,W200,$H$7:$H$256,"P6"))</f>
        <v>0</v>
      </c>
      <c r="Z200" s="1" t="n">
        <f aca="false">X200+Y200</f>
        <v>0</v>
      </c>
      <c r="AA200" s="1" t="n">
        <f aca="false">IF(Z200&gt;0,Z200+(201-194)/10^6,0)</f>
        <v>0</v>
      </c>
      <c r="AB200" s="1"/>
      <c r="AC200" s="1"/>
      <c r="AD200" s="1"/>
      <c r="AE200" s="1"/>
      <c r="AF200" s="1"/>
      <c r="AG200" s="1"/>
      <c r="AH200" s="1"/>
    </row>
    <row r="201" customFormat="false" ht="15" hidden="false" customHeight="false" outlineLevel="0" collapsed="false">
      <c r="A201" s="1"/>
      <c r="B201" s="10"/>
      <c r="C201" s="31" t="str">
        <f aca="false">IF(B201="","",TEXT(B201,"ddd"))</f>
        <v/>
      </c>
      <c r="D201" s="11"/>
      <c r="E201" s="8" t="str">
        <f aca="false">IF(D201="","",IFERROR(INDEX(ProjNumbers,MATCH(D201,ProjNames,0)),""))</f>
        <v/>
      </c>
      <c r="F201" s="8" t="str">
        <f aca="false">IF(D201="","",IFERROR(INDEX(ProjCodes,MATCH(D201,ProjNames,0)),""))</f>
        <v/>
      </c>
      <c r="G201" s="32"/>
      <c r="H201" s="11"/>
      <c r="I201" s="33"/>
      <c r="J201" s="8" t="str">
        <f aca="false">IF(COUNTA(B201,D201,G201,H201,I201)=0,"",IF(B201="","Enter date",IF(OR(B201&lt;$AC$2,B201&gt;$AC$3),"Date not in June",IF(D201="","Pick project",IF(ISNA(MATCH(D201,ProjNames,0)),"Project not in list",IF(G201="","Add task description",IF(H201="","Pick NTIME or P6",IF(N(I201)&lt;=0,"Enter hours",IF(AND(AllowOT&lt;&gt;"Yes",SUMIF($B$7:$B$256,B201,$I$7:$I$256)&gt;INDEX($O$58:$O$87,DAY(B201))),"Day over "&amp;INDEX($O$58:$O$87,DAY(B201))&amp;" h","✓")))))))))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tr">
        <f aca="false">IF(Projects!B199="","",Projects!B199)</f>
        <v/>
      </c>
      <c r="X201" s="1" t="n">
        <f aca="false">IF(W201="",0,SUMIFS($I$7:$I$256,$D$7:$D$256,W201,$H$7:$H$256,"NTIME"))</f>
        <v>0</v>
      </c>
      <c r="Y201" s="1" t="n">
        <f aca="false">IF(W201="",0,SUMIFS($I$7:$I$256,$D$7:$D$256,W201,$H$7:$H$256,"P6"))</f>
        <v>0</v>
      </c>
      <c r="Z201" s="1" t="n">
        <f aca="false">X201+Y201</f>
        <v>0</v>
      </c>
      <c r="AA201" s="1" t="n">
        <f aca="false">IF(Z201&gt;0,Z201+(201-195)/10^6,0)</f>
        <v>0</v>
      </c>
      <c r="AB201" s="1"/>
      <c r="AC201" s="1"/>
      <c r="AD201" s="1"/>
      <c r="AE201" s="1"/>
      <c r="AF201" s="1"/>
      <c r="AG201" s="1"/>
      <c r="AH201" s="1"/>
    </row>
    <row r="202" customFormat="false" ht="15" hidden="false" customHeight="false" outlineLevel="0" collapsed="false">
      <c r="A202" s="1"/>
      <c r="B202" s="10"/>
      <c r="C202" s="31" t="str">
        <f aca="false">IF(B202="","",TEXT(B202,"ddd"))</f>
        <v/>
      </c>
      <c r="D202" s="11"/>
      <c r="E202" s="8" t="str">
        <f aca="false">IF(D202="","",IFERROR(INDEX(ProjNumbers,MATCH(D202,ProjNames,0)),""))</f>
        <v/>
      </c>
      <c r="F202" s="8" t="str">
        <f aca="false">IF(D202="","",IFERROR(INDEX(ProjCodes,MATCH(D202,ProjNames,0)),""))</f>
        <v/>
      </c>
      <c r="G202" s="32"/>
      <c r="H202" s="11"/>
      <c r="I202" s="33"/>
      <c r="J202" s="8" t="str">
        <f aca="false">IF(COUNTA(B202,D202,G202,H202,I202)=0,"",IF(B202="","Enter date",IF(OR(B202&lt;$AC$2,B202&gt;$AC$3),"Date not in June",IF(D202="","Pick project",IF(ISNA(MATCH(D202,ProjNames,0)),"Project not in list",IF(G202="","Add task description",IF(H202="","Pick NTIME or P6",IF(N(I202)&lt;=0,"Enter hours",IF(AND(AllowOT&lt;&gt;"Yes",SUMIF($B$7:$B$256,B202,$I$7:$I$256)&gt;INDEX($O$58:$O$87,DAY(B202))),"Day over "&amp;INDEX($O$58:$O$87,DAY(B202))&amp;" h","✓")))))))))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tr">
        <f aca="false">IF(Projects!B200="","",Projects!B200)</f>
        <v/>
      </c>
      <c r="X202" s="1" t="n">
        <f aca="false">IF(W202="",0,SUMIFS($I$7:$I$256,$D$7:$D$256,W202,$H$7:$H$256,"NTIME"))</f>
        <v>0</v>
      </c>
      <c r="Y202" s="1" t="n">
        <f aca="false">IF(W202="",0,SUMIFS($I$7:$I$256,$D$7:$D$256,W202,$H$7:$H$256,"P6"))</f>
        <v>0</v>
      </c>
      <c r="Z202" s="1" t="n">
        <f aca="false">X202+Y202</f>
        <v>0</v>
      </c>
      <c r="AA202" s="1" t="n">
        <f aca="false">IF(Z202&gt;0,Z202+(201-196)/10^6,0)</f>
        <v>0</v>
      </c>
      <c r="AB202" s="1"/>
      <c r="AC202" s="1"/>
      <c r="AD202" s="1"/>
      <c r="AE202" s="1"/>
      <c r="AF202" s="1"/>
      <c r="AG202" s="1"/>
      <c r="AH202" s="1"/>
    </row>
    <row r="203" customFormat="false" ht="15" hidden="false" customHeight="false" outlineLevel="0" collapsed="false">
      <c r="A203" s="1"/>
      <c r="B203" s="10"/>
      <c r="C203" s="31" t="str">
        <f aca="false">IF(B203="","",TEXT(B203,"ddd"))</f>
        <v/>
      </c>
      <c r="D203" s="11"/>
      <c r="E203" s="8" t="str">
        <f aca="false">IF(D203="","",IFERROR(INDEX(ProjNumbers,MATCH(D203,ProjNames,0)),""))</f>
        <v/>
      </c>
      <c r="F203" s="8" t="str">
        <f aca="false">IF(D203="","",IFERROR(INDEX(ProjCodes,MATCH(D203,ProjNames,0)),""))</f>
        <v/>
      </c>
      <c r="G203" s="32"/>
      <c r="H203" s="11"/>
      <c r="I203" s="33"/>
      <c r="J203" s="8" t="str">
        <f aca="false">IF(COUNTA(B203,D203,G203,H203,I203)=0,"",IF(B203="","Enter date",IF(OR(B203&lt;$AC$2,B203&gt;$AC$3),"Date not in June",IF(D203="","Pick project",IF(ISNA(MATCH(D203,ProjNames,0)),"Project not in list",IF(G203="","Add task description",IF(H203="","Pick NTIME or P6",IF(N(I203)&lt;=0,"Enter hours",IF(AND(AllowOT&lt;&gt;"Yes",SUMIF($B$7:$B$256,B203,$I$7:$I$256)&gt;INDEX($O$58:$O$87,DAY(B203))),"Day over "&amp;INDEX($O$58:$O$87,DAY(B203))&amp;" h","✓")))))))))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tr">
        <f aca="false">IF(Projects!B201="","",Projects!B201)</f>
        <v/>
      </c>
      <c r="X203" s="1" t="n">
        <f aca="false">IF(W203="",0,SUMIFS($I$7:$I$256,$D$7:$D$256,W203,$H$7:$H$256,"NTIME"))</f>
        <v>0</v>
      </c>
      <c r="Y203" s="1" t="n">
        <f aca="false">IF(W203="",0,SUMIFS($I$7:$I$256,$D$7:$D$256,W203,$H$7:$H$256,"P6"))</f>
        <v>0</v>
      </c>
      <c r="Z203" s="1" t="n">
        <f aca="false">X203+Y203</f>
        <v>0</v>
      </c>
      <c r="AA203" s="1" t="n">
        <f aca="false">IF(Z203&gt;0,Z203+(201-197)/10^6,0)</f>
        <v>0</v>
      </c>
      <c r="AB203" s="1"/>
      <c r="AC203" s="1"/>
      <c r="AD203" s="1"/>
      <c r="AE203" s="1"/>
      <c r="AF203" s="1"/>
      <c r="AG203" s="1"/>
      <c r="AH203" s="1"/>
    </row>
    <row r="204" customFormat="false" ht="15" hidden="false" customHeight="false" outlineLevel="0" collapsed="false">
      <c r="A204" s="1"/>
      <c r="B204" s="10"/>
      <c r="C204" s="31" t="str">
        <f aca="false">IF(B204="","",TEXT(B204,"ddd"))</f>
        <v/>
      </c>
      <c r="D204" s="11"/>
      <c r="E204" s="8" t="str">
        <f aca="false">IF(D204="","",IFERROR(INDEX(ProjNumbers,MATCH(D204,ProjNames,0)),""))</f>
        <v/>
      </c>
      <c r="F204" s="8" t="str">
        <f aca="false">IF(D204="","",IFERROR(INDEX(ProjCodes,MATCH(D204,ProjNames,0)),""))</f>
        <v/>
      </c>
      <c r="G204" s="32"/>
      <c r="H204" s="11"/>
      <c r="I204" s="33"/>
      <c r="J204" s="8" t="str">
        <f aca="false">IF(COUNTA(B204,D204,G204,H204,I204)=0,"",IF(B204="","Enter date",IF(OR(B204&lt;$AC$2,B204&gt;$AC$3),"Date not in June",IF(D204="","Pick project",IF(ISNA(MATCH(D204,ProjNames,0)),"Project not in list",IF(G204="","Add task description",IF(H204="","Pick NTIME or P6",IF(N(I204)&lt;=0,"Enter hours",IF(AND(AllowOT&lt;&gt;"Yes",SUMIF($B$7:$B$256,B204,$I$7:$I$256)&gt;INDEX($O$58:$O$87,DAY(B204))),"Day over "&amp;INDEX($O$58:$O$87,DAY(B204))&amp;" h","✓")))))))))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tr">
        <f aca="false">IF(Projects!B202="","",Projects!B202)</f>
        <v/>
      </c>
      <c r="X204" s="1" t="n">
        <f aca="false">IF(W204="",0,SUMIFS($I$7:$I$256,$D$7:$D$256,W204,$H$7:$H$256,"NTIME"))</f>
        <v>0</v>
      </c>
      <c r="Y204" s="1" t="n">
        <f aca="false">IF(W204="",0,SUMIFS($I$7:$I$256,$D$7:$D$256,W204,$H$7:$H$256,"P6"))</f>
        <v>0</v>
      </c>
      <c r="Z204" s="1" t="n">
        <f aca="false">X204+Y204</f>
        <v>0</v>
      </c>
      <c r="AA204" s="1" t="n">
        <f aca="false">IF(Z204&gt;0,Z204+(201-198)/10^6,0)</f>
        <v>0</v>
      </c>
      <c r="AB204" s="1"/>
      <c r="AC204" s="1"/>
      <c r="AD204" s="1"/>
      <c r="AE204" s="1"/>
      <c r="AF204" s="1"/>
      <c r="AG204" s="1"/>
      <c r="AH204" s="1"/>
    </row>
    <row r="205" customFormat="false" ht="15" hidden="false" customHeight="false" outlineLevel="0" collapsed="false">
      <c r="A205" s="1"/>
      <c r="B205" s="10"/>
      <c r="C205" s="31" t="str">
        <f aca="false">IF(B205="","",TEXT(B205,"ddd"))</f>
        <v/>
      </c>
      <c r="D205" s="11"/>
      <c r="E205" s="8" t="str">
        <f aca="false">IF(D205="","",IFERROR(INDEX(ProjNumbers,MATCH(D205,ProjNames,0)),""))</f>
        <v/>
      </c>
      <c r="F205" s="8" t="str">
        <f aca="false">IF(D205="","",IFERROR(INDEX(ProjCodes,MATCH(D205,ProjNames,0)),""))</f>
        <v/>
      </c>
      <c r="G205" s="32"/>
      <c r="H205" s="11"/>
      <c r="I205" s="33"/>
      <c r="J205" s="8" t="str">
        <f aca="false">IF(COUNTA(B205,D205,G205,H205,I205)=0,"",IF(B205="","Enter date",IF(OR(B205&lt;$AC$2,B205&gt;$AC$3),"Date not in June",IF(D205="","Pick project",IF(ISNA(MATCH(D205,ProjNames,0)),"Project not in list",IF(G205="","Add task description",IF(H205="","Pick NTIME or P6",IF(N(I205)&lt;=0,"Enter hours",IF(AND(AllowOT&lt;&gt;"Yes",SUMIF($B$7:$B$256,B205,$I$7:$I$256)&gt;INDEX($O$58:$O$87,DAY(B205))),"Day over "&amp;INDEX($O$58:$O$87,DAY(B205))&amp;" h","✓")))))))))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tr">
        <f aca="false">IF(Projects!B203="","",Projects!B203)</f>
        <v/>
      </c>
      <c r="X205" s="1" t="n">
        <f aca="false">IF(W205="",0,SUMIFS($I$7:$I$256,$D$7:$D$256,W205,$H$7:$H$256,"NTIME"))</f>
        <v>0</v>
      </c>
      <c r="Y205" s="1" t="n">
        <f aca="false">IF(W205="",0,SUMIFS($I$7:$I$256,$D$7:$D$256,W205,$H$7:$H$256,"P6"))</f>
        <v>0</v>
      </c>
      <c r="Z205" s="1" t="n">
        <f aca="false">X205+Y205</f>
        <v>0</v>
      </c>
      <c r="AA205" s="1" t="n">
        <f aca="false">IF(Z205&gt;0,Z205+(201-199)/10^6,0)</f>
        <v>0</v>
      </c>
      <c r="AB205" s="1"/>
      <c r="AC205" s="1"/>
      <c r="AD205" s="1"/>
      <c r="AE205" s="1"/>
      <c r="AF205" s="1"/>
      <c r="AG205" s="1"/>
      <c r="AH205" s="1"/>
    </row>
    <row r="206" customFormat="false" ht="15" hidden="false" customHeight="false" outlineLevel="0" collapsed="false">
      <c r="A206" s="1"/>
      <c r="B206" s="10"/>
      <c r="C206" s="31" t="str">
        <f aca="false">IF(B206="","",TEXT(B206,"ddd"))</f>
        <v/>
      </c>
      <c r="D206" s="11"/>
      <c r="E206" s="8" t="str">
        <f aca="false">IF(D206="","",IFERROR(INDEX(ProjNumbers,MATCH(D206,ProjNames,0)),""))</f>
        <v/>
      </c>
      <c r="F206" s="8" t="str">
        <f aca="false">IF(D206="","",IFERROR(INDEX(ProjCodes,MATCH(D206,ProjNames,0)),""))</f>
        <v/>
      </c>
      <c r="G206" s="32"/>
      <c r="H206" s="11"/>
      <c r="I206" s="33"/>
      <c r="J206" s="8" t="str">
        <f aca="false">IF(COUNTA(B206,D206,G206,H206,I206)=0,"",IF(B206="","Enter date",IF(OR(B206&lt;$AC$2,B206&gt;$AC$3),"Date not in June",IF(D206="","Pick project",IF(ISNA(MATCH(D206,ProjNames,0)),"Project not in list",IF(G206="","Add task description",IF(H206="","Pick NTIME or P6",IF(N(I206)&lt;=0,"Enter hours",IF(AND(AllowOT&lt;&gt;"Yes",SUMIF($B$7:$B$256,B206,$I$7:$I$256)&gt;INDEX($O$58:$O$87,DAY(B206))),"Day over "&amp;INDEX($O$58:$O$87,DAY(B206))&amp;" h","✓")))))))))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tr">
        <f aca="false">IF(Projects!B204="","",Projects!B204)</f>
        <v/>
      </c>
      <c r="X206" s="1" t="n">
        <f aca="false">IF(W206="",0,SUMIFS($I$7:$I$256,$D$7:$D$256,W206,$H$7:$H$256,"NTIME"))</f>
        <v>0</v>
      </c>
      <c r="Y206" s="1" t="n">
        <f aca="false">IF(W206="",0,SUMIFS($I$7:$I$256,$D$7:$D$256,W206,$H$7:$H$256,"P6"))</f>
        <v>0</v>
      </c>
      <c r="Z206" s="1" t="n">
        <f aca="false">X206+Y206</f>
        <v>0</v>
      </c>
      <c r="AA206" s="1" t="n">
        <f aca="false">IF(Z206&gt;0,Z206+(201-200)/10^6,0)</f>
        <v>0</v>
      </c>
      <c r="AB206" s="1"/>
      <c r="AC206" s="1"/>
      <c r="AD206" s="1"/>
      <c r="AE206" s="1"/>
      <c r="AF206" s="1"/>
      <c r="AG206" s="1"/>
      <c r="AH206" s="1"/>
    </row>
    <row r="207" customFormat="false" ht="15" hidden="false" customHeight="false" outlineLevel="0" collapsed="false">
      <c r="A207" s="1"/>
      <c r="B207" s="10"/>
      <c r="C207" s="31" t="str">
        <f aca="false">IF(B207="","",TEXT(B207,"ddd"))</f>
        <v/>
      </c>
      <c r="D207" s="11"/>
      <c r="E207" s="8" t="str">
        <f aca="false">IF(D207="","",IFERROR(INDEX(ProjNumbers,MATCH(D207,ProjNames,0)),""))</f>
        <v/>
      </c>
      <c r="F207" s="8" t="str">
        <f aca="false">IF(D207="","",IFERROR(INDEX(ProjCodes,MATCH(D207,ProjNames,0)),""))</f>
        <v/>
      </c>
      <c r="G207" s="32"/>
      <c r="H207" s="11"/>
      <c r="I207" s="33"/>
      <c r="J207" s="8" t="str">
        <f aca="false">IF(COUNTA(B207,D207,G207,H207,I207)=0,"",IF(B207="","Enter date",IF(OR(B207&lt;$AC$2,B207&gt;$AC$3),"Date not in June",IF(D207="","Pick project",IF(ISNA(MATCH(D207,ProjNames,0)),"Project not in list",IF(G207="","Add task description",IF(H207="","Pick NTIME or P6",IF(N(I207)&lt;=0,"Enter hours",IF(AND(AllowOT&lt;&gt;"Yes",SUMIF($B$7:$B$256,B207,$I$7:$I$256)&gt;INDEX($O$58:$O$87,DAY(B207))),"Day over "&amp;INDEX($O$58:$O$87,DAY(B207))&amp;" h","✓")))))))))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5" hidden="false" customHeight="false" outlineLevel="0" collapsed="false">
      <c r="A208" s="1"/>
      <c r="B208" s="10"/>
      <c r="C208" s="31" t="str">
        <f aca="false">IF(B208="","",TEXT(B208,"ddd"))</f>
        <v/>
      </c>
      <c r="D208" s="11"/>
      <c r="E208" s="8" t="str">
        <f aca="false">IF(D208="","",IFERROR(INDEX(ProjNumbers,MATCH(D208,ProjNames,0)),""))</f>
        <v/>
      </c>
      <c r="F208" s="8" t="str">
        <f aca="false">IF(D208="","",IFERROR(INDEX(ProjCodes,MATCH(D208,ProjNames,0)),""))</f>
        <v/>
      </c>
      <c r="G208" s="32"/>
      <c r="H208" s="11"/>
      <c r="I208" s="33"/>
      <c r="J208" s="8" t="str">
        <f aca="false">IF(COUNTA(B208,D208,G208,H208,I208)=0,"",IF(B208="","Enter date",IF(OR(B208&lt;$AC$2,B208&gt;$AC$3),"Date not in June",IF(D208="","Pick project",IF(ISNA(MATCH(D208,ProjNames,0)),"Project not in list",IF(G208="","Add task description",IF(H208="","Pick NTIME or P6",IF(N(I208)&lt;=0,"Enter hours",IF(AND(AllowOT&lt;&gt;"Yes",SUMIF($B$7:$B$256,B208,$I$7:$I$256)&gt;INDEX($O$58:$O$87,DAY(B208))),"Day over "&amp;INDEX($O$58:$O$87,DAY(B208))&amp;" h","✓")))))))))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5" hidden="false" customHeight="false" outlineLevel="0" collapsed="false">
      <c r="A209" s="1"/>
      <c r="B209" s="10"/>
      <c r="C209" s="31" t="str">
        <f aca="false">IF(B209="","",TEXT(B209,"ddd"))</f>
        <v/>
      </c>
      <c r="D209" s="11"/>
      <c r="E209" s="8" t="str">
        <f aca="false">IF(D209="","",IFERROR(INDEX(ProjNumbers,MATCH(D209,ProjNames,0)),""))</f>
        <v/>
      </c>
      <c r="F209" s="8" t="str">
        <f aca="false">IF(D209="","",IFERROR(INDEX(ProjCodes,MATCH(D209,ProjNames,0)),""))</f>
        <v/>
      </c>
      <c r="G209" s="32"/>
      <c r="H209" s="11"/>
      <c r="I209" s="33"/>
      <c r="J209" s="8" t="str">
        <f aca="false">IF(COUNTA(B209,D209,G209,H209,I209)=0,"",IF(B209="","Enter date",IF(OR(B209&lt;$AC$2,B209&gt;$AC$3),"Date not in June",IF(D209="","Pick project",IF(ISNA(MATCH(D209,ProjNames,0)),"Project not in list",IF(G209="","Add task description",IF(H209="","Pick NTIME or P6",IF(N(I209)&lt;=0,"Enter hours",IF(AND(AllowOT&lt;&gt;"Yes",SUMIF($B$7:$B$256,B209,$I$7:$I$256)&gt;INDEX($O$58:$O$87,DAY(B209))),"Day over "&amp;INDEX($O$58:$O$87,DAY(B209))&amp;" h","✓")))))))))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5" hidden="false" customHeight="false" outlineLevel="0" collapsed="false">
      <c r="A210" s="1"/>
      <c r="B210" s="10"/>
      <c r="C210" s="31" t="str">
        <f aca="false">IF(B210="","",TEXT(B210,"ddd"))</f>
        <v/>
      </c>
      <c r="D210" s="11"/>
      <c r="E210" s="8" t="str">
        <f aca="false">IF(D210="","",IFERROR(INDEX(ProjNumbers,MATCH(D210,ProjNames,0)),""))</f>
        <v/>
      </c>
      <c r="F210" s="8" t="str">
        <f aca="false">IF(D210="","",IFERROR(INDEX(ProjCodes,MATCH(D210,ProjNames,0)),""))</f>
        <v/>
      </c>
      <c r="G210" s="32"/>
      <c r="H210" s="11"/>
      <c r="I210" s="33"/>
      <c r="J210" s="8" t="str">
        <f aca="false">IF(COUNTA(B210,D210,G210,H210,I210)=0,"",IF(B210="","Enter date",IF(OR(B210&lt;$AC$2,B210&gt;$AC$3),"Date not in June",IF(D210="","Pick project",IF(ISNA(MATCH(D210,ProjNames,0)),"Project not in list",IF(G210="","Add task description",IF(H210="","Pick NTIME or P6",IF(N(I210)&lt;=0,"Enter hours",IF(AND(AllowOT&lt;&gt;"Yes",SUMIF($B$7:$B$256,B210,$I$7:$I$256)&gt;INDEX($O$58:$O$87,DAY(B210))),"Day over "&amp;INDEX($O$58:$O$87,DAY(B210))&amp;" h","✓")))))))))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5" hidden="false" customHeight="false" outlineLevel="0" collapsed="false">
      <c r="A211" s="1"/>
      <c r="B211" s="10"/>
      <c r="C211" s="31" t="str">
        <f aca="false">IF(B211="","",TEXT(B211,"ddd"))</f>
        <v/>
      </c>
      <c r="D211" s="11"/>
      <c r="E211" s="8" t="str">
        <f aca="false">IF(D211="","",IFERROR(INDEX(ProjNumbers,MATCH(D211,ProjNames,0)),""))</f>
        <v/>
      </c>
      <c r="F211" s="8" t="str">
        <f aca="false">IF(D211="","",IFERROR(INDEX(ProjCodes,MATCH(D211,ProjNames,0)),""))</f>
        <v/>
      </c>
      <c r="G211" s="32"/>
      <c r="H211" s="11"/>
      <c r="I211" s="33"/>
      <c r="J211" s="8" t="str">
        <f aca="false">IF(COUNTA(B211,D211,G211,H211,I211)=0,"",IF(B211="","Enter date",IF(OR(B211&lt;$AC$2,B211&gt;$AC$3),"Date not in June",IF(D211="","Pick project",IF(ISNA(MATCH(D211,ProjNames,0)),"Project not in list",IF(G211="","Add task description",IF(H211="","Pick NTIME or P6",IF(N(I211)&lt;=0,"Enter hours",IF(AND(AllowOT&lt;&gt;"Yes",SUMIF($B$7:$B$256,B211,$I$7:$I$256)&gt;INDEX($O$58:$O$87,DAY(B211))),"Day over "&amp;INDEX($O$58:$O$87,DAY(B211))&amp;" h","✓")))))))))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5" hidden="false" customHeight="false" outlineLevel="0" collapsed="false">
      <c r="A212" s="1"/>
      <c r="B212" s="10"/>
      <c r="C212" s="31" t="str">
        <f aca="false">IF(B212="","",TEXT(B212,"ddd"))</f>
        <v/>
      </c>
      <c r="D212" s="11"/>
      <c r="E212" s="8" t="str">
        <f aca="false">IF(D212="","",IFERROR(INDEX(ProjNumbers,MATCH(D212,ProjNames,0)),""))</f>
        <v/>
      </c>
      <c r="F212" s="8" t="str">
        <f aca="false">IF(D212="","",IFERROR(INDEX(ProjCodes,MATCH(D212,ProjNames,0)),""))</f>
        <v/>
      </c>
      <c r="G212" s="32"/>
      <c r="H212" s="11"/>
      <c r="I212" s="33"/>
      <c r="J212" s="8" t="str">
        <f aca="false">IF(COUNTA(B212,D212,G212,H212,I212)=0,"",IF(B212="","Enter date",IF(OR(B212&lt;$AC$2,B212&gt;$AC$3),"Date not in June",IF(D212="","Pick project",IF(ISNA(MATCH(D212,ProjNames,0)),"Project not in list",IF(G212="","Add task description",IF(H212="","Pick NTIME or P6",IF(N(I212)&lt;=0,"Enter hours",IF(AND(AllowOT&lt;&gt;"Yes",SUMIF($B$7:$B$256,B212,$I$7:$I$256)&gt;INDEX($O$58:$O$87,DAY(B212))),"Day over "&amp;INDEX($O$58:$O$87,DAY(B212))&amp;" h","✓")))))))))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5" hidden="false" customHeight="false" outlineLevel="0" collapsed="false">
      <c r="A213" s="1"/>
      <c r="B213" s="10"/>
      <c r="C213" s="31" t="str">
        <f aca="false">IF(B213="","",TEXT(B213,"ddd"))</f>
        <v/>
      </c>
      <c r="D213" s="11"/>
      <c r="E213" s="8" t="str">
        <f aca="false">IF(D213="","",IFERROR(INDEX(ProjNumbers,MATCH(D213,ProjNames,0)),""))</f>
        <v/>
      </c>
      <c r="F213" s="8" t="str">
        <f aca="false">IF(D213="","",IFERROR(INDEX(ProjCodes,MATCH(D213,ProjNames,0)),""))</f>
        <v/>
      </c>
      <c r="G213" s="32"/>
      <c r="H213" s="11"/>
      <c r="I213" s="33"/>
      <c r="J213" s="8" t="str">
        <f aca="false">IF(COUNTA(B213,D213,G213,H213,I213)=0,"",IF(B213="","Enter date",IF(OR(B213&lt;$AC$2,B213&gt;$AC$3),"Date not in June",IF(D213="","Pick project",IF(ISNA(MATCH(D213,ProjNames,0)),"Project not in list",IF(G213="","Add task description",IF(H213="","Pick NTIME or P6",IF(N(I213)&lt;=0,"Enter hours",IF(AND(AllowOT&lt;&gt;"Yes",SUMIF($B$7:$B$256,B213,$I$7:$I$256)&gt;INDEX($O$58:$O$87,DAY(B213))),"Day over "&amp;INDEX($O$58:$O$87,DAY(B213))&amp;" h","✓")))))))))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5" hidden="false" customHeight="false" outlineLevel="0" collapsed="false">
      <c r="A214" s="1"/>
      <c r="B214" s="10"/>
      <c r="C214" s="31" t="str">
        <f aca="false">IF(B214="","",TEXT(B214,"ddd"))</f>
        <v/>
      </c>
      <c r="D214" s="11"/>
      <c r="E214" s="8" t="str">
        <f aca="false">IF(D214="","",IFERROR(INDEX(ProjNumbers,MATCH(D214,ProjNames,0)),""))</f>
        <v/>
      </c>
      <c r="F214" s="8" t="str">
        <f aca="false">IF(D214="","",IFERROR(INDEX(ProjCodes,MATCH(D214,ProjNames,0)),""))</f>
        <v/>
      </c>
      <c r="G214" s="32"/>
      <c r="H214" s="11"/>
      <c r="I214" s="33"/>
      <c r="J214" s="8" t="str">
        <f aca="false">IF(COUNTA(B214,D214,G214,H214,I214)=0,"",IF(B214="","Enter date",IF(OR(B214&lt;$AC$2,B214&gt;$AC$3),"Date not in June",IF(D214="","Pick project",IF(ISNA(MATCH(D214,ProjNames,0)),"Project not in list",IF(G214="","Add task description",IF(H214="","Pick NTIME or P6",IF(N(I214)&lt;=0,"Enter hours",IF(AND(AllowOT&lt;&gt;"Yes",SUMIF($B$7:$B$256,B214,$I$7:$I$256)&gt;INDEX($O$58:$O$87,DAY(B214))),"Day over "&amp;INDEX($O$58:$O$87,DAY(B214))&amp;" h","✓")))))))))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5" hidden="false" customHeight="false" outlineLevel="0" collapsed="false">
      <c r="A215" s="1"/>
      <c r="B215" s="10"/>
      <c r="C215" s="31" t="str">
        <f aca="false">IF(B215="","",TEXT(B215,"ddd"))</f>
        <v/>
      </c>
      <c r="D215" s="11"/>
      <c r="E215" s="8" t="str">
        <f aca="false">IF(D215="","",IFERROR(INDEX(ProjNumbers,MATCH(D215,ProjNames,0)),""))</f>
        <v/>
      </c>
      <c r="F215" s="8" t="str">
        <f aca="false">IF(D215="","",IFERROR(INDEX(ProjCodes,MATCH(D215,ProjNames,0)),""))</f>
        <v/>
      </c>
      <c r="G215" s="32"/>
      <c r="H215" s="11"/>
      <c r="I215" s="33"/>
      <c r="J215" s="8" t="str">
        <f aca="false">IF(COUNTA(B215,D215,G215,H215,I215)=0,"",IF(B215="","Enter date",IF(OR(B215&lt;$AC$2,B215&gt;$AC$3),"Date not in June",IF(D215="","Pick project",IF(ISNA(MATCH(D215,ProjNames,0)),"Project not in list",IF(G215="","Add task description",IF(H215="","Pick NTIME or P6",IF(N(I215)&lt;=0,"Enter hours",IF(AND(AllowOT&lt;&gt;"Yes",SUMIF($B$7:$B$256,B215,$I$7:$I$256)&gt;INDEX($O$58:$O$87,DAY(B215))),"Day over "&amp;INDEX($O$58:$O$87,DAY(B215))&amp;" h","✓")))))))))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5" hidden="false" customHeight="false" outlineLevel="0" collapsed="false">
      <c r="A216" s="1"/>
      <c r="B216" s="10"/>
      <c r="C216" s="31" t="str">
        <f aca="false">IF(B216="","",TEXT(B216,"ddd"))</f>
        <v/>
      </c>
      <c r="D216" s="11"/>
      <c r="E216" s="8" t="str">
        <f aca="false">IF(D216="","",IFERROR(INDEX(ProjNumbers,MATCH(D216,ProjNames,0)),""))</f>
        <v/>
      </c>
      <c r="F216" s="8" t="str">
        <f aca="false">IF(D216="","",IFERROR(INDEX(ProjCodes,MATCH(D216,ProjNames,0)),""))</f>
        <v/>
      </c>
      <c r="G216" s="32"/>
      <c r="H216" s="11"/>
      <c r="I216" s="33"/>
      <c r="J216" s="8" t="str">
        <f aca="false">IF(COUNTA(B216,D216,G216,H216,I216)=0,"",IF(B216="","Enter date",IF(OR(B216&lt;$AC$2,B216&gt;$AC$3),"Date not in June",IF(D216="","Pick project",IF(ISNA(MATCH(D216,ProjNames,0)),"Project not in list",IF(G216="","Add task description",IF(H216="","Pick NTIME or P6",IF(N(I216)&lt;=0,"Enter hours",IF(AND(AllowOT&lt;&gt;"Yes",SUMIF($B$7:$B$256,B216,$I$7:$I$256)&gt;INDEX($O$58:$O$87,DAY(B216))),"Day over "&amp;INDEX($O$58:$O$87,DAY(B216))&amp;" h","✓")))))))))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5" hidden="false" customHeight="false" outlineLevel="0" collapsed="false">
      <c r="A217" s="1"/>
      <c r="B217" s="10"/>
      <c r="C217" s="31" t="str">
        <f aca="false">IF(B217="","",TEXT(B217,"ddd"))</f>
        <v/>
      </c>
      <c r="D217" s="11"/>
      <c r="E217" s="8" t="str">
        <f aca="false">IF(D217="","",IFERROR(INDEX(ProjNumbers,MATCH(D217,ProjNames,0)),""))</f>
        <v/>
      </c>
      <c r="F217" s="8" t="str">
        <f aca="false">IF(D217="","",IFERROR(INDEX(ProjCodes,MATCH(D217,ProjNames,0)),""))</f>
        <v/>
      </c>
      <c r="G217" s="32"/>
      <c r="H217" s="11"/>
      <c r="I217" s="33"/>
      <c r="J217" s="8" t="str">
        <f aca="false">IF(COUNTA(B217,D217,G217,H217,I217)=0,"",IF(B217="","Enter date",IF(OR(B217&lt;$AC$2,B217&gt;$AC$3),"Date not in June",IF(D217="","Pick project",IF(ISNA(MATCH(D217,ProjNames,0)),"Project not in list",IF(G217="","Add task description",IF(H217="","Pick NTIME or P6",IF(N(I217)&lt;=0,"Enter hours",IF(AND(AllowOT&lt;&gt;"Yes",SUMIF($B$7:$B$256,B217,$I$7:$I$256)&gt;INDEX($O$58:$O$87,DAY(B217))),"Day over "&amp;INDEX($O$58:$O$87,DAY(B217))&amp;" h","✓")))))))))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5" hidden="false" customHeight="false" outlineLevel="0" collapsed="false">
      <c r="A218" s="1"/>
      <c r="B218" s="10"/>
      <c r="C218" s="31" t="str">
        <f aca="false">IF(B218="","",TEXT(B218,"ddd"))</f>
        <v/>
      </c>
      <c r="D218" s="11"/>
      <c r="E218" s="8" t="str">
        <f aca="false">IF(D218="","",IFERROR(INDEX(ProjNumbers,MATCH(D218,ProjNames,0)),""))</f>
        <v/>
      </c>
      <c r="F218" s="8" t="str">
        <f aca="false">IF(D218="","",IFERROR(INDEX(ProjCodes,MATCH(D218,ProjNames,0)),""))</f>
        <v/>
      </c>
      <c r="G218" s="32"/>
      <c r="H218" s="11"/>
      <c r="I218" s="33"/>
      <c r="J218" s="8" t="str">
        <f aca="false">IF(COUNTA(B218,D218,G218,H218,I218)=0,"",IF(B218="","Enter date",IF(OR(B218&lt;$AC$2,B218&gt;$AC$3),"Date not in June",IF(D218="","Pick project",IF(ISNA(MATCH(D218,ProjNames,0)),"Project not in list",IF(G218="","Add task description",IF(H218="","Pick NTIME or P6",IF(N(I218)&lt;=0,"Enter hours",IF(AND(AllowOT&lt;&gt;"Yes",SUMIF($B$7:$B$256,B218,$I$7:$I$256)&gt;INDEX($O$58:$O$87,DAY(B218))),"Day over "&amp;INDEX($O$58:$O$87,DAY(B218))&amp;" h","✓")))))))))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5" hidden="false" customHeight="false" outlineLevel="0" collapsed="false">
      <c r="A219" s="1"/>
      <c r="B219" s="10"/>
      <c r="C219" s="31" t="str">
        <f aca="false">IF(B219="","",TEXT(B219,"ddd"))</f>
        <v/>
      </c>
      <c r="D219" s="11"/>
      <c r="E219" s="8" t="str">
        <f aca="false">IF(D219="","",IFERROR(INDEX(ProjNumbers,MATCH(D219,ProjNames,0)),""))</f>
        <v/>
      </c>
      <c r="F219" s="8" t="str">
        <f aca="false">IF(D219="","",IFERROR(INDEX(ProjCodes,MATCH(D219,ProjNames,0)),""))</f>
        <v/>
      </c>
      <c r="G219" s="32"/>
      <c r="H219" s="11"/>
      <c r="I219" s="33"/>
      <c r="J219" s="8" t="str">
        <f aca="false">IF(COUNTA(B219,D219,G219,H219,I219)=0,"",IF(B219="","Enter date",IF(OR(B219&lt;$AC$2,B219&gt;$AC$3),"Date not in June",IF(D219="","Pick project",IF(ISNA(MATCH(D219,ProjNames,0)),"Project not in list",IF(G219="","Add task description",IF(H219="","Pick NTIME or P6",IF(N(I219)&lt;=0,"Enter hours",IF(AND(AllowOT&lt;&gt;"Yes",SUMIF($B$7:$B$256,B219,$I$7:$I$256)&gt;INDEX($O$58:$O$87,DAY(B219))),"Day over "&amp;INDEX($O$58:$O$87,DAY(B219))&amp;" h","✓")))))))))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5" hidden="false" customHeight="false" outlineLevel="0" collapsed="false">
      <c r="A220" s="1"/>
      <c r="B220" s="10"/>
      <c r="C220" s="31" t="str">
        <f aca="false">IF(B220="","",TEXT(B220,"ddd"))</f>
        <v/>
      </c>
      <c r="D220" s="11"/>
      <c r="E220" s="8" t="str">
        <f aca="false">IF(D220="","",IFERROR(INDEX(ProjNumbers,MATCH(D220,ProjNames,0)),""))</f>
        <v/>
      </c>
      <c r="F220" s="8" t="str">
        <f aca="false">IF(D220="","",IFERROR(INDEX(ProjCodes,MATCH(D220,ProjNames,0)),""))</f>
        <v/>
      </c>
      <c r="G220" s="32"/>
      <c r="H220" s="11"/>
      <c r="I220" s="33"/>
      <c r="J220" s="8" t="str">
        <f aca="false">IF(COUNTA(B220,D220,G220,H220,I220)=0,"",IF(B220="","Enter date",IF(OR(B220&lt;$AC$2,B220&gt;$AC$3),"Date not in June",IF(D220="","Pick project",IF(ISNA(MATCH(D220,ProjNames,0)),"Project not in list",IF(G220="","Add task description",IF(H220="","Pick NTIME or P6",IF(N(I220)&lt;=0,"Enter hours",IF(AND(AllowOT&lt;&gt;"Yes",SUMIF($B$7:$B$256,B220,$I$7:$I$256)&gt;INDEX($O$58:$O$87,DAY(B220))),"Day over "&amp;INDEX($O$58:$O$87,DAY(B220))&amp;" h","✓")))))))))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5" hidden="false" customHeight="false" outlineLevel="0" collapsed="false">
      <c r="A221" s="1"/>
      <c r="B221" s="10"/>
      <c r="C221" s="31" t="str">
        <f aca="false">IF(B221="","",TEXT(B221,"ddd"))</f>
        <v/>
      </c>
      <c r="D221" s="11"/>
      <c r="E221" s="8" t="str">
        <f aca="false">IF(D221="","",IFERROR(INDEX(ProjNumbers,MATCH(D221,ProjNames,0)),""))</f>
        <v/>
      </c>
      <c r="F221" s="8" t="str">
        <f aca="false">IF(D221="","",IFERROR(INDEX(ProjCodes,MATCH(D221,ProjNames,0)),""))</f>
        <v/>
      </c>
      <c r="G221" s="32"/>
      <c r="H221" s="11"/>
      <c r="I221" s="33"/>
      <c r="J221" s="8" t="str">
        <f aca="false">IF(COUNTA(B221,D221,G221,H221,I221)=0,"",IF(B221="","Enter date",IF(OR(B221&lt;$AC$2,B221&gt;$AC$3),"Date not in June",IF(D221="","Pick project",IF(ISNA(MATCH(D221,ProjNames,0)),"Project not in list",IF(G221="","Add task description",IF(H221="","Pick NTIME or P6",IF(N(I221)&lt;=0,"Enter hours",IF(AND(AllowOT&lt;&gt;"Yes",SUMIF($B$7:$B$256,B221,$I$7:$I$256)&gt;INDEX($O$58:$O$87,DAY(B221))),"Day over "&amp;INDEX($O$58:$O$87,DAY(B221))&amp;" h","✓")))))))))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5" hidden="false" customHeight="false" outlineLevel="0" collapsed="false">
      <c r="A222" s="1"/>
      <c r="B222" s="10"/>
      <c r="C222" s="31" t="str">
        <f aca="false">IF(B222="","",TEXT(B222,"ddd"))</f>
        <v/>
      </c>
      <c r="D222" s="11"/>
      <c r="E222" s="8" t="str">
        <f aca="false">IF(D222="","",IFERROR(INDEX(ProjNumbers,MATCH(D222,ProjNames,0)),""))</f>
        <v/>
      </c>
      <c r="F222" s="8" t="str">
        <f aca="false">IF(D222="","",IFERROR(INDEX(ProjCodes,MATCH(D222,ProjNames,0)),""))</f>
        <v/>
      </c>
      <c r="G222" s="32"/>
      <c r="H222" s="11"/>
      <c r="I222" s="33"/>
      <c r="J222" s="8" t="str">
        <f aca="false">IF(COUNTA(B222,D222,G222,H222,I222)=0,"",IF(B222="","Enter date",IF(OR(B222&lt;$AC$2,B222&gt;$AC$3),"Date not in June",IF(D222="","Pick project",IF(ISNA(MATCH(D222,ProjNames,0)),"Project not in list",IF(G222="","Add task description",IF(H222="","Pick NTIME or P6",IF(N(I222)&lt;=0,"Enter hours",IF(AND(AllowOT&lt;&gt;"Yes",SUMIF($B$7:$B$256,B222,$I$7:$I$256)&gt;INDEX($O$58:$O$87,DAY(B222))),"Day over "&amp;INDEX($O$58:$O$87,DAY(B222))&amp;" h","✓")))))))))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5" hidden="false" customHeight="false" outlineLevel="0" collapsed="false">
      <c r="A223" s="1"/>
      <c r="B223" s="10"/>
      <c r="C223" s="31" t="str">
        <f aca="false">IF(B223="","",TEXT(B223,"ddd"))</f>
        <v/>
      </c>
      <c r="D223" s="11"/>
      <c r="E223" s="8" t="str">
        <f aca="false">IF(D223="","",IFERROR(INDEX(ProjNumbers,MATCH(D223,ProjNames,0)),""))</f>
        <v/>
      </c>
      <c r="F223" s="8" t="str">
        <f aca="false">IF(D223="","",IFERROR(INDEX(ProjCodes,MATCH(D223,ProjNames,0)),""))</f>
        <v/>
      </c>
      <c r="G223" s="32"/>
      <c r="H223" s="11"/>
      <c r="I223" s="33"/>
      <c r="J223" s="8" t="str">
        <f aca="false">IF(COUNTA(B223,D223,G223,H223,I223)=0,"",IF(B223="","Enter date",IF(OR(B223&lt;$AC$2,B223&gt;$AC$3),"Date not in June",IF(D223="","Pick project",IF(ISNA(MATCH(D223,ProjNames,0)),"Project not in list",IF(G223="","Add task description",IF(H223="","Pick NTIME or P6",IF(N(I223)&lt;=0,"Enter hours",IF(AND(AllowOT&lt;&gt;"Yes",SUMIF($B$7:$B$256,B223,$I$7:$I$256)&gt;INDEX($O$58:$O$87,DAY(B223))),"Day over "&amp;INDEX($O$58:$O$87,DAY(B223))&amp;" h","✓")))))))))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5" hidden="false" customHeight="false" outlineLevel="0" collapsed="false">
      <c r="A224" s="1"/>
      <c r="B224" s="10"/>
      <c r="C224" s="31" t="str">
        <f aca="false">IF(B224="","",TEXT(B224,"ddd"))</f>
        <v/>
      </c>
      <c r="D224" s="11"/>
      <c r="E224" s="8" t="str">
        <f aca="false">IF(D224="","",IFERROR(INDEX(ProjNumbers,MATCH(D224,ProjNames,0)),""))</f>
        <v/>
      </c>
      <c r="F224" s="8" t="str">
        <f aca="false">IF(D224="","",IFERROR(INDEX(ProjCodes,MATCH(D224,ProjNames,0)),""))</f>
        <v/>
      </c>
      <c r="G224" s="32"/>
      <c r="H224" s="11"/>
      <c r="I224" s="33"/>
      <c r="J224" s="8" t="str">
        <f aca="false">IF(COUNTA(B224,D224,G224,H224,I224)=0,"",IF(B224="","Enter date",IF(OR(B224&lt;$AC$2,B224&gt;$AC$3),"Date not in June",IF(D224="","Pick project",IF(ISNA(MATCH(D224,ProjNames,0)),"Project not in list",IF(G224="","Add task description",IF(H224="","Pick NTIME or P6",IF(N(I224)&lt;=0,"Enter hours",IF(AND(AllowOT&lt;&gt;"Yes",SUMIF($B$7:$B$256,B224,$I$7:$I$256)&gt;INDEX($O$58:$O$87,DAY(B224))),"Day over "&amp;INDEX($O$58:$O$87,DAY(B224))&amp;" h","✓")))))))))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5" hidden="false" customHeight="false" outlineLevel="0" collapsed="false">
      <c r="A225" s="1"/>
      <c r="B225" s="10"/>
      <c r="C225" s="31" t="str">
        <f aca="false">IF(B225="","",TEXT(B225,"ddd"))</f>
        <v/>
      </c>
      <c r="D225" s="11"/>
      <c r="E225" s="8" t="str">
        <f aca="false">IF(D225="","",IFERROR(INDEX(ProjNumbers,MATCH(D225,ProjNames,0)),""))</f>
        <v/>
      </c>
      <c r="F225" s="8" t="str">
        <f aca="false">IF(D225="","",IFERROR(INDEX(ProjCodes,MATCH(D225,ProjNames,0)),""))</f>
        <v/>
      </c>
      <c r="G225" s="32"/>
      <c r="H225" s="11"/>
      <c r="I225" s="33"/>
      <c r="J225" s="8" t="str">
        <f aca="false">IF(COUNTA(B225,D225,G225,H225,I225)=0,"",IF(B225="","Enter date",IF(OR(B225&lt;$AC$2,B225&gt;$AC$3),"Date not in June",IF(D225="","Pick project",IF(ISNA(MATCH(D225,ProjNames,0)),"Project not in list",IF(G225="","Add task description",IF(H225="","Pick NTIME or P6",IF(N(I225)&lt;=0,"Enter hours",IF(AND(AllowOT&lt;&gt;"Yes",SUMIF($B$7:$B$256,B225,$I$7:$I$256)&gt;INDEX($O$58:$O$87,DAY(B225))),"Day over "&amp;INDEX($O$58:$O$87,DAY(B225))&amp;" h","✓")))))))))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5" hidden="false" customHeight="false" outlineLevel="0" collapsed="false">
      <c r="A226" s="1"/>
      <c r="B226" s="10"/>
      <c r="C226" s="31" t="str">
        <f aca="false">IF(B226="","",TEXT(B226,"ddd"))</f>
        <v/>
      </c>
      <c r="D226" s="11"/>
      <c r="E226" s="8" t="str">
        <f aca="false">IF(D226="","",IFERROR(INDEX(ProjNumbers,MATCH(D226,ProjNames,0)),""))</f>
        <v/>
      </c>
      <c r="F226" s="8" t="str">
        <f aca="false">IF(D226="","",IFERROR(INDEX(ProjCodes,MATCH(D226,ProjNames,0)),""))</f>
        <v/>
      </c>
      <c r="G226" s="32"/>
      <c r="H226" s="11"/>
      <c r="I226" s="33"/>
      <c r="J226" s="8" t="str">
        <f aca="false">IF(COUNTA(B226,D226,G226,H226,I226)=0,"",IF(B226="","Enter date",IF(OR(B226&lt;$AC$2,B226&gt;$AC$3),"Date not in June",IF(D226="","Pick project",IF(ISNA(MATCH(D226,ProjNames,0)),"Project not in list",IF(G226="","Add task description",IF(H226="","Pick NTIME or P6",IF(N(I226)&lt;=0,"Enter hours",IF(AND(AllowOT&lt;&gt;"Yes",SUMIF($B$7:$B$256,B226,$I$7:$I$256)&gt;INDEX($O$58:$O$87,DAY(B226))),"Day over "&amp;INDEX($O$58:$O$87,DAY(B226))&amp;" h","✓")))))))))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5" hidden="false" customHeight="false" outlineLevel="0" collapsed="false">
      <c r="A227" s="1"/>
      <c r="B227" s="10"/>
      <c r="C227" s="31" t="str">
        <f aca="false">IF(B227="","",TEXT(B227,"ddd"))</f>
        <v/>
      </c>
      <c r="D227" s="11"/>
      <c r="E227" s="8" t="str">
        <f aca="false">IF(D227="","",IFERROR(INDEX(ProjNumbers,MATCH(D227,ProjNames,0)),""))</f>
        <v/>
      </c>
      <c r="F227" s="8" t="str">
        <f aca="false">IF(D227="","",IFERROR(INDEX(ProjCodes,MATCH(D227,ProjNames,0)),""))</f>
        <v/>
      </c>
      <c r="G227" s="32"/>
      <c r="H227" s="11"/>
      <c r="I227" s="33"/>
      <c r="J227" s="8" t="str">
        <f aca="false">IF(COUNTA(B227,D227,G227,H227,I227)=0,"",IF(B227="","Enter date",IF(OR(B227&lt;$AC$2,B227&gt;$AC$3),"Date not in June",IF(D227="","Pick project",IF(ISNA(MATCH(D227,ProjNames,0)),"Project not in list",IF(G227="","Add task description",IF(H227="","Pick NTIME or P6",IF(N(I227)&lt;=0,"Enter hours",IF(AND(AllowOT&lt;&gt;"Yes",SUMIF($B$7:$B$256,B227,$I$7:$I$256)&gt;INDEX($O$58:$O$87,DAY(B227))),"Day over "&amp;INDEX($O$58:$O$87,DAY(B227))&amp;" h","✓")))))))))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5" hidden="false" customHeight="false" outlineLevel="0" collapsed="false">
      <c r="A228" s="1"/>
      <c r="B228" s="10"/>
      <c r="C228" s="31" t="str">
        <f aca="false">IF(B228="","",TEXT(B228,"ddd"))</f>
        <v/>
      </c>
      <c r="D228" s="11"/>
      <c r="E228" s="8" t="str">
        <f aca="false">IF(D228="","",IFERROR(INDEX(ProjNumbers,MATCH(D228,ProjNames,0)),""))</f>
        <v/>
      </c>
      <c r="F228" s="8" t="str">
        <f aca="false">IF(D228="","",IFERROR(INDEX(ProjCodes,MATCH(D228,ProjNames,0)),""))</f>
        <v/>
      </c>
      <c r="G228" s="32"/>
      <c r="H228" s="11"/>
      <c r="I228" s="33"/>
      <c r="J228" s="8" t="str">
        <f aca="false">IF(COUNTA(B228,D228,G228,H228,I228)=0,"",IF(B228="","Enter date",IF(OR(B228&lt;$AC$2,B228&gt;$AC$3),"Date not in June",IF(D228="","Pick project",IF(ISNA(MATCH(D228,ProjNames,0)),"Project not in list",IF(G228="","Add task description",IF(H228="","Pick NTIME or P6",IF(N(I228)&lt;=0,"Enter hours",IF(AND(AllowOT&lt;&gt;"Yes",SUMIF($B$7:$B$256,B228,$I$7:$I$256)&gt;INDEX($O$58:$O$87,DAY(B228))),"Day over "&amp;INDEX($O$58:$O$87,DAY(B228))&amp;" h","✓")))))))))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5" hidden="false" customHeight="false" outlineLevel="0" collapsed="false">
      <c r="A229" s="1"/>
      <c r="B229" s="10"/>
      <c r="C229" s="31" t="str">
        <f aca="false">IF(B229="","",TEXT(B229,"ddd"))</f>
        <v/>
      </c>
      <c r="D229" s="11"/>
      <c r="E229" s="8" t="str">
        <f aca="false">IF(D229="","",IFERROR(INDEX(ProjNumbers,MATCH(D229,ProjNames,0)),""))</f>
        <v/>
      </c>
      <c r="F229" s="8" t="str">
        <f aca="false">IF(D229="","",IFERROR(INDEX(ProjCodes,MATCH(D229,ProjNames,0)),""))</f>
        <v/>
      </c>
      <c r="G229" s="32"/>
      <c r="H229" s="11"/>
      <c r="I229" s="33"/>
      <c r="J229" s="8" t="str">
        <f aca="false">IF(COUNTA(B229,D229,G229,H229,I229)=0,"",IF(B229="","Enter date",IF(OR(B229&lt;$AC$2,B229&gt;$AC$3),"Date not in June",IF(D229="","Pick project",IF(ISNA(MATCH(D229,ProjNames,0)),"Project not in list",IF(G229="","Add task description",IF(H229="","Pick NTIME or P6",IF(N(I229)&lt;=0,"Enter hours",IF(AND(AllowOT&lt;&gt;"Yes",SUMIF($B$7:$B$256,B229,$I$7:$I$256)&gt;INDEX($O$58:$O$87,DAY(B229))),"Day over "&amp;INDEX($O$58:$O$87,DAY(B229))&amp;" h","✓")))))))))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5" hidden="false" customHeight="false" outlineLevel="0" collapsed="false">
      <c r="A230" s="1"/>
      <c r="B230" s="10"/>
      <c r="C230" s="31" t="str">
        <f aca="false">IF(B230="","",TEXT(B230,"ddd"))</f>
        <v/>
      </c>
      <c r="D230" s="11"/>
      <c r="E230" s="8" t="str">
        <f aca="false">IF(D230="","",IFERROR(INDEX(ProjNumbers,MATCH(D230,ProjNames,0)),""))</f>
        <v/>
      </c>
      <c r="F230" s="8" t="str">
        <f aca="false">IF(D230="","",IFERROR(INDEX(ProjCodes,MATCH(D230,ProjNames,0)),""))</f>
        <v/>
      </c>
      <c r="G230" s="32"/>
      <c r="H230" s="11"/>
      <c r="I230" s="33"/>
      <c r="J230" s="8" t="str">
        <f aca="false">IF(COUNTA(B230,D230,G230,H230,I230)=0,"",IF(B230="","Enter date",IF(OR(B230&lt;$AC$2,B230&gt;$AC$3),"Date not in June",IF(D230="","Pick project",IF(ISNA(MATCH(D230,ProjNames,0)),"Project not in list",IF(G230="","Add task description",IF(H230="","Pick NTIME or P6",IF(N(I230)&lt;=0,"Enter hours",IF(AND(AllowOT&lt;&gt;"Yes",SUMIF($B$7:$B$256,B230,$I$7:$I$256)&gt;INDEX($O$58:$O$87,DAY(B230))),"Day over "&amp;INDEX($O$58:$O$87,DAY(B230))&amp;" h","✓")))))))))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5" hidden="false" customHeight="false" outlineLevel="0" collapsed="false">
      <c r="A231" s="1"/>
      <c r="B231" s="10"/>
      <c r="C231" s="31" t="str">
        <f aca="false">IF(B231="","",TEXT(B231,"ddd"))</f>
        <v/>
      </c>
      <c r="D231" s="11"/>
      <c r="E231" s="8" t="str">
        <f aca="false">IF(D231="","",IFERROR(INDEX(ProjNumbers,MATCH(D231,ProjNames,0)),""))</f>
        <v/>
      </c>
      <c r="F231" s="8" t="str">
        <f aca="false">IF(D231="","",IFERROR(INDEX(ProjCodes,MATCH(D231,ProjNames,0)),""))</f>
        <v/>
      </c>
      <c r="G231" s="32"/>
      <c r="H231" s="11"/>
      <c r="I231" s="33"/>
      <c r="J231" s="8" t="str">
        <f aca="false">IF(COUNTA(B231,D231,G231,H231,I231)=0,"",IF(B231="","Enter date",IF(OR(B231&lt;$AC$2,B231&gt;$AC$3),"Date not in June",IF(D231="","Pick project",IF(ISNA(MATCH(D231,ProjNames,0)),"Project not in list",IF(G231="","Add task description",IF(H231="","Pick NTIME or P6",IF(N(I231)&lt;=0,"Enter hours",IF(AND(AllowOT&lt;&gt;"Yes",SUMIF($B$7:$B$256,B231,$I$7:$I$256)&gt;INDEX($O$58:$O$87,DAY(B231))),"Day over "&amp;INDEX($O$58:$O$87,DAY(B231))&amp;" h","✓")))))))))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5" hidden="false" customHeight="false" outlineLevel="0" collapsed="false">
      <c r="A232" s="1"/>
      <c r="B232" s="10"/>
      <c r="C232" s="31" t="str">
        <f aca="false">IF(B232="","",TEXT(B232,"ddd"))</f>
        <v/>
      </c>
      <c r="D232" s="11"/>
      <c r="E232" s="8" t="str">
        <f aca="false">IF(D232="","",IFERROR(INDEX(ProjNumbers,MATCH(D232,ProjNames,0)),""))</f>
        <v/>
      </c>
      <c r="F232" s="8" t="str">
        <f aca="false">IF(D232="","",IFERROR(INDEX(ProjCodes,MATCH(D232,ProjNames,0)),""))</f>
        <v/>
      </c>
      <c r="G232" s="32"/>
      <c r="H232" s="11"/>
      <c r="I232" s="33"/>
      <c r="J232" s="8" t="str">
        <f aca="false">IF(COUNTA(B232,D232,G232,H232,I232)=0,"",IF(B232="","Enter date",IF(OR(B232&lt;$AC$2,B232&gt;$AC$3),"Date not in June",IF(D232="","Pick project",IF(ISNA(MATCH(D232,ProjNames,0)),"Project not in list",IF(G232="","Add task description",IF(H232="","Pick NTIME or P6",IF(N(I232)&lt;=0,"Enter hours",IF(AND(AllowOT&lt;&gt;"Yes",SUMIF($B$7:$B$256,B232,$I$7:$I$256)&gt;INDEX($O$58:$O$87,DAY(B232))),"Day over "&amp;INDEX($O$58:$O$87,DAY(B232))&amp;" h","✓")))))))))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5" hidden="false" customHeight="false" outlineLevel="0" collapsed="false">
      <c r="A233" s="1"/>
      <c r="B233" s="10"/>
      <c r="C233" s="31" t="str">
        <f aca="false">IF(B233="","",TEXT(B233,"ddd"))</f>
        <v/>
      </c>
      <c r="D233" s="11"/>
      <c r="E233" s="8" t="str">
        <f aca="false">IF(D233="","",IFERROR(INDEX(ProjNumbers,MATCH(D233,ProjNames,0)),""))</f>
        <v/>
      </c>
      <c r="F233" s="8" t="str">
        <f aca="false">IF(D233="","",IFERROR(INDEX(ProjCodes,MATCH(D233,ProjNames,0)),""))</f>
        <v/>
      </c>
      <c r="G233" s="32"/>
      <c r="H233" s="11"/>
      <c r="I233" s="33"/>
      <c r="J233" s="8" t="str">
        <f aca="false">IF(COUNTA(B233,D233,G233,H233,I233)=0,"",IF(B233="","Enter date",IF(OR(B233&lt;$AC$2,B233&gt;$AC$3),"Date not in June",IF(D233="","Pick project",IF(ISNA(MATCH(D233,ProjNames,0)),"Project not in list",IF(G233="","Add task description",IF(H233="","Pick NTIME or P6",IF(N(I233)&lt;=0,"Enter hours",IF(AND(AllowOT&lt;&gt;"Yes",SUMIF($B$7:$B$256,B233,$I$7:$I$256)&gt;INDEX($O$58:$O$87,DAY(B233))),"Day over "&amp;INDEX($O$58:$O$87,DAY(B233))&amp;" h","✓")))))))))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5" hidden="false" customHeight="false" outlineLevel="0" collapsed="false">
      <c r="A234" s="1"/>
      <c r="B234" s="10"/>
      <c r="C234" s="31" t="str">
        <f aca="false">IF(B234="","",TEXT(B234,"ddd"))</f>
        <v/>
      </c>
      <c r="D234" s="11"/>
      <c r="E234" s="8" t="str">
        <f aca="false">IF(D234="","",IFERROR(INDEX(ProjNumbers,MATCH(D234,ProjNames,0)),""))</f>
        <v/>
      </c>
      <c r="F234" s="8" t="str">
        <f aca="false">IF(D234="","",IFERROR(INDEX(ProjCodes,MATCH(D234,ProjNames,0)),""))</f>
        <v/>
      </c>
      <c r="G234" s="32"/>
      <c r="H234" s="11"/>
      <c r="I234" s="33"/>
      <c r="J234" s="8" t="str">
        <f aca="false">IF(COUNTA(B234,D234,G234,H234,I234)=0,"",IF(B234="","Enter date",IF(OR(B234&lt;$AC$2,B234&gt;$AC$3),"Date not in June",IF(D234="","Pick project",IF(ISNA(MATCH(D234,ProjNames,0)),"Project not in list",IF(G234="","Add task description",IF(H234="","Pick NTIME or P6",IF(N(I234)&lt;=0,"Enter hours",IF(AND(AllowOT&lt;&gt;"Yes",SUMIF($B$7:$B$256,B234,$I$7:$I$256)&gt;INDEX($O$58:$O$87,DAY(B234))),"Day over "&amp;INDEX($O$58:$O$87,DAY(B234))&amp;" h","✓")))))))))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5" hidden="false" customHeight="false" outlineLevel="0" collapsed="false">
      <c r="A235" s="1"/>
      <c r="B235" s="10"/>
      <c r="C235" s="31" t="str">
        <f aca="false">IF(B235="","",TEXT(B235,"ddd"))</f>
        <v/>
      </c>
      <c r="D235" s="11"/>
      <c r="E235" s="8" t="str">
        <f aca="false">IF(D235="","",IFERROR(INDEX(ProjNumbers,MATCH(D235,ProjNames,0)),""))</f>
        <v/>
      </c>
      <c r="F235" s="8" t="str">
        <f aca="false">IF(D235="","",IFERROR(INDEX(ProjCodes,MATCH(D235,ProjNames,0)),""))</f>
        <v/>
      </c>
      <c r="G235" s="32"/>
      <c r="H235" s="11"/>
      <c r="I235" s="33"/>
      <c r="J235" s="8" t="str">
        <f aca="false">IF(COUNTA(B235,D235,G235,H235,I235)=0,"",IF(B235="","Enter date",IF(OR(B235&lt;$AC$2,B235&gt;$AC$3),"Date not in June",IF(D235="","Pick project",IF(ISNA(MATCH(D235,ProjNames,0)),"Project not in list",IF(G235="","Add task description",IF(H235="","Pick NTIME or P6",IF(N(I235)&lt;=0,"Enter hours",IF(AND(AllowOT&lt;&gt;"Yes",SUMIF($B$7:$B$256,B235,$I$7:$I$256)&gt;INDEX($O$58:$O$87,DAY(B235))),"Day over "&amp;INDEX($O$58:$O$87,DAY(B235))&amp;" h","✓")))))))))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5" hidden="false" customHeight="false" outlineLevel="0" collapsed="false">
      <c r="A236" s="1"/>
      <c r="B236" s="10"/>
      <c r="C236" s="31" t="str">
        <f aca="false">IF(B236="","",TEXT(B236,"ddd"))</f>
        <v/>
      </c>
      <c r="D236" s="11"/>
      <c r="E236" s="8" t="str">
        <f aca="false">IF(D236="","",IFERROR(INDEX(ProjNumbers,MATCH(D236,ProjNames,0)),""))</f>
        <v/>
      </c>
      <c r="F236" s="8" t="str">
        <f aca="false">IF(D236="","",IFERROR(INDEX(ProjCodes,MATCH(D236,ProjNames,0)),""))</f>
        <v/>
      </c>
      <c r="G236" s="32"/>
      <c r="H236" s="11"/>
      <c r="I236" s="33"/>
      <c r="J236" s="8" t="str">
        <f aca="false">IF(COUNTA(B236,D236,G236,H236,I236)=0,"",IF(B236="","Enter date",IF(OR(B236&lt;$AC$2,B236&gt;$AC$3),"Date not in June",IF(D236="","Pick project",IF(ISNA(MATCH(D236,ProjNames,0)),"Project not in list",IF(G236="","Add task description",IF(H236="","Pick NTIME or P6",IF(N(I236)&lt;=0,"Enter hours",IF(AND(AllowOT&lt;&gt;"Yes",SUMIF($B$7:$B$256,B236,$I$7:$I$256)&gt;INDEX($O$58:$O$87,DAY(B236))),"Day over "&amp;INDEX($O$58:$O$87,DAY(B236))&amp;" h","✓")))))))))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5" hidden="false" customHeight="false" outlineLevel="0" collapsed="false">
      <c r="A237" s="1"/>
      <c r="B237" s="10"/>
      <c r="C237" s="31" t="str">
        <f aca="false">IF(B237="","",TEXT(B237,"ddd"))</f>
        <v/>
      </c>
      <c r="D237" s="11"/>
      <c r="E237" s="8" t="str">
        <f aca="false">IF(D237="","",IFERROR(INDEX(ProjNumbers,MATCH(D237,ProjNames,0)),""))</f>
        <v/>
      </c>
      <c r="F237" s="8" t="str">
        <f aca="false">IF(D237="","",IFERROR(INDEX(ProjCodes,MATCH(D237,ProjNames,0)),""))</f>
        <v/>
      </c>
      <c r="G237" s="32"/>
      <c r="H237" s="11"/>
      <c r="I237" s="33"/>
      <c r="J237" s="8" t="str">
        <f aca="false">IF(COUNTA(B237,D237,G237,H237,I237)=0,"",IF(B237="","Enter date",IF(OR(B237&lt;$AC$2,B237&gt;$AC$3),"Date not in June",IF(D237="","Pick project",IF(ISNA(MATCH(D237,ProjNames,0)),"Project not in list",IF(G237="","Add task description",IF(H237="","Pick NTIME or P6",IF(N(I237)&lt;=0,"Enter hours",IF(AND(AllowOT&lt;&gt;"Yes",SUMIF($B$7:$B$256,B237,$I$7:$I$256)&gt;INDEX($O$58:$O$87,DAY(B237))),"Day over "&amp;INDEX($O$58:$O$87,DAY(B237))&amp;" h","✓")))))))))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5" hidden="false" customHeight="false" outlineLevel="0" collapsed="false">
      <c r="A238" s="1"/>
      <c r="B238" s="10"/>
      <c r="C238" s="31" t="str">
        <f aca="false">IF(B238="","",TEXT(B238,"ddd"))</f>
        <v/>
      </c>
      <c r="D238" s="11"/>
      <c r="E238" s="8" t="str">
        <f aca="false">IF(D238="","",IFERROR(INDEX(ProjNumbers,MATCH(D238,ProjNames,0)),""))</f>
        <v/>
      </c>
      <c r="F238" s="8" t="str">
        <f aca="false">IF(D238="","",IFERROR(INDEX(ProjCodes,MATCH(D238,ProjNames,0)),""))</f>
        <v/>
      </c>
      <c r="G238" s="32"/>
      <c r="H238" s="11"/>
      <c r="I238" s="33"/>
      <c r="J238" s="8" t="str">
        <f aca="false">IF(COUNTA(B238,D238,G238,H238,I238)=0,"",IF(B238="","Enter date",IF(OR(B238&lt;$AC$2,B238&gt;$AC$3),"Date not in June",IF(D238="","Pick project",IF(ISNA(MATCH(D238,ProjNames,0)),"Project not in list",IF(G238="","Add task description",IF(H238="","Pick NTIME or P6",IF(N(I238)&lt;=0,"Enter hours",IF(AND(AllowOT&lt;&gt;"Yes",SUMIF($B$7:$B$256,B238,$I$7:$I$256)&gt;INDEX($O$58:$O$87,DAY(B238))),"Day over "&amp;INDEX($O$58:$O$87,DAY(B238))&amp;" h","✓")))))))))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5" hidden="false" customHeight="false" outlineLevel="0" collapsed="false">
      <c r="A239" s="1"/>
      <c r="B239" s="10"/>
      <c r="C239" s="31" t="str">
        <f aca="false">IF(B239="","",TEXT(B239,"ddd"))</f>
        <v/>
      </c>
      <c r="D239" s="11"/>
      <c r="E239" s="8" t="str">
        <f aca="false">IF(D239="","",IFERROR(INDEX(ProjNumbers,MATCH(D239,ProjNames,0)),""))</f>
        <v/>
      </c>
      <c r="F239" s="8" t="str">
        <f aca="false">IF(D239="","",IFERROR(INDEX(ProjCodes,MATCH(D239,ProjNames,0)),""))</f>
        <v/>
      </c>
      <c r="G239" s="32"/>
      <c r="H239" s="11"/>
      <c r="I239" s="33"/>
      <c r="J239" s="8" t="str">
        <f aca="false">IF(COUNTA(B239,D239,G239,H239,I239)=0,"",IF(B239="","Enter date",IF(OR(B239&lt;$AC$2,B239&gt;$AC$3),"Date not in June",IF(D239="","Pick project",IF(ISNA(MATCH(D239,ProjNames,0)),"Project not in list",IF(G239="","Add task description",IF(H239="","Pick NTIME or P6",IF(N(I239)&lt;=0,"Enter hours",IF(AND(AllowOT&lt;&gt;"Yes",SUMIF($B$7:$B$256,B239,$I$7:$I$256)&gt;INDEX($O$58:$O$87,DAY(B239))),"Day over "&amp;INDEX($O$58:$O$87,DAY(B239))&amp;" h","✓")))))))))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5" hidden="false" customHeight="false" outlineLevel="0" collapsed="false">
      <c r="A240" s="1"/>
      <c r="B240" s="10"/>
      <c r="C240" s="31" t="str">
        <f aca="false">IF(B240="","",TEXT(B240,"ddd"))</f>
        <v/>
      </c>
      <c r="D240" s="11"/>
      <c r="E240" s="8" t="str">
        <f aca="false">IF(D240="","",IFERROR(INDEX(ProjNumbers,MATCH(D240,ProjNames,0)),""))</f>
        <v/>
      </c>
      <c r="F240" s="8" t="str">
        <f aca="false">IF(D240="","",IFERROR(INDEX(ProjCodes,MATCH(D240,ProjNames,0)),""))</f>
        <v/>
      </c>
      <c r="G240" s="32"/>
      <c r="H240" s="11"/>
      <c r="I240" s="33"/>
      <c r="J240" s="8" t="str">
        <f aca="false">IF(COUNTA(B240,D240,G240,H240,I240)=0,"",IF(B240="","Enter date",IF(OR(B240&lt;$AC$2,B240&gt;$AC$3),"Date not in June",IF(D240="","Pick project",IF(ISNA(MATCH(D240,ProjNames,0)),"Project not in list",IF(G240="","Add task description",IF(H240="","Pick NTIME or P6",IF(N(I240)&lt;=0,"Enter hours",IF(AND(AllowOT&lt;&gt;"Yes",SUMIF($B$7:$B$256,B240,$I$7:$I$256)&gt;INDEX($O$58:$O$87,DAY(B240))),"Day over "&amp;INDEX($O$58:$O$87,DAY(B240))&amp;" h","✓")))))))))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5" hidden="false" customHeight="false" outlineLevel="0" collapsed="false">
      <c r="A241" s="1"/>
      <c r="B241" s="10"/>
      <c r="C241" s="31" t="str">
        <f aca="false">IF(B241="","",TEXT(B241,"ddd"))</f>
        <v/>
      </c>
      <c r="D241" s="11"/>
      <c r="E241" s="8" t="str">
        <f aca="false">IF(D241="","",IFERROR(INDEX(ProjNumbers,MATCH(D241,ProjNames,0)),""))</f>
        <v/>
      </c>
      <c r="F241" s="8" t="str">
        <f aca="false">IF(D241="","",IFERROR(INDEX(ProjCodes,MATCH(D241,ProjNames,0)),""))</f>
        <v/>
      </c>
      <c r="G241" s="32"/>
      <c r="H241" s="11"/>
      <c r="I241" s="33"/>
      <c r="J241" s="8" t="str">
        <f aca="false">IF(COUNTA(B241,D241,G241,H241,I241)=0,"",IF(B241="","Enter date",IF(OR(B241&lt;$AC$2,B241&gt;$AC$3),"Date not in June",IF(D241="","Pick project",IF(ISNA(MATCH(D241,ProjNames,0)),"Project not in list",IF(G241="","Add task description",IF(H241="","Pick NTIME or P6",IF(N(I241)&lt;=0,"Enter hours",IF(AND(AllowOT&lt;&gt;"Yes",SUMIF($B$7:$B$256,B241,$I$7:$I$256)&gt;INDEX($O$58:$O$87,DAY(B241))),"Day over "&amp;INDEX($O$58:$O$87,DAY(B241))&amp;" h","✓")))))))))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5" hidden="false" customHeight="false" outlineLevel="0" collapsed="false">
      <c r="A242" s="1"/>
      <c r="B242" s="10"/>
      <c r="C242" s="31" t="str">
        <f aca="false">IF(B242="","",TEXT(B242,"ddd"))</f>
        <v/>
      </c>
      <c r="D242" s="11"/>
      <c r="E242" s="8" t="str">
        <f aca="false">IF(D242="","",IFERROR(INDEX(ProjNumbers,MATCH(D242,ProjNames,0)),""))</f>
        <v/>
      </c>
      <c r="F242" s="8" t="str">
        <f aca="false">IF(D242="","",IFERROR(INDEX(ProjCodes,MATCH(D242,ProjNames,0)),""))</f>
        <v/>
      </c>
      <c r="G242" s="32"/>
      <c r="H242" s="11"/>
      <c r="I242" s="33"/>
      <c r="J242" s="8" t="str">
        <f aca="false">IF(COUNTA(B242,D242,G242,H242,I242)=0,"",IF(B242="","Enter date",IF(OR(B242&lt;$AC$2,B242&gt;$AC$3),"Date not in June",IF(D242="","Pick project",IF(ISNA(MATCH(D242,ProjNames,0)),"Project not in list",IF(G242="","Add task description",IF(H242="","Pick NTIME or P6",IF(N(I242)&lt;=0,"Enter hours",IF(AND(AllowOT&lt;&gt;"Yes",SUMIF($B$7:$B$256,B242,$I$7:$I$256)&gt;INDEX($O$58:$O$87,DAY(B242))),"Day over "&amp;INDEX($O$58:$O$87,DAY(B242))&amp;" h","✓")))))))))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5" hidden="false" customHeight="false" outlineLevel="0" collapsed="false">
      <c r="A243" s="1"/>
      <c r="B243" s="10"/>
      <c r="C243" s="31" t="str">
        <f aca="false">IF(B243="","",TEXT(B243,"ddd"))</f>
        <v/>
      </c>
      <c r="D243" s="11"/>
      <c r="E243" s="8" t="str">
        <f aca="false">IF(D243="","",IFERROR(INDEX(ProjNumbers,MATCH(D243,ProjNames,0)),""))</f>
        <v/>
      </c>
      <c r="F243" s="8" t="str">
        <f aca="false">IF(D243="","",IFERROR(INDEX(ProjCodes,MATCH(D243,ProjNames,0)),""))</f>
        <v/>
      </c>
      <c r="G243" s="32"/>
      <c r="H243" s="11"/>
      <c r="I243" s="33"/>
      <c r="J243" s="8" t="str">
        <f aca="false">IF(COUNTA(B243,D243,G243,H243,I243)=0,"",IF(B243="","Enter date",IF(OR(B243&lt;$AC$2,B243&gt;$AC$3),"Date not in June",IF(D243="","Pick project",IF(ISNA(MATCH(D243,ProjNames,0)),"Project not in list",IF(G243="","Add task description",IF(H243="","Pick NTIME or P6",IF(N(I243)&lt;=0,"Enter hours",IF(AND(AllowOT&lt;&gt;"Yes",SUMIF($B$7:$B$256,B243,$I$7:$I$256)&gt;INDEX($O$58:$O$87,DAY(B243))),"Day over "&amp;INDEX($O$58:$O$87,DAY(B243))&amp;" h","✓")))))))))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5" hidden="false" customHeight="false" outlineLevel="0" collapsed="false">
      <c r="A244" s="1"/>
      <c r="B244" s="10"/>
      <c r="C244" s="31" t="str">
        <f aca="false">IF(B244="","",TEXT(B244,"ddd"))</f>
        <v/>
      </c>
      <c r="D244" s="11"/>
      <c r="E244" s="8" t="str">
        <f aca="false">IF(D244="","",IFERROR(INDEX(ProjNumbers,MATCH(D244,ProjNames,0)),""))</f>
        <v/>
      </c>
      <c r="F244" s="8" t="str">
        <f aca="false">IF(D244="","",IFERROR(INDEX(ProjCodes,MATCH(D244,ProjNames,0)),""))</f>
        <v/>
      </c>
      <c r="G244" s="32"/>
      <c r="H244" s="11"/>
      <c r="I244" s="33"/>
      <c r="J244" s="8" t="str">
        <f aca="false">IF(COUNTA(B244,D244,G244,H244,I244)=0,"",IF(B244="","Enter date",IF(OR(B244&lt;$AC$2,B244&gt;$AC$3),"Date not in June",IF(D244="","Pick project",IF(ISNA(MATCH(D244,ProjNames,0)),"Project not in list",IF(G244="","Add task description",IF(H244="","Pick NTIME or P6",IF(N(I244)&lt;=0,"Enter hours",IF(AND(AllowOT&lt;&gt;"Yes",SUMIF($B$7:$B$256,B244,$I$7:$I$256)&gt;INDEX($O$58:$O$87,DAY(B244))),"Day over "&amp;INDEX($O$58:$O$87,DAY(B244))&amp;" h","✓")))))))))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5" hidden="false" customHeight="false" outlineLevel="0" collapsed="false">
      <c r="A245" s="1"/>
      <c r="B245" s="10"/>
      <c r="C245" s="31" t="str">
        <f aca="false">IF(B245="","",TEXT(B245,"ddd"))</f>
        <v/>
      </c>
      <c r="D245" s="11"/>
      <c r="E245" s="8" t="str">
        <f aca="false">IF(D245="","",IFERROR(INDEX(ProjNumbers,MATCH(D245,ProjNames,0)),""))</f>
        <v/>
      </c>
      <c r="F245" s="8" t="str">
        <f aca="false">IF(D245="","",IFERROR(INDEX(ProjCodes,MATCH(D245,ProjNames,0)),""))</f>
        <v/>
      </c>
      <c r="G245" s="32"/>
      <c r="H245" s="11"/>
      <c r="I245" s="33"/>
      <c r="J245" s="8" t="str">
        <f aca="false">IF(COUNTA(B245,D245,G245,H245,I245)=0,"",IF(B245="","Enter date",IF(OR(B245&lt;$AC$2,B245&gt;$AC$3),"Date not in June",IF(D245="","Pick project",IF(ISNA(MATCH(D245,ProjNames,0)),"Project not in list",IF(G245="","Add task description",IF(H245="","Pick NTIME or P6",IF(N(I245)&lt;=0,"Enter hours",IF(AND(AllowOT&lt;&gt;"Yes",SUMIF($B$7:$B$256,B245,$I$7:$I$256)&gt;INDEX($O$58:$O$87,DAY(B245))),"Day over "&amp;INDEX($O$58:$O$87,DAY(B245))&amp;" h","✓")))))))))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5" hidden="false" customHeight="false" outlineLevel="0" collapsed="false">
      <c r="A246" s="1"/>
      <c r="B246" s="10"/>
      <c r="C246" s="31" t="str">
        <f aca="false">IF(B246="","",TEXT(B246,"ddd"))</f>
        <v/>
      </c>
      <c r="D246" s="11"/>
      <c r="E246" s="8" t="str">
        <f aca="false">IF(D246="","",IFERROR(INDEX(ProjNumbers,MATCH(D246,ProjNames,0)),""))</f>
        <v/>
      </c>
      <c r="F246" s="8" t="str">
        <f aca="false">IF(D246="","",IFERROR(INDEX(ProjCodes,MATCH(D246,ProjNames,0)),""))</f>
        <v/>
      </c>
      <c r="G246" s="32"/>
      <c r="H246" s="11"/>
      <c r="I246" s="33"/>
      <c r="J246" s="8" t="str">
        <f aca="false">IF(COUNTA(B246,D246,G246,H246,I246)=0,"",IF(B246="","Enter date",IF(OR(B246&lt;$AC$2,B246&gt;$AC$3),"Date not in June",IF(D246="","Pick project",IF(ISNA(MATCH(D246,ProjNames,0)),"Project not in list",IF(G246="","Add task description",IF(H246="","Pick NTIME or P6",IF(N(I246)&lt;=0,"Enter hours",IF(AND(AllowOT&lt;&gt;"Yes",SUMIF($B$7:$B$256,B246,$I$7:$I$256)&gt;INDEX($O$58:$O$87,DAY(B246))),"Day over "&amp;INDEX($O$58:$O$87,DAY(B246))&amp;" h","✓")))))))))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5" hidden="false" customHeight="false" outlineLevel="0" collapsed="false">
      <c r="A247" s="1"/>
      <c r="B247" s="10"/>
      <c r="C247" s="31" t="str">
        <f aca="false">IF(B247="","",TEXT(B247,"ddd"))</f>
        <v/>
      </c>
      <c r="D247" s="11"/>
      <c r="E247" s="8" t="str">
        <f aca="false">IF(D247="","",IFERROR(INDEX(ProjNumbers,MATCH(D247,ProjNames,0)),""))</f>
        <v/>
      </c>
      <c r="F247" s="8" t="str">
        <f aca="false">IF(D247="","",IFERROR(INDEX(ProjCodes,MATCH(D247,ProjNames,0)),""))</f>
        <v/>
      </c>
      <c r="G247" s="32"/>
      <c r="H247" s="11"/>
      <c r="I247" s="33"/>
      <c r="J247" s="8" t="str">
        <f aca="false">IF(COUNTA(B247,D247,G247,H247,I247)=0,"",IF(B247="","Enter date",IF(OR(B247&lt;$AC$2,B247&gt;$AC$3),"Date not in June",IF(D247="","Pick project",IF(ISNA(MATCH(D247,ProjNames,0)),"Project not in list",IF(G247="","Add task description",IF(H247="","Pick NTIME or P6",IF(N(I247)&lt;=0,"Enter hours",IF(AND(AllowOT&lt;&gt;"Yes",SUMIF($B$7:$B$256,B247,$I$7:$I$256)&gt;INDEX($O$58:$O$87,DAY(B247))),"Day over "&amp;INDEX($O$58:$O$87,DAY(B247))&amp;" h","✓")))))))))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5" hidden="false" customHeight="false" outlineLevel="0" collapsed="false">
      <c r="A248" s="1"/>
      <c r="B248" s="10"/>
      <c r="C248" s="31" t="str">
        <f aca="false">IF(B248="","",TEXT(B248,"ddd"))</f>
        <v/>
      </c>
      <c r="D248" s="11"/>
      <c r="E248" s="8" t="str">
        <f aca="false">IF(D248="","",IFERROR(INDEX(ProjNumbers,MATCH(D248,ProjNames,0)),""))</f>
        <v/>
      </c>
      <c r="F248" s="8" t="str">
        <f aca="false">IF(D248="","",IFERROR(INDEX(ProjCodes,MATCH(D248,ProjNames,0)),""))</f>
        <v/>
      </c>
      <c r="G248" s="32"/>
      <c r="H248" s="11"/>
      <c r="I248" s="33"/>
      <c r="J248" s="8" t="str">
        <f aca="false">IF(COUNTA(B248,D248,G248,H248,I248)=0,"",IF(B248="","Enter date",IF(OR(B248&lt;$AC$2,B248&gt;$AC$3),"Date not in June",IF(D248="","Pick project",IF(ISNA(MATCH(D248,ProjNames,0)),"Project not in list",IF(G248="","Add task description",IF(H248="","Pick NTIME or P6",IF(N(I248)&lt;=0,"Enter hours",IF(AND(AllowOT&lt;&gt;"Yes",SUMIF($B$7:$B$256,B248,$I$7:$I$256)&gt;INDEX($O$58:$O$87,DAY(B248))),"Day over "&amp;INDEX($O$58:$O$87,DAY(B248))&amp;" h","✓")))))))))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5" hidden="false" customHeight="false" outlineLevel="0" collapsed="false">
      <c r="A249" s="1"/>
      <c r="B249" s="10"/>
      <c r="C249" s="31" t="str">
        <f aca="false">IF(B249="","",TEXT(B249,"ddd"))</f>
        <v/>
      </c>
      <c r="D249" s="11"/>
      <c r="E249" s="8" t="str">
        <f aca="false">IF(D249="","",IFERROR(INDEX(ProjNumbers,MATCH(D249,ProjNames,0)),""))</f>
        <v/>
      </c>
      <c r="F249" s="8" t="str">
        <f aca="false">IF(D249="","",IFERROR(INDEX(ProjCodes,MATCH(D249,ProjNames,0)),""))</f>
        <v/>
      </c>
      <c r="G249" s="32"/>
      <c r="H249" s="11"/>
      <c r="I249" s="33"/>
      <c r="J249" s="8" t="str">
        <f aca="false">IF(COUNTA(B249,D249,G249,H249,I249)=0,"",IF(B249="","Enter date",IF(OR(B249&lt;$AC$2,B249&gt;$AC$3),"Date not in June",IF(D249="","Pick project",IF(ISNA(MATCH(D249,ProjNames,0)),"Project not in list",IF(G249="","Add task description",IF(H249="","Pick NTIME or P6",IF(N(I249)&lt;=0,"Enter hours",IF(AND(AllowOT&lt;&gt;"Yes",SUMIF($B$7:$B$256,B249,$I$7:$I$256)&gt;INDEX($O$58:$O$87,DAY(B249))),"Day over "&amp;INDEX($O$58:$O$87,DAY(B249))&amp;" h","✓")))))))))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5" hidden="false" customHeight="false" outlineLevel="0" collapsed="false">
      <c r="A250" s="1"/>
      <c r="B250" s="10"/>
      <c r="C250" s="31" t="str">
        <f aca="false">IF(B250="","",TEXT(B250,"ddd"))</f>
        <v/>
      </c>
      <c r="D250" s="11"/>
      <c r="E250" s="8" t="str">
        <f aca="false">IF(D250="","",IFERROR(INDEX(ProjNumbers,MATCH(D250,ProjNames,0)),""))</f>
        <v/>
      </c>
      <c r="F250" s="8" t="str">
        <f aca="false">IF(D250="","",IFERROR(INDEX(ProjCodes,MATCH(D250,ProjNames,0)),""))</f>
        <v/>
      </c>
      <c r="G250" s="32"/>
      <c r="H250" s="11"/>
      <c r="I250" s="33"/>
      <c r="J250" s="8" t="str">
        <f aca="false">IF(COUNTA(B250,D250,G250,H250,I250)=0,"",IF(B250="","Enter date",IF(OR(B250&lt;$AC$2,B250&gt;$AC$3),"Date not in June",IF(D250="","Pick project",IF(ISNA(MATCH(D250,ProjNames,0)),"Project not in list",IF(G250="","Add task description",IF(H250="","Pick NTIME or P6",IF(N(I250)&lt;=0,"Enter hours",IF(AND(AllowOT&lt;&gt;"Yes",SUMIF($B$7:$B$256,B250,$I$7:$I$256)&gt;INDEX($O$58:$O$87,DAY(B250))),"Day over "&amp;INDEX($O$58:$O$87,DAY(B250))&amp;" h","✓")))))))))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5" hidden="false" customHeight="false" outlineLevel="0" collapsed="false">
      <c r="A251" s="1"/>
      <c r="B251" s="10"/>
      <c r="C251" s="31" t="str">
        <f aca="false">IF(B251="","",TEXT(B251,"ddd"))</f>
        <v/>
      </c>
      <c r="D251" s="11"/>
      <c r="E251" s="8" t="str">
        <f aca="false">IF(D251="","",IFERROR(INDEX(ProjNumbers,MATCH(D251,ProjNames,0)),""))</f>
        <v/>
      </c>
      <c r="F251" s="8" t="str">
        <f aca="false">IF(D251="","",IFERROR(INDEX(ProjCodes,MATCH(D251,ProjNames,0)),""))</f>
        <v/>
      </c>
      <c r="G251" s="32"/>
      <c r="H251" s="11"/>
      <c r="I251" s="33"/>
      <c r="J251" s="8" t="str">
        <f aca="false">IF(COUNTA(B251,D251,G251,H251,I251)=0,"",IF(B251="","Enter date",IF(OR(B251&lt;$AC$2,B251&gt;$AC$3),"Date not in June",IF(D251="","Pick project",IF(ISNA(MATCH(D251,ProjNames,0)),"Project not in list",IF(G251="","Add task description",IF(H251="","Pick NTIME or P6",IF(N(I251)&lt;=0,"Enter hours",IF(AND(AllowOT&lt;&gt;"Yes",SUMIF($B$7:$B$256,B251,$I$7:$I$256)&gt;INDEX($O$58:$O$87,DAY(B251))),"Day over "&amp;INDEX($O$58:$O$87,DAY(B251))&amp;" h","✓")))))))))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5" hidden="false" customHeight="false" outlineLevel="0" collapsed="false">
      <c r="A252" s="1"/>
      <c r="B252" s="10"/>
      <c r="C252" s="31" t="str">
        <f aca="false">IF(B252="","",TEXT(B252,"ddd"))</f>
        <v/>
      </c>
      <c r="D252" s="11"/>
      <c r="E252" s="8" t="str">
        <f aca="false">IF(D252="","",IFERROR(INDEX(ProjNumbers,MATCH(D252,ProjNames,0)),""))</f>
        <v/>
      </c>
      <c r="F252" s="8" t="str">
        <f aca="false">IF(D252="","",IFERROR(INDEX(ProjCodes,MATCH(D252,ProjNames,0)),""))</f>
        <v/>
      </c>
      <c r="G252" s="32"/>
      <c r="H252" s="11"/>
      <c r="I252" s="33"/>
      <c r="J252" s="8" t="str">
        <f aca="false">IF(COUNTA(B252,D252,G252,H252,I252)=0,"",IF(B252="","Enter date",IF(OR(B252&lt;$AC$2,B252&gt;$AC$3),"Date not in June",IF(D252="","Pick project",IF(ISNA(MATCH(D252,ProjNames,0)),"Project not in list",IF(G252="","Add task description",IF(H252="","Pick NTIME or P6",IF(N(I252)&lt;=0,"Enter hours",IF(AND(AllowOT&lt;&gt;"Yes",SUMIF($B$7:$B$256,B252,$I$7:$I$256)&gt;INDEX($O$58:$O$87,DAY(B252))),"Day over "&amp;INDEX($O$58:$O$87,DAY(B252))&amp;" h","✓")))))))))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5" hidden="false" customHeight="false" outlineLevel="0" collapsed="false">
      <c r="A253" s="1"/>
      <c r="B253" s="10"/>
      <c r="C253" s="31" t="str">
        <f aca="false">IF(B253="","",TEXT(B253,"ddd"))</f>
        <v/>
      </c>
      <c r="D253" s="11"/>
      <c r="E253" s="8" t="str">
        <f aca="false">IF(D253="","",IFERROR(INDEX(ProjNumbers,MATCH(D253,ProjNames,0)),""))</f>
        <v/>
      </c>
      <c r="F253" s="8" t="str">
        <f aca="false">IF(D253="","",IFERROR(INDEX(ProjCodes,MATCH(D253,ProjNames,0)),""))</f>
        <v/>
      </c>
      <c r="G253" s="32"/>
      <c r="H253" s="11"/>
      <c r="I253" s="33"/>
      <c r="J253" s="8" t="str">
        <f aca="false">IF(COUNTA(B253,D253,G253,H253,I253)=0,"",IF(B253="","Enter date",IF(OR(B253&lt;$AC$2,B253&gt;$AC$3),"Date not in June",IF(D253="","Pick project",IF(ISNA(MATCH(D253,ProjNames,0)),"Project not in list",IF(G253="","Add task description",IF(H253="","Pick NTIME or P6",IF(N(I253)&lt;=0,"Enter hours",IF(AND(AllowOT&lt;&gt;"Yes",SUMIF($B$7:$B$256,B253,$I$7:$I$256)&gt;INDEX($O$58:$O$87,DAY(B253))),"Day over "&amp;INDEX($O$58:$O$87,DAY(B253))&amp;" h","✓")))))))))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5" hidden="false" customHeight="false" outlineLevel="0" collapsed="false">
      <c r="A254" s="1"/>
      <c r="B254" s="10"/>
      <c r="C254" s="31" t="str">
        <f aca="false">IF(B254="","",TEXT(B254,"ddd"))</f>
        <v/>
      </c>
      <c r="D254" s="11"/>
      <c r="E254" s="8" t="str">
        <f aca="false">IF(D254="","",IFERROR(INDEX(ProjNumbers,MATCH(D254,ProjNames,0)),""))</f>
        <v/>
      </c>
      <c r="F254" s="8" t="str">
        <f aca="false">IF(D254="","",IFERROR(INDEX(ProjCodes,MATCH(D254,ProjNames,0)),""))</f>
        <v/>
      </c>
      <c r="G254" s="32"/>
      <c r="H254" s="11"/>
      <c r="I254" s="33"/>
      <c r="J254" s="8" t="str">
        <f aca="false">IF(COUNTA(B254,D254,G254,H254,I254)=0,"",IF(B254="","Enter date",IF(OR(B254&lt;$AC$2,B254&gt;$AC$3),"Date not in June",IF(D254="","Pick project",IF(ISNA(MATCH(D254,ProjNames,0)),"Project not in list",IF(G254="","Add task description",IF(H254="","Pick NTIME or P6",IF(N(I254)&lt;=0,"Enter hours",IF(AND(AllowOT&lt;&gt;"Yes",SUMIF($B$7:$B$256,B254,$I$7:$I$256)&gt;INDEX($O$58:$O$87,DAY(B254))),"Day over "&amp;INDEX($O$58:$O$87,DAY(B254))&amp;" h","✓")))))))))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5" hidden="false" customHeight="false" outlineLevel="0" collapsed="false">
      <c r="A255" s="1"/>
      <c r="B255" s="10"/>
      <c r="C255" s="31" t="str">
        <f aca="false">IF(B255="","",TEXT(B255,"ddd"))</f>
        <v/>
      </c>
      <c r="D255" s="11"/>
      <c r="E255" s="8" t="str">
        <f aca="false">IF(D255="","",IFERROR(INDEX(ProjNumbers,MATCH(D255,ProjNames,0)),""))</f>
        <v/>
      </c>
      <c r="F255" s="8" t="str">
        <f aca="false">IF(D255="","",IFERROR(INDEX(ProjCodes,MATCH(D255,ProjNames,0)),""))</f>
        <v/>
      </c>
      <c r="G255" s="32"/>
      <c r="H255" s="11"/>
      <c r="I255" s="33"/>
      <c r="J255" s="8" t="str">
        <f aca="false">IF(COUNTA(B255,D255,G255,H255,I255)=0,"",IF(B255="","Enter date",IF(OR(B255&lt;$AC$2,B255&gt;$AC$3),"Date not in June",IF(D255="","Pick project",IF(ISNA(MATCH(D255,ProjNames,0)),"Project not in list",IF(G255="","Add task description",IF(H255="","Pick NTIME or P6",IF(N(I255)&lt;=0,"Enter hours",IF(AND(AllowOT&lt;&gt;"Yes",SUMIF($B$7:$B$256,B255,$I$7:$I$256)&gt;INDEX($O$58:$O$87,DAY(B255))),"Day over "&amp;INDEX($O$58:$O$87,DAY(B255))&amp;" h","✓")))))))))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5" hidden="false" customHeight="false" outlineLevel="0" collapsed="false">
      <c r="A256" s="1"/>
      <c r="B256" s="10"/>
      <c r="C256" s="31" t="str">
        <f aca="false">IF(B256="","",TEXT(B256,"ddd"))</f>
        <v/>
      </c>
      <c r="D256" s="11"/>
      <c r="E256" s="8" t="str">
        <f aca="false">IF(D256="","",IFERROR(INDEX(ProjNumbers,MATCH(D256,ProjNames,0)),""))</f>
        <v/>
      </c>
      <c r="F256" s="8" t="str">
        <f aca="false">IF(D256="","",IFERROR(INDEX(ProjCodes,MATCH(D256,ProjNames,0)),""))</f>
        <v/>
      </c>
      <c r="G256" s="32"/>
      <c r="H256" s="11"/>
      <c r="I256" s="33"/>
      <c r="J256" s="8" t="str">
        <f aca="false">IF(COUNTA(B256,D256,G256,H256,I256)=0,"",IF(B256="","Enter date",IF(OR(B256&lt;$AC$2,B256&gt;$AC$3),"Date not in June",IF(D256="","Pick project",IF(ISNA(MATCH(D256,ProjNames,0)),"Project not in list",IF(G256="","Add task description",IF(H256="","Pick NTIME or P6",IF(N(I256)&lt;=0,"Enter hours",IF(AND(AllowOT&lt;&gt;"Yes",SUMIF($B$7:$B$256,B256,$I$7:$I$256)&gt;INDEX($O$58:$O$87,DAY(B256))),"Day over "&amp;INDEX($O$58:$O$87,DAY(B256))&amp;" h","✓")))))))))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</sheetData>
  <conditionalFormatting sqref="J7:J256">
    <cfRule type="expression" priority="2" aboveAverage="0" equalAverage="0" bottom="0" percent="0" rank="0" text="" dxfId="0">
      <formula>AND(J7&lt;&gt;"",J7&lt;&gt;"✓")</formula>
    </cfRule>
  </conditionalFormatting>
  <conditionalFormatting sqref="H7:H256">
    <cfRule type="expression" priority="3" aboveAverage="0" equalAverage="0" bottom="0" percent="0" rank="0" text="" dxfId="1">
      <formula>H7="NTIME"</formula>
    </cfRule>
    <cfRule type="expression" priority="4" aboveAverage="0" equalAverage="0" bottom="0" percent="0" rank="0" text="" dxfId="2">
      <formula>H7="P6"</formula>
    </cfRule>
  </conditionalFormatting>
  <conditionalFormatting sqref="S5">
    <cfRule type="expression" priority="5" aboveAverage="0" equalAverage="0" bottom="0" percent="0" rank="0" text="" dxfId="3">
      <formula>S5&gt;0</formula>
    </cfRule>
  </conditionalFormatting>
  <conditionalFormatting sqref="L52:R52">
    <cfRule type="expression" priority="6" aboveAverage="0" equalAverage="0" bottom="0" percent="0" rank="0" text="" dxfId="4">
      <formula>$Q$52&gt;0</formula>
    </cfRule>
  </conditionalFormatting>
  <conditionalFormatting sqref="L58:U87">
    <cfRule type="expression" priority="7" aboveAverage="0" equalAverage="0" bottom="0" percent="0" rank="0" text="" dxfId="5">
      <formula>$L58=TODAY()</formula>
    </cfRule>
    <cfRule type="expression" priority="8" aboveAverage="0" equalAverage="0" bottom="0" percent="0" rank="0" text="" dxfId="6">
      <formula>OR($N58="Weekend",$N58="Leave",$N58="Public Holiday")</formula>
    </cfRule>
  </conditionalFormatting>
  <conditionalFormatting sqref="U58:U87">
    <cfRule type="expression" priority="9" aboveAverage="0" equalAverage="0" bottom="0" percent="0" rank="0" text="" dxfId="7">
      <formula>OR(U58="Not logged",LEFT(U58,5)="Over ",LEFT(U58,7)="Entries")</formula>
    </cfRule>
    <cfRule type="expression" priority="10" aboveAverage="0" equalAverage="0" bottom="0" percent="0" rank="0" text="" dxfId="8">
      <formula>LEFT(U58,1)="✓"</formula>
    </cfRule>
  </conditionalFormatting>
  <dataValidations count="7">
    <dataValidation allowBlank="false" error="Hours must be more than 0 and at most 24." errorStyle="stop" operator="between" showDropDown="false" showErrorMessage="true" showInputMessage="false" sqref="I7:I256" type="decimal">
      <formula1>0.01</formula1>
      <formula2>24</formula2>
    </dataValidation>
    <dataValidation allowBlank="false" error="Keep the task description to 200 characters." errorStyle="stop" operator="lessThanOrEqual" showDropDown="false" showErrorMessage="true" showInputMessage="false" sqref="G7:G256" type="textLength">
      <formula1>200</formula1>
      <formula2>0</formula2>
    </dataValidation>
    <dataValidation allowBlank="false" errorStyle="stop" operator="between" showDropDown="false" showErrorMessage="true" showInputMessage="false" sqref="O58:O87" type="decimal">
      <formula1>0</formula1>
      <formula2>24</formula2>
    </dataValidation>
    <dataValidation allowBlank="false" error="Enter a date in June 2026." errorStyle="stop" errorTitle="Date" operator="between" showDropDown="false" showErrorMessage="true" showInputMessage="false" sqref="B7:B256" type="date">
      <formula1>DATE(2026,6,1)</formula1>
      <formula2>DATE(2026,6,30)</formula2>
    </dataValidation>
    <dataValidation allowBlank="false" error="Pick a project from the list. Add new projects on the Projects sheet first." errorStyle="stop" errorTitle="Project" operator="between" showDropDown="false" showErrorMessage="true" showInputMessage="false" sqref="D7:D256" type="list">
      <formula1>ProjNames</formula1>
      <formula2>0</formula2>
    </dataValidation>
    <dataValidation allowBlank="false" errorStyle="stop" operator="between" showDropDown="false" showErrorMessage="true" showInputMessage="false" sqref="H7:H256" type="list">
      <formula1>"NTIME,P6"</formula1>
      <formula2>0</formula2>
    </dataValidation>
    <dataValidation allowBlank="false" errorStyle="stop" operator="between" showDropDown="false" showErrorMessage="true" showInputMessage="false" sqref="N58:N87" type="list">
      <formula1>"Working,Overhead only,Leave,Public Holiday,Weekend"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true"/>
  </sheetPr>
  <dimension ref="A1:AH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9" min="15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true" outlineLevel="0" max="34" min="23" style="0" width="13"/>
  </cols>
  <sheetData>
    <row r="1" customFormat="false" ht="22.05" hidden="false" customHeight="false" outlineLevel="0" collapsed="false">
      <c r="A1" s="1"/>
      <c r="B1" s="2" t="s">
        <v>100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75</v>
      </c>
      <c r="AD1" s="1"/>
      <c r="AE1" s="1"/>
      <c r="AF1" s="1"/>
      <c r="AG1" s="1"/>
      <c r="AH1" s="1"/>
    </row>
    <row r="2" customFormat="false" ht="15" hidden="false" customHeight="false" outlineLevel="0" collapsed="false">
      <c r="A2" s="1"/>
      <c r="B2" s="3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0" t="n">
        <v>46204</v>
      </c>
      <c r="AD2" s="1"/>
      <c r="AE2" s="1"/>
      <c r="AF2" s="1"/>
      <c r="AG2" s="1"/>
      <c r="AH2" s="1"/>
    </row>
    <row r="3" customFormat="false" ht="15" hidden="false" customHeight="false" outlineLevel="0" collapsed="false">
      <c r="A3" s="1"/>
      <c r="B3" s="4" t="s">
        <v>77</v>
      </c>
      <c r="C3" s="1"/>
      <c r="D3" s="1"/>
      <c r="E3" s="1"/>
      <c r="F3" s="1"/>
      <c r="G3" s="1"/>
      <c r="H3" s="1"/>
      <c r="I3" s="1"/>
      <c r="J3" s="1"/>
      <c r="K3" s="1"/>
      <c r="L3" s="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0" t="n">
        <v>46234</v>
      </c>
      <c r="AD3" s="1"/>
      <c r="AE3" s="1"/>
      <c r="AF3" s="1"/>
      <c r="AG3" s="1"/>
      <c r="AH3" s="1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3" t="s">
        <v>50</v>
      </c>
      <c r="M4" s="13" t="str">
        <f aca="false">IF(OHSystem="NTIME","NTIME (incl. overhead)","NTIME")</f>
        <v>NTIME</v>
      </c>
      <c r="N4" s="13" t="str">
        <f aca="false">IF(OHSystem="P6","P6 (incl. overhead)","P6")</f>
        <v>P6</v>
      </c>
      <c r="O4" s="13" t="s">
        <v>15</v>
      </c>
      <c r="P4" s="13" t="s">
        <v>24</v>
      </c>
      <c r="Q4" s="13" t="s">
        <v>51</v>
      </c>
      <c r="R4" s="13" t="s">
        <v>52</v>
      </c>
      <c r="S4" s="13" t="s">
        <v>53</v>
      </c>
      <c r="T4" s="1"/>
      <c r="U4" s="1"/>
      <c r="V4" s="1"/>
      <c r="W4" s="1"/>
      <c r="X4" s="1"/>
      <c r="Y4" s="1"/>
      <c r="Z4" s="1"/>
      <c r="AA4" s="1"/>
      <c r="AB4" s="1"/>
      <c r="AC4" s="30" t="n">
        <f aca="false">AC2-MOD(WEEKDAY(AC2,2)-WeekStartNum,7)</f>
        <v>46202</v>
      </c>
      <c r="AD4" s="1"/>
      <c r="AE4" s="1"/>
      <c r="AF4" s="1"/>
      <c r="AG4" s="1"/>
      <c r="AH4" s="1"/>
    </row>
    <row r="5" customFormat="false" ht="30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 t="n">
        <f aca="false">SUM($T$58:$T$88)</f>
        <v>0</v>
      </c>
      <c r="M5" s="15" t="n">
        <f aca="false">SUM($P$58:$P$88)+IF(OHSystem="NTIME",SUM($R$58:$R$88),0)</f>
        <v>0</v>
      </c>
      <c r="N5" s="16" t="n">
        <f aca="false">SUM($Q$58:$Q$88)+IF(OHSystem="P6",SUM($R$58:$R$88),0)</f>
        <v>0</v>
      </c>
      <c r="O5" s="17" t="n">
        <f aca="false">SUM($R$58:$R$88)</f>
        <v>0</v>
      </c>
      <c r="P5" s="14" t="n">
        <f aca="false">SUM($S$58:$S$88)</f>
        <v>0</v>
      </c>
      <c r="Q5" s="18" t="str">
        <f aca="false">IF(L5=0,"-",(SUM($P$58:$P$88)+SUM($Q$58:$Q$88))/L5)</f>
        <v>-</v>
      </c>
      <c r="R5" s="19" t="n">
        <f aca="false">SUMPRODUCT(($N$58:$N$88="Working")*(($P$58:$P$88+$Q$58:$Q$88)&gt;0))+COUNTIF($N$58:$N$88,"Overhead only")</f>
        <v>0</v>
      </c>
      <c r="S5" s="19" t="n">
        <f aca="false">COUNTIF($U$58:$U$88,"Not logged")</f>
        <v>23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5" hidden="false" customHeight="false" outlineLevel="0" collapsed="false">
      <c r="A6" s="1"/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5" hidden="false" customHeight="false" outlineLevel="0" collapsed="false">
      <c r="A7" s="1"/>
      <c r="B7" s="10"/>
      <c r="C7" s="31" t="str">
        <f aca="false">IF(B7="","",TEXT(B7,"ddd"))</f>
        <v/>
      </c>
      <c r="D7" s="11"/>
      <c r="E7" s="8" t="str">
        <f aca="false">IF(D7="","",IFERROR(INDEX(ProjNumbers,MATCH(D7,ProjNames,0)),""))</f>
        <v/>
      </c>
      <c r="F7" s="8" t="str">
        <f aca="false">IF(D7="","",IFERROR(INDEX(ProjCodes,MATCH(D7,ProjNames,0)),""))</f>
        <v/>
      </c>
      <c r="G7" s="32"/>
      <c r="H7" s="11"/>
      <c r="I7" s="33"/>
      <c r="J7" s="8" t="str">
        <f aca="false">IF(COUNTA(B7,D7,G7,H7,I7)=0,"",IF(B7="","Enter date",IF(OR(B7&lt;$AC$2,B7&gt;$AC$3),"Date not in July",IF(D7="","Pick project",IF(ISNA(MATCH(D7,ProjNames,0)),"Project not in list",IF(G7="","Add task description",IF(H7="","Pick NTIME or P6",IF(N(I7)&lt;=0,"Enter hours",IF(AND(AllowOT&lt;&gt;"Yes",SUMIF($B$7:$B$256,B7,$I$7:$I$256)&gt;INDEX($O$58:$O$88,DAY(B7))),"Day over "&amp;INDEX($O$58:$O$88,DAY(B7))&amp;" h","✓")))))))))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tr">
        <f aca="false">IF(Projects!B5="","",Projects!B5)</f>
        <v>Project A</v>
      </c>
      <c r="X7" s="1" t="n">
        <f aca="false">IF(W7="",0,SUMIFS($I$7:$I$256,$D$7:$D$256,W7,$H$7:$H$256,"NTIME"))</f>
        <v>0</v>
      </c>
      <c r="Y7" s="1" t="n">
        <f aca="false">IF(W7="",0,SUMIFS($I$7:$I$256,$D$7:$D$256,W7,$H$7:$H$256,"P6"))</f>
        <v>0</v>
      </c>
      <c r="Z7" s="1" t="n">
        <f aca="false">X7+Y7</f>
        <v>0</v>
      </c>
      <c r="AA7" s="1" t="n">
        <f aca="false">IF(Z7&gt;0,Z7+(201-1)/10^6,0)</f>
        <v>0</v>
      </c>
      <c r="AB7" s="1"/>
      <c r="AC7" s="1"/>
      <c r="AD7" s="1"/>
      <c r="AE7" s="1"/>
      <c r="AF7" s="1"/>
      <c r="AG7" s="1"/>
      <c r="AH7" s="1"/>
    </row>
    <row r="8" customFormat="false" ht="15" hidden="false" customHeight="false" outlineLevel="0" collapsed="false">
      <c r="A8" s="1"/>
      <c r="B8" s="10"/>
      <c r="C8" s="31" t="str">
        <f aca="false">IF(B8="","",TEXT(B8,"ddd"))</f>
        <v/>
      </c>
      <c r="D8" s="11"/>
      <c r="E8" s="8" t="str">
        <f aca="false">IF(D8="","",IFERROR(INDEX(ProjNumbers,MATCH(D8,ProjNames,0)),""))</f>
        <v/>
      </c>
      <c r="F8" s="8" t="str">
        <f aca="false">IF(D8="","",IFERROR(INDEX(ProjCodes,MATCH(D8,ProjNames,0)),""))</f>
        <v/>
      </c>
      <c r="G8" s="32"/>
      <c r="H8" s="11"/>
      <c r="I8" s="33"/>
      <c r="J8" s="8" t="str">
        <f aca="false">IF(COUNTA(B8,D8,G8,H8,I8)=0,"",IF(B8="","Enter date",IF(OR(B8&lt;$AC$2,B8&gt;$AC$3),"Date not in July",IF(D8="","Pick project",IF(ISNA(MATCH(D8,ProjNames,0)),"Project not in list",IF(G8="","Add task description",IF(H8="","Pick NTIME or P6",IF(N(I8)&lt;=0,"Enter hours",IF(AND(AllowOT&lt;&gt;"Yes",SUMIF($B$7:$B$256,B8,$I$7:$I$256)&gt;INDEX($O$58:$O$88,DAY(B8))),"Day over "&amp;INDEX($O$58:$O$88,DAY(B8))&amp;" h","✓")))))))))</f>
        <v/>
      </c>
      <c r="K8" s="1"/>
      <c r="L8" s="4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f aca="false">IF(Projects!B6="","",Projects!B6)</f>
        <v/>
      </c>
      <c r="X8" s="1" t="n">
        <f aca="false">IF(W8="",0,SUMIFS($I$7:$I$256,$D$7:$D$256,W8,$H$7:$H$256,"NTIME"))</f>
        <v>0</v>
      </c>
      <c r="Y8" s="1" t="n">
        <f aca="false">IF(W8="",0,SUMIFS($I$7:$I$256,$D$7:$D$256,W8,$H$7:$H$256,"P6"))</f>
        <v>0</v>
      </c>
      <c r="Z8" s="1" t="n">
        <f aca="false">X8+Y8</f>
        <v>0</v>
      </c>
      <c r="AA8" s="1" t="n">
        <f aca="false">IF(Z8&gt;0,Z8+(201-2)/10^6,0)</f>
        <v>0</v>
      </c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/>
      <c r="B9" s="10"/>
      <c r="C9" s="31" t="str">
        <f aca="false">IF(B9="","",TEXT(B9,"ddd"))</f>
        <v/>
      </c>
      <c r="D9" s="11"/>
      <c r="E9" s="8" t="str">
        <f aca="false">IF(D9="","",IFERROR(INDEX(ProjNumbers,MATCH(D9,ProjNames,0)),""))</f>
        <v/>
      </c>
      <c r="F9" s="8" t="str">
        <f aca="false">IF(D9="","",IFERROR(INDEX(ProjCodes,MATCH(D9,ProjNames,0)),""))</f>
        <v/>
      </c>
      <c r="G9" s="32"/>
      <c r="H9" s="11"/>
      <c r="I9" s="33"/>
      <c r="J9" s="8" t="str">
        <f aca="false">IF(COUNTA(B9,D9,G9,H9,I9)=0,"",IF(B9="","Enter date",IF(OR(B9&lt;$AC$2,B9&gt;$AC$3),"Date not in July",IF(D9="","Pick project",IF(ISNA(MATCH(D9,ProjNames,0)),"Project not in list",IF(G9="","Add task description",IF(H9="","Pick NTIME or P6",IF(N(I9)&lt;=0,"Enter hours",IF(AND(AllowOT&lt;&gt;"Yes",SUMIF($B$7:$B$256,B9,$I$7:$I$256)&gt;INDEX($O$58:$O$88,DAY(B9))),"Day over "&amp;INDEX($O$58:$O$88,DAY(B9))&amp;" h","✓")))))))))</f>
        <v/>
      </c>
      <c r="K9" s="1"/>
      <c r="L9" s="9" t="s">
        <v>81</v>
      </c>
      <c r="M9" s="9" t="s">
        <v>82</v>
      </c>
      <c r="N9" s="9" t="s">
        <v>83</v>
      </c>
      <c r="O9" s="20" t="s">
        <v>46</v>
      </c>
      <c r="P9" s="21" t="s">
        <v>56</v>
      </c>
      <c r="Q9" s="22" t="s">
        <v>15</v>
      </c>
      <c r="R9" s="9" t="s">
        <v>24</v>
      </c>
      <c r="S9" s="9" t="s">
        <v>57</v>
      </c>
      <c r="T9" s="1"/>
      <c r="U9" s="1"/>
      <c r="V9" s="1"/>
      <c r="W9" s="1" t="str">
        <f aca="false">IF(Projects!B7="","",Projects!B7)</f>
        <v/>
      </c>
      <c r="X9" s="1" t="n">
        <f aca="false">IF(W9="",0,SUMIFS($I$7:$I$256,$D$7:$D$256,W9,$H$7:$H$256,"NTIME"))</f>
        <v>0</v>
      </c>
      <c r="Y9" s="1" t="n">
        <f aca="false">IF(W9="",0,SUMIFS($I$7:$I$256,$D$7:$D$256,W9,$H$7:$H$256,"P6"))</f>
        <v>0</v>
      </c>
      <c r="Z9" s="1" t="n">
        <f aca="false">X9+Y9</f>
        <v>0</v>
      </c>
      <c r="AA9" s="1" t="n">
        <f aca="false">IF(Z9&gt;0,Z9+(201-3)/10^6,0)</f>
        <v>0</v>
      </c>
      <c r="AB9" s="1"/>
      <c r="AC9" s="1"/>
      <c r="AD9" s="1"/>
      <c r="AE9" s="1"/>
      <c r="AF9" s="1" t="s">
        <v>46</v>
      </c>
      <c r="AG9" s="1" t="s">
        <v>56</v>
      </c>
      <c r="AH9" s="1" t="s">
        <v>15</v>
      </c>
    </row>
    <row r="10" customFormat="false" ht="15" hidden="false" customHeight="false" outlineLevel="0" collapsed="false">
      <c r="A10" s="1"/>
      <c r="B10" s="10"/>
      <c r="C10" s="31" t="str">
        <f aca="false">IF(B10="","",TEXT(B10,"ddd"))</f>
        <v/>
      </c>
      <c r="D10" s="11"/>
      <c r="E10" s="8" t="str">
        <f aca="false">IF(D10="","",IFERROR(INDEX(ProjNumbers,MATCH(D10,ProjNames,0)),""))</f>
        <v/>
      </c>
      <c r="F10" s="8" t="str">
        <f aca="false">IF(D10="","",IFERROR(INDEX(ProjCodes,MATCH(D10,ProjNames,0)),""))</f>
        <v/>
      </c>
      <c r="G10" s="32"/>
      <c r="H10" s="11"/>
      <c r="I10" s="33"/>
      <c r="J10" s="8" t="str">
        <f aca="false">IF(COUNTA(B10,D10,G10,H10,I10)=0,"",IF(B10="","Enter date",IF(OR(B10&lt;$AC$2,B10&gt;$AC$3),"Date not in July",IF(D10="","Pick project",IF(ISNA(MATCH(D10,ProjNames,0)),"Project not in list",IF(G10="","Add task description",IF(H10="","Pick NTIME or P6",IF(N(I10)&lt;=0,"Enter hours",IF(AND(AllowOT&lt;&gt;"Yes",SUMIF($B$7:$B$256,B10,$I$7:$I$256)&gt;INDEX($O$58:$O$88,DAY(B10))),"Day over "&amp;INDEX($O$58:$O$88,DAY(B10))&amp;" h","✓")))))))))</f>
        <v/>
      </c>
      <c r="K10" s="1"/>
      <c r="L10" s="24" t="str">
        <f aca="false">"Week 1"&amp;IF(M10="",""," ("&amp;DAY(M10)&amp;"–"&amp;DAY(N10)&amp;")")</f>
        <v>Week 1 (1–5)</v>
      </c>
      <c r="M10" s="34" t="n">
        <f aca="false">IF($AC$4+7*0&gt;$AC$3,"",MAX($AC$2,$AC$4+7*0))</f>
        <v>46204</v>
      </c>
      <c r="N10" s="34" t="n">
        <f aca="false">IF(M10="","",MIN($AC$3,$AC$4+7*1-1))</f>
        <v>46208</v>
      </c>
      <c r="O10" s="24" t="n">
        <f aca="false">IF($M10="","",AF10+IF(OHSystem="NTIME",AH10,0))</f>
        <v>0</v>
      </c>
      <c r="P10" s="24" t="n">
        <f aca="false">IF($M10="","",AG10+IF(OHSystem="P6",AH10,0))</f>
        <v>0</v>
      </c>
      <c r="Q10" s="24" t="n">
        <f aca="false">IF($M10="","",AH10)</f>
        <v>0</v>
      </c>
      <c r="R10" s="24" t="n">
        <f aca="false">IF($M10="","",SUMIFS($S$58:$S$88,$L$58:$L$88,"&gt;="&amp;$M10,$L$58:$L$88,"&lt;="&amp;$N10))</f>
        <v>0</v>
      </c>
      <c r="S10" s="24" t="n">
        <f aca="false">IF($M10="","",SUMIFS($T$58:$T$88,$L$58:$L$88,"&gt;="&amp;$M10,$L$58:$L$88,"&lt;="&amp;$N10))</f>
        <v>0</v>
      </c>
      <c r="T10" s="1"/>
      <c r="U10" s="1"/>
      <c r="V10" s="1"/>
      <c r="W10" s="1" t="str">
        <f aca="false">IF(Projects!B8="","",Projects!B8)</f>
        <v/>
      </c>
      <c r="X10" s="1" t="n">
        <f aca="false">IF(W10="",0,SUMIFS($I$7:$I$256,$D$7:$D$256,W10,$H$7:$H$256,"NTIME"))</f>
        <v>0</v>
      </c>
      <c r="Y10" s="1" t="n">
        <f aca="false">IF(W10="",0,SUMIFS($I$7:$I$256,$D$7:$D$256,W10,$H$7:$H$256,"P6"))</f>
        <v>0</v>
      </c>
      <c r="Z10" s="1" t="n">
        <f aca="false">X10+Y10</f>
        <v>0</v>
      </c>
      <c r="AA10" s="1" t="n">
        <f aca="false">IF(Z10&gt;0,Z10+(201-4)/10^6,0)</f>
        <v>0</v>
      </c>
      <c r="AB10" s="1"/>
      <c r="AC10" s="1"/>
      <c r="AD10" s="1"/>
      <c r="AE10" s="1"/>
      <c r="AF10" s="1" t="n">
        <f aca="false">IF($M10="",0,SUMIFS($P$58:$P$88,$L$58:$L$88,"&gt;="&amp;$M10,$L$58:$L$88,"&lt;="&amp;$N10))</f>
        <v>0</v>
      </c>
      <c r="AG10" s="1" t="n">
        <f aca="false">IF($M10="",0,SUMIFS($Q$58:$Q$88,$L$58:$L$88,"&gt;="&amp;$M10,$L$58:$L$88,"&lt;="&amp;$N10))</f>
        <v>0</v>
      </c>
      <c r="AH10" s="1" t="n">
        <f aca="false">IF($M10="",0,SUMIFS($R$58:$R$88,$L$58:$L$88,"&gt;="&amp;$M10,$L$58:$L$88,"&lt;="&amp;$N10))</f>
        <v>0</v>
      </c>
    </row>
    <row r="11" customFormat="false" ht="15" hidden="false" customHeight="false" outlineLevel="0" collapsed="false">
      <c r="A11" s="1"/>
      <c r="B11" s="10"/>
      <c r="C11" s="31" t="str">
        <f aca="false">IF(B11="","",TEXT(B11,"ddd"))</f>
        <v/>
      </c>
      <c r="D11" s="11"/>
      <c r="E11" s="8" t="str">
        <f aca="false">IF(D11="","",IFERROR(INDEX(ProjNumbers,MATCH(D11,ProjNames,0)),""))</f>
        <v/>
      </c>
      <c r="F11" s="8" t="str">
        <f aca="false">IF(D11="","",IFERROR(INDEX(ProjCodes,MATCH(D11,ProjNames,0)),""))</f>
        <v/>
      </c>
      <c r="G11" s="32"/>
      <c r="H11" s="11"/>
      <c r="I11" s="33"/>
      <c r="J11" s="8" t="str">
        <f aca="false">IF(COUNTA(B11,D11,G11,H11,I11)=0,"",IF(B11="","Enter date",IF(OR(B11&lt;$AC$2,B11&gt;$AC$3),"Date not in July",IF(D11="","Pick project",IF(ISNA(MATCH(D11,ProjNames,0)),"Project not in list",IF(G11="","Add task description",IF(H11="","Pick NTIME or P6",IF(N(I11)&lt;=0,"Enter hours",IF(AND(AllowOT&lt;&gt;"Yes",SUMIF($B$7:$B$256,B11,$I$7:$I$256)&gt;INDEX($O$58:$O$88,DAY(B11))),"Day over "&amp;INDEX($O$58:$O$88,DAY(B11))&amp;" h","✓")))))))))</f>
        <v/>
      </c>
      <c r="K11" s="1"/>
      <c r="L11" s="24" t="str">
        <f aca="false">"Week 2"&amp;IF(M11="",""," ("&amp;DAY(M11)&amp;"–"&amp;DAY(N11)&amp;")")</f>
        <v>Week 2 (6–12)</v>
      </c>
      <c r="M11" s="34" t="n">
        <f aca="false">IF($AC$4+7*1&gt;$AC$3,"",MAX($AC$2,$AC$4+7*1))</f>
        <v>46209</v>
      </c>
      <c r="N11" s="34" t="n">
        <f aca="false">IF(M11="","",MIN($AC$3,$AC$4+7*2-1))</f>
        <v>46215</v>
      </c>
      <c r="O11" s="24" t="n">
        <f aca="false">IF($M11="","",AF11+IF(OHSystem="NTIME",AH11,0))</f>
        <v>0</v>
      </c>
      <c r="P11" s="24" t="n">
        <f aca="false">IF($M11="","",AG11+IF(OHSystem="P6",AH11,0))</f>
        <v>0</v>
      </c>
      <c r="Q11" s="24" t="n">
        <f aca="false">IF($M11="","",AH11)</f>
        <v>0</v>
      </c>
      <c r="R11" s="24" t="n">
        <f aca="false">IF($M11="","",SUMIFS($S$58:$S$88,$L$58:$L$88,"&gt;="&amp;$M11,$L$58:$L$88,"&lt;="&amp;$N11))</f>
        <v>0</v>
      </c>
      <c r="S11" s="24" t="n">
        <f aca="false">IF($M11="","",SUMIFS($T$58:$T$88,$L$58:$L$88,"&gt;="&amp;$M11,$L$58:$L$88,"&lt;="&amp;$N11))</f>
        <v>0</v>
      </c>
      <c r="T11" s="1"/>
      <c r="U11" s="1"/>
      <c r="V11" s="1"/>
      <c r="W11" s="1" t="str">
        <f aca="false">IF(Projects!B9="","",Projects!B9)</f>
        <v/>
      </c>
      <c r="X11" s="1" t="n">
        <f aca="false">IF(W11="",0,SUMIFS($I$7:$I$256,$D$7:$D$256,W11,$H$7:$H$256,"NTIME"))</f>
        <v>0</v>
      </c>
      <c r="Y11" s="1" t="n">
        <f aca="false">IF(W11="",0,SUMIFS($I$7:$I$256,$D$7:$D$256,W11,$H$7:$H$256,"P6"))</f>
        <v>0</v>
      </c>
      <c r="Z11" s="1" t="n">
        <f aca="false">X11+Y11</f>
        <v>0</v>
      </c>
      <c r="AA11" s="1" t="n">
        <f aca="false">IF(Z11&gt;0,Z11+(201-5)/10^6,0)</f>
        <v>0</v>
      </c>
      <c r="AB11" s="1"/>
      <c r="AC11" s="1"/>
      <c r="AD11" s="1"/>
      <c r="AE11" s="1"/>
      <c r="AF11" s="1" t="n">
        <f aca="false">IF($M11="",0,SUMIFS($P$58:$P$88,$L$58:$L$88,"&gt;="&amp;$M11,$L$58:$L$88,"&lt;="&amp;$N11))</f>
        <v>0</v>
      </c>
      <c r="AG11" s="1" t="n">
        <f aca="false">IF($M11="",0,SUMIFS($Q$58:$Q$88,$L$58:$L$88,"&gt;="&amp;$M11,$L$58:$L$88,"&lt;="&amp;$N11))</f>
        <v>0</v>
      </c>
      <c r="AH11" s="1" t="n">
        <f aca="false">IF($M11="",0,SUMIFS($R$58:$R$88,$L$58:$L$88,"&gt;="&amp;$M11,$L$58:$L$88,"&lt;="&amp;$N11))</f>
        <v>0</v>
      </c>
    </row>
    <row r="12" customFormat="false" ht="15" hidden="false" customHeight="false" outlineLevel="0" collapsed="false">
      <c r="A12" s="1"/>
      <c r="B12" s="10"/>
      <c r="C12" s="31" t="str">
        <f aca="false">IF(B12="","",TEXT(B12,"ddd"))</f>
        <v/>
      </c>
      <c r="D12" s="11"/>
      <c r="E12" s="8" t="str">
        <f aca="false">IF(D12="","",IFERROR(INDEX(ProjNumbers,MATCH(D12,ProjNames,0)),""))</f>
        <v/>
      </c>
      <c r="F12" s="8" t="str">
        <f aca="false">IF(D12="","",IFERROR(INDEX(ProjCodes,MATCH(D12,ProjNames,0)),""))</f>
        <v/>
      </c>
      <c r="G12" s="32"/>
      <c r="H12" s="11"/>
      <c r="I12" s="33"/>
      <c r="J12" s="8" t="str">
        <f aca="false">IF(COUNTA(B12,D12,G12,H12,I12)=0,"",IF(B12="","Enter date",IF(OR(B12&lt;$AC$2,B12&gt;$AC$3),"Date not in July",IF(D12="","Pick project",IF(ISNA(MATCH(D12,ProjNames,0)),"Project not in list",IF(G12="","Add task description",IF(H12="","Pick NTIME or P6",IF(N(I12)&lt;=0,"Enter hours",IF(AND(AllowOT&lt;&gt;"Yes",SUMIF($B$7:$B$256,B12,$I$7:$I$256)&gt;INDEX($O$58:$O$88,DAY(B12))),"Day over "&amp;INDEX($O$58:$O$88,DAY(B12))&amp;" h","✓")))))))))</f>
        <v/>
      </c>
      <c r="K12" s="1"/>
      <c r="L12" s="24" t="str">
        <f aca="false">"Week 3"&amp;IF(M12="",""," ("&amp;DAY(M12)&amp;"–"&amp;DAY(N12)&amp;")")</f>
        <v>Week 3 (13–19)</v>
      </c>
      <c r="M12" s="34" t="n">
        <f aca="false">IF($AC$4+7*2&gt;$AC$3,"",MAX($AC$2,$AC$4+7*2))</f>
        <v>46216</v>
      </c>
      <c r="N12" s="34" t="n">
        <f aca="false">IF(M12="","",MIN($AC$3,$AC$4+7*3-1))</f>
        <v>46222</v>
      </c>
      <c r="O12" s="24" t="n">
        <f aca="false">IF($M12="","",AF12+IF(OHSystem="NTIME",AH12,0))</f>
        <v>0</v>
      </c>
      <c r="P12" s="24" t="n">
        <f aca="false">IF($M12="","",AG12+IF(OHSystem="P6",AH12,0))</f>
        <v>0</v>
      </c>
      <c r="Q12" s="24" t="n">
        <f aca="false">IF($M12="","",AH12)</f>
        <v>0</v>
      </c>
      <c r="R12" s="24" t="n">
        <f aca="false">IF($M12="","",SUMIFS($S$58:$S$88,$L$58:$L$88,"&gt;="&amp;$M12,$L$58:$L$88,"&lt;="&amp;$N12))</f>
        <v>0</v>
      </c>
      <c r="S12" s="24" t="n">
        <f aca="false">IF($M12="","",SUMIFS($T$58:$T$88,$L$58:$L$88,"&gt;="&amp;$M12,$L$58:$L$88,"&lt;="&amp;$N12))</f>
        <v>0</v>
      </c>
      <c r="T12" s="1"/>
      <c r="U12" s="1"/>
      <c r="V12" s="1"/>
      <c r="W12" s="1" t="str">
        <f aca="false">IF(Projects!B10="","",Projects!B10)</f>
        <v/>
      </c>
      <c r="X12" s="1" t="n">
        <f aca="false">IF(W12="",0,SUMIFS($I$7:$I$256,$D$7:$D$256,W12,$H$7:$H$256,"NTIME"))</f>
        <v>0</v>
      </c>
      <c r="Y12" s="1" t="n">
        <f aca="false">IF(W12="",0,SUMIFS($I$7:$I$256,$D$7:$D$256,W12,$H$7:$H$256,"P6"))</f>
        <v>0</v>
      </c>
      <c r="Z12" s="1" t="n">
        <f aca="false">X12+Y12</f>
        <v>0</v>
      </c>
      <c r="AA12" s="1" t="n">
        <f aca="false">IF(Z12&gt;0,Z12+(201-6)/10^6,0)</f>
        <v>0</v>
      </c>
      <c r="AB12" s="1"/>
      <c r="AC12" s="1"/>
      <c r="AD12" s="1"/>
      <c r="AE12" s="1"/>
      <c r="AF12" s="1" t="n">
        <f aca="false">IF($M12="",0,SUMIFS($P$58:$P$88,$L$58:$L$88,"&gt;="&amp;$M12,$L$58:$L$88,"&lt;="&amp;$N12))</f>
        <v>0</v>
      </c>
      <c r="AG12" s="1" t="n">
        <f aca="false">IF($M12="",0,SUMIFS($Q$58:$Q$88,$L$58:$L$88,"&gt;="&amp;$M12,$L$58:$L$88,"&lt;="&amp;$N12))</f>
        <v>0</v>
      </c>
      <c r="AH12" s="1" t="n">
        <f aca="false">IF($M12="",0,SUMIFS($R$58:$R$88,$L$58:$L$88,"&gt;="&amp;$M12,$L$58:$L$88,"&lt;="&amp;$N12))</f>
        <v>0</v>
      </c>
    </row>
    <row r="13" customFormat="false" ht="15" hidden="false" customHeight="false" outlineLevel="0" collapsed="false">
      <c r="A13" s="1"/>
      <c r="B13" s="10"/>
      <c r="C13" s="31" t="str">
        <f aca="false">IF(B13="","",TEXT(B13,"ddd"))</f>
        <v/>
      </c>
      <c r="D13" s="11"/>
      <c r="E13" s="8" t="str">
        <f aca="false">IF(D13="","",IFERROR(INDEX(ProjNumbers,MATCH(D13,ProjNames,0)),""))</f>
        <v/>
      </c>
      <c r="F13" s="8" t="str">
        <f aca="false">IF(D13="","",IFERROR(INDEX(ProjCodes,MATCH(D13,ProjNames,0)),""))</f>
        <v/>
      </c>
      <c r="G13" s="32"/>
      <c r="H13" s="11"/>
      <c r="I13" s="33"/>
      <c r="J13" s="8" t="str">
        <f aca="false">IF(COUNTA(B13,D13,G13,H13,I13)=0,"",IF(B13="","Enter date",IF(OR(B13&lt;$AC$2,B13&gt;$AC$3),"Date not in July",IF(D13="","Pick project",IF(ISNA(MATCH(D13,ProjNames,0)),"Project not in list",IF(G13="","Add task description",IF(H13="","Pick NTIME or P6",IF(N(I13)&lt;=0,"Enter hours",IF(AND(AllowOT&lt;&gt;"Yes",SUMIF($B$7:$B$256,B13,$I$7:$I$256)&gt;INDEX($O$58:$O$88,DAY(B13))),"Day over "&amp;INDEX($O$58:$O$88,DAY(B13))&amp;" h","✓")))))))))</f>
        <v/>
      </c>
      <c r="K13" s="1"/>
      <c r="L13" s="24" t="str">
        <f aca="false">"Week 4"&amp;IF(M13="",""," ("&amp;DAY(M13)&amp;"–"&amp;DAY(N13)&amp;")")</f>
        <v>Week 4 (20–26)</v>
      </c>
      <c r="M13" s="34" t="n">
        <f aca="false">IF($AC$4+7*3&gt;$AC$3,"",MAX($AC$2,$AC$4+7*3))</f>
        <v>46223</v>
      </c>
      <c r="N13" s="34" t="n">
        <f aca="false">IF(M13="","",MIN($AC$3,$AC$4+7*4-1))</f>
        <v>46229</v>
      </c>
      <c r="O13" s="24" t="n">
        <f aca="false">IF($M13="","",AF13+IF(OHSystem="NTIME",AH13,0))</f>
        <v>0</v>
      </c>
      <c r="P13" s="24" t="n">
        <f aca="false">IF($M13="","",AG13+IF(OHSystem="P6",AH13,0))</f>
        <v>0</v>
      </c>
      <c r="Q13" s="24" t="n">
        <f aca="false">IF($M13="","",AH13)</f>
        <v>0</v>
      </c>
      <c r="R13" s="24" t="n">
        <f aca="false">IF($M13="","",SUMIFS($S$58:$S$88,$L$58:$L$88,"&gt;="&amp;$M13,$L$58:$L$88,"&lt;="&amp;$N13))</f>
        <v>0</v>
      </c>
      <c r="S13" s="24" t="n">
        <f aca="false">IF($M13="","",SUMIFS($T$58:$T$88,$L$58:$L$88,"&gt;="&amp;$M13,$L$58:$L$88,"&lt;="&amp;$N13))</f>
        <v>0</v>
      </c>
      <c r="T13" s="1"/>
      <c r="U13" s="1"/>
      <c r="V13" s="1"/>
      <c r="W13" s="1" t="str">
        <f aca="false">IF(Projects!B11="","",Projects!B11)</f>
        <v/>
      </c>
      <c r="X13" s="1" t="n">
        <f aca="false">IF(W13="",0,SUMIFS($I$7:$I$256,$D$7:$D$256,W13,$H$7:$H$256,"NTIME"))</f>
        <v>0</v>
      </c>
      <c r="Y13" s="1" t="n">
        <f aca="false">IF(W13="",0,SUMIFS($I$7:$I$256,$D$7:$D$256,W13,$H$7:$H$256,"P6"))</f>
        <v>0</v>
      </c>
      <c r="Z13" s="1" t="n">
        <f aca="false">X13+Y13</f>
        <v>0</v>
      </c>
      <c r="AA13" s="1" t="n">
        <f aca="false">IF(Z13&gt;0,Z13+(201-7)/10^6,0)</f>
        <v>0</v>
      </c>
      <c r="AB13" s="1"/>
      <c r="AC13" s="1"/>
      <c r="AD13" s="1"/>
      <c r="AE13" s="1"/>
      <c r="AF13" s="1" t="n">
        <f aca="false">IF($M13="",0,SUMIFS($P$58:$P$88,$L$58:$L$88,"&gt;="&amp;$M13,$L$58:$L$88,"&lt;="&amp;$N13))</f>
        <v>0</v>
      </c>
      <c r="AG13" s="1" t="n">
        <f aca="false">IF($M13="",0,SUMIFS($Q$58:$Q$88,$L$58:$L$88,"&gt;="&amp;$M13,$L$58:$L$88,"&lt;="&amp;$N13))</f>
        <v>0</v>
      </c>
      <c r="AH13" s="1" t="n">
        <f aca="false">IF($M13="",0,SUMIFS($R$58:$R$88,$L$58:$L$88,"&gt;="&amp;$M13,$L$58:$L$88,"&lt;="&amp;$N13))</f>
        <v>0</v>
      </c>
    </row>
    <row r="14" customFormat="false" ht="15" hidden="false" customHeight="false" outlineLevel="0" collapsed="false">
      <c r="A14" s="1"/>
      <c r="B14" s="10"/>
      <c r="C14" s="31" t="str">
        <f aca="false">IF(B14="","",TEXT(B14,"ddd"))</f>
        <v/>
      </c>
      <c r="D14" s="11"/>
      <c r="E14" s="8" t="str">
        <f aca="false">IF(D14="","",IFERROR(INDEX(ProjNumbers,MATCH(D14,ProjNames,0)),""))</f>
        <v/>
      </c>
      <c r="F14" s="8" t="str">
        <f aca="false">IF(D14="","",IFERROR(INDEX(ProjCodes,MATCH(D14,ProjNames,0)),""))</f>
        <v/>
      </c>
      <c r="G14" s="32"/>
      <c r="H14" s="11"/>
      <c r="I14" s="33"/>
      <c r="J14" s="8" t="str">
        <f aca="false">IF(COUNTA(B14,D14,G14,H14,I14)=0,"",IF(B14="","Enter date",IF(OR(B14&lt;$AC$2,B14&gt;$AC$3),"Date not in July",IF(D14="","Pick project",IF(ISNA(MATCH(D14,ProjNames,0)),"Project not in list",IF(G14="","Add task description",IF(H14="","Pick NTIME or P6",IF(N(I14)&lt;=0,"Enter hours",IF(AND(AllowOT&lt;&gt;"Yes",SUMIF($B$7:$B$256,B14,$I$7:$I$256)&gt;INDEX($O$58:$O$88,DAY(B14))),"Day over "&amp;INDEX($O$58:$O$88,DAY(B14))&amp;" h","✓")))))))))</f>
        <v/>
      </c>
      <c r="K14" s="1"/>
      <c r="L14" s="24" t="str">
        <f aca="false">"Week 5"&amp;IF(M14="",""," ("&amp;DAY(M14)&amp;"–"&amp;DAY(N14)&amp;")")</f>
        <v>Week 5 (27–31)</v>
      </c>
      <c r="M14" s="34" t="n">
        <f aca="false">IF($AC$4+7*4&gt;$AC$3,"",MAX($AC$2,$AC$4+7*4))</f>
        <v>46230</v>
      </c>
      <c r="N14" s="34" t="n">
        <f aca="false">IF(M14="","",MIN($AC$3,$AC$4+7*5-1))</f>
        <v>46234</v>
      </c>
      <c r="O14" s="24" t="n">
        <f aca="false">IF($M14="","",AF14+IF(OHSystem="NTIME",AH14,0))</f>
        <v>0</v>
      </c>
      <c r="P14" s="24" t="n">
        <f aca="false">IF($M14="","",AG14+IF(OHSystem="P6",AH14,0))</f>
        <v>0</v>
      </c>
      <c r="Q14" s="24" t="n">
        <f aca="false">IF($M14="","",AH14)</f>
        <v>0</v>
      </c>
      <c r="R14" s="24" t="n">
        <f aca="false">IF($M14="","",SUMIFS($S$58:$S$88,$L$58:$L$88,"&gt;="&amp;$M14,$L$58:$L$88,"&lt;="&amp;$N14))</f>
        <v>0</v>
      </c>
      <c r="S14" s="24" t="n">
        <f aca="false">IF($M14="","",SUMIFS($T$58:$T$88,$L$58:$L$88,"&gt;="&amp;$M14,$L$58:$L$88,"&lt;="&amp;$N14))</f>
        <v>0</v>
      </c>
      <c r="T14" s="1"/>
      <c r="U14" s="1"/>
      <c r="V14" s="1"/>
      <c r="W14" s="1" t="str">
        <f aca="false">IF(Projects!B12="","",Projects!B12)</f>
        <v/>
      </c>
      <c r="X14" s="1" t="n">
        <f aca="false">IF(W14="",0,SUMIFS($I$7:$I$256,$D$7:$D$256,W14,$H$7:$H$256,"NTIME"))</f>
        <v>0</v>
      </c>
      <c r="Y14" s="1" t="n">
        <f aca="false">IF(W14="",0,SUMIFS($I$7:$I$256,$D$7:$D$256,W14,$H$7:$H$256,"P6"))</f>
        <v>0</v>
      </c>
      <c r="Z14" s="1" t="n">
        <f aca="false">X14+Y14</f>
        <v>0</v>
      </c>
      <c r="AA14" s="1" t="n">
        <f aca="false">IF(Z14&gt;0,Z14+(201-8)/10^6,0)</f>
        <v>0</v>
      </c>
      <c r="AB14" s="1"/>
      <c r="AC14" s="1"/>
      <c r="AD14" s="1"/>
      <c r="AE14" s="1"/>
      <c r="AF14" s="1" t="n">
        <f aca="false">IF($M14="",0,SUMIFS($P$58:$P$88,$L$58:$L$88,"&gt;="&amp;$M14,$L$58:$L$88,"&lt;="&amp;$N14))</f>
        <v>0</v>
      </c>
      <c r="AG14" s="1" t="n">
        <f aca="false">IF($M14="",0,SUMIFS($Q$58:$Q$88,$L$58:$L$88,"&gt;="&amp;$M14,$L$58:$L$88,"&lt;="&amp;$N14))</f>
        <v>0</v>
      </c>
      <c r="AH14" s="1" t="n">
        <f aca="false">IF($M14="",0,SUMIFS($R$58:$R$88,$L$58:$L$88,"&gt;="&amp;$M14,$L$58:$L$88,"&lt;="&amp;$N14))</f>
        <v>0</v>
      </c>
    </row>
    <row r="15" customFormat="false" ht="15" hidden="false" customHeight="false" outlineLevel="0" collapsed="false">
      <c r="A15" s="1"/>
      <c r="B15" s="10"/>
      <c r="C15" s="31" t="str">
        <f aca="false">IF(B15="","",TEXT(B15,"ddd"))</f>
        <v/>
      </c>
      <c r="D15" s="11"/>
      <c r="E15" s="8" t="str">
        <f aca="false">IF(D15="","",IFERROR(INDEX(ProjNumbers,MATCH(D15,ProjNames,0)),""))</f>
        <v/>
      </c>
      <c r="F15" s="8" t="str">
        <f aca="false">IF(D15="","",IFERROR(INDEX(ProjCodes,MATCH(D15,ProjNames,0)),""))</f>
        <v/>
      </c>
      <c r="G15" s="32"/>
      <c r="H15" s="11"/>
      <c r="I15" s="33"/>
      <c r="J15" s="8" t="str">
        <f aca="false">IF(COUNTA(B15,D15,G15,H15,I15)=0,"",IF(B15="","Enter date",IF(OR(B15&lt;$AC$2,B15&gt;$AC$3),"Date not in July",IF(D15="","Pick project",IF(ISNA(MATCH(D15,ProjNames,0)),"Project not in list",IF(G15="","Add task description",IF(H15="","Pick NTIME or P6",IF(N(I15)&lt;=0,"Enter hours",IF(AND(AllowOT&lt;&gt;"Yes",SUMIF($B$7:$B$256,B15,$I$7:$I$256)&gt;INDEX($O$58:$O$88,DAY(B15))),"Day over "&amp;INDEX($O$58:$O$88,DAY(B15))&amp;" h","✓")))))))))</f>
        <v/>
      </c>
      <c r="K15" s="1"/>
      <c r="L15" s="24" t="str">
        <f aca="false">"Week 6"&amp;IF(M15="",""," ("&amp;DAY(M15)&amp;"–"&amp;DAY(N15)&amp;")")</f>
        <v>Week 6</v>
      </c>
      <c r="M15" s="34" t="str">
        <f aca="false">IF($AC$4+7*5&gt;$AC$3,"",MAX($AC$2,$AC$4+7*5))</f>
        <v/>
      </c>
      <c r="N15" s="34" t="str">
        <f aca="false">IF(M15="","",MIN($AC$3,$AC$4+7*6-1))</f>
        <v/>
      </c>
      <c r="O15" s="24" t="str">
        <f aca="false">IF($M15="","",AF15+IF(OHSystem="NTIME",AH15,0))</f>
        <v/>
      </c>
      <c r="P15" s="24" t="str">
        <f aca="false">IF($M15="","",AG15+IF(OHSystem="P6",AH15,0))</f>
        <v/>
      </c>
      <c r="Q15" s="24" t="str">
        <f aca="false">IF($M15="","",AH15)</f>
        <v/>
      </c>
      <c r="R15" s="24" t="str">
        <f aca="false">IF($M15="","",SUMIFS($S$58:$S$88,$L$58:$L$88,"&gt;="&amp;$M15,$L$58:$L$88,"&lt;="&amp;$N15))</f>
        <v/>
      </c>
      <c r="S15" s="24" t="str">
        <f aca="false">IF($M15="","",SUMIFS($T$58:$T$88,$L$58:$L$88,"&gt;="&amp;$M15,$L$58:$L$88,"&lt;="&amp;$N15))</f>
        <v/>
      </c>
      <c r="T15" s="1"/>
      <c r="U15" s="1"/>
      <c r="V15" s="1"/>
      <c r="W15" s="1" t="str">
        <f aca="false">IF(Projects!B13="","",Projects!B13)</f>
        <v/>
      </c>
      <c r="X15" s="1" t="n">
        <f aca="false">IF(W15="",0,SUMIFS($I$7:$I$256,$D$7:$D$256,W15,$H$7:$H$256,"NTIME"))</f>
        <v>0</v>
      </c>
      <c r="Y15" s="1" t="n">
        <f aca="false">IF(W15="",0,SUMIFS($I$7:$I$256,$D$7:$D$256,W15,$H$7:$H$256,"P6"))</f>
        <v>0</v>
      </c>
      <c r="Z15" s="1" t="n">
        <f aca="false">X15+Y15</f>
        <v>0</v>
      </c>
      <c r="AA15" s="1" t="n">
        <f aca="false">IF(Z15&gt;0,Z15+(201-9)/10^6,0)</f>
        <v>0</v>
      </c>
      <c r="AB15" s="1"/>
      <c r="AC15" s="1"/>
      <c r="AD15" s="1"/>
      <c r="AE15" s="1"/>
      <c r="AF15" s="1" t="n">
        <f aca="false">IF($M15="",0,SUMIFS($P$58:$P$88,$L$58:$L$88,"&gt;="&amp;$M15,$L$58:$L$88,"&lt;="&amp;$N15))</f>
        <v>0</v>
      </c>
      <c r="AG15" s="1" t="n">
        <f aca="false">IF($M15="",0,SUMIFS($Q$58:$Q$88,$L$58:$L$88,"&gt;="&amp;$M15,$L$58:$L$88,"&lt;="&amp;$N15))</f>
        <v>0</v>
      </c>
      <c r="AH15" s="1" t="n">
        <f aca="false">IF($M15="",0,SUMIFS($R$58:$R$88,$L$58:$L$88,"&gt;="&amp;$M15,$L$58:$L$88,"&lt;="&amp;$N15))</f>
        <v>0</v>
      </c>
    </row>
    <row r="16" customFormat="false" ht="15" hidden="false" customHeight="false" outlineLevel="0" collapsed="false">
      <c r="A16" s="1"/>
      <c r="B16" s="10"/>
      <c r="C16" s="31" t="str">
        <f aca="false">IF(B16="","",TEXT(B16,"ddd"))</f>
        <v/>
      </c>
      <c r="D16" s="11"/>
      <c r="E16" s="8" t="str">
        <f aca="false">IF(D16="","",IFERROR(INDEX(ProjNumbers,MATCH(D16,ProjNames,0)),""))</f>
        <v/>
      </c>
      <c r="F16" s="8" t="str">
        <f aca="false">IF(D16="","",IFERROR(INDEX(ProjCodes,MATCH(D16,ProjNames,0)),""))</f>
        <v/>
      </c>
      <c r="G16" s="32"/>
      <c r="H16" s="11"/>
      <c r="I16" s="33"/>
      <c r="J16" s="8" t="str">
        <f aca="false">IF(COUNTA(B16,D16,G16,H16,I16)=0,"",IF(B16="","Enter date",IF(OR(B16&lt;$AC$2,B16&gt;$AC$3),"Date not in July",IF(D16="","Pick project",IF(ISNA(MATCH(D16,ProjNames,0)),"Project not in list",IF(G16="","Add task description",IF(H16="","Pick NTIME or P6",IF(N(I16)&lt;=0,"Enter hours",IF(AND(AllowOT&lt;&gt;"Yes",SUMIF($B$7:$B$256,B16,$I$7:$I$256)&gt;INDEX($O$58:$O$88,DAY(B16))),"Day over "&amp;INDEX($O$58:$O$88,DAY(B16))&amp;" h","✓")))))))))</f>
        <v/>
      </c>
      <c r="K16" s="1"/>
      <c r="L16" s="27" t="s">
        <v>84</v>
      </c>
      <c r="M16" s="27"/>
      <c r="N16" s="27"/>
      <c r="O16" s="27" t="n">
        <f aca="false">SUM(O10:O15)</f>
        <v>0</v>
      </c>
      <c r="P16" s="27" t="n">
        <f aca="false">SUM(P10:P15)</f>
        <v>0</v>
      </c>
      <c r="Q16" s="27" t="n">
        <f aca="false">SUM(Q10:Q15)</f>
        <v>0</v>
      </c>
      <c r="R16" s="27" t="n">
        <f aca="false">SUM(R10:R15)</f>
        <v>0</v>
      </c>
      <c r="S16" s="27" t="n">
        <f aca="false">SUM(S10:S15)</f>
        <v>0</v>
      </c>
      <c r="T16" s="1"/>
      <c r="U16" s="1"/>
      <c r="V16" s="1"/>
      <c r="W16" s="1" t="str">
        <f aca="false">IF(Projects!B14="","",Projects!B14)</f>
        <v/>
      </c>
      <c r="X16" s="1" t="n">
        <f aca="false">IF(W16="",0,SUMIFS($I$7:$I$256,$D$7:$D$256,W16,$H$7:$H$256,"NTIME"))</f>
        <v>0</v>
      </c>
      <c r="Y16" s="1" t="n">
        <f aca="false">IF(W16="",0,SUMIFS($I$7:$I$256,$D$7:$D$256,W16,$H$7:$H$256,"P6"))</f>
        <v>0</v>
      </c>
      <c r="Z16" s="1" t="n">
        <f aca="false">X16+Y16</f>
        <v>0</v>
      </c>
      <c r="AA16" s="1" t="n">
        <f aca="false">IF(Z16&gt;0,Z16+(201-10)/10^6,0)</f>
        <v>0</v>
      </c>
      <c r="AB16" s="1"/>
      <c r="AC16" s="1"/>
      <c r="AD16" s="1"/>
      <c r="AE16" s="1"/>
      <c r="AF16" s="1" t="n">
        <f aca="false">SUM(AF10:AF15)</f>
        <v>0</v>
      </c>
      <c r="AG16" s="1" t="n">
        <f aca="false">SUM(AG10:AG15)</f>
        <v>0</v>
      </c>
      <c r="AH16" s="1" t="n">
        <f aca="false">SUM(AH10:AH15)</f>
        <v>0</v>
      </c>
    </row>
    <row r="17" customFormat="false" ht="15" hidden="false" customHeight="false" outlineLevel="0" collapsed="false">
      <c r="A17" s="1"/>
      <c r="B17" s="10"/>
      <c r="C17" s="31" t="str">
        <f aca="false">IF(B17="","",TEXT(B17,"ddd"))</f>
        <v/>
      </c>
      <c r="D17" s="11"/>
      <c r="E17" s="8" t="str">
        <f aca="false">IF(D17="","",IFERROR(INDEX(ProjNumbers,MATCH(D17,ProjNames,0)),""))</f>
        <v/>
      </c>
      <c r="F17" s="8" t="str">
        <f aca="false">IF(D17="","",IFERROR(INDEX(ProjCodes,MATCH(D17,ProjNames,0)),""))</f>
        <v/>
      </c>
      <c r="G17" s="32"/>
      <c r="H17" s="11"/>
      <c r="I17" s="33"/>
      <c r="J17" s="8" t="str">
        <f aca="false">IF(COUNTA(B17,D17,G17,H17,I17)=0,"",IF(B17="","Enter date",IF(OR(B17&lt;$AC$2,B17&gt;$AC$3),"Date not in July",IF(D17="","Pick project",IF(ISNA(MATCH(D17,ProjNames,0)),"Project not in list",IF(G17="","Add task description",IF(H17="","Pick NTIME or P6",IF(N(I17)&lt;=0,"Enter hours",IF(AND(AllowOT&lt;&gt;"Yes",SUMIF($B$7:$B$256,B17,$I$7:$I$256)&gt;INDEX($O$58:$O$88,DAY(B17))),"Day over "&amp;INDEX($O$58:$O$88,DAY(B17))&amp;" h","✓")))))))))</f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tr">
        <f aca="false">IF(Projects!B15="","",Projects!B15)</f>
        <v/>
      </c>
      <c r="X17" s="1" t="n">
        <f aca="false">IF(W17="",0,SUMIFS($I$7:$I$256,$D$7:$D$256,W17,$H$7:$H$256,"NTIME"))</f>
        <v>0</v>
      </c>
      <c r="Y17" s="1" t="n">
        <f aca="false">IF(W17="",0,SUMIFS($I$7:$I$256,$D$7:$D$256,W17,$H$7:$H$256,"P6"))</f>
        <v>0</v>
      </c>
      <c r="Z17" s="1" t="n">
        <f aca="false">X17+Y17</f>
        <v>0</v>
      </c>
      <c r="AA17" s="1" t="n">
        <f aca="false">IF(Z17&gt;0,Z17+(201-11)/10^6,0)</f>
        <v>0</v>
      </c>
      <c r="AB17" s="1"/>
      <c r="AC17" s="1"/>
      <c r="AD17" s="1"/>
      <c r="AE17" s="1"/>
      <c r="AF17" s="1"/>
      <c r="AG17" s="1"/>
      <c r="AH17" s="1"/>
    </row>
    <row r="18" customFormat="false" ht="15" hidden="false" customHeight="false" outlineLevel="0" collapsed="false">
      <c r="A18" s="1"/>
      <c r="B18" s="10"/>
      <c r="C18" s="31" t="str">
        <f aca="false">IF(B18="","",TEXT(B18,"ddd"))</f>
        <v/>
      </c>
      <c r="D18" s="11"/>
      <c r="E18" s="8" t="str">
        <f aca="false">IF(D18="","",IFERROR(INDEX(ProjNumbers,MATCH(D18,ProjNames,0)),""))</f>
        <v/>
      </c>
      <c r="F18" s="8" t="str">
        <f aca="false">IF(D18="","",IFERROR(INDEX(ProjCodes,MATCH(D18,ProjNames,0)),""))</f>
        <v/>
      </c>
      <c r="G18" s="32"/>
      <c r="H18" s="11"/>
      <c r="I18" s="33"/>
      <c r="J18" s="8" t="str">
        <f aca="false">IF(COUNTA(B18,D18,G18,H18,I18)=0,"",IF(B18="","Enter date",IF(OR(B18&lt;$AC$2,B18&gt;$AC$3),"Date not in July",IF(D18="","Pick project",IF(ISNA(MATCH(D18,ProjNames,0)),"Project not in list",IF(G18="","Add task description",IF(H18="","Pick NTIME or P6",IF(N(I18)&lt;=0,"Enter hours",IF(AND(AllowOT&lt;&gt;"Yes",SUMIF($B$7:$B$256,B18,$I$7:$I$256)&gt;INDEX($O$58:$O$88,DAY(B18))),"Day over "&amp;INDEX($O$58:$O$88,DAY(B18))&amp;" h","✓")))))))))</f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 aca="false">IF(Projects!B16="","",Projects!B16)</f>
        <v/>
      </c>
      <c r="X18" s="1" t="n">
        <f aca="false">IF(W18="",0,SUMIFS($I$7:$I$256,$D$7:$D$256,W18,$H$7:$H$256,"NTIME"))</f>
        <v>0</v>
      </c>
      <c r="Y18" s="1" t="n">
        <f aca="false">IF(W18="",0,SUMIFS($I$7:$I$256,$D$7:$D$256,W18,$H$7:$H$256,"P6"))</f>
        <v>0</v>
      </c>
      <c r="Z18" s="1" t="n">
        <f aca="false">X18+Y18</f>
        <v>0</v>
      </c>
      <c r="AA18" s="1" t="n">
        <f aca="false">IF(Z18&gt;0,Z18+(201-12)/10^6,0)</f>
        <v>0</v>
      </c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/>
      <c r="B19" s="10"/>
      <c r="C19" s="31" t="str">
        <f aca="false">IF(B19="","",TEXT(B19,"ddd"))</f>
        <v/>
      </c>
      <c r="D19" s="11"/>
      <c r="E19" s="8" t="str">
        <f aca="false">IF(D19="","",IFERROR(INDEX(ProjNumbers,MATCH(D19,ProjNames,0)),""))</f>
        <v/>
      </c>
      <c r="F19" s="8" t="str">
        <f aca="false">IF(D19="","",IFERROR(INDEX(ProjCodes,MATCH(D19,ProjNames,0)),""))</f>
        <v/>
      </c>
      <c r="G19" s="32"/>
      <c r="H19" s="11"/>
      <c r="I19" s="33"/>
      <c r="J19" s="8" t="str">
        <f aca="false">IF(COUNTA(B19,D19,G19,H19,I19)=0,"",IF(B19="","Enter date",IF(OR(B19&lt;$AC$2,B19&gt;$AC$3),"Date not in July",IF(D19="","Pick project",IF(ISNA(MATCH(D19,ProjNames,0)),"Project not in list",IF(G19="","Add task description",IF(H19="","Pick NTIME or P6",IF(N(I19)&lt;=0,"Enter hours",IF(AND(AllowOT&lt;&gt;"Yes",SUMIF($B$7:$B$256,B19,$I$7:$I$256)&gt;INDEX($O$58:$O$88,DAY(B19))),"Day over "&amp;INDEX($O$58:$O$88,DAY(B19))&amp;" h","✓")))))))))</f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tr">
        <f aca="false">IF(Projects!B17="","",Projects!B17)</f>
        <v/>
      </c>
      <c r="X19" s="1" t="n">
        <f aca="false">IF(W19="",0,SUMIFS($I$7:$I$256,$D$7:$D$256,W19,$H$7:$H$256,"NTIME"))</f>
        <v>0</v>
      </c>
      <c r="Y19" s="1" t="n">
        <f aca="false">IF(W19="",0,SUMIFS($I$7:$I$256,$D$7:$D$256,W19,$H$7:$H$256,"P6"))</f>
        <v>0</v>
      </c>
      <c r="Z19" s="1" t="n">
        <f aca="false">X19+Y19</f>
        <v>0</v>
      </c>
      <c r="AA19" s="1" t="n">
        <f aca="false">IF(Z19&gt;0,Z19+(201-13)/10^6,0)</f>
        <v>0</v>
      </c>
      <c r="AB19" s="1"/>
      <c r="AC19" s="1"/>
      <c r="AD19" s="1"/>
      <c r="AE19" s="1"/>
      <c r="AF19" s="1"/>
      <c r="AG19" s="1"/>
      <c r="AH19" s="1"/>
    </row>
    <row r="20" customFormat="false" ht="15" hidden="false" customHeight="false" outlineLevel="0" collapsed="false">
      <c r="A20" s="1"/>
      <c r="B20" s="10"/>
      <c r="C20" s="31" t="str">
        <f aca="false">IF(B20="","",TEXT(B20,"ddd"))</f>
        <v/>
      </c>
      <c r="D20" s="11"/>
      <c r="E20" s="8" t="str">
        <f aca="false">IF(D20="","",IFERROR(INDEX(ProjNumbers,MATCH(D20,ProjNames,0)),""))</f>
        <v/>
      </c>
      <c r="F20" s="8" t="str">
        <f aca="false">IF(D20="","",IFERROR(INDEX(ProjCodes,MATCH(D20,ProjNames,0)),""))</f>
        <v/>
      </c>
      <c r="G20" s="32"/>
      <c r="H20" s="11"/>
      <c r="I20" s="33"/>
      <c r="J20" s="8" t="str">
        <f aca="false">IF(COUNTA(B20,D20,G20,H20,I20)=0,"",IF(B20="","Enter date",IF(OR(B20&lt;$AC$2,B20&gt;$AC$3),"Date not in July",IF(D20="","Pick project",IF(ISNA(MATCH(D20,ProjNames,0)),"Project not in list",IF(G20="","Add task description",IF(H20="","Pick NTIME or P6",IF(N(I20)&lt;=0,"Enter hours",IF(AND(AllowOT&lt;&gt;"Yes",SUMIF($B$7:$B$256,B20,$I$7:$I$256)&gt;INDEX($O$58:$O$88,DAY(B20))),"Day over "&amp;INDEX($O$58:$O$88,DAY(B20))&amp;" h","✓")))))))))</f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tr">
        <f aca="false">IF(Projects!B18="","",Projects!B18)</f>
        <v/>
      </c>
      <c r="X20" s="1" t="n">
        <f aca="false">IF(W20="",0,SUMIFS($I$7:$I$256,$D$7:$D$256,W20,$H$7:$H$256,"NTIME"))</f>
        <v>0</v>
      </c>
      <c r="Y20" s="1" t="n">
        <f aca="false">IF(W20="",0,SUMIFS($I$7:$I$256,$D$7:$D$256,W20,$H$7:$H$256,"P6"))</f>
        <v>0</v>
      </c>
      <c r="Z20" s="1" t="n">
        <f aca="false">X20+Y20</f>
        <v>0</v>
      </c>
      <c r="AA20" s="1" t="n">
        <f aca="false">IF(Z20&gt;0,Z20+(201-14)/10^6,0)</f>
        <v>0</v>
      </c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/>
      <c r="B21" s="10"/>
      <c r="C21" s="31" t="str">
        <f aca="false">IF(B21="","",TEXT(B21,"ddd"))</f>
        <v/>
      </c>
      <c r="D21" s="11"/>
      <c r="E21" s="8" t="str">
        <f aca="false">IF(D21="","",IFERROR(INDEX(ProjNumbers,MATCH(D21,ProjNames,0)),""))</f>
        <v/>
      </c>
      <c r="F21" s="8" t="str">
        <f aca="false">IF(D21="","",IFERROR(INDEX(ProjCodes,MATCH(D21,ProjNames,0)),""))</f>
        <v/>
      </c>
      <c r="G21" s="32"/>
      <c r="H21" s="11"/>
      <c r="I21" s="33"/>
      <c r="J21" s="8" t="str">
        <f aca="false">IF(COUNTA(B21,D21,G21,H21,I21)=0,"",IF(B21="","Enter date",IF(OR(B21&lt;$AC$2,B21&gt;$AC$3),"Date not in July",IF(D21="","Pick project",IF(ISNA(MATCH(D21,ProjNames,0)),"Project not in list",IF(G21="","Add task description",IF(H21="","Pick NTIME or P6",IF(N(I21)&lt;=0,"Enter hours",IF(AND(AllowOT&lt;&gt;"Yes",SUMIF($B$7:$B$256,B21,$I$7:$I$256)&gt;INDEX($O$58:$O$88,DAY(B21))),"Day over "&amp;INDEX($O$58:$O$88,DAY(B21))&amp;" h","✓")))))))))</f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tr">
        <f aca="false">IF(Projects!B19="","",Projects!B19)</f>
        <v/>
      </c>
      <c r="X21" s="1" t="n">
        <f aca="false">IF(W21="",0,SUMIFS($I$7:$I$256,$D$7:$D$256,W21,$H$7:$H$256,"NTIME"))</f>
        <v>0</v>
      </c>
      <c r="Y21" s="1" t="n">
        <f aca="false">IF(W21="",0,SUMIFS($I$7:$I$256,$D$7:$D$256,W21,$H$7:$H$256,"P6"))</f>
        <v>0</v>
      </c>
      <c r="Z21" s="1" t="n">
        <f aca="false">X21+Y21</f>
        <v>0</v>
      </c>
      <c r="AA21" s="1" t="n">
        <f aca="false">IF(Z21&gt;0,Z21+(201-15)/10^6,0)</f>
        <v>0</v>
      </c>
      <c r="AB21" s="1"/>
      <c r="AC21" s="1"/>
      <c r="AD21" s="1"/>
      <c r="AE21" s="1"/>
      <c r="AF21" s="1"/>
      <c r="AG21" s="1"/>
      <c r="AH21" s="1"/>
    </row>
    <row r="22" customFormat="false" ht="15" hidden="false" customHeight="false" outlineLevel="0" collapsed="false">
      <c r="A22" s="1"/>
      <c r="B22" s="10"/>
      <c r="C22" s="31" t="str">
        <f aca="false">IF(B22="","",TEXT(B22,"ddd"))</f>
        <v/>
      </c>
      <c r="D22" s="11"/>
      <c r="E22" s="8" t="str">
        <f aca="false">IF(D22="","",IFERROR(INDEX(ProjNumbers,MATCH(D22,ProjNames,0)),""))</f>
        <v/>
      </c>
      <c r="F22" s="8" t="str">
        <f aca="false">IF(D22="","",IFERROR(INDEX(ProjCodes,MATCH(D22,ProjNames,0)),""))</f>
        <v/>
      </c>
      <c r="G22" s="32"/>
      <c r="H22" s="11"/>
      <c r="I22" s="33"/>
      <c r="J22" s="8" t="str">
        <f aca="false">IF(COUNTA(B22,D22,G22,H22,I22)=0,"",IF(B22="","Enter date",IF(OR(B22&lt;$AC$2,B22&gt;$AC$3),"Date not in July",IF(D22="","Pick project",IF(ISNA(MATCH(D22,ProjNames,0)),"Project not in list",IF(G22="","Add task description",IF(H22="","Pick NTIME or P6",IF(N(I22)&lt;=0,"Enter hours",IF(AND(AllowOT&lt;&gt;"Yes",SUMIF($B$7:$B$256,B22,$I$7:$I$256)&gt;INDEX($O$58:$O$88,DAY(B22))),"Day over "&amp;INDEX($O$58:$O$88,DAY(B22))&amp;" h","✓")))))))))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tr">
        <f aca="false">IF(Projects!B20="","",Projects!B20)</f>
        <v/>
      </c>
      <c r="X22" s="1" t="n">
        <f aca="false">IF(W22="",0,SUMIFS($I$7:$I$256,$D$7:$D$256,W22,$H$7:$H$256,"NTIME"))</f>
        <v>0</v>
      </c>
      <c r="Y22" s="1" t="n">
        <f aca="false">IF(W22="",0,SUMIFS($I$7:$I$256,$D$7:$D$256,W22,$H$7:$H$256,"P6"))</f>
        <v>0</v>
      </c>
      <c r="Z22" s="1" t="n">
        <f aca="false">X22+Y22</f>
        <v>0</v>
      </c>
      <c r="AA22" s="1" t="n">
        <f aca="false">IF(Z22&gt;0,Z22+(201-16)/10^6,0)</f>
        <v>0</v>
      </c>
      <c r="AB22" s="1"/>
      <c r="AC22" s="1"/>
      <c r="AD22" s="1"/>
      <c r="AE22" s="1"/>
      <c r="AF22" s="1"/>
      <c r="AG22" s="1"/>
      <c r="AH22" s="1"/>
    </row>
    <row r="23" customFormat="false" ht="15" hidden="false" customHeight="false" outlineLevel="0" collapsed="false">
      <c r="A23" s="1"/>
      <c r="B23" s="10"/>
      <c r="C23" s="31" t="str">
        <f aca="false">IF(B23="","",TEXT(B23,"ddd"))</f>
        <v/>
      </c>
      <c r="D23" s="11"/>
      <c r="E23" s="8" t="str">
        <f aca="false">IF(D23="","",IFERROR(INDEX(ProjNumbers,MATCH(D23,ProjNames,0)),""))</f>
        <v/>
      </c>
      <c r="F23" s="8" t="str">
        <f aca="false">IF(D23="","",IFERROR(INDEX(ProjCodes,MATCH(D23,ProjNames,0)),""))</f>
        <v/>
      </c>
      <c r="G23" s="32"/>
      <c r="H23" s="11"/>
      <c r="I23" s="33"/>
      <c r="J23" s="8" t="str">
        <f aca="false">IF(COUNTA(B23,D23,G23,H23,I23)=0,"",IF(B23="","Enter date",IF(OR(B23&lt;$AC$2,B23&gt;$AC$3),"Date not in July",IF(D23="","Pick project",IF(ISNA(MATCH(D23,ProjNames,0)),"Project not in list",IF(G23="","Add task description",IF(H23="","Pick NTIME or P6",IF(N(I23)&lt;=0,"Enter hours",IF(AND(AllowOT&lt;&gt;"Yes",SUMIF($B$7:$B$256,B23,$I$7:$I$256)&gt;INDEX($O$58:$O$88,DAY(B23))),"Day over "&amp;INDEX($O$58:$O$88,DAY(B23))&amp;" h","✓")))))))))</f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tr">
        <f aca="false">IF(Projects!B21="","",Projects!B21)</f>
        <v/>
      </c>
      <c r="X23" s="1" t="n">
        <f aca="false">IF(W23="",0,SUMIFS($I$7:$I$256,$D$7:$D$256,W23,$H$7:$H$256,"NTIME"))</f>
        <v>0</v>
      </c>
      <c r="Y23" s="1" t="n">
        <f aca="false">IF(W23="",0,SUMIFS($I$7:$I$256,$D$7:$D$256,W23,$H$7:$H$256,"P6"))</f>
        <v>0</v>
      </c>
      <c r="Z23" s="1" t="n">
        <f aca="false">X23+Y23</f>
        <v>0</v>
      </c>
      <c r="AA23" s="1" t="n">
        <f aca="false">IF(Z23&gt;0,Z23+(201-17)/10^6,0)</f>
        <v>0</v>
      </c>
      <c r="AB23" s="1"/>
      <c r="AC23" s="1"/>
      <c r="AD23" s="1"/>
      <c r="AE23" s="1"/>
      <c r="AF23" s="1"/>
      <c r="AG23" s="1"/>
      <c r="AH23" s="1"/>
    </row>
    <row r="24" customFormat="false" ht="15" hidden="false" customHeight="false" outlineLevel="0" collapsed="false">
      <c r="A24" s="1"/>
      <c r="B24" s="10"/>
      <c r="C24" s="31" t="str">
        <f aca="false">IF(B24="","",TEXT(B24,"ddd"))</f>
        <v/>
      </c>
      <c r="D24" s="11"/>
      <c r="E24" s="8" t="str">
        <f aca="false">IF(D24="","",IFERROR(INDEX(ProjNumbers,MATCH(D24,ProjNames,0)),""))</f>
        <v/>
      </c>
      <c r="F24" s="8" t="str">
        <f aca="false">IF(D24="","",IFERROR(INDEX(ProjCodes,MATCH(D24,ProjNames,0)),""))</f>
        <v/>
      </c>
      <c r="G24" s="32"/>
      <c r="H24" s="11"/>
      <c r="I24" s="33"/>
      <c r="J24" s="8" t="str">
        <f aca="false">IF(COUNTA(B24,D24,G24,H24,I24)=0,"",IF(B24="","Enter date",IF(OR(B24&lt;$AC$2,B24&gt;$AC$3),"Date not in July",IF(D24="","Pick project",IF(ISNA(MATCH(D24,ProjNames,0)),"Project not in list",IF(G24="","Add task description",IF(H24="","Pick NTIME or P6",IF(N(I24)&lt;=0,"Enter hours",IF(AND(AllowOT&lt;&gt;"Yes",SUMIF($B$7:$B$256,B24,$I$7:$I$256)&gt;INDEX($O$58:$O$88,DAY(B24))),"Day over "&amp;INDEX($O$58:$O$88,DAY(B24))&amp;" h","✓")))))))))</f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tr">
        <f aca="false">IF(Projects!B22="","",Projects!B22)</f>
        <v/>
      </c>
      <c r="X24" s="1" t="n">
        <f aca="false">IF(W24="",0,SUMIFS($I$7:$I$256,$D$7:$D$256,W24,$H$7:$H$256,"NTIME"))</f>
        <v>0</v>
      </c>
      <c r="Y24" s="1" t="n">
        <f aca="false">IF(W24="",0,SUMIFS($I$7:$I$256,$D$7:$D$256,W24,$H$7:$H$256,"P6"))</f>
        <v>0</v>
      </c>
      <c r="Z24" s="1" t="n">
        <f aca="false">X24+Y24</f>
        <v>0</v>
      </c>
      <c r="AA24" s="1" t="n">
        <f aca="false">IF(Z24&gt;0,Z24+(201-18)/10^6,0)</f>
        <v>0</v>
      </c>
      <c r="AB24" s="1"/>
      <c r="AC24" s="1"/>
      <c r="AD24" s="1"/>
      <c r="AE24" s="1"/>
      <c r="AF24" s="1"/>
      <c r="AG24" s="1"/>
      <c r="AH24" s="1"/>
    </row>
    <row r="25" customFormat="false" ht="15" hidden="false" customHeight="false" outlineLevel="0" collapsed="false">
      <c r="A25" s="1"/>
      <c r="B25" s="10"/>
      <c r="C25" s="31" t="str">
        <f aca="false">IF(B25="","",TEXT(B25,"ddd"))</f>
        <v/>
      </c>
      <c r="D25" s="11"/>
      <c r="E25" s="8" t="str">
        <f aca="false">IF(D25="","",IFERROR(INDEX(ProjNumbers,MATCH(D25,ProjNames,0)),""))</f>
        <v/>
      </c>
      <c r="F25" s="8" t="str">
        <f aca="false">IF(D25="","",IFERROR(INDEX(ProjCodes,MATCH(D25,ProjNames,0)),""))</f>
        <v/>
      </c>
      <c r="G25" s="32"/>
      <c r="H25" s="11"/>
      <c r="I25" s="33"/>
      <c r="J25" s="8" t="str">
        <f aca="false">IF(COUNTA(B25,D25,G25,H25,I25)=0,"",IF(B25="","Enter date",IF(OR(B25&lt;$AC$2,B25&gt;$AC$3),"Date not in July",IF(D25="","Pick project",IF(ISNA(MATCH(D25,ProjNames,0)),"Project not in list",IF(G25="","Add task description",IF(H25="","Pick NTIME or P6",IF(N(I25)&lt;=0,"Enter hours",IF(AND(AllowOT&lt;&gt;"Yes",SUMIF($B$7:$B$256,B25,$I$7:$I$256)&gt;INDEX($O$58:$O$88,DAY(B25))),"Day over "&amp;INDEX($O$58:$O$88,DAY(B25))&amp;" h","✓")))))))))</f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tr">
        <f aca="false">IF(Projects!B23="","",Projects!B23)</f>
        <v/>
      </c>
      <c r="X25" s="1" t="n">
        <f aca="false">IF(W25="",0,SUMIFS($I$7:$I$256,$D$7:$D$256,W25,$H$7:$H$256,"NTIME"))</f>
        <v>0</v>
      </c>
      <c r="Y25" s="1" t="n">
        <f aca="false">IF(W25="",0,SUMIFS($I$7:$I$256,$D$7:$D$256,W25,$H$7:$H$256,"P6"))</f>
        <v>0</v>
      </c>
      <c r="Z25" s="1" t="n">
        <f aca="false">X25+Y25</f>
        <v>0</v>
      </c>
      <c r="AA25" s="1" t="n">
        <f aca="false">IF(Z25&gt;0,Z25+(201-19)/10^6,0)</f>
        <v>0</v>
      </c>
      <c r="AB25" s="1"/>
      <c r="AC25" s="1"/>
      <c r="AD25" s="1"/>
      <c r="AE25" s="1"/>
      <c r="AF25" s="1"/>
      <c r="AG25" s="1"/>
      <c r="AH25" s="1"/>
    </row>
    <row r="26" customFormat="false" ht="15" hidden="false" customHeight="false" outlineLevel="0" collapsed="false">
      <c r="A26" s="1"/>
      <c r="B26" s="10"/>
      <c r="C26" s="31" t="str">
        <f aca="false">IF(B26="","",TEXT(B26,"ddd"))</f>
        <v/>
      </c>
      <c r="D26" s="11"/>
      <c r="E26" s="8" t="str">
        <f aca="false">IF(D26="","",IFERROR(INDEX(ProjNumbers,MATCH(D26,ProjNames,0)),""))</f>
        <v/>
      </c>
      <c r="F26" s="8" t="str">
        <f aca="false">IF(D26="","",IFERROR(INDEX(ProjCodes,MATCH(D26,ProjNames,0)),""))</f>
        <v/>
      </c>
      <c r="G26" s="32"/>
      <c r="H26" s="11"/>
      <c r="I26" s="33"/>
      <c r="J26" s="8" t="str">
        <f aca="false">IF(COUNTA(B26,D26,G26,H26,I26)=0,"",IF(B26="","Enter date",IF(OR(B26&lt;$AC$2,B26&gt;$AC$3),"Date not in July",IF(D26="","Pick project",IF(ISNA(MATCH(D26,ProjNames,0)),"Project not in list",IF(G26="","Add task description",IF(H26="","Pick NTIME or P6",IF(N(I26)&lt;=0,"Enter hours",IF(AND(AllowOT&lt;&gt;"Yes",SUMIF($B$7:$B$256,B26,$I$7:$I$256)&gt;INDEX($O$58:$O$88,DAY(B26))),"Day over "&amp;INDEX($O$58:$O$88,DAY(B26))&amp;" h","✓")))))))))</f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tr">
        <f aca="false">IF(Projects!B24="","",Projects!B24)</f>
        <v/>
      </c>
      <c r="X26" s="1" t="n">
        <f aca="false">IF(W26="",0,SUMIFS($I$7:$I$256,$D$7:$D$256,W26,$H$7:$H$256,"NTIME"))</f>
        <v>0</v>
      </c>
      <c r="Y26" s="1" t="n">
        <f aca="false">IF(W26="",0,SUMIFS($I$7:$I$256,$D$7:$D$256,W26,$H$7:$H$256,"P6"))</f>
        <v>0</v>
      </c>
      <c r="Z26" s="1" t="n">
        <f aca="false">X26+Y26</f>
        <v>0</v>
      </c>
      <c r="AA26" s="1" t="n">
        <f aca="false">IF(Z26&gt;0,Z26+(201-20)/10^6,0)</f>
        <v>0</v>
      </c>
      <c r="AB26" s="1"/>
      <c r="AC26" s="1"/>
      <c r="AD26" s="1"/>
      <c r="AE26" s="1"/>
      <c r="AF26" s="1"/>
      <c r="AG26" s="1"/>
      <c r="AH26" s="1"/>
    </row>
    <row r="27" customFormat="false" ht="15" hidden="false" customHeight="false" outlineLevel="0" collapsed="false">
      <c r="A27" s="1"/>
      <c r="B27" s="10"/>
      <c r="C27" s="31" t="str">
        <f aca="false">IF(B27="","",TEXT(B27,"ddd"))</f>
        <v/>
      </c>
      <c r="D27" s="11"/>
      <c r="E27" s="8" t="str">
        <f aca="false">IF(D27="","",IFERROR(INDEX(ProjNumbers,MATCH(D27,ProjNames,0)),""))</f>
        <v/>
      </c>
      <c r="F27" s="8" t="str">
        <f aca="false">IF(D27="","",IFERROR(INDEX(ProjCodes,MATCH(D27,ProjNames,0)),""))</f>
        <v/>
      </c>
      <c r="G27" s="32"/>
      <c r="H27" s="11"/>
      <c r="I27" s="33"/>
      <c r="J27" s="8" t="str">
        <f aca="false">IF(COUNTA(B27,D27,G27,H27,I27)=0,"",IF(B27="","Enter date",IF(OR(B27&lt;$AC$2,B27&gt;$AC$3),"Date not in July",IF(D27="","Pick project",IF(ISNA(MATCH(D27,ProjNames,0)),"Project not in list",IF(G27="","Add task description",IF(H27="","Pick NTIME or P6",IF(N(I27)&lt;=0,"Enter hours",IF(AND(AllowOT&lt;&gt;"Yes",SUMIF($B$7:$B$256,B27,$I$7:$I$256)&gt;INDEX($O$58:$O$88,DAY(B27))),"Day over "&amp;INDEX($O$58:$O$88,DAY(B27))&amp;" h","✓")))))))))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aca="false">IF(Projects!B25="","",Projects!B25)</f>
        <v/>
      </c>
      <c r="X27" s="1" t="n">
        <f aca="false">IF(W27="",0,SUMIFS($I$7:$I$256,$D$7:$D$256,W27,$H$7:$H$256,"NTIME"))</f>
        <v>0</v>
      </c>
      <c r="Y27" s="1" t="n">
        <f aca="false">IF(W27="",0,SUMIFS($I$7:$I$256,$D$7:$D$256,W27,$H$7:$H$256,"P6"))</f>
        <v>0</v>
      </c>
      <c r="Z27" s="1" t="n">
        <f aca="false">X27+Y27</f>
        <v>0</v>
      </c>
      <c r="AA27" s="1" t="n">
        <f aca="false">IF(Z27&gt;0,Z27+(201-21)/10^6,0)</f>
        <v>0</v>
      </c>
      <c r="AB27" s="1"/>
      <c r="AC27" s="1"/>
      <c r="AD27" s="1"/>
      <c r="AE27" s="1"/>
      <c r="AF27" s="1"/>
      <c r="AG27" s="1"/>
      <c r="AH27" s="1"/>
    </row>
    <row r="28" customFormat="false" ht="15" hidden="false" customHeight="false" outlineLevel="0" collapsed="false">
      <c r="A28" s="1"/>
      <c r="B28" s="10"/>
      <c r="C28" s="31" t="str">
        <f aca="false">IF(B28="","",TEXT(B28,"ddd"))</f>
        <v/>
      </c>
      <c r="D28" s="11"/>
      <c r="E28" s="8" t="str">
        <f aca="false">IF(D28="","",IFERROR(INDEX(ProjNumbers,MATCH(D28,ProjNames,0)),""))</f>
        <v/>
      </c>
      <c r="F28" s="8" t="str">
        <f aca="false">IF(D28="","",IFERROR(INDEX(ProjCodes,MATCH(D28,ProjNames,0)),""))</f>
        <v/>
      </c>
      <c r="G28" s="32"/>
      <c r="H28" s="11"/>
      <c r="I28" s="33"/>
      <c r="J28" s="8" t="str">
        <f aca="false">IF(COUNTA(B28,D28,G28,H28,I28)=0,"",IF(B28="","Enter date",IF(OR(B28&lt;$AC$2,B28&gt;$AC$3),"Date not in July",IF(D28="","Pick project",IF(ISNA(MATCH(D28,ProjNames,0)),"Project not in list",IF(G28="","Add task description",IF(H28="","Pick NTIME or P6",IF(N(I28)&lt;=0,"Enter hours",IF(AND(AllowOT&lt;&gt;"Yes",SUMIF($B$7:$B$256,B28,$I$7:$I$256)&gt;INDEX($O$58:$O$88,DAY(B28))),"Day over "&amp;INDEX($O$58:$O$88,DAY(B28))&amp;" h","✓")))))))))</f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tr">
        <f aca="false">IF(Projects!B26="","",Projects!B26)</f>
        <v/>
      </c>
      <c r="X28" s="1" t="n">
        <f aca="false">IF(W28="",0,SUMIFS($I$7:$I$256,$D$7:$D$256,W28,$H$7:$H$256,"NTIME"))</f>
        <v>0</v>
      </c>
      <c r="Y28" s="1" t="n">
        <f aca="false">IF(W28="",0,SUMIFS($I$7:$I$256,$D$7:$D$256,W28,$H$7:$H$256,"P6"))</f>
        <v>0</v>
      </c>
      <c r="Z28" s="1" t="n">
        <f aca="false">X28+Y28</f>
        <v>0</v>
      </c>
      <c r="AA28" s="1" t="n">
        <f aca="false">IF(Z28&gt;0,Z28+(201-22)/10^6,0)</f>
        <v>0</v>
      </c>
      <c r="AB28" s="1"/>
      <c r="AC28" s="1"/>
      <c r="AD28" s="1"/>
      <c r="AE28" s="1"/>
      <c r="AF28" s="1"/>
      <c r="AG28" s="1"/>
      <c r="AH28" s="1"/>
    </row>
    <row r="29" customFormat="false" ht="15" hidden="false" customHeight="false" outlineLevel="0" collapsed="false">
      <c r="A29" s="1"/>
      <c r="B29" s="10"/>
      <c r="C29" s="31" t="str">
        <f aca="false">IF(B29="","",TEXT(B29,"ddd"))</f>
        <v/>
      </c>
      <c r="D29" s="11"/>
      <c r="E29" s="8" t="str">
        <f aca="false">IF(D29="","",IFERROR(INDEX(ProjNumbers,MATCH(D29,ProjNames,0)),""))</f>
        <v/>
      </c>
      <c r="F29" s="8" t="str">
        <f aca="false">IF(D29="","",IFERROR(INDEX(ProjCodes,MATCH(D29,ProjNames,0)),""))</f>
        <v/>
      </c>
      <c r="G29" s="32"/>
      <c r="H29" s="11"/>
      <c r="I29" s="33"/>
      <c r="J29" s="8" t="str">
        <f aca="false">IF(COUNTA(B29,D29,G29,H29,I29)=0,"",IF(B29="","Enter date",IF(OR(B29&lt;$AC$2,B29&gt;$AC$3),"Date not in July",IF(D29="","Pick project",IF(ISNA(MATCH(D29,ProjNames,0)),"Project not in list",IF(G29="","Add task description",IF(H29="","Pick NTIME or P6",IF(N(I29)&lt;=0,"Enter hours",IF(AND(AllowOT&lt;&gt;"Yes",SUMIF($B$7:$B$256,B29,$I$7:$I$256)&gt;INDEX($O$58:$O$88,DAY(B29))),"Day over "&amp;INDEX($O$58:$O$88,DAY(B29))&amp;" h","✓")))))))))</f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tr">
        <f aca="false">IF(Projects!B27="","",Projects!B27)</f>
        <v/>
      </c>
      <c r="X29" s="1" t="n">
        <f aca="false">IF(W29="",0,SUMIFS($I$7:$I$256,$D$7:$D$256,W29,$H$7:$H$256,"NTIME"))</f>
        <v>0</v>
      </c>
      <c r="Y29" s="1" t="n">
        <f aca="false">IF(W29="",0,SUMIFS($I$7:$I$256,$D$7:$D$256,W29,$H$7:$H$256,"P6"))</f>
        <v>0</v>
      </c>
      <c r="Z29" s="1" t="n">
        <f aca="false">X29+Y29</f>
        <v>0</v>
      </c>
      <c r="AA29" s="1" t="n">
        <f aca="false">IF(Z29&gt;0,Z29+(201-23)/10^6,0)</f>
        <v>0</v>
      </c>
      <c r="AB29" s="1"/>
      <c r="AC29" s="1"/>
      <c r="AD29" s="1"/>
      <c r="AE29" s="1"/>
      <c r="AF29" s="1"/>
      <c r="AG29" s="1"/>
      <c r="AH29" s="1"/>
    </row>
    <row r="30" customFormat="false" ht="15" hidden="false" customHeight="false" outlineLevel="0" collapsed="false">
      <c r="A30" s="1"/>
      <c r="B30" s="10"/>
      <c r="C30" s="31" t="str">
        <f aca="false">IF(B30="","",TEXT(B30,"ddd"))</f>
        <v/>
      </c>
      <c r="D30" s="11"/>
      <c r="E30" s="8" t="str">
        <f aca="false">IF(D30="","",IFERROR(INDEX(ProjNumbers,MATCH(D30,ProjNames,0)),""))</f>
        <v/>
      </c>
      <c r="F30" s="8" t="str">
        <f aca="false">IF(D30="","",IFERROR(INDEX(ProjCodes,MATCH(D30,ProjNames,0)),""))</f>
        <v/>
      </c>
      <c r="G30" s="32"/>
      <c r="H30" s="11"/>
      <c r="I30" s="33"/>
      <c r="J30" s="8" t="str">
        <f aca="false">IF(COUNTA(B30,D30,G30,H30,I30)=0,"",IF(B30="","Enter date",IF(OR(B30&lt;$AC$2,B30&gt;$AC$3),"Date not in July",IF(D30="","Pick project",IF(ISNA(MATCH(D30,ProjNames,0)),"Project not in list",IF(G30="","Add task description",IF(H30="","Pick NTIME or P6",IF(N(I30)&lt;=0,"Enter hours",IF(AND(AllowOT&lt;&gt;"Yes",SUMIF($B$7:$B$256,B30,$I$7:$I$256)&gt;INDEX($O$58:$O$88,DAY(B30))),"Day over "&amp;INDEX($O$58:$O$88,DAY(B30))&amp;" h","✓")))))))))</f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tr">
        <f aca="false">IF(Projects!B28="","",Projects!B28)</f>
        <v/>
      </c>
      <c r="X30" s="1" t="n">
        <f aca="false">IF(W30="",0,SUMIFS($I$7:$I$256,$D$7:$D$256,W30,$H$7:$H$256,"NTIME"))</f>
        <v>0</v>
      </c>
      <c r="Y30" s="1" t="n">
        <f aca="false">IF(W30="",0,SUMIFS($I$7:$I$256,$D$7:$D$256,W30,$H$7:$H$256,"P6"))</f>
        <v>0</v>
      </c>
      <c r="Z30" s="1" t="n">
        <f aca="false">X30+Y30</f>
        <v>0</v>
      </c>
      <c r="AA30" s="1" t="n">
        <f aca="false">IF(Z30&gt;0,Z30+(201-24)/10^6,0)</f>
        <v>0</v>
      </c>
      <c r="AB30" s="1"/>
      <c r="AC30" s="1"/>
      <c r="AD30" s="1"/>
      <c r="AE30" s="1"/>
      <c r="AF30" s="1"/>
      <c r="AG30" s="1"/>
      <c r="AH30" s="1"/>
    </row>
    <row r="31" customFormat="false" ht="15" hidden="false" customHeight="false" outlineLevel="0" collapsed="false">
      <c r="A31" s="1"/>
      <c r="B31" s="10"/>
      <c r="C31" s="31" t="str">
        <f aca="false">IF(B31="","",TEXT(B31,"ddd"))</f>
        <v/>
      </c>
      <c r="D31" s="11"/>
      <c r="E31" s="8" t="str">
        <f aca="false">IF(D31="","",IFERROR(INDEX(ProjNumbers,MATCH(D31,ProjNames,0)),""))</f>
        <v/>
      </c>
      <c r="F31" s="8" t="str">
        <f aca="false">IF(D31="","",IFERROR(INDEX(ProjCodes,MATCH(D31,ProjNames,0)),""))</f>
        <v/>
      </c>
      <c r="G31" s="32"/>
      <c r="H31" s="11"/>
      <c r="I31" s="33"/>
      <c r="J31" s="8" t="str">
        <f aca="false">IF(COUNTA(B31,D31,G31,H31,I31)=0,"",IF(B31="","Enter date",IF(OR(B31&lt;$AC$2,B31&gt;$AC$3),"Date not in July",IF(D31="","Pick project",IF(ISNA(MATCH(D31,ProjNames,0)),"Project not in list",IF(G31="","Add task description",IF(H31="","Pick NTIME or P6",IF(N(I31)&lt;=0,"Enter hours",IF(AND(AllowOT&lt;&gt;"Yes",SUMIF($B$7:$B$256,B31,$I$7:$I$256)&gt;INDEX($O$58:$O$88,DAY(B31))),"Day over "&amp;INDEX($O$58:$O$88,DAY(B31))&amp;" h","✓")))))))))</f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tr">
        <f aca="false">IF(Projects!B29="","",Projects!B29)</f>
        <v/>
      </c>
      <c r="X31" s="1" t="n">
        <f aca="false">IF(W31="",0,SUMIFS($I$7:$I$256,$D$7:$D$256,W31,$H$7:$H$256,"NTIME"))</f>
        <v>0</v>
      </c>
      <c r="Y31" s="1" t="n">
        <f aca="false">IF(W31="",0,SUMIFS($I$7:$I$256,$D$7:$D$256,W31,$H$7:$H$256,"P6"))</f>
        <v>0</v>
      </c>
      <c r="Z31" s="1" t="n">
        <f aca="false">X31+Y31</f>
        <v>0</v>
      </c>
      <c r="AA31" s="1" t="n">
        <f aca="false">IF(Z31&gt;0,Z31+(201-25)/10^6,0)</f>
        <v>0</v>
      </c>
      <c r="AB31" s="1"/>
      <c r="AC31" s="1"/>
      <c r="AD31" s="1"/>
      <c r="AE31" s="1"/>
      <c r="AF31" s="1"/>
      <c r="AG31" s="1"/>
      <c r="AH31" s="1"/>
    </row>
    <row r="32" customFormat="false" ht="15" hidden="false" customHeight="false" outlineLevel="0" collapsed="false">
      <c r="A32" s="1"/>
      <c r="B32" s="10"/>
      <c r="C32" s="31" t="str">
        <f aca="false">IF(B32="","",TEXT(B32,"ddd"))</f>
        <v/>
      </c>
      <c r="D32" s="11"/>
      <c r="E32" s="8" t="str">
        <f aca="false">IF(D32="","",IFERROR(INDEX(ProjNumbers,MATCH(D32,ProjNames,0)),""))</f>
        <v/>
      </c>
      <c r="F32" s="8" t="str">
        <f aca="false">IF(D32="","",IFERROR(INDEX(ProjCodes,MATCH(D32,ProjNames,0)),""))</f>
        <v/>
      </c>
      <c r="G32" s="32"/>
      <c r="H32" s="11"/>
      <c r="I32" s="33"/>
      <c r="J32" s="8" t="str">
        <f aca="false">IF(COUNTA(B32,D32,G32,H32,I32)=0,"",IF(B32="","Enter date",IF(OR(B32&lt;$AC$2,B32&gt;$AC$3),"Date not in July",IF(D32="","Pick project",IF(ISNA(MATCH(D32,ProjNames,0)),"Project not in list",IF(G32="","Add task description",IF(H32="","Pick NTIME or P6",IF(N(I32)&lt;=0,"Enter hours",IF(AND(AllowOT&lt;&gt;"Yes",SUMIF($B$7:$B$256,B32,$I$7:$I$256)&gt;INDEX($O$58:$O$88,DAY(B32))),"Day over "&amp;INDEX($O$58:$O$88,DAY(B32))&amp;" h","✓")))))))))</f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tr">
        <f aca="false">IF(Projects!B30="","",Projects!B30)</f>
        <v/>
      </c>
      <c r="X32" s="1" t="n">
        <f aca="false">IF(W32="",0,SUMIFS($I$7:$I$256,$D$7:$D$256,W32,$H$7:$H$256,"NTIME"))</f>
        <v>0</v>
      </c>
      <c r="Y32" s="1" t="n">
        <f aca="false">IF(W32="",0,SUMIFS($I$7:$I$256,$D$7:$D$256,W32,$H$7:$H$256,"P6"))</f>
        <v>0</v>
      </c>
      <c r="Z32" s="1" t="n">
        <f aca="false">X32+Y32</f>
        <v>0</v>
      </c>
      <c r="AA32" s="1" t="n">
        <f aca="false">IF(Z32&gt;0,Z32+(201-26)/10^6,0)</f>
        <v>0</v>
      </c>
      <c r="AB32" s="1"/>
      <c r="AC32" s="1"/>
      <c r="AD32" s="1"/>
      <c r="AE32" s="1"/>
      <c r="AF32" s="1"/>
      <c r="AG32" s="1"/>
      <c r="AH32" s="1"/>
    </row>
    <row r="33" customFormat="false" ht="15" hidden="false" customHeight="false" outlineLevel="0" collapsed="false">
      <c r="A33" s="1"/>
      <c r="B33" s="10"/>
      <c r="C33" s="31" t="str">
        <f aca="false">IF(B33="","",TEXT(B33,"ddd"))</f>
        <v/>
      </c>
      <c r="D33" s="11"/>
      <c r="E33" s="8" t="str">
        <f aca="false">IF(D33="","",IFERROR(INDEX(ProjNumbers,MATCH(D33,ProjNames,0)),""))</f>
        <v/>
      </c>
      <c r="F33" s="8" t="str">
        <f aca="false">IF(D33="","",IFERROR(INDEX(ProjCodes,MATCH(D33,ProjNames,0)),""))</f>
        <v/>
      </c>
      <c r="G33" s="32"/>
      <c r="H33" s="11"/>
      <c r="I33" s="33"/>
      <c r="J33" s="8" t="str">
        <f aca="false">IF(COUNTA(B33,D33,G33,H33,I33)=0,"",IF(B33="","Enter date",IF(OR(B33&lt;$AC$2,B33&gt;$AC$3),"Date not in July",IF(D33="","Pick project",IF(ISNA(MATCH(D33,ProjNames,0)),"Project not in list",IF(G33="","Add task description",IF(H33="","Pick NTIME or P6",IF(N(I33)&lt;=0,"Enter hours",IF(AND(AllowOT&lt;&gt;"Yes",SUMIF($B$7:$B$256,B33,$I$7:$I$256)&gt;INDEX($O$58:$O$88,DAY(B33))),"Day over "&amp;INDEX($O$58:$O$88,DAY(B33))&amp;" h","✓")))))))))</f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tr">
        <f aca="false">IF(Projects!B31="","",Projects!B31)</f>
        <v/>
      </c>
      <c r="X33" s="1" t="n">
        <f aca="false">IF(W33="",0,SUMIFS($I$7:$I$256,$D$7:$D$256,W33,$H$7:$H$256,"NTIME"))</f>
        <v>0</v>
      </c>
      <c r="Y33" s="1" t="n">
        <f aca="false">IF(W33="",0,SUMIFS($I$7:$I$256,$D$7:$D$256,W33,$H$7:$H$256,"P6"))</f>
        <v>0</v>
      </c>
      <c r="Z33" s="1" t="n">
        <f aca="false">X33+Y33</f>
        <v>0</v>
      </c>
      <c r="AA33" s="1" t="n">
        <f aca="false">IF(Z33&gt;0,Z33+(201-27)/10^6,0)</f>
        <v>0</v>
      </c>
      <c r="AB33" s="1"/>
      <c r="AC33" s="1"/>
      <c r="AD33" s="1"/>
      <c r="AE33" s="1"/>
      <c r="AF33" s="1"/>
      <c r="AG33" s="1"/>
      <c r="AH33" s="1"/>
    </row>
    <row r="34" customFormat="false" ht="15" hidden="false" customHeight="false" outlineLevel="0" collapsed="false">
      <c r="A34" s="1"/>
      <c r="B34" s="10"/>
      <c r="C34" s="31" t="str">
        <f aca="false">IF(B34="","",TEXT(B34,"ddd"))</f>
        <v/>
      </c>
      <c r="D34" s="11"/>
      <c r="E34" s="8" t="str">
        <f aca="false">IF(D34="","",IFERROR(INDEX(ProjNumbers,MATCH(D34,ProjNames,0)),""))</f>
        <v/>
      </c>
      <c r="F34" s="8" t="str">
        <f aca="false">IF(D34="","",IFERROR(INDEX(ProjCodes,MATCH(D34,ProjNames,0)),""))</f>
        <v/>
      </c>
      <c r="G34" s="32"/>
      <c r="H34" s="11"/>
      <c r="I34" s="33"/>
      <c r="J34" s="8" t="str">
        <f aca="false">IF(COUNTA(B34,D34,G34,H34,I34)=0,"",IF(B34="","Enter date",IF(OR(B34&lt;$AC$2,B34&gt;$AC$3),"Date not in July",IF(D34="","Pick project",IF(ISNA(MATCH(D34,ProjNames,0)),"Project not in list",IF(G34="","Add task description",IF(H34="","Pick NTIME or P6",IF(N(I34)&lt;=0,"Enter hours",IF(AND(AllowOT&lt;&gt;"Yes",SUMIF($B$7:$B$256,B34,$I$7:$I$256)&gt;INDEX($O$58:$O$88,DAY(B34))),"Day over "&amp;INDEX($O$58:$O$88,DAY(B34))&amp;" h","✓")))))))))</f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tr">
        <f aca="false">IF(Projects!B32="","",Projects!B32)</f>
        <v/>
      </c>
      <c r="X34" s="1" t="n">
        <f aca="false">IF(W34="",0,SUMIFS($I$7:$I$256,$D$7:$D$256,W34,$H$7:$H$256,"NTIME"))</f>
        <v>0</v>
      </c>
      <c r="Y34" s="1" t="n">
        <f aca="false">IF(W34="",0,SUMIFS($I$7:$I$256,$D$7:$D$256,W34,$H$7:$H$256,"P6"))</f>
        <v>0</v>
      </c>
      <c r="Z34" s="1" t="n">
        <f aca="false">X34+Y34</f>
        <v>0</v>
      </c>
      <c r="AA34" s="1" t="n">
        <f aca="false">IF(Z34&gt;0,Z34+(201-28)/10^6,0)</f>
        <v>0</v>
      </c>
      <c r="AB34" s="1"/>
      <c r="AC34" s="1"/>
      <c r="AD34" s="1"/>
      <c r="AE34" s="1"/>
      <c r="AF34" s="1"/>
      <c r="AG34" s="1"/>
      <c r="AH34" s="1"/>
    </row>
    <row r="35" customFormat="false" ht="15" hidden="false" customHeight="false" outlineLevel="0" collapsed="false">
      <c r="A35" s="1"/>
      <c r="B35" s="10"/>
      <c r="C35" s="31" t="str">
        <f aca="false">IF(B35="","",TEXT(B35,"ddd"))</f>
        <v/>
      </c>
      <c r="D35" s="11"/>
      <c r="E35" s="8" t="str">
        <f aca="false">IF(D35="","",IFERROR(INDEX(ProjNumbers,MATCH(D35,ProjNames,0)),""))</f>
        <v/>
      </c>
      <c r="F35" s="8" t="str">
        <f aca="false">IF(D35="","",IFERROR(INDEX(ProjCodes,MATCH(D35,ProjNames,0)),""))</f>
        <v/>
      </c>
      <c r="G35" s="32"/>
      <c r="H35" s="11"/>
      <c r="I35" s="33"/>
      <c r="J35" s="8" t="str">
        <f aca="false">IF(COUNTA(B35,D35,G35,H35,I35)=0,"",IF(B35="","Enter date",IF(OR(B35&lt;$AC$2,B35&gt;$AC$3),"Date not in July",IF(D35="","Pick project",IF(ISNA(MATCH(D35,ProjNames,0)),"Project not in list",IF(G35="","Add task description",IF(H35="","Pick NTIME or P6",IF(N(I35)&lt;=0,"Enter hours",IF(AND(AllowOT&lt;&gt;"Yes",SUMIF($B$7:$B$256,B35,$I$7:$I$256)&gt;INDEX($O$58:$O$88,DAY(B35))),"Day over "&amp;INDEX($O$58:$O$88,DAY(B35))&amp;" h","✓")))))))))</f>
        <v/>
      </c>
      <c r="K35" s="1"/>
      <c r="L35" s="4" t="s">
        <v>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 t="str">
        <f aca="false">IF(Projects!B33="","",Projects!B33)</f>
        <v/>
      </c>
      <c r="X35" s="1" t="n">
        <f aca="false">IF(W35="",0,SUMIFS($I$7:$I$256,$D$7:$D$256,W35,$H$7:$H$256,"NTIME"))</f>
        <v>0</v>
      </c>
      <c r="Y35" s="1" t="n">
        <f aca="false">IF(W35="",0,SUMIFS($I$7:$I$256,$D$7:$D$256,W35,$H$7:$H$256,"P6"))</f>
        <v>0</v>
      </c>
      <c r="Z35" s="1" t="n">
        <f aca="false">X35+Y35</f>
        <v>0</v>
      </c>
      <c r="AA35" s="1" t="n">
        <f aca="false">IF(Z35&gt;0,Z35+(201-29)/10^6,0)</f>
        <v>0</v>
      </c>
      <c r="AB35" s="1"/>
      <c r="AC35" s="1"/>
      <c r="AD35" s="1"/>
      <c r="AE35" s="1"/>
      <c r="AF35" s="1"/>
      <c r="AG35" s="1"/>
      <c r="AH35" s="1"/>
    </row>
    <row r="36" customFormat="false" ht="23.85" hidden="false" customHeight="false" outlineLevel="0" collapsed="false">
      <c r="A36" s="1"/>
      <c r="B36" s="10"/>
      <c r="C36" s="31" t="str">
        <f aca="false">IF(B36="","",TEXT(B36,"ddd"))</f>
        <v/>
      </c>
      <c r="D36" s="11"/>
      <c r="E36" s="8" t="str">
        <f aca="false">IF(D36="","",IFERROR(INDEX(ProjNumbers,MATCH(D36,ProjNames,0)),""))</f>
        <v/>
      </c>
      <c r="F36" s="8" t="str">
        <f aca="false">IF(D36="","",IFERROR(INDEX(ProjCodes,MATCH(D36,ProjNames,0)),""))</f>
        <v/>
      </c>
      <c r="G36" s="32"/>
      <c r="H36" s="11"/>
      <c r="I36" s="33"/>
      <c r="J36" s="8" t="str">
        <f aca="false">IF(COUNTA(B36,D36,G36,H36,I36)=0,"",IF(B36="","Enter date",IF(OR(B36&lt;$AC$2,B36&gt;$AC$3),"Date not in July",IF(D36="","Pick project",IF(ISNA(MATCH(D36,ProjNames,0)),"Project not in list",IF(G36="","Add task description",IF(H36="","Pick NTIME or P6",IF(N(I36)&lt;=0,"Enter hours",IF(AND(AllowOT&lt;&gt;"Yes",SUMIF($B$7:$B$256,B36,$I$7:$I$256)&gt;INDEX($O$58:$O$88,DAY(B36))),"Day over "&amp;INDEX($O$58:$O$88,DAY(B36))&amp;" h","✓")))))))))</f>
        <v/>
      </c>
      <c r="K36" s="1"/>
      <c r="L36" s="9" t="s">
        <v>72</v>
      </c>
      <c r="M36" s="9" t="s">
        <v>36</v>
      </c>
      <c r="N36" s="9" t="s">
        <v>37</v>
      </c>
      <c r="O36" s="20" t="s">
        <v>46</v>
      </c>
      <c r="P36" s="21" t="s">
        <v>56</v>
      </c>
      <c r="Q36" s="9" t="s">
        <v>57</v>
      </c>
      <c r="R36" s="9" t="s">
        <v>86</v>
      </c>
      <c r="S36" s="1"/>
      <c r="T36" s="1"/>
      <c r="U36" s="1"/>
      <c r="V36" s="1"/>
      <c r="W36" s="1" t="str">
        <f aca="false">IF(Projects!B34="","",Projects!B34)</f>
        <v/>
      </c>
      <c r="X36" s="1" t="n">
        <f aca="false">IF(W36="",0,SUMIFS($I$7:$I$256,$D$7:$D$256,W36,$H$7:$H$256,"NTIME"))</f>
        <v>0</v>
      </c>
      <c r="Y36" s="1" t="n">
        <f aca="false">IF(W36="",0,SUMIFS($I$7:$I$256,$D$7:$D$256,W36,$H$7:$H$256,"P6"))</f>
        <v>0</v>
      </c>
      <c r="Z36" s="1" t="n">
        <f aca="false">X36+Y36</f>
        <v>0</v>
      </c>
      <c r="AA36" s="1" t="n">
        <f aca="false">IF(Z36&gt;0,Z36+(201-30)/10^6,0)</f>
        <v>0</v>
      </c>
      <c r="AB36" s="1"/>
      <c r="AC36" s="1"/>
      <c r="AD36" s="1"/>
      <c r="AE36" s="1"/>
      <c r="AF36" s="1"/>
      <c r="AG36" s="1"/>
      <c r="AH36" s="1"/>
    </row>
    <row r="37" customFormat="false" ht="15" hidden="false" customHeight="false" outlineLevel="0" collapsed="false">
      <c r="A37" s="1"/>
      <c r="B37" s="10"/>
      <c r="C37" s="31" t="str">
        <f aca="false">IF(B37="","",TEXT(B37,"ddd"))</f>
        <v/>
      </c>
      <c r="D37" s="11"/>
      <c r="E37" s="8" t="str">
        <f aca="false">IF(D37="","",IFERROR(INDEX(ProjNumbers,MATCH(D37,ProjNames,0)),""))</f>
        <v/>
      </c>
      <c r="F37" s="8" t="str">
        <f aca="false">IF(D37="","",IFERROR(INDEX(ProjCodes,MATCH(D37,ProjNames,0)),""))</f>
        <v/>
      </c>
      <c r="G37" s="32"/>
      <c r="H37" s="11"/>
      <c r="I37" s="33"/>
      <c r="J37" s="8" t="str">
        <f aca="false">IF(COUNTA(B37,D37,G37,H37,I37)=0,"",IF(B37="","Enter date",IF(OR(B37&lt;$AC$2,B37&gt;$AC$3),"Date not in July",IF(D37="","Pick project",IF(ISNA(MATCH(D37,ProjNames,0)),"Project not in list",IF(G37="","Add task description",IF(H37="","Pick NTIME or P6",IF(N(I37)&lt;=0,"Enter hours",IF(AND(AllowOT&lt;&gt;"Yes",SUMIF($B$7:$B$256,B37,$I$7:$I$256)&gt;INDEX($O$58:$O$88,DAY(B37))),"Day over "&amp;INDEX($O$58:$O$88,DAY(B37))&amp;" h","✓")))))))))</f>
        <v/>
      </c>
      <c r="K37" s="1"/>
      <c r="L37" s="24" t="str">
        <f aca="false">IF($AD37=0,"",INDEX($W$7:$W$206,$AD37))</f>
        <v/>
      </c>
      <c r="M37" s="24" t="str">
        <f aca="false">IF($AD37=0,"",INDEX(ProjNumbers,$AD37))</f>
        <v/>
      </c>
      <c r="N37" s="24" t="str">
        <f aca="false">IF($AD37=0,"",INDEX(ProjCodes,$AD37))</f>
        <v/>
      </c>
      <c r="O37" s="24" t="str">
        <f aca="false">IF($AD37=0,"",INDEX($X$7:$X$206,$AD37))</f>
        <v/>
      </c>
      <c r="P37" s="24" t="str">
        <f aca="false">IF($AD37=0,"",INDEX($Y$7:$Y$206,$AD37))</f>
        <v/>
      </c>
      <c r="Q37" s="24" t="str">
        <f aca="false">IF($AD37=0,"",INDEX($Z$7:$Z$206,$AD37))</f>
        <v/>
      </c>
      <c r="R37" s="25" t="str">
        <f aca="false">IF(OR($AD37=0,$L$5=0),"",Q37/$L$5)</f>
        <v/>
      </c>
      <c r="S37" s="1"/>
      <c r="T37" s="1"/>
      <c r="U37" s="1"/>
      <c r="V37" s="1"/>
      <c r="W37" s="1" t="str">
        <f aca="false">IF(Projects!B35="","",Projects!B35)</f>
        <v/>
      </c>
      <c r="X37" s="1" t="n">
        <f aca="false">IF(W37="",0,SUMIFS($I$7:$I$256,$D$7:$D$256,W37,$H$7:$H$256,"NTIME"))</f>
        <v>0</v>
      </c>
      <c r="Y37" s="1" t="n">
        <f aca="false">IF(W37="",0,SUMIFS($I$7:$I$256,$D$7:$D$256,W37,$H$7:$H$256,"P6"))</f>
        <v>0</v>
      </c>
      <c r="Z37" s="1" t="n">
        <f aca="false">X37+Y37</f>
        <v>0</v>
      </c>
      <c r="AA37" s="1" t="n">
        <f aca="false">IF(Z37&gt;0,Z37+(201-31)/10^6,0)</f>
        <v>0</v>
      </c>
      <c r="AB37" s="1"/>
      <c r="AC37" s="1"/>
      <c r="AD37" s="1" t="n">
        <f aca="false">IF(LARGE($AA$7:$AA$206,1)&lt;=0,0,MATCH(LARGE($AA$7:$AA$206,1),$AA$7:$AA$206,0))</f>
        <v>0</v>
      </c>
      <c r="AE37" s="1"/>
      <c r="AF37" s="1"/>
      <c r="AG37" s="1"/>
      <c r="AH37" s="1"/>
    </row>
    <row r="38" customFormat="false" ht="15" hidden="false" customHeight="false" outlineLevel="0" collapsed="false">
      <c r="A38" s="1"/>
      <c r="B38" s="10"/>
      <c r="C38" s="31" t="str">
        <f aca="false">IF(B38="","",TEXT(B38,"ddd"))</f>
        <v/>
      </c>
      <c r="D38" s="11"/>
      <c r="E38" s="8" t="str">
        <f aca="false">IF(D38="","",IFERROR(INDEX(ProjNumbers,MATCH(D38,ProjNames,0)),""))</f>
        <v/>
      </c>
      <c r="F38" s="8" t="str">
        <f aca="false">IF(D38="","",IFERROR(INDEX(ProjCodes,MATCH(D38,ProjNames,0)),""))</f>
        <v/>
      </c>
      <c r="G38" s="32"/>
      <c r="H38" s="11"/>
      <c r="I38" s="33"/>
      <c r="J38" s="8" t="str">
        <f aca="false">IF(COUNTA(B38,D38,G38,H38,I38)=0,"",IF(B38="","Enter date",IF(OR(B38&lt;$AC$2,B38&gt;$AC$3),"Date not in July",IF(D38="","Pick project",IF(ISNA(MATCH(D38,ProjNames,0)),"Project not in list",IF(G38="","Add task description",IF(H38="","Pick NTIME or P6",IF(N(I38)&lt;=0,"Enter hours",IF(AND(AllowOT&lt;&gt;"Yes",SUMIF($B$7:$B$256,B38,$I$7:$I$256)&gt;INDEX($O$58:$O$88,DAY(B38))),"Day over "&amp;INDEX($O$58:$O$88,DAY(B38))&amp;" h","✓")))))))))</f>
        <v/>
      </c>
      <c r="K38" s="1"/>
      <c r="L38" s="24" t="str">
        <f aca="false">IF($AD38=0,"",INDEX($W$7:$W$206,$AD38))</f>
        <v/>
      </c>
      <c r="M38" s="24" t="str">
        <f aca="false">IF($AD38=0,"",INDEX(ProjNumbers,$AD38))</f>
        <v/>
      </c>
      <c r="N38" s="24" t="str">
        <f aca="false">IF($AD38=0,"",INDEX(ProjCodes,$AD38))</f>
        <v/>
      </c>
      <c r="O38" s="24" t="str">
        <f aca="false">IF($AD38=0,"",INDEX($X$7:$X$206,$AD38))</f>
        <v/>
      </c>
      <c r="P38" s="24" t="str">
        <f aca="false">IF($AD38=0,"",INDEX($Y$7:$Y$206,$AD38))</f>
        <v/>
      </c>
      <c r="Q38" s="24" t="str">
        <f aca="false">IF($AD38=0,"",INDEX($Z$7:$Z$206,$AD38))</f>
        <v/>
      </c>
      <c r="R38" s="25" t="str">
        <f aca="false">IF(OR($AD38=0,$L$5=0),"",Q38/$L$5)</f>
        <v/>
      </c>
      <c r="S38" s="1"/>
      <c r="T38" s="1"/>
      <c r="U38" s="1"/>
      <c r="V38" s="1"/>
      <c r="W38" s="1" t="str">
        <f aca="false">IF(Projects!B36="","",Projects!B36)</f>
        <v/>
      </c>
      <c r="X38" s="1" t="n">
        <f aca="false">IF(W38="",0,SUMIFS($I$7:$I$256,$D$7:$D$256,W38,$H$7:$H$256,"NTIME"))</f>
        <v>0</v>
      </c>
      <c r="Y38" s="1" t="n">
        <f aca="false">IF(W38="",0,SUMIFS($I$7:$I$256,$D$7:$D$256,W38,$H$7:$H$256,"P6"))</f>
        <v>0</v>
      </c>
      <c r="Z38" s="1" t="n">
        <f aca="false">X38+Y38</f>
        <v>0</v>
      </c>
      <c r="AA38" s="1" t="n">
        <f aca="false">IF(Z38&gt;0,Z38+(201-32)/10^6,0)</f>
        <v>0</v>
      </c>
      <c r="AB38" s="1"/>
      <c r="AC38" s="1"/>
      <c r="AD38" s="1" t="n">
        <f aca="false">IF(LARGE($AA$7:$AA$206,2)&lt;=0,0,MATCH(LARGE($AA$7:$AA$206,2),$AA$7:$AA$206,0))</f>
        <v>0</v>
      </c>
      <c r="AE38" s="1"/>
      <c r="AF38" s="1"/>
      <c r="AG38" s="1"/>
      <c r="AH38" s="1"/>
    </row>
    <row r="39" customFormat="false" ht="15" hidden="false" customHeight="false" outlineLevel="0" collapsed="false">
      <c r="A39" s="1"/>
      <c r="B39" s="10"/>
      <c r="C39" s="31" t="str">
        <f aca="false">IF(B39="","",TEXT(B39,"ddd"))</f>
        <v/>
      </c>
      <c r="D39" s="11"/>
      <c r="E39" s="8" t="str">
        <f aca="false">IF(D39="","",IFERROR(INDEX(ProjNumbers,MATCH(D39,ProjNames,0)),""))</f>
        <v/>
      </c>
      <c r="F39" s="8" t="str">
        <f aca="false">IF(D39="","",IFERROR(INDEX(ProjCodes,MATCH(D39,ProjNames,0)),""))</f>
        <v/>
      </c>
      <c r="G39" s="32"/>
      <c r="H39" s="11"/>
      <c r="I39" s="33"/>
      <c r="J39" s="8" t="str">
        <f aca="false">IF(COUNTA(B39,D39,G39,H39,I39)=0,"",IF(B39="","Enter date",IF(OR(B39&lt;$AC$2,B39&gt;$AC$3),"Date not in July",IF(D39="","Pick project",IF(ISNA(MATCH(D39,ProjNames,0)),"Project not in list",IF(G39="","Add task description",IF(H39="","Pick NTIME or P6",IF(N(I39)&lt;=0,"Enter hours",IF(AND(AllowOT&lt;&gt;"Yes",SUMIF($B$7:$B$256,B39,$I$7:$I$256)&gt;INDEX($O$58:$O$88,DAY(B39))),"Day over "&amp;INDEX($O$58:$O$88,DAY(B39))&amp;" h","✓")))))))))</f>
        <v/>
      </c>
      <c r="K39" s="1"/>
      <c r="L39" s="24" t="str">
        <f aca="false">IF($AD39=0,"",INDEX($W$7:$W$206,$AD39))</f>
        <v/>
      </c>
      <c r="M39" s="24" t="str">
        <f aca="false">IF($AD39=0,"",INDEX(ProjNumbers,$AD39))</f>
        <v/>
      </c>
      <c r="N39" s="24" t="str">
        <f aca="false">IF($AD39=0,"",INDEX(ProjCodes,$AD39))</f>
        <v/>
      </c>
      <c r="O39" s="24" t="str">
        <f aca="false">IF($AD39=0,"",INDEX($X$7:$X$206,$AD39))</f>
        <v/>
      </c>
      <c r="P39" s="24" t="str">
        <f aca="false">IF($AD39=0,"",INDEX($Y$7:$Y$206,$AD39))</f>
        <v/>
      </c>
      <c r="Q39" s="24" t="str">
        <f aca="false">IF($AD39=0,"",INDEX($Z$7:$Z$206,$AD39))</f>
        <v/>
      </c>
      <c r="R39" s="25" t="str">
        <f aca="false">IF(OR($AD39=0,$L$5=0),"",Q39/$L$5)</f>
        <v/>
      </c>
      <c r="S39" s="1"/>
      <c r="T39" s="1"/>
      <c r="U39" s="1"/>
      <c r="V39" s="1"/>
      <c r="W39" s="1" t="str">
        <f aca="false">IF(Projects!B37="","",Projects!B37)</f>
        <v/>
      </c>
      <c r="X39" s="1" t="n">
        <f aca="false">IF(W39="",0,SUMIFS($I$7:$I$256,$D$7:$D$256,W39,$H$7:$H$256,"NTIME"))</f>
        <v>0</v>
      </c>
      <c r="Y39" s="1" t="n">
        <f aca="false">IF(W39="",0,SUMIFS($I$7:$I$256,$D$7:$D$256,W39,$H$7:$H$256,"P6"))</f>
        <v>0</v>
      </c>
      <c r="Z39" s="1" t="n">
        <f aca="false">X39+Y39</f>
        <v>0</v>
      </c>
      <c r="AA39" s="1" t="n">
        <f aca="false">IF(Z39&gt;0,Z39+(201-33)/10^6,0)</f>
        <v>0</v>
      </c>
      <c r="AB39" s="1"/>
      <c r="AC39" s="1"/>
      <c r="AD39" s="1" t="n">
        <f aca="false">IF(LARGE($AA$7:$AA$206,3)&lt;=0,0,MATCH(LARGE($AA$7:$AA$206,3),$AA$7:$AA$206,0))</f>
        <v>0</v>
      </c>
      <c r="AE39" s="1"/>
      <c r="AF39" s="1"/>
      <c r="AG39" s="1"/>
      <c r="AH39" s="1"/>
    </row>
    <row r="40" customFormat="false" ht="15" hidden="false" customHeight="false" outlineLevel="0" collapsed="false">
      <c r="A40" s="1"/>
      <c r="B40" s="10"/>
      <c r="C40" s="31" t="str">
        <f aca="false">IF(B40="","",TEXT(B40,"ddd"))</f>
        <v/>
      </c>
      <c r="D40" s="11"/>
      <c r="E40" s="8" t="str">
        <f aca="false">IF(D40="","",IFERROR(INDEX(ProjNumbers,MATCH(D40,ProjNames,0)),""))</f>
        <v/>
      </c>
      <c r="F40" s="8" t="str">
        <f aca="false">IF(D40="","",IFERROR(INDEX(ProjCodes,MATCH(D40,ProjNames,0)),""))</f>
        <v/>
      </c>
      <c r="G40" s="32"/>
      <c r="H40" s="11"/>
      <c r="I40" s="33"/>
      <c r="J40" s="8" t="str">
        <f aca="false">IF(COUNTA(B40,D40,G40,H40,I40)=0,"",IF(B40="","Enter date",IF(OR(B40&lt;$AC$2,B40&gt;$AC$3),"Date not in July",IF(D40="","Pick project",IF(ISNA(MATCH(D40,ProjNames,0)),"Project not in list",IF(G40="","Add task description",IF(H40="","Pick NTIME or P6",IF(N(I40)&lt;=0,"Enter hours",IF(AND(AllowOT&lt;&gt;"Yes",SUMIF($B$7:$B$256,B40,$I$7:$I$256)&gt;INDEX($O$58:$O$88,DAY(B40))),"Day over "&amp;INDEX($O$58:$O$88,DAY(B40))&amp;" h","✓")))))))))</f>
        <v/>
      </c>
      <c r="K40" s="1"/>
      <c r="L40" s="24" t="str">
        <f aca="false">IF($AD40=0,"",INDEX($W$7:$W$206,$AD40))</f>
        <v/>
      </c>
      <c r="M40" s="24" t="str">
        <f aca="false">IF($AD40=0,"",INDEX(ProjNumbers,$AD40))</f>
        <v/>
      </c>
      <c r="N40" s="24" t="str">
        <f aca="false">IF($AD40=0,"",INDEX(ProjCodes,$AD40))</f>
        <v/>
      </c>
      <c r="O40" s="24" t="str">
        <f aca="false">IF($AD40=0,"",INDEX($X$7:$X$206,$AD40))</f>
        <v/>
      </c>
      <c r="P40" s="24" t="str">
        <f aca="false">IF($AD40=0,"",INDEX($Y$7:$Y$206,$AD40))</f>
        <v/>
      </c>
      <c r="Q40" s="24" t="str">
        <f aca="false">IF($AD40=0,"",INDEX($Z$7:$Z$206,$AD40))</f>
        <v/>
      </c>
      <c r="R40" s="25" t="str">
        <f aca="false">IF(OR($AD40=0,$L$5=0),"",Q40/$L$5)</f>
        <v/>
      </c>
      <c r="S40" s="1"/>
      <c r="T40" s="1"/>
      <c r="U40" s="1"/>
      <c r="V40" s="1"/>
      <c r="W40" s="1" t="str">
        <f aca="false">IF(Projects!B38="","",Projects!B38)</f>
        <v/>
      </c>
      <c r="X40" s="1" t="n">
        <f aca="false">IF(W40="",0,SUMIFS($I$7:$I$256,$D$7:$D$256,W40,$H$7:$H$256,"NTIME"))</f>
        <v>0</v>
      </c>
      <c r="Y40" s="1" t="n">
        <f aca="false">IF(W40="",0,SUMIFS($I$7:$I$256,$D$7:$D$256,W40,$H$7:$H$256,"P6"))</f>
        <v>0</v>
      </c>
      <c r="Z40" s="1" t="n">
        <f aca="false">X40+Y40</f>
        <v>0</v>
      </c>
      <c r="AA40" s="1" t="n">
        <f aca="false">IF(Z40&gt;0,Z40+(201-34)/10^6,0)</f>
        <v>0</v>
      </c>
      <c r="AB40" s="1"/>
      <c r="AC40" s="1"/>
      <c r="AD40" s="1" t="n">
        <f aca="false">IF(LARGE($AA$7:$AA$206,4)&lt;=0,0,MATCH(LARGE($AA$7:$AA$206,4),$AA$7:$AA$206,0))</f>
        <v>0</v>
      </c>
      <c r="AE40" s="1"/>
      <c r="AF40" s="1"/>
      <c r="AG40" s="1"/>
      <c r="AH40" s="1"/>
    </row>
    <row r="41" customFormat="false" ht="15" hidden="false" customHeight="false" outlineLevel="0" collapsed="false">
      <c r="A41" s="1"/>
      <c r="B41" s="10"/>
      <c r="C41" s="31" t="str">
        <f aca="false">IF(B41="","",TEXT(B41,"ddd"))</f>
        <v/>
      </c>
      <c r="D41" s="11"/>
      <c r="E41" s="8" t="str">
        <f aca="false">IF(D41="","",IFERROR(INDEX(ProjNumbers,MATCH(D41,ProjNames,0)),""))</f>
        <v/>
      </c>
      <c r="F41" s="8" t="str">
        <f aca="false">IF(D41="","",IFERROR(INDEX(ProjCodes,MATCH(D41,ProjNames,0)),""))</f>
        <v/>
      </c>
      <c r="G41" s="32"/>
      <c r="H41" s="11"/>
      <c r="I41" s="33"/>
      <c r="J41" s="8" t="str">
        <f aca="false">IF(COUNTA(B41,D41,G41,H41,I41)=0,"",IF(B41="","Enter date",IF(OR(B41&lt;$AC$2,B41&gt;$AC$3),"Date not in July",IF(D41="","Pick project",IF(ISNA(MATCH(D41,ProjNames,0)),"Project not in list",IF(G41="","Add task description",IF(H41="","Pick NTIME or P6",IF(N(I41)&lt;=0,"Enter hours",IF(AND(AllowOT&lt;&gt;"Yes",SUMIF($B$7:$B$256,B41,$I$7:$I$256)&gt;INDEX($O$58:$O$88,DAY(B41))),"Day over "&amp;INDEX($O$58:$O$88,DAY(B41))&amp;" h","✓")))))))))</f>
        <v/>
      </c>
      <c r="K41" s="1"/>
      <c r="L41" s="24" t="str">
        <f aca="false">IF($AD41=0,"",INDEX($W$7:$W$206,$AD41))</f>
        <v/>
      </c>
      <c r="M41" s="24" t="str">
        <f aca="false">IF($AD41=0,"",INDEX(ProjNumbers,$AD41))</f>
        <v/>
      </c>
      <c r="N41" s="24" t="str">
        <f aca="false">IF($AD41=0,"",INDEX(ProjCodes,$AD41))</f>
        <v/>
      </c>
      <c r="O41" s="24" t="str">
        <f aca="false">IF($AD41=0,"",INDEX($X$7:$X$206,$AD41))</f>
        <v/>
      </c>
      <c r="P41" s="24" t="str">
        <f aca="false">IF($AD41=0,"",INDEX($Y$7:$Y$206,$AD41))</f>
        <v/>
      </c>
      <c r="Q41" s="24" t="str">
        <f aca="false">IF($AD41=0,"",INDEX($Z$7:$Z$206,$AD41))</f>
        <v/>
      </c>
      <c r="R41" s="25" t="str">
        <f aca="false">IF(OR($AD41=0,$L$5=0),"",Q41/$L$5)</f>
        <v/>
      </c>
      <c r="S41" s="1"/>
      <c r="T41" s="1"/>
      <c r="U41" s="1"/>
      <c r="V41" s="1"/>
      <c r="W41" s="1" t="str">
        <f aca="false">IF(Projects!B39="","",Projects!B39)</f>
        <v/>
      </c>
      <c r="X41" s="1" t="n">
        <f aca="false">IF(W41="",0,SUMIFS($I$7:$I$256,$D$7:$D$256,W41,$H$7:$H$256,"NTIME"))</f>
        <v>0</v>
      </c>
      <c r="Y41" s="1" t="n">
        <f aca="false">IF(W41="",0,SUMIFS($I$7:$I$256,$D$7:$D$256,W41,$H$7:$H$256,"P6"))</f>
        <v>0</v>
      </c>
      <c r="Z41" s="1" t="n">
        <f aca="false">X41+Y41</f>
        <v>0</v>
      </c>
      <c r="AA41" s="1" t="n">
        <f aca="false">IF(Z41&gt;0,Z41+(201-35)/10^6,0)</f>
        <v>0</v>
      </c>
      <c r="AB41" s="1"/>
      <c r="AC41" s="1"/>
      <c r="AD41" s="1" t="n">
        <f aca="false">IF(LARGE($AA$7:$AA$206,5)&lt;=0,0,MATCH(LARGE($AA$7:$AA$206,5),$AA$7:$AA$206,0))</f>
        <v>0</v>
      </c>
      <c r="AE41" s="1"/>
      <c r="AF41" s="1"/>
      <c r="AG41" s="1"/>
      <c r="AH41" s="1"/>
    </row>
    <row r="42" customFormat="false" ht="15" hidden="false" customHeight="false" outlineLevel="0" collapsed="false">
      <c r="A42" s="1"/>
      <c r="B42" s="10"/>
      <c r="C42" s="31" t="str">
        <f aca="false">IF(B42="","",TEXT(B42,"ddd"))</f>
        <v/>
      </c>
      <c r="D42" s="11"/>
      <c r="E42" s="8" t="str">
        <f aca="false">IF(D42="","",IFERROR(INDEX(ProjNumbers,MATCH(D42,ProjNames,0)),""))</f>
        <v/>
      </c>
      <c r="F42" s="8" t="str">
        <f aca="false">IF(D42="","",IFERROR(INDEX(ProjCodes,MATCH(D42,ProjNames,0)),""))</f>
        <v/>
      </c>
      <c r="G42" s="32"/>
      <c r="H42" s="11"/>
      <c r="I42" s="33"/>
      <c r="J42" s="8" t="str">
        <f aca="false">IF(COUNTA(B42,D42,G42,H42,I42)=0,"",IF(B42="","Enter date",IF(OR(B42&lt;$AC$2,B42&gt;$AC$3),"Date not in July",IF(D42="","Pick project",IF(ISNA(MATCH(D42,ProjNames,0)),"Project not in list",IF(G42="","Add task description",IF(H42="","Pick NTIME or P6",IF(N(I42)&lt;=0,"Enter hours",IF(AND(AllowOT&lt;&gt;"Yes",SUMIF($B$7:$B$256,B42,$I$7:$I$256)&gt;INDEX($O$58:$O$88,DAY(B42))),"Day over "&amp;INDEX($O$58:$O$88,DAY(B42))&amp;" h","✓")))))))))</f>
        <v/>
      </c>
      <c r="K42" s="1"/>
      <c r="L42" s="24" t="str">
        <f aca="false">IF($AD42=0,"",INDEX($W$7:$W$206,$AD42))</f>
        <v/>
      </c>
      <c r="M42" s="24" t="str">
        <f aca="false">IF($AD42=0,"",INDEX(ProjNumbers,$AD42))</f>
        <v/>
      </c>
      <c r="N42" s="24" t="str">
        <f aca="false">IF($AD42=0,"",INDEX(ProjCodes,$AD42))</f>
        <v/>
      </c>
      <c r="O42" s="24" t="str">
        <f aca="false">IF($AD42=0,"",INDEX($X$7:$X$206,$AD42))</f>
        <v/>
      </c>
      <c r="P42" s="24" t="str">
        <f aca="false">IF($AD42=0,"",INDEX($Y$7:$Y$206,$AD42))</f>
        <v/>
      </c>
      <c r="Q42" s="24" t="str">
        <f aca="false">IF($AD42=0,"",INDEX($Z$7:$Z$206,$AD42))</f>
        <v/>
      </c>
      <c r="R42" s="25" t="str">
        <f aca="false">IF(OR($AD42=0,$L$5=0),"",Q42/$L$5)</f>
        <v/>
      </c>
      <c r="S42" s="1"/>
      <c r="T42" s="1"/>
      <c r="U42" s="1"/>
      <c r="V42" s="1"/>
      <c r="W42" s="1" t="str">
        <f aca="false">IF(Projects!B40="","",Projects!B40)</f>
        <v/>
      </c>
      <c r="X42" s="1" t="n">
        <f aca="false">IF(W42="",0,SUMIFS($I$7:$I$256,$D$7:$D$256,W42,$H$7:$H$256,"NTIME"))</f>
        <v>0</v>
      </c>
      <c r="Y42" s="1" t="n">
        <f aca="false">IF(W42="",0,SUMIFS($I$7:$I$256,$D$7:$D$256,W42,$H$7:$H$256,"P6"))</f>
        <v>0</v>
      </c>
      <c r="Z42" s="1" t="n">
        <f aca="false">X42+Y42</f>
        <v>0</v>
      </c>
      <c r="AA42" s="1" t="n">
        <f aca="false">IF(Z42&gt;0,Z42+(201-36)/10^6,0)</f>
        <v>0</v>
      </c>
      <c r="AB42" s="1"/>
      <c r="AC42" s="1"/>
      <c r="AD42" s="1" t="n">
        <f aca="false">IF(LARGE($AA$7:$AA$206,6)&lt;=0,0,MATCH(LARGE($AA$7:$AA$206,6),$AA$7:$AA$206,0))</f>
        <v>0</v>
      </c>
      <c r="AE42" s="1"/>
      <c r="AF42" s="1"/>
      <c r="AG42" s="1"/>
      <c r="AH42" s="1"/>
    </row>
    <row r="43" customFormat="false" ht="15" hidden="false" customHeight="false" outlineLevel="0" collapsed="false">
      <c r="A43" s="1"/>
      <c r="B43" s="10"/>
      <c r="C43" s="31" t="str">
        <f aca="false">IF(B43="","",TEXT(B43,"ddd"))</f>
        <v/>
      </c>
      <c r="D43" s="11"/>
      <c r="E43" s="8" t="str">
        <f aca="false">IF(D43="","",IFERROR(INDEX(ProjNumbers,MATCH(D43,ProjNames,0)),""))</f>
        <v/>
      </c>
      <c r="F43" s="8" t="str">
        <f aca="false">IF(D43="","",IFERROR(INDEX(ProjCodes,MATCH(D43,ProjNames,0)),""))</f>
        <v/>
      </c>
      <c r="G43" s="32"/>
      <c r="H43" s="11"/>
      <c r="I43" s="33"/>
      <c r="J43" s="8" t="str">
        <f aca="false">IF(COUNTA(B43,D43,G43,H43,I43)=0,"",IF(B43="","Enter date",IF(OR(B43&lt;$AC$2,B43&gt;$AC$3),"Date not in July",IF(D43="","Pick project",IF(ISNA(MATCH(D43,ProjNames,0)),"Project not in list",IF(G43="","Add task description",IF(H43="","Pick NTIME or P6",IF(N(I43)&lt;=0,"Enter hours",IF(AND(AllowOT&lt;&gt;"Yes",SUMIF($B$7:$B$256,B43,$I$7:$I$256)&gt;INDEX($O$58:$O$88,DAY(B43))),"Day over "&amp;INDEX($O$58:$O$88,DAY(B43))&amp;" h","✓")))))))))</f>
        <v/>
      </c>
      <c r="K43" s="1"/>
      <c r="L43" s="24" t="str">
        <f aca="false">IF($AD43=0,"",INDEX($W$7:$W$206,$AD43))</f>
        <v/>
      </c>
      <c r="M43" s="24" t="str">
        <f aca="false">IF($AD43=0,"",INDEX(ProjNumbers,$AD43))</f>
        <v/>
      </c>
      <c r="N43" s="24" t="str">
        <f aca="false">IF($AD43=0,"",INDEX(ProjCodes,$AD43))</f>
        <v/>
      </c>
      <c r="O43" s="24" t="str">
        <f aca="false">IF($AD43=0,"",INDEX($X$7:$X$206,$AD43))</f>
        <v/>
      </c>
      <c r="P43" s="24" t="str">
        <f aca="false">IF($AD43=0,"",INDEX($Y$7:$Y$206,$AD43))</f>
        <v/>
      </c>
      <c r="Q43" s="24" t="str">
        <f aca="false">IF($AD43=0,"",INDEX($Z$7:$Z$206,$AD43))</f>
        <v/>
      </c>
      <c r="R43" s="25" t="str">
        <f aca="false">IF(OR($AD43=0,$L$5=0),"",Q43/$L$5)</f>
        <v/>
      </c>
      <c r="S43" s="1"/>
      <c r="T43" s="1"/>
      <c r="U43" s="1"/>
      <c r="V43" s="1"/>
      <c r="W43" s="1" t="str">
        <f aca="false">IF(Projects!B41="","",Projects!B41)</f>
        <v/>
      </c>
      <c r="X43" s="1" t="n">
        <f aca="false">IF(W43="",0,SUMIFS($I$7:$I$256,$D$7:$D$256,W43,$H$7:$H$256,"NTIME"))</f>
        <v>0</v>
      </c>
      <c r="Y43" s="1" t="n">
        <f aca="false">IF(W43="",0,SUMIFS($I$7:$I$256,$D$7:$D$256,W43,$H$7:$H$256,"P6"))</f>
        <v>0</v>
      </c>
      <c r="Z43" s="1" t="n">
        <f aca="false">X43+Y43</f>
        <v>0</v>
      </c>
      <c r="AA43" s="1" t="n">
        <f aca="false">IF(Z43&gt;0,Z43+(201-37)/10^6,0)</f>
        <v>0</v>
      </c>
      <c r="AB43" s="1"/>
      <c r="AC43" s="1"/>
      <c r="AD43" s="1" t="n">
        <f aca="false">IF(LARGE($AA$7:$AA$206,7)&lt;=0,0,MATCH(LARGE($AA$7:$AA$206,7),$AA$7:$AA$206,0))</f>
        <v>0</v>
      </c>
      <c r="AE43" s="1"/>
      <c r="AF43" s="1"/>
      <c r="AG43" s="1"/>
      <c r="AH43" s="1"/>
    </row>
    <row r="44" customFormat="false" ht="15" hidden="false" customHeight="false" outlineLevel="0" collapsed="false">
      <c r="A44" s="1"/>
      <c r="B44" s="10"/>
      <c r="C44" s="31" t="str">
        <f aca="false">IF(B44="","",TEXT(B44,"ddd"))</f>
        <v/>
      </c>
      <c r="D44" s="11"/>
      <c r="E44" s="8" t="str">
        <f aca="false">IF(D44="","",IFERROR(INDEX(ProjNumbers,MATCH(D44,ProjNames,0)),""))</f>
        <v/>
      </c>
      <c r="F44" s="8" t="str">
        <f aca="false">IF(D44="","",IFERROR(INDEX(ProjCodes,MATCH(D44,ProjNames,0)),""))</f>
        <v/>
      </c>
      <c r="G44" s="32"/>
      <c r="H44" s="11"/>
      <c r="I44" s="33"/>
      <c r="J44" s="8" t="str">
        <f aca="false">IF(COUNTA(B44,D44,G44,H44,I44)=0,"",IF(B44="","Enter date",IF(OR(B44&lt;$AC$2,B44&gt;$AC$3),"Date not in July",IF(D44="","Pick project",IF(ISNA(MATCH(D44,ProjNames,0)),"Project not in list",IF(G44="","Add task description",IF(H44="","Pick NTIME or P6",IF(N(I44)&lt;=0,"Enter hours",IF(AND(AllowOT&lt;&gt;"Yes",SUMIF($B$7:$B$256,B44,$I$7:$I$256)&gt;INDEX($O$58:$O$88,DAY(B44))),"Day over "&amp;INDEX($O$58:$O$88,DAY(B44))&amp;" h","✓")))))))))</f>
        <v/>
      </c>
      <c r="K44" s="1"/>
      <c r="L44" s="24" t="str">
        <f aca="false">IF($AD44=0,"",INDEX($W$7:$W$206,$AD44))</f>
        <v/>
      </c>
      <c r="M44" s="24" t="str">
        <f aca="false">IF($AD44=0,"",INDEX(ProjNumbers,$AD44))</f>
        <v/>
      </c>
      <c r="N44" s="24" t="str">
        <f aca="false">IF($AD44=0,"",INDEX(ProjCodes,$AD44))</f>
        <v/>
      </c>
      <c r="O44" s="24" t="str">
        <f aca="false">IF($AD44=0,"",INDEX($X$7:$X$206,$AD44))</f>
        <v/>
      </c>
      <c r="P44" s="24" t="str">
        <f aca="false">IF($AD44=0,"",INDEX($Y$7:$Y$206,$AD44))</f>
        <v/>
      </c>
      <c r="Q44" s="24" t="str">
        <f aca="false">IF($AD44=0,"",INDEX($Z$7:$Z$206,$AD44))</f>
        <v/>
      </c>
      <c r="R44" s="25" t="str">
        <f aca="false">IF(OR($AD44=0,$L$5=0),"",Q44/$L$5)</f>
        <v/>
      </c>
      <c r="S44" s="1"/>
      <c r="T44" s="1"/>
      <c r="U44" s="1"/>
      <c r="V44" s="1"/>
      <c r="W44" s="1" t="str">
        <f aca="false">IF(Projects!B42="","",Projects!B42)</f>
        <v/>
      </c>
      <c r="X44" s="1" t="n">
        <f aca="false">IF(W44="",0,SUMIFS($I$7:$I$256,$D$7:$D$256,W44,$H$7:$H$256,"NTIME"))</f>
        <v>0</v>
      </c>
      <c r="Y44" s="1" t="n">
        <f aca="false">IF(W44="",0,SUMIFS($I$7:$I$256,$D$7:$D$256,W44,$H$7:$H$256,"P6"))</f>
        <v>0</v>
      </c>
      <c r="Z44" s="1" t="n">
        <f aca="false">X44+Y44</f>
        <v>0</v>
      </c>
      <c r="AA44" s="1" t="n">
        <f aca="false">IF(Z44&gt;0,Z44+(201-38)/10^6,0)</f>
        <v>0</v>
      </c>
      <c r="AB44" s="1"/>
      <c r="AC44" s="1"/>
      <c r="AD44" s="1" t="n">
        <f aca="false">IF(LARGE($AA$7:$AA$206,8)&lt;=0,0,MATCH(LARGE($AA$7:$AA$206,8),$AA$7:$AA$206,0))</f>
        <v>0</v>
      </c>
      <c r="AE44" s="1"/>
      <c r="AF44" s="1"/>
      <c r="AG44" s="1"/>
      <c r="AH44" s="1"/>
    </row>
    <row r="45" customFormat="false" ht="15" hidden="false" customHeight="false" outlineLevel="0" collapsed="false">
      <c r="A45" s="1"/>
      <c r="B45" s="10"/>
      <c r="C45" s="31" t="str">
        <f aca="false">IF(B45="","",TEXT(B45,"ddd"))</f>
        <v/>
      </c>
      <c r="D45" s="11"/>
      <c r="E45" s="8" t="str">
        <f aca="false">IF(D45="","",IFERROR(INDEX(ProjNumbers,MATCH(D45,ProjNames,0)),""))</f>
        <v/>
      </c>
      <c r="F45" s="8" t="str">
        <f aca="false">IF(D45="","",IFERROR(INDEX(ProjCodes,MATCH(D45,ProjNames,0)),""))</f>
        <v/>
      </c>
      <c r="G45" s="32"/>
      <c r="H45" s="11"/>
      <c r="I45" s="33"/>
      <c r="J45" s="8" t="str">
        <f aca="false">IF(COUNTA(B45,D45,G45,H45,I45)=0,"",IF(B45="","Enter date",IF(OR(B45&lt;$AC$2,B45&gt;$AC$3),"Date not in July",IF(D45="","Pick project",IF(ISNA(MATCH(D45,ProjNames,0)),"Project not in list",IF(G45="","Add task description",IF(H45="","Pick NTIME or P6",IF(N(I45)&lt;=0,"Enter hours",IF(AND(AllowOT&lt;&gt;"Yes",SUMIF($B$7:$B$256,B45,$I$7:$I$256)&gt;INDEX($O$58:$O$88,DAY(B45))),"Day over "&amp;INDEX($O$58:$O$88,DAY(B45))&amp;" h","✓")))))))))</f>
        <v/>
      </c>
      <c r="K45" s="1"/>
      <c r="L45" s="24" t="str">
        <f aca="false">IF($AD45=0,"",INDEX($W$7:$W$206,$AD45))</f>
        <v/>
      </c>
      <c r="M45" s="24" t="str">
        <f aca="false">IF($AD45=0,"",INDEX(ProjNumbers,$AD45))</f>
        <v/>
      </c>
      <c r="N45" s="24" t="str">
        <f aca="false">IF($AD45=0,"",INDEX(ProjCodes,$AD45))</f>
        <v/>
      </c>
      <c r="O45" s="24" t="str">
        <f aca="false">IF($AD45=0,"",INDEX($X$7:$X$206,$AD45))</f>
        <v/>
      </c>
      <c r="P45" s="24" t="str">
        <f aca="false">IF($AD45=0,"",INDEX($Y$7:$Y$206,$AD45))</f>
        <v/>
      </c>
      <c r="Q45" s="24" t="str">
        <f aca="false">IF($AD45=0,"",INDEX($Z$7:$Z$206,$AD45))</f>
        <v/>
      </c>
      <c r="R45" s="25" t="str">
        <f aca="false">IF(OR($AD45=0,$L$5=0),"",Q45/$L$5)</f>
        <v/>
      </c>
      <c r="S45" s="1"/>
      <c r="T45" s="1"/>
      <c r="U45" s="1"/>
      <c r="V45" s="1"/>
      <c r="W45" s="1" t="str">
        <f aca="false">IF(Projects!B43="","",Projects!B43)</f>
        <v/>
      </c>
      <c r="X45" s="1" t="n">
        <f aca="false">IF(W45="",0,SUMIFS($I$7:$I$256,$D$7:$D$256,W45,$H$7:$H$256,"NTIME"))</f>
        <v>0</v>
      </c>
      <c r="Y45" s="1" t="n">
        <f aca="false">IF(W45="",0,SUMIFS($I$7:$I$256,$D$7:$D$256,W45,$H$7:$H$256,"P6"))</f>
        <v>0</v>
      </c>
      <c r="Z45" s="1" t="n">
        <f aca="false">X45+Y45</f>
        <v>0</v>
      </c>
      <c r="AA45" s="1" t="n">
        <f aca="false">IF(Z45&gt;0,Z45+(201-39)/10^6,0)</f>
        <v>0</v>
      </c>
      <c r="AB45" s="1"/>
      <c r="AC45" s="1"/>
      <c r="AD45" s="1" t="n">
        <f aca="false">IF(LARGE($AA$7:$AA$206,9)&lt;=0,0,MATCH(LARGE($AA$7:$AA$206,9),$AA$7:$AA$206,0))</f>
        <v>0</v>
      </c>
      <c r="AE45" s="1"/>
      <c r="AF45" s="1"/>
      <c r="AG45" s="1"/>
      <c r="AH45" s="1"/>
    </row>
    <row r="46" customFormat="false" ht="15" hidden="false" customHeight="false" outlineLevel="0" collapsed="false">
      <c r="A46" s="1"/>
      <c r="B46" s="10"/>
      <c r="C46" s="31" t="str">
        <f aca="false">IF(B46="","",TEXT(B46,"ddd"))</f>
        <v/>
      </c>
      <c r="D46" s="11"/>
      <c r="E46" s="8" t="str">
        <f aca="false">IF(D46="","",IFERROR(INDEX(ProjNumbers,MATCH(D46,ProjNames,0)),""))</f>
        <v/>
      </c>
      <c r="F46" s="8" t="str">
        <f aca="false">IF(D46="","",IFERROR(INDEX(ProjCodes,MATCH(D46,ProjNames,0)),""))</f>
        <v/>
      </c>
      <c r="G46" s="32"/>
      <c r="H46" s="11"/>
      <c r="I46" s="33"/>
      <c r="J46" s="8" t="str">
        <f aca="false">IF(COUNTA(B46,D46,G46,H46,I46)=0,"",IF(B46="","Enter date",IF(OR(B46&lt;$AC$2,B46&gt;$AC$3),"Date not in July",IF(D46="","Pick project",IF(ISNA(MATCH(D46,ProjNames,0)),"Project not in list",IF(G46="","Add task description",IF(H46="","Pick NTIME or P6",IF(N(I46)&lt;=0,"Enter hours",IF(AND(AllowOT&lt;&gt;"Yes",SUMIF($B$7:$B$256,B46,$I$7:$I$256)&gt;INDEX($O$58:$O$88,DAY(B46))),"Day over "&amp;INDEX($O$58:$O$88,DAY(B46))&amp;" h","✓")))))))))</f>
        <v/>
      </c>
      <c r="K46" s="1"/>
      <c r="L46" s="24" t="str">
        <f aca="false">IF($AD46=0,"",INDEX($W$7:$W$206,$AD46))</f>
        <v/>
      </c>
      <c r="M46" s="24" t="str">
        <f aca="false">IF($AD46=0,"",INDEX(ProjNumbers,$AD46))</f>
        <v/>
      </c>
      <c r="N46" s="24" t="str">
        <f aca="false">IF($AD46=0,"",INDEX(ProjCodes,$AD46))</f>
        <v/>
      </c>
      <c r="O46" s="24" t="str">
        <f aca="false">IF($AD46=0,"",INDEX($X$7:$X$206,$AD46))</f>
        <v/>
      </c>
      <c r="P46" s="24" t="str">
        <f aca="false">IF($AD46=0,"",INDEX($Y$7:$Y$206,$AD46))</f>
        <v/>
      </c>
      <c r="Q46" s="24" t="str">
        <f aca="false">IF($AD46=0,"",INDEX($Z$7:$Z$206,$AD46))</f>
        <v/>
      </c>
      <c r="R46" s="25" t="str">
        <f aca="false">IF(OR($AD46=0,$L$5=0),"",Q46/$L$5)</f>
        <v/>
      </c>
      <c r="S46" s="1"/>
      <c r="T46" s="1"/>
      <c r="U46" s="1"/>
      <c r="V46" s="1"/>
      <c r="W46" s="1" t="str">
        <f aca="false">IF(Projects!B44="","",Projects!B44)</f>
        <v/>
      </c>
      <c r="X46" s="1" t="n">
        <f aca="false">IF(W46="",0,SUMIFS($I$7:$I$256,$D$7:$D$256,W46,$H$7:$H$256,"NTIME"))</f>
        <v>0</v>
      </c>
      <c r="Y46" s="1" t="n">
        <f aca="false">IF(W46="",0,SUMIFS($I$7:$I$256,$D$7:$D$256,W46,$H$7:$H$256,"P6"))</f>
        <v>0</v>
      </c>
      <c r="Z46" s="1" t="n">
        <f aca="false">X46+Y46</f>
        <v>0</v>
      </c>
      <c r="AA46" s="1" t="n">
        <f aca="false">IF(Z46&gt;0,Z46+(201-40)/10^6,0)</f>
        <v>0</v>
      </c>
      <c r="AB46" s="1"/>
      <c r="AC46" s="1"/>
      <c r="AD46" s="1" t="n">
        <f aca="false">IF(LARGE($AA$7:$AA$206,10)&lt;=0,0,MATCH(LARGE($AA$7:$AA$206,10),$AA$7:$AA$206,0))</f>
        <v>0</v>
      </c>
      <c r="AE46" s="1"/>
      <c r="AF46" s="1"/>
      <c r="AG46" s="1"/>
      <c r="AH46" s="1"/>
    </row>
    <row r="47" customFormat="false" ht="15" hidden="false" customHeight="false" outlineLevel="0" collapsed="false">
      <c r="A47" s="1"/>
      <c r="B47" s="10"/>
      <c r="C47" s="31" t="str">
        <f aca="false">IF(B47="","",TEXT(B47,"ddd"))</f>
        <v/>
      </c>
      <c r="D47" s="11"/>
      <c r="E47" s="8" t="str">
        <f aca="false">IF(D47="","",IFERROR(INDEX(ProjNumbers,MATCH(D47,ProjNames,0)),""))</f>
        <v/>
      </c>
      <c r="F47" s="8" t="str">
        <f aca="false">IF(D47="","",IFERROR(INDEX(ProjCodes,MATCH(D47,ProjNames,0)),""))</f>
        <v/>
      </c>
      <c r="G47" s="32"/>
      <c r="H47" s="11"/>
      <c r="I47" s="33"/>
      <c r="J47" s="8" t="str">
        <f aca="false">IF(COUNTA(B47,D47,G47,H47,I47)=0,"",IF(B47="","Enter date",IF(OR(B47&lt;$AC$2,B47&gt;$AC$3),"Date not in July",IF(D47="","Pick project",IF(ISNA(MATCH(D47,ProjNames,0)),"Project not in list",IF(G47="","Add task description",IF(H47="","Pick NTIME or P6",IF(N(I47)&lt;=0,"Enter hours",IF(AND(AllowOT&lt;&gt;"Yes",SUMIF($B$7:$B$256,B47,$I$7:$I$256)&gt;INDEX($O$58:$O$88,DAY(B47))),"Day over "&amp;INDEX($O$58:$O$88,DAY(B47))&amp;" h","✓")))))))))</f>
        <v/>
      </c>
      <c r="K47" s="1"/>
      <c r="L47" s="24" t="str">
        <f aca="false">IF($AD47=0,"",INDEX($W$7:$W$206,$AD47))</f>
        <v/>
      </c>
      <c r="M47" s="24" t="str">
        <f aca="false">IF($AD47=0,"",INDEX(ProjNumbers,$AD47))</f>
        <v/>
      </c>
      <c r="N47" s="24" t="str">
        <f aca="false">IF($AD47=0,"",INDEX(ProjCodes,$AD47))</f>
        <v/>
      </c>
      <c r="O47" s="24" t="str">
        <f aca="false">IF($AD47=0,"",INDEX($X$7:$X$206,$AD47))</f>
        <v/>
      </c>
      <c r="P47" s="24" t="str">
        <f aca="false">IF($AD47=0,"",INDEX($Y$7:$Y$206,$AD47))</f>
        <v/>
      </c>
      <c r="Q47" s="24" t="str">
        <f aca="false">IF($AD47=0,"",INDEX($Z$7:$Z$206,$AD47))</f>
        <v/>
      </c>
      <c r="R47" s="25" t="str">
        <f aca="false">IF(OR($AD47=0,$L$5=0),"",Q47/$L$5)</f>
        <v/>
      </c>
      <c r="S47" s="1"/>
      <c r="T47" s="1"/>
      <c r="U47" s="1"/>
      <c r="V47" s="1"/>
      <c r="W47" s="1" t="str">
        <f aca="false">IF(Projects!B45="","",Projects!B45)</f>
        <v/>
      </c>
      <c r="X47" s="1" t="n">
        <f aca="false">IF(W47="",0,SUMIFS($I$7:$I$256,$D$7:$D$256,W47,$H$7:$H$256,"NTIME"))</f>
        <v>0</v>
      </c>
      <c r="Y47" s="1" t="n">
        <f aca="false">IF(W47="",0,SUMIFS($I$7:$I$256,$D$7:$D$256,W47,$H$7:$H$256,"P6"))</f>
        <v>0</v>
      </c>
      <c r="Z47" s="1" t="n">
        <f aca="false">X47+Y47</f>
        <v>0</v>
      </c>
      <c r="AA47" s="1" t="n">
        <f aca="false">IF(Z47&gt;0,Z47+(201-41)/10^6,0)</f>
        <v>0</v>
      </c>
      <c r="AB47" s="1"/>
      <c r="AC47" s="1"/>
      <c r="AD47" s="1" t="n">
        <f aca="false">IF(LARGE($AA$7:$AA$206,11)&lt;=0,0,MATCH(LARGE($AA$7:$AA$206,11),$AA$7:$AA$206,0))</f>
        <v>0</v>
      </c>
      <c r="AE47" s="1"/>
      <c r="AF47" s="1"/>
      <c r="AG47" s="1"/>
      <c r="AH47" s="1"/>
    </row>
    <row r="48" customFormat="false" ht="15" hidden="false" customHeight="false" outlineLevel="0" collapsed="false">
      <c r="A48" s="1"/>
      <c r="B48" s="10"/>
      <c r="C48" s="31" t="str">
        <f aca="false">IF(B48="","",TEXT(B48,"ddd"))</f>
        <v/>
      </c>
      <c r="D48" s="11"/>
      <c r="E48" s="8" t="str">
        <f aca="false">IF(D48="","",IFERROR(INDEX(ProjNumbers,MATCH(D48,ProjNames,0)),""))</f>
        <v/>
      </c>
      <c r="F48" s="8" t="str">
        <f aca="false">IF(D48="","",IFERROR(INDEX(ProjCodes,MATCH(D48,ProjNames,0)),""))</f>
        <v/>
      </c>
      <c r="G48" s="32"/>
      <c r="H48" s="11"/>
      <c r="I48" s="33"/>
      <c r="J48" s="8" t="str">
        <f aca="false">IF(COUNTA(B48,D48,G48,H48,I48)=0,"",IF(B48="","Enter date",IF(OR(B48&lt;$AC$2,B48&gt;$AC$3),"Date not in July",IF(D48="","Pick project",IF(ISNA(MATCH(D48,ProjNames,0)),"Project not in list",IF(G48="","Add task description",IF(H48="","Pick NTIME or P6",IF(N(I48)&lt;=0,"Enter hours",IF(AND(AllowOT&lt;&gt;"Yes",SUMIF($B$7:$B$256,B48,$I$7:$I$256)&gt;INDEX($O$58:$O$88,DAY(B48))),"Day over "&amp;INDEX($O$58:$O$88,DAY(B48))&amp;" h","✓")))))))))</f>
        <v/>
      </c>
      <c r="K48" s="1"/>
      <c r="L48" s="24" t="str">
        <f aca="false">IF($AD48=0,"",INDEX($W$7:$W$206,$AD48))</f>
        <v/>
      </c>
      <c r="M48" s="24" t="str">
        <f aca="false">IF($AD48=0,"",INDEX(ProjNumbers,$AD48))</f>
        <v/>
      </c>
      <c r="N48" s="24" t="str">
        <f aca="false">IF($AD48=0,"",INDEX(ProjCodes,$AD48))</f>
        <v/>
      </c>
      <c r="O48" s="24" t="str">
        <f aca="false">IF($AD48=0,"",INDEX($X$7:$X$206,$AD48))</f>
        <v/>
      </c>
      <c r="P48" s="24" t="str">
        <f aca="false">IF($AD48=0,"",INDEX($Y$7:$Y$206,$AD48))</f>
        <v/>
      </c>
      <c r="Q48" s="24" t="str">
        <f aca="false">IF($AD48=0,"",INDEX($Z$7:$Z$206,$AD48))</f>
        <v/>
      </c>
      <c r="R48" s="25" t="str">
        <f aca="false">IF(OR($AD48=0,$L$5=0),"",Q48/$L$5)</f>
        <v/>
      </c>
      <c r="S48" s="1"/>
      <c r="T48" s="1"/>
      <c r="U48" s="1"/>
      <c r="V48" s="1"/>
      <c r="W48" s="1" t="str">
        <f aca="false">IF(Projects!B46="","",Projects!B46)</f>
        <v/>
      </c>
      <c r="X48" s="1" t="n">
        <f aca="false">IF(W48="",0,SUMIFS($I$7:$I$256,$D$7:$D$256,W48,$H$7:$H$256,"NTIME"))</f>
        <v>0</v>
      </c>
      <c r="Y48" s="1" t="n">
        <f aca="false">IF(W48="",0,SUMIFS($I$7:$I$256,$D$7:$D$256,W48,$H$7:$H$256,"P6"))</f>
        <v>0</v>
      </c>
      <c r="Z48" s="1" t="n">
        <f aca="false">X48+Y48</f>
        <v>0</v>
      </c>
      <c r="AA48" s="1" t="n">
        <f aca="false">IF(Z48&gt;0,Z48+(201-42)/10^6,0)</f>
        <v>0</v>
      </c>
      <c r="AB48" s="1"/>
      <c r="AC48" s="1"/>
      <c r="AD48" s="1" t="n">
        <f aca="false">IF(LARGE($AA$7:$AA$206,12)&lt;=0,0,MATCH(LARGE($AA$7:$AA$206,12),$AA$7:$AA$206,0))</f>
        <v>0</v>
      </c>
      <c r="AE48" s="1"/>
      <c r="AF48" s="1"/>
      <c r="AG48" s="1"/>
      <c r="AH48" s="1"/>
    </row>
    <row r="49" customFormat="false" ht="15" hidden="false" customHeight="false" outlineLevel="0" collapsed="false">
      <c r="A49" s="1"/>
      <c r="B49" s="10"/>
      <c r="C49" s="31" t="str">
        <f aca="false">IF(B49="","",TEXT(B49,"ddd"))</f>
        <v/>
      </c>
      <c r="D49" s="11"/>
      <c r="E49" s="8" t="str">
        <f aca="false">IF(D49="","",IFERROR(INDEX(ProjNumbers,MATCH(D49,ProjNames,0)),""))</f>
        <v/>
      </c>
      <c r="F49" s="8" t="str">
        <f aca="false">IF(D49="","",IFERROR(INDEX(ProjCodes,MATCH(D49,ProjNames,0)),""))</f>
        <v/>
      </c>
      <c r="G49" s="32"/>
      <c r="H49" s="11"/>
      <c r="I49" s="33"/>
      <c r="J49" s="8" t="str">
        <f aca="false">IF(COUNTA(B49,D49,G49,H49,I49)=0,"",IF(B49="","Enter date",IF(OR(B49&lt;$AC$2,B49&gt;$AC$3),"Date not in July",IF(D49="","Pick project",IF(ISNA(MATCH(D49,ProjNames,0)),"Project not in list",IF(G49="","Add task description",IF(H49="","Pick NTIME or P6",IF(N(I49)&lt;=0,"Enter hours",IF(AND(AllowOT&lt;&gt;"Yes",SUMIF($B$7:$B$256,B49,$I$7:$I$256)&gt;INDEX($O$58:$O$88,DAY(B49))),"Day over "&amp;INDEX($O$58:$O$88,DAY(B49))&amp;" h","✓")))))))))</f>
        <v/>
      </c>
      <c r="K49" s="1"/>
      <c r="L49" s="24" t="str">
        <f aca="false">IF($AD49=0,"",INDEX($W$7:$W$206,$AD49))</f>
        <v/>
      </c>
      <c r="M49" s="24" t="str">
        <f aca="false">IF($AD49=0,"",INDEX(ProjNumbers,$AD49))</f>
        <v/>
      </c>
      <c r="N49" s="24" t="str">
        <f aca="false">IF($AD49=0,"",INDEX(ProjCodes,$AD49))</f>
        <v/>
      </c>
      <c r="O49" s="24" t="str">
        <f aca="false">IF($AD49=0,"",INDEX($X$7:$X$206,$AD49))</f>
        <v/>
      </c>
      <c r="P49" s="24" t="str">
        <f aca="false">IF($AD49=0,"",INDEX($Y$7:$Y$206,$AD49))</f>
        <v/>
      </c>
      <c r="Q49" s="24" t="str">
        <f aca="false">IF($AD49=0,"",INDEX($Z$7:$Z$206,$AD49))</f>
        <v/>
      </c>
      <c r="R49" s="25" t="str">
        <f aca="false">IF(OR($AD49=0,$L$5=0),"",Q49/$L$5)</f>
        <v/>
      </c>
      <c r="S49" s="1"/>
      <c r="T49" s="1"/>
      <c r="U49" s="1"/>
      <c r="V49" s="1"/>
      <c r="W49" s="1" t="str">
        <f aca="false">IF(Projects!B47="","",Projects!B47)</f>
        <v/>
      </c>
      <c r="X49" s="1" t="n">
        <f aca="false">IF(W49="",0,SUMIFS($I$7:$I$256,$D$7:$D$256,W49,$H$7:$H$256,"NTIME"))</f>
        <v>0</v>
      </c>
      <c r="Y49" s="1" t="n">
        <f aca="false">IF(W49="",0,SUMIFS($I$7:$I$256,$D$7:$D$256,W49,$H$7:$H$256,"P6"))</f>
        <v>0</v>
      </c>
      <c r="Z49" s="1" t="n">
        <f aca="false">X49+Y49</f>
        <v>0</v>
      </c>
      <c r="AA49" s="1" t="n">
        <f aca="false">IF(Z49&gt;0,Z49+(201-43)/10^6,0)</f>
        <v>0</v>
      </c>
      <c r="AB49" s="1"/>
      <c r="AC49" s="1"/>
      <c r="AD49" s="1" t="n">
        <f aca="false">IF(LARGE($AA$7:$AA$206,13)&lt;=0,0,MATCH(LARGE($AA$7:$AA$206,13),$AA$7:$AA$206,0))</f>
        <v>0</v>
      </c>
      <c r="AE49" s="1"/>
      <c r="AF49" s="1"/>
      <c r="AG49" s="1"/>
      <c r="AH49" s="1"/>
    </row>
    <row r="50" customFormat="false" ht="15" hidden="false" customHeight="false" outlineLevel="0" collapsed="false">
      <c r="A50" s="1"/>
      <c r="B50" s="10"/>
      <c r="C50" s="31" t="str">
        <f aca="false">IF(B50="","",TEXT(B50,"ddd"))</f>
        <v/>
      </c>
      <c r="D50" s="11"/>
      <c r="E50" s="8" t="str">
        <f aca="false">IF(D50="","",IFERROR(INDEX(ProjNumbers,MATCH(D50,ProjNames,0)),""))</f>
        <v/>
      </c>
      <c r="F50" s="8" t="str">
        <f aca="false">IF(D50="","",IFERROR(INDEX(ProjCodes,MATCH(D50,ProjNames,0)),""))</f>
        <v/>
      </c>
      <c r="G50" s="32"/>
      <c r="H50" s="11"/>
      <c r="I50" s="33"/>
      <c r="J50" s="8" t="str">
        <f aca="false">IF(COUNTA(B50,D50,G50,H50,I50)=0,"",IF(B50="","Enter date",IF(OR(B50&lt;$AC$2,B50&gt;$AC$3),"Date not in July",IF(D50="","Pick project",IF(ISNA(MATCH(D50,ProjNames,0)),"Project not in list",IF(G50="","Add task description",IF(H50="","Pick NTIME or P6",IF(N(I50)&lt;=0,"Enter hours",IF(AND(AllowOT&lt;&gt;"Yes",SUMIF($B$7:$B$256,B50,$I$7:$I$256)&gt;INDEX($O$58:$O$88,DAY(B50))),"Day over "&amp;INDEX($O$58:$O$88,DAY(B50))&amp;" h","✓")))))))))</f>
        <v/>
      </c>
      <c r="K50" s="1"/>
      <c r="L50" s="24" t="str">
        <f aca="false">IF($AD50=0,"",INDEX($W$7:$W$206,$AD50))</f>
        <v/>
      </c>
      <c r="M50" s="24" t="str">
        <f aca="false">IF($AD50=0,"",INDEX(ProjNumbers,$AD50))</f>
        <v/>
      </c>
      <c r="N50" s="24" t="str">
        <f aca="false">IF($AD50=0,"",INDEX(ProjCodes,$AD50))</f>
        <v/>
      </c>
      <c r="O50" s="24" t="str">
        <f aca="false">IF($AD50=0,"",INDEX($X$7:$X$206,$AD50))</f>
        <v/>
      </c>
      <c r="P50" s="24" t="str">
        <f aca="false">IF($AD50=0,"",INDEX($Y$7:$Y$206,$AD50))</f>
        <v/>
      </c>
      <c r="Q50" s="24" t="str">
        <f aca="false">IF($AD50=0,"",INDEX($Z$7:$Z$206,$AD50))</f>
        <v/>
      </c>
      <c r="R50" s="25" t="str">
        <f aca="false">IF(OR($AD50=0,$L$5=0),"",Q50/$L$5)</f>
        <v/>
      </c>
      <c r="S50" s="1"/>
      <c r="T50" s="1"/>
      <c r="U50" s="1"/>
      <c r="V50" s="1"/>
      <c r="W50" s="1" t="str">
        <f aca="false">IF(Projects!B48="","",Projects!B48)</f>
        <v/>
      </c>
      <c r="X50" s="1" t="n">
        <f aca="false">IF(W50="",0,SUMIFS($I$7:$I$256,$D$7:$D$256,W50,$H$7:$H$256,"NTIME"))</f>
        <v>0</v>
      </c>
      <c r="Y50" s="1" t="n">
        <f aca="false">IF(W50="",0,SUMIFS($I$7:$I$256,$D$7:$D$256,W50,$H$7:$H$256,"P6"))</f>
        <v>0</v>
      </c>
      <c r="Z50" s="1" t="n">
        <f aca="false">X50+Y50</f>
        <v>0</v>
      </c>
      <c r="AA50" s="1" t="n">
        <f aca="false">IF(Z50&gt;0,Z50+(201-44)/10^6,0)</f>
        <v>0</v>
      </c>
      <c r="AB50" s="1"/>
      <c r="AC50" s="1"/>
      <c r="AD50" s="1" t="n">
        <f aca="false">IF(LARGE($AA$7:$AA$206,14)&lt;=0,0,MATCH(LARGE($AA$7:$AA$206,14),$AA$7:$AA$206,0))</f>
        <v>0</v>
      </c>
      <c r="AE50" s="1"/>
      <c r="AF50" s="1"/>
      <c r="AG50" s="1"/>
      <c r="AH50" s="1"/>
    </row>
    <row r="51" customFormat="false" ht="15" hidden="false" customHeight="false" outlineLevel="0" collapsed="false">
      <c r="A51" s="1"/>
      <c r="B51" s="10"/>
      <c r="C51" s="31" t="str">
        <f aca="false">IF(B51="","",TEXT(B51,"ddd"))</f>
        <v/>
      </c>
      <c r="D51" s="11"/>
      <c r="E51" s="8" t="str">
        <f aca="false">IF(D51="","",IFERROR(INDEX(ProjNumbers,MATCH(D51,ProjNames,0)),""))</f>
        <v/>
      </c>
      <c r="F51" s="8" t="str">
        <f aca="false">IF(D51="","",IFERROR(INDEX(ProjCodes,MATCH(D51,ProjNames,0)),""))</f>
        <v/>
      </c>
      <c r="G51" s="32"/>
      <c r="H51" s="11"/>
      <c r="I51" s="33"/>
      <c r="J51" s="8" t="str">
        <f aca="false">IF(COUNTA(B51,D51,G51,H51,I51)=0,"",IF(B51="","Enter date",IF(OR(B51&lt;$AC$2,B51&gt;$AC$3),"Date not in July",IF(D51="","Pick project",IF(ISNA(MATCH(D51,ProjNames,0)),"Project not in list",IF(G51="","Add task description",IF(H51="","Pick NTIME or P6",IF(N(I51)&lt;=0,"Enter hours",IF(AND(AllowOT&lt;&gt;"Yes",SUMIF($B$7:$B$256,B51,$I$7:$I$256)&gt;INDEX($O$58:$O$88,DAY(B51))),"Day over "&amp;INDEX($O$58:$O$88,DAY(B51))&amp;" h","✓")))))))))</f>
        <v/>
      </c>
      <c r="K51" s="1"/>
      <c r="L51" s="24" t="str">
        <f aca="false">IF($AD51=0,"",INDEX($W$7:$W$206,$AD51))</f>
        <v/>
      </c>
      <c r="M51" s="24" t="str">
        <f aca="false">IF($AD51=0,"",INDEX(ProjNumbers,$AD51))</f>
        <v/>
      </c>
      <c r="N51" s="24" t="str">
        <f aca="false">IF($AD51=0,"",INDEX(ProjCodes,$AD51))</f>
        <v/>
      </c>
      <c r="O51" s="24" t="str">
        <f aca="false">IF($AD51=0,"",INDEX($X$7:$X$206,$AD51))</f>
        <v/>
      </c>
      <c r="P51" s="24" t="str">
        <f aca="false">IF($AD51=0,"",INDEX($Y$7:$Y$206,$AD51))</f>
        <v/>
      </c>
      <c r="Q51" s="24" t="str">
        <f aca="false">IF($AD51=0,"",INDEX($Z$7:$Z$206,$AD51))</f>
        <v/>
      </c>
      <c r="R51" s="25" t="str">
        <f aca="false">IF(OR($AD51=0,$L$5=0),"",Q51/$L$5)</f>
        <v/>
      </c>
      <c r="S51" s="1"/>
      <c r="T51" s="1"/>
      <c r="U51" s="1"/>
      <c r="V51" s="1"/>
      <c r="W51" s="1" t="str">
        <f aca="false">IF(Projects!B49="","",Projects!B49)</f>
        <v/>
      </c>
      <c r="X51" s="1" t="n">
        <f aca="false">IF(W51="",0,SUMIFS($I$7:$I$256,$D$7:$D$256,W51,$H$7:$H$256,"NTIME"))</f>
        <v>0</v>
      </c>
      <c r="Y51" s="1" t="n">
        <f aca="false">IF(W51="",0,SUMIFS($I$7:$I$256,$D$7:$D$256,W51,$H$7:$H$256,"P6"))</f>
        <v>0</v>
      </c>
      <c r="Z51" s="1" t="n">
        <f aca="false">X51+Y51</f>
        <v>0</v>
      </c>
      <c r="AA51" s="1" t="n">
        <f aca="false">IF(Z51&gt;0,Z51+(201-45)/10^6,0)</f>
        <v>0</v>
      </c>
      <c r="AB51" s="1"/>
      <c r="AC51" s="1"/>
      <c r="AD51" s="1" t="n">
        <f aca="false">IF(LARGE($AA$7:$AA$206,15)&lt;=0,0,MATCH(LARGE($AA$7:$AA$206,15),$AA$7:$AA$206,0))</f>
        <v>0</v>
      </c>
      <c r="AE51" s="1"/>
      <c r="AF51" s="1"/>
      <c r="AG51" s="1"/>
      <c r="AH51" s="1"/>
    </row>
    <row r="52" customFormat="false" ht="15" hidden="false" customHeight="false" outlineLevel="0" collapsed="false">
      <c r="A52" s="1"/>
      <c r="B52" s="10"/>
      <c r="C52" s="31" t="str">
        <f aca="false">IF(B52="","",TEXT(B52,"ddd"))</f>
        <v/>
      </c>
      <c r="D52" s="11"/>
      <c r="E52" s="8" t="str">
        <f aca="false">IF(D52="","",IFERROR(INDEX(ProjNumbers,MATCH(D52,ProjNames,0)),""))</f>
        <v/>
      </c>
      <c r="F52" s="8" t="str">
        <f aca="false">IF(D52="","",IFERROR(INDEX(ProjCodes,MATCH(D52,ProjNames,0)),""))</f>
        <v/>
      </c>
      <c r="G52" s="32"/>
      <c r="H52" s="11"/>
      <c r="I52" s="33"/>
      <c r="J52" s="8" t="str">
        <f aca="false">IF(COUNTA(B52,D52,G52,H52,I52)=0,"",IF(B52="","Enter date",IF(OR(B52&lt;$AC$2,B52&gt;$AC$3),"Date not in July",IF(D52="","Pick project",IF(ISNA(MATCH(D52,ProjNames,0)),"Project not in list",IF(G52="","Add task description",IF(H52="","Pick NTIME or P6",IF(N(I52)&lt;=0,"Enter hours",IF(AND(AllowOT&lt;&gt;"Yes",SUMIF($B$7:$B$256,B52,$I$7:$I$256)&gt;INDEX($O$58:$O$88,DAY(B52))),"Day over "&amp;INDEX($O$58:$O$88,DAY(B52))&amp;" h","✓")))))))))</f>
        <v/>
      </c>
      <c r="K52" s="1"/>
      <c r="L52" s="24" t="s">
        <v>87</v>
      </c>
      <c r="M52" s="24"/>
      <c r="N52" s="24"/>
      <c r="O52" s="24" t="n">
        <f aca="false">SUM($P$58:$P$88)-SUM($X$7:$X$206)</f>
        <v>0</v>
      </c>
      <c r="P52" s="24" t="n">
        <f aca="false">SUM($Q$58:$Q$88)-SUM($Y$7:$Y$206)</f>
        <v>0</v>
      </c>
      <c r="Q52" s="24" t="n">
        <f aca="false">O52+P52</f>
        <v>0</v>
      </c>
      <c r="R52" s="25" t="str">
        <f aca="false">IF($L$5=0,"",Q52/$L$5)</f>
        <v/>
      </c>
      <c r="S52" s="1"/>
      <c r="T52" s="1"/>
      <c r="U52" s="1"/>
      <c r="V52" s="1"/>
      <c r="W52" s="1" t="str">
        <f aca="false">IF(Projects!B50="","",Projects!B50)</f>
        <v/>
      </c>
      <c r="X52" s="1" t="n">
        <f aca="false">IF(W52="",0,SUMIFS($I$7:$I$256,$D$7:$D$256,W52,$H$7:$H$256,"NTIME"))</f>
        <v>0</v>
      </c>
      <c r="Y52" s="1" t="n">
        <f aca="false">IF(W52="",0,SUMIFS($I$7:$I$256,$D$7:$D$256,W52,$H$7:$H$256,"P6"))</f>
        <v>0</v>
      </c>
      <c r="Z52" s="1" t="n">
        <f aca="false">X52+Y52</f>
        <v>0</v>
      </c>
      <c r="AA52" s="1" t="n">
        <f aca="false">IF(Z52&gt;0,Z52+(201-46)/10^6,0)</f>
        <v>0</v>
      </c>
      <c r="AB52" s="1"/>
      <c r="AC52" s="1"/>
      <c r="AD52" s="1"/>
      <c r="AE52" s="1"/>
      <c r="AF52" s="1"/>
      <c r="AG52" s="1"/>
      <c r="AH52" s="1"/>
    </row>
    <row r="53" customFormat="false" ht="15" hidden="false" customHeight="false" outlineLevel="0" collapsed="false">
      <c r="A53" s="1"/>
      <c r="B53" s="10"/>
      <c r="C53" s="31" t="str">
        <f aca="false">IF(B53="","",TEXT(B53,"ddd"))</f>
        <v/>
      </c>
      <c r="D53" s="11"/>
      <c r="E53" s="8" t="str">
        <f aca="false">IF(D53="","",IFERROR(INDEX(ProjNumbers,MATCH(D53,ProjNames,0)),""))</f>
        <v/>
      </c>
      <c r="F53" s="8" t="str">
        <f aca="false">IF(D53="","",IFERROR(INDEX(ProjCodes,MATCH(D53,ProjNames,0)),""))</f>
        <v/>
      </c>
      <c r="G53" s="32"/>
      <c r="H53" s="11"/>
      <c r="I53" s="33"/>
      <c r="J53" s="8" t="str">
        <f aca="false">IF(COUNTA(B53,D53,G53,H53,I53)=0,"",IF(B53="","Enter date",IF(OR(B53&lt;$AC$2,B53&gt;$AC$3),"Date not in July",IF(D53="","Pick project",IF(ISNA(MATCH(D53,ProjNames,0)),"Project not in list",IF(G53="","Add task description",IF(H53="","Pick NTIME or P6",IF(N(I53)&lt;=0,"Enter hours",IF(AND(AllowOT&lt;&gt;"Yes",SUMIF($B$7:$B$256,B53,$I$7:$I$256)&gt;INDEX($O$58:$O$88,DAY(B53))),"Day over "&amp;INDEX($O$58:$O$88,DAY(B53))&amp;" h","✓")))))))))</f>
        <v/>
      </c>
      <c r="K53" s="1"/>
      <c r="L53" s="24" t="s">
        <v>15</v>
      </c>
      <c r="M53" s="24" t="s">
        <v>88</v>
      </c>
      <c r="N53" s="24"/>
      <c r="O53" s="24" t="str">
        <f aca="false">IF(OHSystem="NTIME",O5,"")</f>
        <v/>
      </c>
      <c r="P53" s="24" t="str">
        <f aca="false">IF(OHSystem="P6",O5,"")</f>
        <v/>
      </c>
      <c r="Q53" s="24" t="n">
        <f aca="false">O5</f>
        <v>0</v>
      </c>
      <c r="R53" s="25" t="str">
        <f aca="false">IF($L$5=0,"",Q53/$L$5)</f>
        <v/>
      </c>
      <c r="S53" s="1"/>
      <c r="T53" s="1"/>
      <c r="U53" s="1"/>
      <c r="V53" s="1"/>
      <c r="W53" s="1" t="str">
        <f aca="false">IF(Projects!B51="","",Projects!B51)</f>
        <v/>
      </c>
      <c r="X53" s="1" t="n">
        <f aca="false">IF(W53="",0,SUMIFS($I$7:$I$256,$D$7:$D$256,W53,$H$7:$H$256,"NTIME"))</f>
        <v>0</v>
      </c>
      <c r="Y53" s="1" t="n">
        <f aca="false">IF(W53="",0,SUMIFS($I$7:$I$256,$D$7:$D$256,W53,$H$7:$H$256,"P6"))</f>
        <v>0</v>
      </c>
      <c r="Z53" s="1" t="n">
        <f aca="false">X53+Y53</f>
        <v>0</v>
      </c>
      <c r="AA53" s="1" t="n">
        <f aca="false">IF(Z53&gt;0,Z53+(201-47)/10^6,0)</f>
        <v>0</v>
      </c>
      <c r="AB53" s="1"/>
      <c r="AC53" s="1"/>
      <c r="AD53" s="1"/>
      <c r="AE53" s="1"/>
      <c r="AF53" s="1"/>
      <c r="AG53" s="1"/>
      <c r="AH53" s="1"/>
    </row>
    <row r="54" customFormat="false" ht="15" hidden="false" customHeight="false" outlineLevel="0" collapsed="false">
      <c r="A54" s="1"/>
      <c r="B54" s="10"/>
      <c r="C54" s="31" t="str">
        <f aca="false">IF(B54="","",TEXT(B54,"ddd"))</f>
        <v/>
      </c>
      <c r="D54" s="11"/>
      <c r="E54" s="8" t="str">
        <f aca="false">IF(D54="","",IFERROR(INDEX(ProjNumbers,MATCH(D54,ProjNames,0)),""))</f>
        <v/>
      </c>
      <c r="F54" s="8" t="str">
        <f aca="false">IF(D54="","",IFERROR(INDEX(ProjCodes,MATCH(D54,ProjNames,0)),""))</f>
        <v/>
      </c>
      <c r="G54" s="32"/>
      <c r="H54" s="11"/>
      <c r="I54" s="33"/>
      <c r="J54" s="8" t="str">
        <f aca="false">IF(COUNTA(B54,D54,G54,H54,I54)=0,"",IF(B54="","Enter date",IF(OR(B54&lt;$AC$2,B54&gt;$AC$3),"Date not in July",IF(D54="","Pick project",IF(ISNA(MATCH(D54,ProjNames,0)),"Project not in list",IF(G54="","Add task description",IF(H54="","Pick NTIME or P6",IF(N(I54)&lt;=0,"Enter hours",IF(AND(AllowOT&lt;&gt;"Yes",SUMIF($B$7:$B$256,B54,$I$7:$I$256)&gt;INDEX($O$58:$O$88,DAY(B54))),"Day over "&amp;INDEX($O$58:$O$88,DAY(B54))&amp;" h","✓")))))))))</f>
        <v/>
      </c>
      <c r="K54" s="1"/>
      <c r="L54" s="27" t="s">
        <v>57</v>
      </c>
      <c r="M54" s="27"/>
      <c r="N54" s="27"/>
      <c r="O54" s="27" t="n">
        <f aca="false">M5</f>
        <v>0</v>
      </c>
      <c r="P54" s="27" t="n">
        <f aca="false">N5</f>
        <v>0</v>
      </c>
      <c r="Q54" s="27" t="n">
        <f aca="false">L5</f>
        <v>0</v>
      </c>
      <c r="R54" s="27"/>
      <c r="S54" s="1"/>
      <c r="T54" s="1"/>
      <c r="U54" s="1"/>
      <c r="V54" s="1"/>
      <c r="W54" s="1" t="str">
        <f aca="false">IF(Projects!B52="","",Projects!B52)</f>
        <v/>
      </c>
      <c r="X54" s="1" t="n">
        <f aca="false">IF(W54="",0,SUMIFS($I$7:$I$256,$D$7:$D$256,W54,$H$7:$H$256,"NTIME"))</f>
        <v>0</v>
      </c>
      <c r="Y54" s="1" t="n">
        <f aca="false">IF(W54="",0,SUMIFS($I$7:$I$256,$D$7:$D$256,W54,$H$7:$H$256,"P6"))</f>
        <v>0</v>
      </c>
      <c r="Z54" s="1" t="n">
        <f aca="false">X54+Y54</f>
        <v>0</v>
      </c>
      <c r="AA54" s="1" t="n">
        <f aca="false">IF(Z54&gt;0,Z54+(201-48)/10^6,0)</f>
        <v>0</v>
      </c>
      <c r="AB54" s="1"/>
      <c r="AC54" s="1"/>
      <c r="AD54" s="1"/>
      <c r="AE54" s="1"/>
      <c r="AF54" s="1"/>
      <c r="AG54" s="1"/>
      <c r="AH54" s="1"/>
    </row>
    <row r="55" customFormat="false" ht="15" hidden="false" customHeight="false" outlineLevel="0" collapsed="false">
      <c r="A55" s="1"/>
      <c r="B55" s="10"/>
      <c r="C55" s="31" t="str">
        <f aca="false">IF(B55="","",TEXT(B55,"ddd"))</f>
        <v/>
      </c>
      <c r="D55" s="11"/>
      <c r="E55" s="8" t="str">
        <f aca="false">IF(D55="","",IFERROR(INDEX(ProjNumbers,MATCH(D55,ProjNames,0)),""))</f>
        <v/>
      </c>
      <c r="F55" s="8" t="str">
        <f aca="false">IF(D55="","",IFERROR(INDEX(ProjCodes,MATCH(D55,ProjNames,0)),""))</f>
        <v/>
      </c>
      <c r="G55" s="32"/>
      <c r="H55" s="11"/>
      <c r="I55" s="33"/>
      <c r="J55" s="8" t="str">
        <f aca="false">IF(COUNTA(B55,D55,G55,H55,I55)=0,"",IF(B55="","Enter date",IF(OR(B55&lt;$AC$2,B55&gt;$AC$3),"Date not in July",IF(D55="","Pick project",IF(ISNA(MATCH(D55,ProjNames,0)),"Project not in list",IF(G55="","Add task description",IF(H55="","Pick NTIME or P6",IF(N(I55)&lt;=0,"Enter hours",IF(AND(AllowOT&lt;&gt;"Yes",SUMIF($B$7:$B$256,B55,$I$7:$I$256)&gt;INDEX($O$58:$O$88,DAY(B55))),"Day over "&amp;INDEX($O$58:$O$88,DAY(B55))&amp;" h","✓")))))))))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tr">
        <f aca="false">IF(Projects!B53="","",Projects!B53)</f>
        <v/>
      </c>
      <c r="X55" s="1" t="n">
        <f aca="false">IF(W55="",0,SUMIFS($I$7:$I$256,$D$7:$D$256,W55,$H$7:$H$256,"NTIME"))</f>
        <v>0</v>
      </c>
      <c r="Y55" s="1" t="n">
        <f aca="false">IF(W55="",0,SUMIFS($I$7:$I$256,$D$7:$D$256,W55,$H$7:$H$256,"P6"))</f>
        <v>0</v>
      </c>
      <c r="Z55" s="1" t="n">
        <f aca="false">X55+Y55</f>
        <v>0</v>
      </c>
      <c r="AA55" s="1" t="n">
        <f aca="false">IF(Z55&gt;0,Z55+(201-49)/10^6,0)</f>
        <v>0</v>
      </c>
      <c r="AB55" s="1"/>
      <c r="AC55" s="1"/>
      <c r="AD55" s="1"/>
      <c r="AE55" s="1"/>
      <c r="AF55" s="1"/>
      <c r="AG55" s="1"/>
      <c r="AH55" s="1"/>
    </row>
    <row r="56" customFormat="false" ht="15" hidden="false" customHeight="false" outlineLevel="0" collapsed="false">
      <c r="A56" s="1"/>
      <c r="B56" s="10"/>
      <c r="C56" s="31" t="str">
        <f aca="false">IF(B56="","",TEXT(B56,"ddd"))</f>
        <v/>
      </c>
      <c r="D56" s="11"/>
      <c r="E56" s="8" t="str">
        <f aca="false">IF(D56="","",IFERROR(INDEX(ProjNumbers,MATCH(D56,ProjNames,0)),""))</f>
        <v/>
      </c>
      <c r="F56" s="8" t="str">
        <f aca="false">IF(D56="","",IFERROR(INDEX(ProjCodes,MATCH(D56,ProjNames,0)),""))</f>
        <v/>
      </c>
      <c r="G56" s="32"/>
      <c r="H56" s="11"/>
      <c r="I56" s="33"/>
      <c r="J56" s="8" t="str">
        <f aca="false">IF(COUNTA(B56,D56,G56,H56,I56)=0,"",IF(B56="","Enter date",IF(OR(B56&lt;$AC$2,B56&gt;$AC$3),"Date not in July",IF(D56="","Pick project",IF(ISNA(MATCH(D56,ProjNames,0)),"Project not in list",IF(G56="","Add task description",IF(H56="","Pick NTIME or P6",IF(N(I56)&lt;=0,"Enter hours",IF(AND(AllowOT&lt;&gt;"Yes",SUMIF($B$7:$B$256,B56,$I$7:$I$256)&gt;INDEX($O$58:$O$88,DAY(B56))),"Day over "&amp;INDEX($O$58:$O$88,DAY(B56))&amp;" h","✓")))))))))</f>
        <v/>
      </c>
      <c r="K56" s="1"/>
      <c r="L56" s="4" t="s">
        <v>89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 aca="false">IF(Projects!B54="","",Projects!B54)</f>
        <v/>
      </c>
      <c r="X56" s="1" t="n">
        <f aca="false">IF(W56="",0,SUMIFS($I$7:$I$256,$D$7:$D$256,W56,$H$7:$H$256,"NTIME"))</f>
        <v>0</v>
      </c>
      <c r="Y56" s="1" t="n">
        <f aca="false">IF(W56="",0,SUMIFS($I$7:$I$256,$D$7:$D$256,W56,$H$7:$H$256,"P6"))</f>
        <v>0</v>
      </c>
      <c r="Z56" s="1" t="n">
        <f aca="false">X56+Y56</f>
        <v>0</v>
      </c>
      <c r="AA56" s="1" t="n">
        <f aca="false">IF(Z56&gt;0,Z56+(201-50)/10^6,0)</f>
        <v>0</v>
      </c>
      <c r="AB56" s="1"/>
      <c r="AC56" s="1"/>
      <c r="AD56" s="1"/>
      <c r="AE56" s="1"/>
      <c r="AF56" s="1"/>
      <c r="AG56" s="1"/>
      <c r="AH56" s="1"/>
    </row>
    <row r="57" customFormat="false" ht="15" hidden="false" customHeight="false" outlineLevel="0" collapsed="false">
      <c r="A57" s="1"/>
      <c r="B57" s="10"/>
      <c r="C57" s="31" t="str">
        <f aca="false">IF(B57="","",TEXT(B57,"ddd"))</f>
        <v/>
      </c>
      <c r="D57" s="11"/>
      <c r="E57" s="8" t="str">
        <f aca="false">IF(D57="","",IFERROR(INDEX(ProjNumbers,MATCH(D57,ProjNames,0)),""))</f>
        <v/>
      </c>
      <c r="F57" s="8" t="str">
        <f aca="false">IF(D57="","",IFERROR(INDEX(ProjCodes,MATCH(D57,ProjNames,0)),""))</f>
        <v/>
      </c>
      <c r="G57" s="32"/>
      <c r="H57" s="11"/>
      <c r="I57" s="33"/>
      <c r="J57" s="8" t="str">
        <f aca="false">IF(COUNTA(B57,D57,G57,H57,I57)=0,"",IF(B57="","Enter date",IF(OR(B57&lt;$AC$2,B57&gt;$AC$3),"Date not in July",IF(D57="","Pick project",IF(ISNA(MATCH(D57,ProjNames,0)),"Project not in list",IF(G57="","Add task description",IF(H57="","Pick NTIME or P6",IF(N(I57)&lt;=0,"Enter hours",IF(AND(AllowOT&lt;&gt;"Yes",SUMIF($B$7:$B$256,B57,$I$7:$I$256)&gt;INDEX($O$58:$O$88,DAY(B57))),"Day over "&amp;INDEX($O$58:$O$88,DAY(B57))&amp;" h","✓")))))))))</f>
        <v/>
      </c>
      <c r="K57" s="1"/>
      <c r="L57" s="9" t="s">
        <v>33</v>
      </c>
      <c r="M57" s="9" t="s">
        <v>34</v>
      </c>
      <c r="N57" s="9" t="s">
        <v>90</v>
      </c>
      <c r="O57" s="9" t="s">
        <v>91</v>
      </c>
      <c r="P57" s="20" t="s">
        <v>46</v>
      </c>
      <c r="Q57" s="21" t="s">
        <v>56</v>
      </c>
      <c r="R57" s="22" t="s">
        <v>15</v>
      </c>
      <c r="S57" s="9" t="s">
        <v>24</v>
      </c>
      <c r="T57" s="9" t="s">
        <v>57</v>
      </c>
      <c r="U57" s="9" t="s">
        <v>92</v>
      </c>
      <c r="V57" s="1"/>
      <c r="W57" s="1" t="str">
        <f aca="false">IF(Projects!B55="","",Projects!B55)</f>
        <v/>
      </c>
      <c r="X57" s="1" t="n">
        <f aca="false">IF(W57="",0,SUMIFS($I$7:$I$256,$D$7:$D$256,W57,$H$7:$H$256,"NTIME"))</f>
        <v>0</v>
      </c>
      <c r="Y57" s="1" t="n">
        <f aca="false">IF(W57="",0,SUMIFS($I$7:$I$256,$D$7:$D$256,W57,$H$7:$H$256,"P6"))</f>
        <v>0</v>
      </c>
      <c r="Z57" s="1" t="n">
        <f aca="false">X57+Y57</f>
        <v>0</v>
      </c>
      <c r="AA57" s="1" t="n">
        <f aca="false">IF(Z57&gt;0,Z57+(201-51)/10^6,0)</f>
        <v>0</v>
      </c>
      <c r="AB57" s="1"/>
      <c r="AC57" s="1"/>
      <c r="AD57" s="1"/>
      <c r="AE57" s="1"/>
      <c r="AF57" s="1"/>
      <c r="AG57" s="1"/>
      <c r="AH57" s="1"/>
    </row>
    <row r="58" customFormat="false" ht="15" hidden="false" customHeight="false" outlineLevel="0" collapsed="false">
      <c r="A58" s="1"/>
      <c r="B58" s="10"/>
      <c r="C58" s="31" t="str">
        <f aca="false">IF(B58="","",TEXT(B58,"ddd"))</f>
        <v/>
      </c>
      <c r="D58" s="11"/>
      <c r="E58" s="8" t="str">
        <f aca="false">IF(D58="","",IFERROR(INDEX(ProjNumbers,MATCH(D58,ProjNames,0)),""))</f>
        <v/>
      </c>
      <c r="F58" s="8" t="str">
        <f aca="false">IF(D58="","",IFERROR(INDEX(ProjCodes,MATCH(D58,ProjNames,0)),""))</f>
        <v/>
      </c>
      <c r="G58" s="32"/>
      <c r="H58" s="11"/>
      <c r="I58" s="33"/>
      <c r="J58" s="8" t="str">
        <f aca="false">IF(COUNTA(B58,D58,G58,H58,I58)=0,"",IF(B58="","Enter date",IF(OR(B58&lt;$AC$2,B58&gt;$AC$3),"Date not in July",IF(D58="","Pick project",IF(ISNA(MATCH(D58,ProjNames,0)),"Project not in list",IF(G58="","Add task description",IF(H58="","Pick NTIME or P6",IF(N(I58)&lt;=0,"Enter hours",IF(AND(AllowOT&lt;&gt;"Yes",SUMIF($B$7:$B$256,B58,$I$7:$I$256)&gt;INDEX($O$58:$O$88,DAY(B58))),"Day over "&amp;INDEX($O$58:$O$88,DAY(B58))&amp;" h","✓")))))))))</f>
        <v/>
      </c>
      <c r="K58" s="1"/>
      <c r="L58" s="35" t="n">
        <v>46204</v>
      </c>
      <c r="M58" s="36" t="str">
        <f aca="false">TEXT(L58,"ddd")</f>
        <v>Wed</v>
      </c>
      <c r="N58" s="37" t="s">
        <v>93</v>
      </c>
      <c r="O58" s="37" t="n">
        <f aca="false">AvailHours</f>
        <v>8</v>
      </c>
      <c r="P58" s="24" t="n">
        <f aca="false">SUMIFS($I$7:$I$256,$B$7:$B$256,L58,$H$7:$H$256,"NTIME")</f>
        <v>0</v>
      </c>
      <c r="Q58" s="24" t="n">
        <f aca="false">SUMIFS($I$7:$I$256,$B$7:$B$256,L58,$H$7:$H$256,"P6")</f>
        <v>0</v>
      </c>
      <c r="R58" s="24" t="n">
        <f aca="false">IF(N58="Overhead only",O58,IF(AND(N58="Working",P58+Q58&gt;0),MAX(0,O58-P58-Q58),0))</f>
        <v>0</v>
      </c>
      <c r="S58" s="24" t="n">
        <f aca="false">IF(OR(N58="Working",N58="Overhead only"),MAX(0,P58+Q58-O58),0)</f>
        <v>0</v>
      </c>
      <c r="T58" s="24" t="n">
        <f aca="false">P58+Q58+R58</f>
        <v>0</v>
      </c>
      <c r="U58" s="24" t="str">
        <f aca="true">IF(N58="Working",IF(P58+Q58=0,IF(L58&lt;=TODAY(),"Not logged",""),IF(P58+Q58&gt;O58,IF(AllowOT="Yes","Overtime","Over "&amp;O58&amp;" h!"),"✓")),IF(N58="Overhead only","✓ Overhead day",IF(P58+Q58&gt;0,"Entries on "&amp;LOWER(N58)&amp;" day",N58)))</f>
        <v>Not logged</v>
      </c>
      <c r="V58" s="1"/>
      <c r="W58" s="1" t="str">
        <f aca="false">IF(Projects!B56="","",Projects!B56)</f>
        <v/>
      </c>
      <c r="X58" s="1" t="n">
        <f aca="false">IF(W58="",0,SUMIFS($I$7:$I$256,$D$7:$D$256,W58,$H$7:$H$256,"NTIME"))</f>
        <v>0</v>
      </c>
      <c r="Y58" s="1" t="n">
        <f aca="false">IF(W58="",0,SUMIFS($I$7:$I$256,$D$7:$D$256,W58,$H$7:$H$256,"P6"))</f>
        <v>0</v>
      </c>
      <c r="Z58" s="1" t="n">
        <f aca="false">X58+Y58</f>
        <v>0</v>
      </c>
      <c r="AA58" s="1" t="n">
        <f aca="false">IF(Z58&gt;0,Z58+(201-52)/10^6,0)</f>
        <v>0</v>
      </c>
      <c r="AB58" s="1"/>
      <c r="AC58" s="1"/>
      <c r="AD58" s="1"/>
      <c r="AE58" s="1"/>
      <c r="AF58" s="1"/>
      <c r="AG58" s="1"/>
      <c r="AH58" s="1"/>
    </row>
    <row r="59" customFormat="false" ht="15" hidden="false" customHeight="false" outlineLevel="0" collapsed="false">
      <c r="A59" s="1"/>
      <c r="B59" s="10"/>
      <c r="C59" s="31" t="str">
        <f aca="false">IF(B59="","",TEXT(B59,"ddd"))</f>
        <v/>
      </c>
      <c r="D59" s="11"/>
      <c r="E59" s="8" t="str">
        <f aca="false">IF(D59="","",IFERROR(INDEX(ProjNumbers,MATCH(D59,ProjNames,0)),""))</f>
        <v/>
      </c>
      <c r="F59" s="8" t="str">
        <f aca="false">IF(D59="","",IFERROR(INDEX(ProjCodes,MATCH(D59,ProjNames,0)),""))</f>
        <v/>
      </c>
      <c r="G59" s="32"/>
      <c r="H59" s="11"/>
      <c r="I59" s="33"/>
      <c r="J59" s="8" t="str">
        <f aca="false">IF(COUNTA(B59,D59,G59,H59,I59)=0,"",IF(B59="","Enter date",IF(OR(B59&lt;$AC$2,B59&gt;$AC$3),"Date not in July",IF(D59="","Pick project",IF(ISNA(MATCH(D59,ProjNames,0)),"Project not in list",IF(G59="","Add task description",IF(H59="","Pick NTIME or P6",IF(N(I59)&lt;=0,"Enter hours",IF(AND(AllowOT&lt;&gt;"Yes",SUMIF($B$7:$B$256,B59,$I$7:$I$256)&gt;INDEX($O$58:$O$88,DAY(B59))),"Day over "&amp;INDEX($O$58:$O$88,DAY(B59))&amp;" h","✓")))))))))</f>
        <v/>
      </c>
      <c r="K59" s="1"/>
      <c r="L59" s="35" t="n">
        <v>46205</v>
      </c>
      <c r="M59" s="36" t="str">
        <f aca="false">TEXT(L59,"ddd")</f>
        <v>Thu</v>
      </c>
      <c r="N59" s="37" t="s">
        <v>93</v>
      </c>
      <c r="O59" s="37" t="n">
        <f aca="false">AvailHours</f>
        <v>8</v>
      </c>
      <c r="P59" s="24" t="n">
        <f aca="false">SUMIFS($I$7:$I$256,$B$7:$B$256,L59,$H$7:$H$256,"NTIME")</f>
        <v>0</v>
      </c>
      <c r="Q59" s="24" t="n">
        <f aca="false">SUMIFS($I$7:$I$256,$B$7:$B$256,L59,$H$7:$H$256,"P6")</f>
        <v>0</v>
      </c>
      <c r="R59" s="24" t="n">
        <f aca="false">IF(N59="Overhead only",O59,IF(AND(N59="Working",P59+Q59&gt;0),MAX(0,O59-P59-Q59),0))</f>
        <v>0</v>
      </c>
      <c r="S59" s="24" t="n">
        <f aca="false">IF(OR(N59="Working",N59="Overhead only"),MAX(0,P59+Q59-O59),0)</f>
        <v>0</v>
      </c>
      <c r="T59" s="24" t="n">
        <f aca="false">P59+Q59+R59</f>
        <v>0</v>
      </c>
      <c r="U59" s="24" t="str">
        <f aca="true">IF(N59="Working",IF(P59+Q59=0,IF(L59&lt;=TODAY(),"Not logged",""),IF(P59+Q59&gt;O59,IF(AllowOT="Yes","Overtime","Over "&amp;O59&amp;" h!"),"✓")),IF(N59="Overhead only","✓ Overhead day",IF(P59+Q59&gt;0,"Entries on "&amp;LOWER(N59)&amp;" day",N59)))</f>
        <v>Not logged</v>
      </c>
      <c r="V59" s="1"/>
      <c r="W59" s="1" t="str">
        <f aca="false">IF(Projects!B57="","",Projects!B57)</f>
        <v/>
      </c>
      <c r="X59" s="1" t="n">
        <f aca="false">IF(W59="",0,SUMIFS($I$7:$I$256,$D$7:$D$256,W59,$H$7:$H$256,"NTIME"))</f>
        <v>0</v>
      </c>
      <c r="Y59" s="1" t="n">
        <f aca="false">IF(W59="",0,SUMIFS($I$7:$I$256,$D$7:$D$256,W59,$H$7:$H$256,"P6"))</f>
        <v>0</v>
      </c>
      <c r="Z59" s="1" t="n">
        <f aca="false">X59+Y59</f>
        <v>0</v>
      </c>
      <c r="AA59" s="1" t="n">
        <f aca="false">IF(Z59&gt;0,Z59+(201-53)/10^6,0)</f>
        <v>0</v>
      </c>
      <c r="AB59" s="1"/>
      <c r="AC59" s="1"/>
      <c r="AD59" s="1"/>
      <c r="AE59" s="1"/>
      <c r="AF59" s="1"/>
      <c r="AG59" s="1"/>
      <c r="AH59" s="1"/>
    </row>
    <row r="60" customFormat="false" ht="15" hidden="false" customHeight="false" outlineLevel="0" collapsed="false">
      <c r="A60" s="1"/>
      <c r="B60" s="10"/>
      <c r="C60" s="31" t="str">
        <f aca="false">IF(B60="","",TEXT(B60,"ddd"))</f>
        <v/>
      </c>
      <c r="D60" s="11"/>
      <c r="E60" s="8" t="str">
        <f aca="false">IF(D60="","",IFERROR(INDEX(ProjNumbers,MATCH(D60,ProjNames,0)),""))</f>
        <v/>
      </c>
      <c r="F60" s="8" t="str">
        <f aca="false">IF(D60="","",IFERROR(INDEX(ProjCodes,MATCH(D60,ProjNames,0)),""))</f>
        <v/>
      </c>
      <c r="G60" s="32"/>
      <c r="H60" s="11"/>
      <c r="I60" s="33"/>
      <c r="J60" s="8" t="str">
        <f aca="false">IF(COUNTA(B60,D60,G60,H60,I60)=0,"",IF(B60="","Enter date",IF(OR(B60&lt;$AC$2,B60&gt;$AC$3),"Date not in July",IF(D60="","Pick project",IF(ISNA(MATCH(D60,ProjNames,0)),"Project not in list",IF(G60="","Add task description",IF(H60="","Pick NTIME or P6",IF(N(I60)&lt;=0,"Enter hours",IF(AND(AllowOT&lt;&gt;"Yes",SUMIF($B$7:$B$256,B60,$I$7:$I$256)&gt;INDEX($O$58:$O$88,DAY(B60))),"Day over "&amp;INDEX($O$58:$O$88,DAY(B60))&amp;" h","✓")))))))))</f>
        <v/>
      </c>
      <c r="K60" s="1"/>
      <c r="L60" s="35" t="n">
        <v>46206</v>
      </c>
      <c r="M60" s="36" t="str">
        <f aca="false">TEXT(L60,"ddd")</f>
        <v>Fri</v>
      </c>
      <c r="N60" s="37" t="s">
        <v>93</v>
      </c>
      <c r="O60" s="37" t="n">
        <f aca="false">AvailHours</f>
        <v>8</v>
      </c>
      <c r="P60" s="24" t="n">
        <f aca="false">SUMIFS($I$7:$I$256,$B$7:$B$256,L60,$H$7:$H$256,"NTIME")</f>
        <v>0</v>
      </c>
      <c r="Q60" s="24" t="n">
        <f aca="false">SUMIFS($I$7:$I$256,$B$7:$B$256,L60,$H$7:$H$256,"P6")</f>
        <v>0</v>
      </c>
      <c r="R60" s="24" t="n">
        <f aca="false">IF(N60="Overhead only",O60,IF(AND(N60="Working",P60+Q60&gt;0),MAX(0,O60-P60-Q60),0))</f>
        <v>0</v>
      </c>
      <c r="S60" s="24" t="n">
        <f aca="false">IF(OR(N60="Working",N60="Overhead only"),MAX(0,P60+Q60-O60),0)</f>
        <v>0</v>
      </c>
      <c r="T60" s="24" t="n">
        <f aca="false">P60+Q60+R60</f>
        <v>0</v>
      </c>
      <c r="U60" s="24" t="str">
        <f aca="true">IF(N60="Working",IF(P60+Q60=0,IF(L60&lt;=TODAY(),"Not logged",""),IF(P60+Q60&gt;O60,IF(AllowOT="Yes","Overtime","Over "&amp;O60&amp;" h!"),"✓")),IF(N60="Overhead only","✓ Overhead day",IF(P60+Q60&gt;0,"Entries on "&amp;LOWER(N60)&amp;" day",N60)))</f>
        <v>Not logged</v>
      </c>
      <c r="V60" s="1"/>
      <c r="W60" s="1" t="str">
        <f aca="false">IF(Projects!B58="","",Projects!B58)</f>
        <v/>
      </c>
      <c r="X60" s="1" t="n">
        <f aca="false">IF(W60="",0,SUMIFS($I$7:$I$256,$D$7:$D$256,W60,$H$7:$H$256,"NTIME"))</f>
        <v>0</v>
      </c>
      <c r="Y60" s="1" t="n">
        <f aca="false">IF(W60="",0,SUMIFS($I$7:$I$256,$D$7:$D$256,W60,$H$7:$H$256,"P6"))</f>
        <v>0</v>
      </c>
      <c r="Z60" s="1" t="n">
        <f aca="false">X60+Y60</f>
        <v>0</v>
      </c>
      <c r="AA60" s="1" t="n">
        <f aca="false">IF(Z60&gt;0,Z60+(201-54)/10^6,0)</f>
        <v>0</v>
      </c>
      <c r="AB60" s="1"/>
      <c r="AC60" s="1"/>
      <c r="AD60" s="1"/>
      <c r="AE60" s="1"/>
      <c r="AF60" s="1"/>
      <c r="AG60" s="1"/>
      <c r="AH60" s="1"/>
    </row>
    <row r="61" customFormat="false" ht="15" hidden="false" customHeight="false" outlineLevel="0" collapsed="false">
      <c r="A61" s="1"/>
      <c r="B61" s="10"/>
      <c r="C61" s="31" t="str">
        <f aca="false">IF(B61="","",TEXT(B61,"ddd"))</f>
        <v/>
      </c>
      <c r="D61" s="11"/>
      <c r="E61" s="8" t="str">
        <f aca="false">IF(D61="","",IFERROR(INDEX(ProjNumbers,MATCH(D61,ProjNames,0)),""))</f>
        <v/>
      </c>
      <c r="F61" s="8" t="str">
        <f aca="false">IF(D61="","",IFERROR(INDEX(ProjCodes,MATCH(D61,ProjNames,0)),""))</f>
        <v/>
      </c>
      <c r="G61" s="32"/>
      <c r="H61" s="11"/>
      <c r="I61" s="33"/>
      <c r="J61" s="8" t="str">
        <f aca="false">IF(COUNTA(B61,D61,G61,H61,I61)=0,"",IF(B61="","Enter date",IF(OR(B61&lt;$AC$2,B61&gt;$AC$3),"Date not in July",IF(D61="","Pick project",IF(ISNA(MATCH(D61,ProjNames,0)),"Project not in list",IF(G61="","Add task description",IF(H61="","Pick NTIME or P6",IF(N(I61)&lt;=0,"Enter hours",IF(AND(AllowOT&lt;&gt;"Yes",SUMIF($B$7:$B$256,B61,$I$7:$I$256)&gt;INDEX($O$58:$O$88,DAY(B61))),"Day over "&amp;INDEX($O$58:$O$88,DAY(B61))&amp;" h","✓")))))))))</f>
        <v/>
      </c>
      <c r="K61" s="1"/>
      <c r="L61" s="35" t="n">
        <v>46207</v>
      </c>
      <c r="M61" s="36" t="str">
        <f aca="false">TEXT(L61,"ddd")</f>
        <v>Sat</v>
      </c>
      <c r="N61" s="37" t="s">
        <v>94</v>
      </c>
      <c r="O61" s="37" t="n">
        <f aca="false">AvailHours</f>
        <v>8</v>
      </c>
      <c r="P61" s="24" t="n">
        <f aca="false">SUMIFS($I$7:$I$256,$B$7:$B$256,L61,$H$7:$H$256,"NTIME")</f>
        <v>0</v>
      </c>
      <c r="Q61" s="24" t="n">
        <f aca="false">SUMIFS($I$7:$I$256,$B$7:$B$256,L61,$H$7:$H$256,"P6")</f>
        <v>0</v>
      </c>
      <c r="R61" s="24" t="n">
        <f aca="false">IF(N61="Overhead only",O61,IF(AND(N61="Working",P61+Q61&gt;0),MAX(0,O61-P61-Q61),0))</f>
        <v>0</v>
      </c>
      <c r="S61" s="24" t="n">
        <f aca="false">IF(OR(N61="Working",N61="Overhead only"),MAX(0,P61+Q61-O61),0)</f>
        <v>0</v>
      </c>
      <c r="T61" s="24" t="n">
        <f aca="false">P61+Q61+R61</f>
        <v>0</v>
      </c>
      <c r="U61" s="24" t="str">
        <f aca="true">IF(N61="Working",IF(P61+Q61=0,IF(L61&lt;=TODAY(),"Not logged",""),IF(P61+Q61&gt;O61,IF(AllowOT="Yes","Overtime","Over "&amp;O61&amp;" h!"),"✓")),IF(N61="Overhead only","✓ Overhead day",IF(P61+Q61&gt;0,"Entries on "&amp;LOWER(N61)&amp;" day",N61)))</f>
        <v>Weekend</v>
      </c>
      <c r="V61" s="1"/>
      <c r="W61" s="1" t="str">
        <f aca="false">IF(Projects!B59="","",Projects!B59)</f>
        <v/>
      </c>
      <c r="X61" s="1" t="n">
        <f aca="false">IF(W61="",0,SUMIFS($I$7:$I$256,$D$7:$D$256,W61,$H$7:$H$256,"NTIME"))</f>
        <v>0</v>
      </c>
      <c r="Y61" s="1" t="n">
        <f aca="false">IF(W61="",0,SUMIFS($I$7:$I$256,$D$7:$D$256,W61,$H$7:$H$256,"P6"))</f>
        <v>0</v>
      </c>
      <c r="Z61" s="1" t="n">
        <f aca="false">X61+Y61</f>
        <v>0</v>
      </c>
      <c r="AA61" s="1" t="n">
        <f aca="false">IF(Z61&gt;0,Z61+(201-55)/10^6,0)</f>
        <v>0</v>
      </c>
      <c r="AB61" s="1"/>
      <c r="AC61" s="1"/>
      <c r="AD61" s="1"/>
      <c r="AE61" s="1"/>
      <c r="AF61" s="1"/>
      <c r="AG61" s="1"/>
      <c r="AH61" s="1"/>
    </row>
    <row r="62" customFormat="false" ht="15" hidden="false" customHeight="false" outlineLevel="0" collapsed="false">
      <c r="A62" s="1"/>
      <c r="B62" s="10"/>
      <c r="C62" s="31" t="str">
        <f aca="false">IF(B62="","",TEXT(B62,"ddd"))</f>
        <v/>
      </c>
      <c r="D62" s="11"/>
      <c r="E62" s="8" t="str">
        <f aca="false">IF(D62="","",IFERROR(INDEX(ProjNumbers,MATCH(D62,ProjNames,0)),""))</f>
        <v/>
      </c>
      <c r="F62" s="8" t="str">
        <f aca="false">IF(D62="","",IFERROR(INDEX(ProjCodes,MATCH(D62,ProjNames,0)),""))</f>
        <v/>
      </c>
      <c r="G62" s="32"/>
      <c r="H62" s="11"/>
      <c r="I62" s="33"/>
      <c r="J62" s="8" t="str">
        <f aca="false">IF(COUNTA(B62,D62,G62,H62,I62)=0,"",IF(B62="","Enter date",IF(OR(B62&lt;$AC$2,B62&gt;$AC$3),"Date not in July",IF(D62="","Pick project",IF(ISNA(MATCH(D62,ProjNames,0)),"Project not in list",IF(G62="","Add task description",IF(H62="","Pick NTIME or P6",IF(N(I62)&lt;=0,"Enter hours",IF(AND(AllowOT&lt;&gt;"Yes",SUMIF($B$7:$B$256,B62,$I$7:$I$256)&gt;INDEX($O$58:$O$88,DAY(B62))),"Day over "&amp;INDEX($O$58:$O$88,DAY(B62))&amp;" h","✓")))))))))</f>
        <v/>
      </c>
      <c r="K62" s="1"/>
      <c r="L62" s="35" t="n">
        <v>46208</v>
      </c>
      <c r="M62" s="36" t="str">
        <f aca="false">TEXT(L62,"ddd")</f>
        <v>Sun</v>
      </c>
      <c r="N62" s="37" t="s">
        <v>94</v>
      </c>
      <c r="O62" s="37" t="n">
        <f aca="false">AvailHours</f>
        <v>8</v>
      </c>
      <c r="P62" s="24" t="n">
        <f aca="false">SUMIFS($I$7:$I$256,$B$7:$B$256,L62,$H$7:$H$256,"NTIME")</f>
        <v>0</v>
      </c>
      <c r="Q62" s="24" t="n">
        <f aca="false">SUMIFS($I$7:$I$256,$B$7:$B$256,L62,$H$7:$H$256,"P6")</f>
        <v>0</v>
      </c>
      <c r="R62" s="24" t="n">
        <f aca="false">IF(N62="Overhead only",O62,IF(AND(N62="Working",P62+Q62&gt;0),MAX(0,O62-P62-Q62),0))</f>
        <v>0</v>
      </c>
      <c r="S62" s="24" t="n">
        <f aca="false">IF(OR(N62="Working",N62="Overhead only"),MAX(0,P62+Q62-O62),0)</f>
        <v>0</v>
      </c>
      <c r="T62" s="24" t="n">
        <f aca="false">P62+Q62+R62</f>
        <v>0</v>
      </c>
      <c r="U62" s="24" t="str">
        <f aca="true">IF(N62="Working",IF(P62+Q62=0,IF(L62&lt;=TODAY(),"Not logged",""),IF(P62+Q62&gt;O62,IF(AllowOT="Yes","Overtime","Over "&amp;O62&amp;" h!"),"✓")),IF(N62="Overhead only","✓ Overhead day",IF(P62+Q62&gt;0,"Entries on "&amp;LOWER(N62)&amp;" day",N62)))</f>
        <v>Weekend</v>
      </c>
      <c r="V62" s="1"/>
      <c r="W62" s="1" t="str">
        <f aca="false">IF(Projects!B60="","",Projects!B60)</f>
        <v/>
      </c>
      <c r="X62" s="1" t="n">
        <f aca="false">IF(W62="",0,SUMIFS($I$7:$I$256,$D$7:$D$256,W62,$H$7:$H$256,"NTIME"))</f>
        <v>0</v>
      </c>
      <c r="Y62" s="1" t="n">
        <f aca="false">IF(W62="",0,SUMIFS($I$7:$I$256,$D$7:$D$256,W62,$H$7:$H$256,"P6"))</f>
        <v>0</v>
      </c>
      <c r="Z62" s="1" t="n">
        <f aca="false">X62+Y62</f>
        <v>0</v>
      </c>
      <c r="AA62" s="1" t="n">
        <f aca="false">IF(Z62&gt;0,Z62+(201-56)/10^6,0)</f>
        <v>0</v>
      </c>
      <c r="AB62" s="1"/>
      <c r="AC62" s="1"/>
      <c r="AD62" s="1"/>
      <c r="AE62" s="1"/>
      <c r="AF62" s="1"/>
      <c r="AG62" s="1"/>
      <c r="AH62" s="1"/>
    </row>
    <row r="63" customFormat="false" ht="15" hidden="false" customHeight="false" outlineLevel="0" collapsed="false">
      <c r="A63" s="1"/>
      <c r="B63" s="10"/>
      <c r="C63" s="31" t="str">
        <f aca="false">IF(B63="","",TEXT(B63,"ddd"))</f>
        <v/>
      </c>
      <c r="D63" s="11"/>
      <c r="E63" s="8" t="str">
        <f aca="false">IF(D63="","",IFERROR(INDEX(ProjNumbers,MATCH(D63,ProjNames,0)),""))</f>
        <v/>
      </c>
      <c r="F63" s="8" t="str">
        <f aca="false">IF(D63="","",IFERROR(INDEX(ProjCodes,MATCH(D63,ProjNames,0)),""))</f>
        <v/>
      </c>
      <c r="G63" s="32"/>
      <c r="H63" s="11"/>
      <c r="I63" s="33"/>
      <c r="J63" s="8" t="str">
        <f aca="false">IF(COUNTA(B63,D63,G63,H63,I63)=0,"",IF(B63="","Enter date",IF(OR(B63&lt;$AC$2,B63&gt;$AC$3),"Date not in July",IF(D63="","Pick project",IF(ISNA(MATCH(D63,ProjNames,0)),"Project not in list",IF(G63="","Add task description",IF(H63="","Pick NTIME or P6",IF(N(I63)&lt;=0,"Enter hours",IF(AND(AllowOT&lt;&gt;"Yes",SUMIF($B$7:$B$256,B63,$I$7:$I$256)&gt;INDEX($O$58:$O$88,DAY(B63))),"Day over "&amp;INDEX($O$58:$O$88,DAY(B63))&amp;" h","✓")))))))))</f>
        <v/>
      </c>
      <c r="K63" s="1"/>
      <c r="L63" s="35" t="n">
        <v>46209</v>
      </c>
      <c r="M63" s="36" t="str">
        <f aca="false">TEXT(L63,"ddd")</f>
        <v>Mon</v>
      </c>
      <c r="N63" s="37" t="s">
        <v>93</v>
      </c>
      <c r="O63" s="37" t="n">
        <f aca="false">AvailHours</f>
        <v>8</v>
      </c>
      <c r="P63" s="24" t="n">
        <f aca="false">SUMIFS($I$7:$I$256,$B$7:$B$256,L63,$H$7:$H$256,"NTIME")</f>
        <v>0</v>
      </c>
      <c r="Q63" s="24" t="n">
        <f aca="false">SUMIFS($I$7:$I$256,$B$7:$B$256,L63,$H$7:$H$256,"P6")</f>
        <v>0</v>
      </c>
      <c r="R63" s="24" t="n">
        <f aca="false">IF(N63="Overhead only",O63,IF(AND(N63="Working",P63+Q63&gt;0),MAX(0,O63-P63-Q63),0))</f>
        <v>0</v>
      </c>
      <c r="S63" s="24" t="n">
        <f aca="false">IF(OR(N63="Working",N63="Overhead only"),MAX(0,P63+Q63-O63),0)</f>
        <v>0</v>
      </c>
      <c r="T63" s="24" t="n">
        <f aca="false">P63+Q63+R63</f>
        <v>0</v>
      </c>
      <c r="U63" s="24" t="str">
        <f aca="true">IF(N63="Working",IF(P63+Q63=0,IF(L63&lt;=TODAY(),"Not logged",""),IF(P63+Q63&gt;O63,IF(AllowOT="Yes","Overtime","Over "&amp;O63&amp;" h!"),"✓")),IF(N63="Overhead only","✓ Overhead day",IF(P63+Q63&gt;0,"Entries on "&amp;LOWER(N63)&amp;" day",N63)))</f>
        <v>Not logged</v>
      </c>
      <c r="V63" s="1"/>
      <c r="W63" s="1" t="str">
        <f aca="false">IF(Projects!B61="","",Projects!B61)</f>
        <v/>
      </c>
      <c r="X63" s="1" t="n">
        <f aca="false">IF(W63="",0,SUMIFS($I$7:$I$256,$D$7:$D$256,W63,$H$7:$H$256,"NTIME"))</f>
        <v>0</v>
      </c>
      <c r="Y63" s="1" t="n">
        <f aca="false">IF(W63="",0,SUMIFS($I$7:$I$256,$D$7:$D$256,W63,$H$7:$H$256,"P6"))</f>
        <v>0</v>
      </c>
      <c r="Z63" s="1" t="n">
        <f aca="false">X63+Y63</f>
        <v>0</v>
      </c>
      <c r="AA63" s="1" t="n">
        <f aca="false">IF(Z63&gt;0,Z63+(201-57)/10^6,0)</f>
        <v>0</v>
      </c>
      <c r="AB63" s="1"/>
      <c r="AC63" s="1"/>
      <c r="AD63" s="1"/>
      <c r="AE63" s="1"/>
      <c r="AF63" s="1"/>
      <c r="AG63" s="1"/>
      <c r="AH63" s="1"/>
    </row>
    <row r="64" customFormat="false" ht="15" hidden="false" customHeight="false" outlineLevel="0" collapsed="false">
      <c r="A64" s="1"/>
      <c r="B64" s="10"/>
      <c r="C64" s="31" t="str">
        <f aca="false">IF(B64="","",TEXT(B64,"ddd"))</f>
        <v/>
      </c>
      <c r="D64" s="11"/>
      <c r="E64" s="8" t="str">
        <f aca="false">IF(D64="","",IFERROR(INDEX(ProjNumbers,MATCH(D64,ProjNames,0)),""))</f>
        <v/>
      </c>
      <c r="F64" s="8" t="str">
        <f aca="false">IF(D64="","",IFERROR(INDEX(ProjCodes,MATCH(D64,ProjNames,0)),""))</f>
        <v/>
      </c>
      <c r="G64" s="32"/>
      <c r="H64" s="11"/>
      <c r="I64" s="33"/>
      <c r="J64" s="8" t="str">
        <f aca="false">IF(COUNTA(B64,D64,G64,H64,I64)=0,"",IF(B64="","Enter date",IF(OR(B64&lt;$AC$2,B64&gt;$AC$3),"Date not in July",IF(D64="","Pick project",IF(ISNA(MATCH(D64,ProjNames,0)),"Project not in list",IF(G64="","Add task description",IF(H64="","Pick NTIME or P6",IF(N(I64)&lt;=0,"Enter hours",IF(AND(AllowOT&lt;&gt;"Yes",SUMIF($B$7:$B$256,B64,$I$7:$I$256)&gt;INDEX($O$58:$O$88,DAY(B64))),"Day over "&amp;INDEX($O$58:$O$88,DAY(B64))&amp;" h","✓")))))))))</f>
        <v/>
      </c>
      <c r="K64" s="1"/>
      <c r="L64" s="35" t="n">
        <v>46210</v>
      </c>
      <c r="M64" s="36" t="str">
        <f aca="false">TEXT(L64,"ddd")</f>
        <v>Tue</v>
      </c>
      <c r="N64" s="37" t="s">
        <v>93</v>
      </c>
      <c r="O64" s="37" t="n">
        <f aca="false">AvailHours</f>
        <v>8</v>
      </c>
      <c r="P64" s="24" t="n">
        <f aca="false">SUMIFS($I$7:$I$256,$B$7:$B$256,L64,$H$7:$H$256,"NTIME")</f>
        <v>0</v>
      </c>
      <c r="Q64" s="24" t="n">
        <f aca="false">SUMIFS($I$7:$I$256,$B$7:$B$256,L64,$H$7:$H$256,"P6")</f>
        <v>0</v>
      </c>
      <c r="R64" s="24" t="n">
        <f aca="false">IF(N64="Overhead only",O64,IF(AND(N64="Working",P64+Q64&gt;0),MAX(0,O64-P64-Q64),0))</f>
        <v>0</v>
      </c>
      <c r="S64" s="24" t="n">
        <f aca="false">IF(OR(N64="Working",N64="Overhead only"),MAX(0,P64+Q64-O64),0)</f>
        <v>0</v>
      </c>
      <c r="T64" s="24" t="n">
        <f aca="false">P64+Q64+R64</f>
        <v>0</v>
      </c>
      <c r="U64" s="24" t="str">
        <f aca="true">IF(N64="Working",IF(P64+Q64=0,IF(L64&lt;=TODAY(),"Not logged",""),IF(P64+Q64&gt;O64,IF(AllowOT="Yes","Overtime","Over "&amp;O64&amp;" h!"),"✓")),IF(N64="Overhead only","✓ Overhead day",IF(P64+Q64&gt;0,"Entries on "&amp;LOWER(N64)&amp;" day",N64)))</f>
        <v>Not logged</v>
      </c>
      <c r="V64" s="1"/>
      <c r="W64" s="1" t="str">
        <f aca="false">IF(Projects!B62="","",Projects!B62)</f>
        <v/>
      </c>
      <c r="X64" s="1" t="n">
        <f aca="false">IF(W64="",0,SUMIFS($I$7:$I$256,$D$7:$D$256,W64,$H$7:$H$256,"NTIME"))</f>
        <v>0</v>
      </c>
      <c r="Y64" s="1" t="n">
        <f aca="false">IF(W64="",0,SUMIFS($I$7:$I$256,$D$7:$D$256,W64,$H$7:$H$256,"P6"))</f>
        <v>0</v>
      </c>
      <c r="Z64" s="1" t="n">
        <f aca="false">X64+Y64</f>
        <v>0</v>
      </c>
      <c r="AA64" s="1" t="n">
        <f aca="false">IF(Z64&gt;0,Z64+(201-58)/10^6,0)</f>
        <v>0</v>
      </c>
      <c r="AB64" s="1"/>
      <c r="AC64" s="1"/>
      <c r="AD64" s="1"/>
      <c r="AE64" s="1"/>
      <c r="AF64" s="1"/>
      <c r="AG64" s="1"/>
      <c r="AH64" s="1"/>
    </row>
    <row r="65" customFormat="false" ht="15" hidden="false" customHeight="false" outlineLevel="0" collapsed="false">
      <c r="A65" s="1"/>
      <c r="B65" s="10"/>
      <c r="C65" s="31" t="str">
        <f aca="false">IF(B65="","",TEXT(B65,"ddd"))</f>
        <v/>
      </c>
      <c r="D65" s="11"/>
      <c r="E65" s="8" t="str">
        <f aca="false">IF(D65="","",IFERROR(INDEX(ProjNumbers,MATCH(D65,ProjNames,0)),""))</f>
        <v/>
      </c>
      <c r="F65" s="8" t="str">
        <f aca="false">IF(D65="","",IFERROR(INDEX(ProjCodes,MATCH(D65,ProjNames,0)),""))</f>
        <v/>
      </c>
      <c r="G65" s="32"/>
      <c r="H65" s="11"/>
      <c r="I65" s="33"/>
      <c r="J65" s="8" t="str">
        <f aca="false">IF(COUNTA(B65,D65,G65,H65,I65)=0,"",IF(B65="","Enter date",IF(OR(B65&lt;$AC$2,B65&gt;$AC$3),"Date not in July",IF(D65="","Pick project",IF(ISNA(MATCH(D65,ProjNames,0)),"Project not in list",IF(G65="","Add task description",IF(H65="","Pick NTIME or P6",IF(N(I65)&lt;=0,"Enter hours",IF(AND(AllowOT&lt;&gt;"Yes",SUMIF($B$7:$B$256,B65,$I$7:$I$256)&gt;INDEX($O$58:$O$88,DAY(B65))),"Day over "&amp;INDEX($O$58:$O$88,DAY(B65))&amp;" h","✓")))))))))</f>
        <v/>
      </c>
      <c r="K65" s="1"/>
      <c r="L65" s="35" t="n">
        <v>46211</v>
      </c>
      <c r="M65" s="36" t="str">
        <f aca="false">TEXT(L65,"ddd")</f>
        <v>Wed</v>
      </c>
      <c r="N65" s="37" t="s">
        <v>93</v>
      </c>
      <c r="O65" s="37" t="n">
        <f aca="false">AvailHours</f>
        <v>8</v>
      </c>
      <c r="P65" s="24" t="n">
        <f aca="false">SUMIFS($I$7:$I$256,$B$7:$B$256,L65,$H$7:$H$256,"NTIME")</f>
        <v>0</v>
      </c>
      <c r="Q65" s="24" t="n">
        <f aca="false">SUMIFS($I$7:$I$256,$B$7:$B$256,L65,$H$7:$H$256,"P6")</f>
        <v>0</v>
      </c>
      <c r="R65" s="24" t="n">
        <f aca="false">IF(N65="Overhead only",O65,IF(AND(N65="Working",P65+Q65&gt;0),MAX(0,O65-P65-Q65),0))</f>
        <v>0</v>
      </c>
      <c r="S65" s="24" t="n">
        <f aca="false">IF(OR(N65="Working",N65="Overhead only"),MAX(0,P65+Q65-O65),0)</f>
        <v>0</v>
      </c>
      <c r="T65" s="24" t="n">
        <f aca="false">P65+Q65+R65</f>
        <v>0</v>
      </c>
      <c r="U65" s="24" t="str">
        <f aca="true">IF(N65="Working",IF(P65+Q65=0,IF(L65&lt;=TODAY(),"Not logged",""),IF(P65+Q65&gt;O65,IF(AllowOT="Yes","Overtime","Over "&amp;O65&amp;" h!"),"✓")),IF(N65="Overhead only","✓ Overhead day",IF(P65+Q65&gt;0,"Entries on "&amp;LOWER(N65)&amp;" day",N65)))</f>
        <v>Not logged</v>
      </c>
      <c r="V65" s="1"/>
      <c r="W65" s="1" t="str">
        <f aca="false">IF(Projects!B63="","",Projects!B63)</f>
        <v/>
      </c>
      <c r="X65" s="1" t="n">
        <f aca="false">IF(W65="",0,SUMIFS($I$7:$I$256,$D$7:$D$256,W65,$H$7:$H$256,"NTIME"))</f>
        <v>0</v>
      </c>
      <c r="Y65" s="1" t="n">
        <f aca="false">IF(W65="",0,SUMIFS($I$7:$I$256,$D$7:$D$256,W65,$H$7:$H$256,"P6"))</f>
        <v>0</v>
      </c>
      <c r="Z65" s="1" t="n">
        <f aca="false">X65+Y65</f>
        <v>0</v>
      </c>
      <c r="AA65" s="1" t="n">
        <f aca="false">IF(Z65&gt;0,Z65+(201-59)/10^6,0)</f>
        <v>0</v>
      </c>
      <c r="AB65" s="1"/>
      <c r="AC65" s="1"/>
      <c r="AD65" s="1"/>
      <c r="AE65" s="1"/>
      <c r="AF65" s="1"/>
      <c r="AG65" s="1"/>
      <c r="AH65" s="1"/>
    </row>
    <row r="66" customFormat="false" ht="15" hidden="false" customHeight="false" outlineLevel="0" collapsed="false">
      <c r="A66" s="1"/>
      <c r="B66" s="10"/>
      <c r="C66" s="31" t="str">
        <f aca="false">IF(B66="","",TEXT(B66,"ddd"))</f>
        <v/>
      </c>
      <c r="D66" s="11"/>
      <c r="E66" s="8" t="str">
        <f aca="false">IF(D66="","",IFERROR(INDEX(ProjNumbers,MATCH(D66,ProjNames,0)),""))</f>
        <v/>
      </c>
      <c r="F66" s="8" t="str">
        <f aca="false">IF(D66="","",IFERROR(INDEX(ProjCodes,MATCH(D66,ProjNames,0)),""))</f>
        <v/>
      </c>
      <c r="G66" s="32"/>
      <c r="H66" s="11"/>
      <c r="I66" s="33"/>
      <c r="J66" s="8" t="str">
        <f aca="false">IF(COUNTA(B66,D66,G66,H66,I66)=0,"",IF(B66="","Enter date",IF(OR(B66&lt;$AC$2,B66&gt;$AC$3),"Date not in July",IF(D66="","Pick project",IF(ISNA(MATCH(D66,ProjNames,0)),"Project not in list",IF(G66="","Add task description",IF(H66="","Pick NTIME or P6",IF(N(I66)&lt;=0,"Enter hours",IF(AND(AllowOT&lt;&gt;"Yes",SUMIF($B$7:$B$256,B66,$I$7:$I$256)&gt;INDEX($O$58:$O$88,DAY(B66))),"Day over "&amp;INDEX($O$58:$O$88,DAY(B66))&amp;" h","✓")))))))))</f>
        <v/>
      </c>
      <c r="K66" s="1"/>
      <c r="L66" s="35" t="n">
        <v>46212</v>
      </c>
      <c r="M66" s="36" t="str">
        <f aca="false">TEXT(L66,"ddd")</f>
        <v>Thu</v>
      </c>
      <c r="N66" s="37" t="s">
        <v>93</v>
      </c>
      <c r="O66" s="37" t="n">
        <f aca="false">AvailHours</f>
        <v>8</v>
      </c>
      <c r="P66" s="24" t="n">
        <f aca="false">SUMIFS($I$7:$I$256,$B$7:$B$256,L66,$H$7:$H$256,"NTIME")</f>
        <v>0</v>
      </c>
      <c r="Q66" s="24" t="n">
        <f aca="false">SUMIFS($I$7:$I$256,$B$7:$B$256,L66,$H$7:$H$256,"P6")</f>
        <v>0</v>
      </c>
      <c r="R66" s="24" t="n">
        <f aca="false">IF(N66="Overhead only",O66,IF(AND(N66="Working",P66+Q66&gt;0),MAX(0,O66-P66-Q66),0))</f>
        <v>0</v>
      </c>
      <c r="S66" s="24" t="n">
        <f aca="false">IF(OR(N66="Working",N66="Overhead only"),MAX(0,P66+Q66-O66),0)</f>
        <v>0</v>
      </c>
      <c r="T66" s="24" t="n">
        <f aca="false">P66+Q66+R66</f>
        <v>0</v>
      </c>
      <c r="U66" s="24" t="str">
        <f aca="true">IF(N66="Working",IF(P66+Q66=0,IF(L66&lt;=TODAY(),"Not logged",""),IF(P66+Q66&gt;O66,IF(AllowOT="Yes","Overtime","Over "&amp;O66&amp;" h!"),"✓")),IF(N66="Overhead only","✓ Overhead day",IF(P66+Q66&gt;0,"Entries on "&amp;LOWER(N66)&amp;" day",N66)))</f>
        <v>Not logged</v>
      </c>
      <c r="V66" s="1"/>
      <c r="W66" s="1" t="str">
        <f aca="false">IF(Projects!B64="","",Projects!B64)</f>
        <v/>
      </c>
      <c r="X66" s="1" t="n">
        <f aca="false">IF(W66="",0,SUMIFS($I$7:$I$256,$D$7:$D$256,W66,$H$7:$H$256,"NTIME"))</f>
        <v>0</v>
      </c>
      <c r="Y66" s="1" t="n">
        <f aca="false">IF(W66="",0,SUMIFS($I$7:$I$256,$D$7:$D$256,W66,$H$7:$H$256,"P6"))</f>
        <v>0</v>
      </c>
      <c r="Z66" s="1" t="n">
        <f aca="false">X66+Y66</f>
        <v>0</v>
      </c>
      <c r="AA66" s="1" t="n">
        <f aca="false">IF(Z66&gt;0,Z66+(201-60)/10^6,0)</f>
        <v>0</v>
      </c>
      <c r="AB66" s="1"/>
      <c r="AC66" s="1"/>
      <c r="AD66" s="1"/>
      <c r="AE66" s="1"/>
      <c r="AF66" s="1"/>
      <c r="AG66" s="1"/>
      <c r="AH66" s="1"/>
    </row>
    <row r="67" customFormat="false" ht="15" hidden="false" customHeight="false" outlineLevel="0" collapsed="false">
      <c r="A67" s="1"/>
      <c r="B67" s="10"/>
      <c r="C67" s="31" t="str">
        <f aca="false">IF(B67="","",TEXT(B67,"ddd"))</f>
        <v/>
      </c>
      <c r="D67" s="11"/>
      <c r="E67" s="8" t="str">
        <f aca="false">IF(D67="","",IFERROR(INDEX(ProjNumbers,MATCH(D67,ProjNames,0)),""))</f>
        <v/>
      </c>
      <c r="F67" s="8" t="str">
        <f aca="false">IF(D67="","",IFERROR(INDEX(ProjCodes,MATCH(D67,ProjNames,0)),""))</f>
        <v/>
      </c>
      <c r="G67" s="32"/>
      <c r="H67" s="11"/>
      <c r="I67" s="33"/>
      <c r="J67" s="8" t="str">
        <f aca="false">IF(COUNTA(B67,D67,G67,H67,I67)=0,"",IF(B67="","Enter date",IF(OR(B67&lt;$AC$2,B67&gt;$AC$3),"Date not in July",IF(D67="","Pick project",IF(ISNA(MATCH(D67,ProjNames,0)),"Project not in list",IF(G67="","Add task description",IF(H67="","Pick NTIME or P6",IF(N(I67)&lt;=0,"Enter hours",IF(AND(AllowOT&lt;&gt;"Yes",SUMIF($B$7:$B$256,B67,$I$7:$I$256)&gt;INDEX($O$58:$O$88,DAY(B67))),"Day over "&amp;INDEX($O$58:$O$88,DAY(B67))&amp;" h","✓")))))))))</f>
        <v/>
      </c>
      <c r="K67" s="1"/>
      <c r="L67" s="35" t="n">
        <v>46213</v>
      </c>
      <c r="M67" s="36" t="str">
        <f aca="false">TEXT(L67,"ddd")</f>
        <v>Fri</v>
      </c>
      <c r="N67" s="37" t="s">
        <v>93</v>
      </c>
      <c r="O67" s="37" t="n">
        <f aca="false">AvailHours</f>
        <v>8</v>
      </c>
      <c r="P67" s="24" t="n">
        <f aca="false">SUMIFS($I$7:$I$256,$B$7:$B$256,L67,$H$7:$H$256,"NTIME")</f>
        <v>0</v>
      </c>
      <c r="Q67" s="24" t="n">
        <f aca="false">SUMIFS($I$7:$I$256,$B$7:$B$256,L67,$H$7:$H$256,"P6")</f>
        <v>0</v>
      </c>
      <c r="R67" s="24" t="n">
        <f aca="false">IF(N67="Overhead only",O67,IF(AND(N67="Working",P67+Q67&gt;0),MAX(0,O67-P67-Q67),0))</f>
        <v>0</v>
      </c>
      <c r="S67" s="24" t="n">
        <f aca="false">IF(OR(N67="Working",N67="Overhead only"),MAX(0,P67+Q67-O67),0)</f>
        <v>0</v>
      </c>
      <c r="T67" s="24" t="n">
        <f aca="false">P67+Q67+R67</f>
        <v>0</v>
      </c>
      <c r="U67" s="24" t="str">
        <f aca="true">IF(N67="Working",IF(P67+Q67=0,IF(L67&lt;=TODAY(),"Not logged",""),IF(P67+Q67&gt;O67,IF(AllowOT="Yes","Overtime","Over "&amp;O67&amp;" h!"),"✓")),IF(N67="Overhead only","✓ Overhead day",IF(P67+Q67&gt;0,"Entries on "&amp;LOWER(N67)&amp;" day",N67)))</f>
        <v>Not logged</v>
      </c>
      <c r="V67" s="1"/>
      <c r="W67" s="1" t="str">
        <f aca="false">IF(Projects!B65="","",Projects!B65)</f>
        <v/>
      </c>
      <c r="X67" s="1" t="n">
        <f aca="false">IF(W67="",0,SUMIFS($I$7:$I$256,$D$7:$D$256,W67,$H$7:$H$256,"NTIME"))</f>
        <v>0</v>
      </c>
      <c r="Y67" s="1" t="n">
        <f aca="false">IF(W67="",0,SUMIFS($I$7:$I$256,$D$7:$D$256,W67,$H$7:$H$256,"P6"))</f>
        <v>0</v>
      </c>
      <c r="Z67" s="1" t="n">
        <f aca="false">X67+Y67</f>
        <v>0</v>
      </c>
      <c r="AA67" s="1" t="n">
        <f aca="false">IF(Z67&gt;0,Z67+(201-61)/10^6,0)</f>
        <v>0</v>
      </c>
      <c r="AB67" s="1"/>
      <c r="AC67" s="1"/>
      <c r="AD67" s="1"/>
      <c r="AE67" s="1"/>
      <c r="AF67" s="1"/>
      <c r="AG67" s="1"/>
      <c r="AH67" s="1"/>
    </row>
    <row r="68" customFormat="false" ht="15" hidden="false" customHeight="false" outlineLevel="0" collapsed="false">
      <c r="A68" s="1"/>
      <c r="B68" s="10"/>
      <c r="C68" s="31" t="str">
        <f aca="false">IF(B68="","",TEXT(B68,"ddd"))</f>
        <v/>
      </c>
      <c r="D68" s="11"/>
      <c r="E68" s="8" t="str">
        <f aca="false">IF(D68="","",IFERROR(INDEX(ProjNumbers,MATCH(D68,ProjNames,0)),""))</f>
        <v/>
      </c>
      <c r="F68" s="8" t="str">
        <f aca="false">IF(D68="","",IFERROR(INDEX(ProjCodes,MATCH(D68,ProjNames,0)),""))</f>
        <v/>
      </c>
      <c r="G68" s="32"/>
      <c r="H68" s="11"/>
      <c r="I68" s="33"/>
      <c r="J68" s="8" t="str">
        <f aca="false">IF(COUNTA(B68,D68,G68,H68,I68)=0,"",IF(B68="","Enter date",IF(OR(B68&lt;$AC$2,B68&gt;$AC$3),"Date not in July",IF(D68="","Pick project",IF(ISNA(MATCH(D68,ProjNames,0)),"Project not in list",IF(G68="","Add task description",IF(H68="","Pick NTIME or P6",IF(N(I68)&lt;=0,"Enter hours",IF(AND(AllowOT&lt;&gt;"Yes",SUMIF($B$7:$B$256,B68,$I$7:$I$256)&gt;INDEX($O$58:$O$88,DAY(B68))),"Day over "&amp;INDEX($O$58:$O$88,DAY(B68))&amp;" h","✓")))))))))</f>
        <v/>
      </c>
      <c r="K68" s="1"/>
      <c r="L68" s="35" t="n">
        <v>46214</v>
      </c>
      <c r="M68" s="36" t="str">
        <f aca="false">TEXT(L68,"ddd")</f>
        <v>Sat</v>
      </c>
      <c r="N68" s="37" t="s">
        <v>94</v>
      </c>
      <c r="O68" s="37" t="n">
        <f aca="false">AvailHours</f>
        <v>8</v>
      </c>
      <c r="P68" s="24" t="n">
        <f aca="false">SUMIFS($I$7:$I$256,$B$7:$B$256,L68,$H$7:$H$256,"NTIME")</f>
        <v>0</v>
      </c>
      <c r="Q68" s="24" t="n">
        <f aca="false">SUMIFS($I$7:$I$256,$B$7:$B$256,L68,$H$7:$H$256,"P6")</f>
        <v>0</v>
      </c>
      <c r="R68" s="24" t="n">
        <f aca="false">IF(N68="Overhead only",O68,IF(AND(N68="Working",P68+Q68&gt;0),MAX(0,O68-P68-Q68),0))</f>
        <v>0</v>
      </c>
      <c r="S68" s="24" t="n">
        <f aca="false">IF(OR(N68="Working",N68="Overhead only"),MAX(0,P68+Q68-O68),0)</f>
        <v>0</v>
      </c>
      <c r="T68" s="24" t="n">
        <f aca="false">P68+Q68+R68</f>
        <v>0</v>
      </c>
      <c r="U68" s="24" t="str">
        <f aca="true">IF(N68="Working",IF(P68+Q68=0,IF(L68&lt;=TODAY(),"Not logged",""),IF(P68+Q68&gt;O68,IF(AllowOT="Yes","Overtime","Over "&amp;O68&amp;" h!"),"✓")),IF(N68="Overhead only","✓ Overhead day",IF(P68+Q68&gt;0,"Entries on "&amp;LOWER(N68)&amp;" day",N68)))</f>
        <v>Weekend</v>
      </c>
      <c r="V68" s="1"/>
      <c r="W68" s="1" t="str">
        <f aca="false">IF(Projects!B66="","",Projects!B66)</f>
        <v/>
      </c>
      <c r="X68" s="1" t="n">
        <f aca="false">IF(W68="",0,SUMIFS($I$7:$I$256,$D$7:$D$256,W68,$H$7:$H$256,"NTIME"))</f>
        <v>0</v>
      </c>
      <c r="Y68" s="1" t="n">
        <f aca="false">IF(W68="",0,SUMIFS($I$7:$I$256,$D$7:$D$256,W68,$H$7:$H$256,"P6"))</f>
        <v>0</v>
      </c>
      <c r="Z68" s="1" t="n">
        <f aca="false">X68+Y68</f>
        <v>0</v>
      </c>
      <c r="AA68" s="1" t="n">
        <f aca="false">IF(Z68&gt;0,Z68+(201-62)/10^6,0)</f>
        <v>0</v>
      </c>
      <c r="AB68" s="1"/>
      <c r="AC68" s="1"/>
      <c r="AD68" s="1"/>
      <c r="AE68" s="1"/>
      <c r="AF68" s="1"/>
      <c r="AG68" s="1"/>
      <c r="AH68" s="1"/>
    </row>
    <row r="69" customFormat="false" ht="15" hidden="false" customHeight="false" outlineLevel="0" collapsed="false">
      <c r="A69" s="1"/>
      <c r="B69" s="10"/>
      <c r="C69" s="31" t="str">
        <f aca="false">IF(B69="","",TEXT(B69,"ddd"))</f>
        <v/>
      </c>
      <c r="D69" s="11"/>
      <c r="E69" s="8" t="str">
        <f aca="false">IF(D69="","",IFERROR(INDEX(ProjNumbers,MATCH(D69,ProjNames,0)),""))</f>
        <v/>
      </c>
      <c r="F69" s="8" t="str">
        <f aca="false">IF(D69="","",IFERROR(INDEX(ProjCodes,MATCH(D69,ProjNames,0)),""))</f>
        <v/>
      </c>
      <c r="G69" s="32"/>
      <c r="H69" s="11"/>
      <c r="I69" s="33"/>
      <c r="J69" s="8" t="str">
        <f aca="false">IF(COUNTA(B69,D69,G69,H69,I69)=0,"",IF(B69="","Enter date",IF(OR(B69&lt;$AC$2,B69&gt;$AC$3),"Date not in July",IF(D69="","Pick project",IF(ISNA(MATCH(D69,ProjNames,0)),"Project not in list",IF(G69="","Add task description",IF(H69="","Pick NTIME or P6",IF(N(I69)&lt;=0,"Enter hours",IF(AND(AllowOT&lt;&gt;"Yes",SUMIF($B$7:$B$256,B69,$I$7:$I$256)&gt;INDEX($O$58:$O$88,DAY(B69))),"Day over "&amp;INDEX($O$58:$O$88,DAY(B69))&amp;" h","✓")))))))))</f>
        <v/>
      </c>
      <c r="K69" s="1"/>
      <c r="L69" s="35" t="n">
        <v>46215</v>
      </c>
      <c r="M69" s="36" t="str">
        <f aca="false">TEXT(L69,"ddd")</f>
        <v>Sun</v>
      </c>
      <c r="N69" s="37" t="s">
        <v>94</v>
      </c>
      <c r="O69" s="37" t="n">
        <f aca="false">AvailHours</f>
        <v>8</v>
      </c>
      <c r="P69" s="24" t="n">
        <f aca="false">SUMIFS($I$7:$I$256,$B$7:$B$256,L69,$H$7:$H$256,"NTIME")</f>
        <v>0</v>
      </c>
      <c r="Q69" s="24" t="n">
        <f aca="false">SUMIFS($I$7:$I$256,$B$7:$B$256,L69,$H$7:$H$256,"P6")</f>
        <v>0</v>
      </c>
      <c r="R69" s="24" t="n">
        <f aca="false">IF(N69="Overhead only",O69,IF(AND(N69="Working",P69+Q69&gt;0),MAX(0,O69-P69-Q69),0))</f>
        <v>0</v>
      </c>
      <c r="S69" s="24" t="n">
        <f aca="false">IF(OR(N69="Working",N69="Overhead only"),MAX(0,P69+Q69-O69),0)</f>
        <v>0</v>
      </c>
      <c r="T69" s="24" t="n">
        <f aca="false">P69+Q69+R69</f>
        <v>0</v>
      </c>
      <c r="U69" s="24" t="str">
        <f aca="true">IF(N69="Working",IF(P69+Q69=0,IF(L69&lt;=TODAY(),"Not logged",""),IF(P69+Q69&gt;O69,IF(AllowOT="Yes","Overtime","Over "&amp;O69&amp;" h!"),"✓")),IF(N69="Overhead only","✓ Overhead day",IF(P69+Q69&gt;0,"Entries on "&amp;LOWER(N69)&amp;" day",N69)))</f>
        <v>Weekend</v>
      </c>
      <c r="V69" s="1"/>
      <c r="W69" s="1" t="str">
        <f aca="false">IF(Projects!B67="","",Projects!B67)</f>
        <v/>
      </c>
      <c r="X69" s="1" t="n">
        <f aca="false">IF(W69="",0,SUMIFS($I$7:$I$256,$D$7:$D$256,W69,$H$7:$H$256,"NTIME"))</f>
        <v>0</v>
      </c>
      <c r="Y69" s="1" t="n">
        <f aca="false">IF(W69="",0,SUMIFS($I$7:$I$256,$D$7:$D$256,W69,$H$7:$H$256,"P6"))</f>
        <v>0</v>
      </c>
      <c r="Z69" s="1" t="n">
        <f aca="false">X69+Y69</f>
        <v>0</v>
      </c>
      <c r="AA69" s="1" t="n">
        <f aca="false">IF(Z69&gt;0,Z69+(201-63)/10^6,0)</f>
        <v>0</v>
      </c>
      <c r="AB69" s="1"/>
      <c r="AC69" s="1"/>
      <c r="AD69" s="1"/>
      <c r="AE69" s="1"/>
      <c r="AF69" s="1"/>
      <c r="AG69" s="1"/>
      <c r="AH69" s="1"/>
    </row>
    <row r="70" customFormat="false" ht="15" hidden="false" customHeight="false" outlineLevel="0" collapsed="false">
      <c r="A70" s="1"/>
      <c r="B70" s="10"/>
      <c r="C70" s="31" t="str">
        <f aca="false">IF(B70="","",TEXT(B70,"ddd"))</f>
        <v/>
      </c>
      <c r="D70" s="11"/>
      <c r="E70" s="8" t="str">
        <f aca="false">IF(D70="","",IFERROR(INDEX(ProjNumbers,MATCH(D70,ProjNames,0)),""))</f>
        <v/>
      </c>
      <c r="F70" s="8" t="str">
        <f aca="false">IF(D70="","",IFERROR(INDEX(ProjCodes,MATCH(D70,ProjNames,0)),""))</f>
        <v/>
      </c>
      <c r="G70" s="32"/>
      <c r="H70" s="11"/>
      <c r="I70" s="33"/>
      <c r="J70" s="8" t="str">
        <f aca="false">IF(COUNTA(B70,D70,G70,H70,I70)=0,"",IF(B70="","Enter date",IF(OR(B70&lt;$AC$2,B70&gt;$AC$3),"Date not in July",IF(D70="","Pick project",IF(ISNA(MATCH(D70,ProjNames,0)),"Project not in list",IF(G70="","Add task description",IF(H70="","Pick NTIME or P6",IF(N(I70)&lt;=0,"Enter hours",IF(AND(AllowOT&lt;&gt;"Yes",SUMIF($B$7:$B$256,B70,$I$7:$I$256)&gt;INDEX($O$58:$O$88,DAY(B70))),"Day over "&amp;INDEX($O$58:$O$88,DAY(B70))&amp;" h","✓")))))))))</f>
        <v/>
      </c>
      <c r="K70" s="1"/>
      <c r="L70" s="35" t="n">
        <v>46216</v>
      </c>
      <c r="M70" s="36" t="str">
        <f aca="false">TEXT(L70,"ddd")</f>
        <v>Mon</v>
      </c>
      <c r="N70" s="37" t="s">
        <v>93</v>
      </c>
      <c r="O70" s="37" t="n">
        <f aca="false">AvailHours</f>
        <v>8</v>
      </c>
      <c r="P70" s="24" t="n">
        <f aca="false">SUMIFS($I$7:$I$256,$B$7:$B$256,L70,$H$7:$H$256,"NTIME")</f>
        <v>0</v>
      </c>
      <c r="Q70" s="24" t="n">
        <f aca="false">SUMIFS($I$7:$I$256,$B$7:$B$256,L70,$H$7:$H$256,"P6")</f>
        <v>0</v>
      </c>
      <c r="R70" s="24" t="n">
        <f aca="false">IF(N70="Overhead only",O70,IF(AND(N70="Working",P70+Q70&gt;0),MAX(0,O70-P70-Q70),0))</f>
        <v>0</v>
      </c>
      <c r="S70" s="24" t="n">
        <f aca="false">IF(OR(N70="Working",N70="Overhead only"),MAX(0,P70+Q70-O70),0)</f>
        <v>0</v>
      </c>
      <c r="T70" s="24" t="n">
        <f aca="false">P70+Q70+R70</f>
        <v>0</v>
      </c>
      <c r="U70" s="24" t="str">
        <f aca="true">IF(N70="Working",IF(P70+Q70=0,IF(L70&lt;=TODAY(),"Not logged",""),IF(P70+Q70&gt;O70,IF(AllowOT="Yes","Overtime","Over "&amp;O70&amp;" h!"),"✓")),IF(N70="Overhead only","✓ Overhead day",IF(P70+Q70&gt;0,"Entries on "&amp;LOWER(N70)&amp;" day",N70)))</f>
        <v>Not logged</v>
      </c>
      <c r="V70" s="1"/>
      <c r="W70" s="1" t="str">
        <f aca="false">IF(Projects!B68="","",Projects!B68)</f>
        <v/>
      </c>
      <c r="X70" s="1" t="n">
        <f aca="false">IF(W70="",0,SUMIFS($I$7:$I$256,$D$7:$D$256,W70,$H$7:$H$256,"NTIME"))</f>
        <v>0</v>
      </c>
      <c r="Y70" s="1" t="n">
        <f aca="false">IF(W70="",0,SUMIFS($I$7:$I$256,$D$7:$D$256,W70,$H$7:$H$256,"P6"))</f>
        <v>0</v>
      </c>
      <c r="Z70" s="1" t="n">
        <f aca="false">X70+Y70</f>
        <v>0</v>
      </c>
      <c r="AA70" s="1" t="n">
        <f aca="false">IF(Z70&gt;0,Z70+(201-64)/10^6,0)</f>
        <v>0</v>
      </c>
      <c r="AB70" s="1"/>
      <c r="AC70" s="1"/>
      <c r="AD70" s="1"/>
      <c r="AE70" s="1"/>
      <c r="AF70" s="1"/>
      <c r="AG70" s="1"/>
      <c r="AH70" s="1"/>
    </row>
    <row r="71" customFormat="false" ht="15" hidden="false" customHeight="false" outlineLevel="0" collapsed="false">
      <c r="A71" s="1"/>
      <c r="B71" s="10"/>
      <c r="C71" s="31" t="str">
        <f aca="false">IF(B71="","",TEXT(B71,"ddd"))</f>
        <v/>
      </c>
      <c r="D71" s="11"/>
      <c r="E71" s="8" t="str">
        <f aca="false">IF(D71="","",IFERROR(INDEX(ProjNumbers,MATCH(D71,ProjNames,0)),""))</f>
        <v/>
      </c>
      <c r="F71" s="8" t="str">
        <f aca="false">IF(D71="","",IFERROR(INDEX(ProjCodes,MATCH(D71,ProjNames,0)),""))</f>
        <v/>
      </c>
      <c r="G71" s="32"/>
      <c r="H71" s="11"/>
      <c r="I71" s="33"/>
      <c r="J71" s="8" t="str">
        <f aca="false">IF(COUNTA(B71,D71,G71,H71,I71)=0,"",IF(B71="","Enter date",IF(OR(B71&lt;$AC$2,B71&gt;$AC$3),"Date not in July",IF(D71="","Pick project",IF(ISNA(MATCH(D71,ProjNames,0)),"Project not in list",IF(G71="","Add task description",IF(H71="","Pick NTIME or P6",IF(N(I71)&lt;=0,"Enter hours",IF(AND(AllowOT&lt;&gt;"Yes",SUMIF($B$7:$B$256,B71,$I$7:$I$256)&gt;INDEX($O$58:$O$88,DAY(B71))),"Day over "&amp;INDEX($O$58:$O$88,DAY(B71))&amp;" h","✓")))))))))</f>
        <v/>
      </c>
      <c r="K71" s="1"/>
      <c r="L71" s="35" t="n">
        <v>46217</v>
      </c>
      <c r="M71" s="36" t="str">
        <f aca="false">TEXT(L71,"ddd")</f>
        <v>Tue</v>
      </c>
      <c r="N71" s="37" t="s">
        <v>93</v>
      </c>
      <c r="O71" s="37" t="n">
        <f aca="false">AvailHours</f>
        <v>8</v>
      </c>
      <c r="P71" s="24" t="n">
        <f aca="false">SUMIFS($I$7:$I$256,$B$7:$B$256,L71,$H$7:$H$256,"NTIME")</f>
        <v>0</v>
      </c>
      <c r="Q71" s="24" t="n">
        <f aca="false">SUMIFS($I$7:$I$256,$B$7:$B$256,L71,$H$7:$H$256,"P6")</f>
        <v>0</v>
      </c>
      <c r="R71" s="24" t="n">
        <f aca="false">IF(N71="Overhead only",O71,IF(AND(N71="Working",P71+Q71&gt;0),MAX(0,O71-P71-Q71),0))</f>
        <v>0</v>
      </c>
      <c r="S71" s="24" t="n">
        <f aca="false">IF(OR(N71="Working",N71="Overhead only"),MAX(0,P71+Q71-O71),0)</f>
        <v>0</v>
      </c>
      <c r="T71" s="24" t="n">
        <f aca="false">P71+Q71+R71</f>
        <v>0</v>
      </c>
      <c r="U71" s="24" t="str">
        <f aca="true">IF(N71="Working",IF(P71+Q71=0,IF(L71&lt;=TODAY(),"Not logged",""),IF(P71+Q71&gt;O71,IF(AllowOT="Yes","Overtime","Over "&amp;O71&amp;" h!"),"✓")),IF(N71="Overhead only","✓ Overhead day",IF(P71+Q71&gt;0,"Entries on "&amp;LOWER(N71)&amp;" day",N71)))</f>
        <v>Not logged</v>
      </c>
      <c r="V71" s="1"/>
      <c r="W71" s="1" t="str">
        <f aca="false">IF(Projects!B69="","",Projects!B69)</f>
        <v/>
      </c>
      <c r="X71" s="1" t="n">
        <f aca="false">IF(W71="",0,SUMIFS($I$7:$I$256,$D$7:$D$256,W71,$H$7:$H$256,"NTIME"))</f>
        <v>0</v>
      </c>
      <c r="Y71" s="1" t="n">
        <f aca="false">IF(W71="",0,SUMIFS($I$7:$I$256,$D$7:$D$256,W71,$H$7:$H$256,"P6"))</f>
        <v>0</v>
      </c>
      <c r="Z71" s="1" t="n">
        <f aca="false">X71+Y71</f>
        <v>0</v>
      </c>
      <c r="AA71" s="1" t="n">
        <f aca="false">IF(Z71&gt;0,Z71+(201-65)/10^6,0)</f>
        <v>0</v>
      </c>
      <c r="AB71" s="1"/>
      <c r="AC71" s="1"/>
      <c r="AD71" s="1"/>
      <c r="AE71" s="1"/>
      <c r="AF71" s="1"/>
      <c r="AG71" s="1"/>
      <c r="AH71" s="1"/>
    </row>
    <row r="72" customFormat="false" ht="15" hidden="false" customHeight="false" outlineLevel="0" collapsed="false">
      <c r="A72" s="1"/>
      <c r="B72" s="10"/>
      <c r="C72" s="31" t="str">
        <f aca="false">IF(B72="","",TEXT(B72,"ddd"))</f>
        <v/>
      </c>
      <c r="D72" s="11"/>
      <c r="E72" s="8" t="str">
        <f aca="false">IF(D72="","",IFERROR(INDEX(ProjNumbers,MATCH(D72,ProjNames,0)),""))</f>
        <v/>
      </c>
      <c r="F72" s="8" t="str">
        <f aca="false">IF(D72="","",IFERROR(INDEX(ProjCodes,MATCH(D72,ProjNames,0)),""))</f>
        <v/>
      </c>
      <c r="G72" s="32"/>
      <c r="H72" s="11"/>
      <c r="I72" s="33"/>
      <c r="J72" s="8" t="str">
        <f aca="false">IF(COUNTA(B72,D72,G72,H72,I72)=0,"",IF(B72="","Enter date",IF(OR(B72&lt;$AC$2,B72&gt;$AC$3),"Date not in July",IF(D72="","Pick project",IF(ISNA(MATCH(D72,ProjNames,0)),"Project not in list",IF(G72="","Add task description",IF(H72="","Pick NTIME or P6",IF(N(I72)&lt;=0,"Enter hours",IF(AND(AllowOT&lt;&gt;"Yes",SUMIF($B$7:$B$256,B72,$I$7:$I$256)&gt;INDEX($O$58:$O$88,DAY(B72))),"Day over "&amp;INDEX($O$58:$O$88,DAY(B72))&amp;" h","✓")))))))))</f>
        <v/>
      </c>
      <c r="K72" s="1"/>
      <c r="L72" s="35" t="n">
        <v>46218</v>
      </c>
      <c r="M72" s="36" t="str">
        <f aca="false">TEXT(L72,"ddd")</f>
        <v>Wed</v>
      </c>
      <c r="N72" s="37" t="s">
        <v>93</v>
      </c>
      <c r="O72" s="37" t="n">
        <f aca="false">AvailHours</f>
        <v>8</v>
      </c>
      <c r="P72" s="24" t="n">
        <f aca="false">SUMIFS($I$7:$I$256,$B$7:$B$256,L72,$H$7:$H$256,"NTIME")</f>
        <v>0</v>
      </c>
      <c r="Q72" s="24" t="n">
        <f aca="false">SUMIFS($I$7:$I$256,$B$7:$B$256,L72,$H$7:$H$256,"P6")</f>
        <v>0</v>
      </c>
      <c r="R72" s="24" t="n">
        <f aca="false">IF(N72="Overhead only",O72,IF(AND(N72="Working",P72+Q72&gt;0),MAX(0,O72-P72-Q72),0))</f>
        <v>0</v>
      </c>
      <c r="S72" s="24" t="n">
        <f aca="false">IF(OR(N72="Working",N72="Overhead only"),MAX(0,P72+Q72-O72),0)</f>
        <v>0</v>
      </c>
      <c r="T72" s="24" t="n">
        <f aca="false">P72+Q72+R72</f>
        <v>0</v>
      </c>
      <c r="U72" s="24" t="str">
        <f aca="true">IF(N72="Working",IF(P72+Q72=0,IF(L72&lt;=TODAY(),"Not logged",""),IF(P72+Q72&gt;O72,IF(AllowOT="Yes","Overtime","Over "&amp;O72&amp;" h!"),"✓")),IF(N72="Overhead only","✓ Overhead day",IF(P72+Q72&gt;0,"Entries on "&amp;LOWER(N72)&amp;" day",N72)))</f>
        <v>Not logged</v>
      </c>
      <c r="V72" s="1"/>
      <c r="W72" s="1" t="str">
        <f aca="false">IF(Projects!B70="","",Projects!B70)</f>
        <v/>
      </c>
      <c r="X72" s="1" t="n">
        <f aca="false">IF(W72="",0,SUMIFS($I$7:$I$256,$D$7:$D$256,W72,$H$7:$H$256,"NTIME"))</f>
        <v>0</v>
      </c>
      <c r="Y72" s="1" t="n">
        <f aca="false">IF(W72="",0,SUMIFS($I$7:$I$256,$D$7:$D$256,W72,$H$7:$H$256,"P6"))</f>
        <v>0</v>
      </c>
      <c r="Z72" s="1" t="n">
        <f aca="false">X72+Y72</f>
        <v>0</v>
      </c>
      <c r="AA72" s="1" t="n">
        <f aca="false">IF(Z72&gt;0,Z72+(201-66)/10^6,0)</f>
        <v>0</v>
      </c>
      <c r="AB72" s="1"/>
      <c r="AC72" s="1"/>
      <c r="AD72" s="1"/>
      <c r="AE72" s="1"/>
      <c r="AF72" s="1"/>
      <c r="AG72" s="1"/>
      <c r="AH72" s="1"/>
    </row>
    <row r="73" customFormat="false" ht="15" hidden="false" customHeight="false" outlineLevel="0" collapsed="false">
      <c r="A73" s="1"/>
      <c r="B73" s="10"/>
      <c r="C73" s="31" t="str">
        <f aca="false">IF(B73="","",TEXT(B73,"ddd"))</f>
        <v/>
      </c>
      <c r="D73" s="11"/>
      <c r="E73" s="8" t="str">
        <f aca="false">IF(D73="","",IFERROR(INDEX(ProjNumbers,MATCH(D73,ProjNames,0)),""))</f>
        <v/>
      </c>
      <c r="F73" s="8" t="str">
        <f aca="false">IF(D73="","",IFERROR(INDEX(ProjCodes,MATCH(D73,ProjNames,0)),""))</f>
        <v/>
      </c>
      <c r="G73" s="32"/>
      <c r="H73" s="11"/>
      <c r="I73" s="33"/>
      <c r="J73" s="8" t="str">
        <f aca="false">IF(COUNTA(B73,D73,G73,H73,I73)=0,"",IF(B73="","Enter date",IF(OR(B73&lt;$AC$2,B73&gt;$AC$3),"Date not in July",IF(D73="","Pick project",IF(ISNA(MATCH(D73,ProjNames,0)),"Project not in list",IF(G73="","Add task description",IF(H73="","Pick NTIME or P6",IF(N(I73)&lt;=0,"Enter hours",IF(AND(AllowOT&lt;&gt;"Yes",SUMIF($B$7:$B$256,B73,$I$7:$I$256)&gt;INDEX($O$58:$O$88,DAY(B73))),"Day over "&amp;INDEX($O$58:$O$88,DAY(B73))&amp;" h","✓")))))))))</f>
        <v/>
      </c>
      <c r="K73" s="1"/>
      <c r="L73" s="35" t="n">
        <v>46219</v>
      </c>
      <c r="M73" s="36" t="str">
        <f aca="false">TEXT(L73,"ddd")</f>
        <v>Thu</v>
      </c>
      <c r="N73" s="37" t="s">
        <v>93</v>
      </c>
      <c r="O73" s="37" t="n">
        <f aca="false">AvailHours</f>
        <v>8</v>
      </c>
      <c r="P73" s="24" t="n">
        <f aca="false">SUMIFS($I$7:$I$256,$B$7:$B$256,L73,$H$7:$H$256,"NTIME")</f>
        <v>0</v>
      </c>
      <c r="Q73" s="24" t="n">
        <f aca="false">SUMIFS($I$7:$I$256,$B$7:$B$256,L73,$H$7:$H$256,"P6")</f>
        <v>0</v>
      </c>
      <c r="R73" s="24" t="n">
        <f aca="false">IF(N73="Overhead only",O73,IF(AND(N73="Working",P73+Q73&gt;0),MAX(0,O73-P73-Q73),0))</f>
        <v>0</v>
      </c>
      <c r="S73" s="24" t="n">
        <f aca="false">IF(OR(N73="Working",N73="Overhead only"),MAX(0,P73+Q73-O73),0)</f>
        <v>0</v>
      </c>
      <c r="T73" s="24" t="n">
        <f aca="false">P73+Q73+R73</f>
        <v>0</v>
      </c>
      <c r="U73" s="24" t="str">
        <f aca="true">IF(N73="Working",IF(P73+Q73=0,IF(L73&lt;=TODAY(),"Not logged",""),IF(P73+Q73&gt;O73,IF(AllowOT="Yes","Overtime","Over "&amp;O73&amp;" h!"),"✓")),IF(N73="Overhead only","✓ Overhead day",IF(P73+Q73&gt;0,"Entries on "&amp;LOWER(N73)&amp;" day",N73)))</f>
        <v>Not logged</v>
      </c>
      <c r="V73" s="1"/>
      <c r="W73" s="1" t="str">
        <f aca="false">IF(Projects!B71="","",Projects!B71)</f>
        <v/>
      </c>
      <c r="X73" s="1" t="n">
        <f aca="false">IF(W73="",0,SUMIFS($I$7:$I$256,$D$7:$D$256,W73,$H$7:$H$256,"NTIME"))</f>
        <v>0</v>
      </c>
      <c r="Y73" s="1" t="n">
        <f aca="false">IF(W73="",0,SUMIFS($I$7:$I$256,$D$7:$D$256,W73,$H$7:$H$256,"P6"))</f>
        <v>0</v>
      </c>
      <c r="Z73" s="1" t="n">
        <f aca="false">X73+Y73</f>
        <v>0</v>
      </c>
      <c r="AA73" s="1" t="n">
        <f aca="false">IF(Z73&gt;0,Z73+(201-67)/10^6,0)</f>
        <v>0</v>
      </c>
      <c r="AB73" s="1"/>
      <c r="AC73" s="1"/>
      <c r="AD73" s="1"/>
      <c r="AE73" s="1"/>
      <c r="AF73" s="1"/>
      <c r="AG73" s="1"/>
      <c r="AH73" s="1"/>
    </row>
    <row r="74" customFormat="false" ht="15" hidden="false" customHeight="false" outlineLevel="0" collapsed="false">
      <c r="A74" s="1"/>
      <c r="B74" s="10"/>
      <c r="C74" s="31" t="str">
        <f aca="false">IF(B74="","",TEXT(B74,"ddd"))</f>
        <v/>
      </c>
      <c r="D74" s="11"/>
      <c r="E74" s="8" t="str">
        <f aca="false">IF(D74="","",IFERROR(INDEX(ProjNumbers,MATCH(D74,ProjNames,0)),""))</f>
        <v/>
      </c>
      <c r="F74" s="8" t="str">
        <f aca="false">IF(D74="","",IFERROR(INDEX(ProjCodes,MATCH(D74,ProjNames,0)),""))</f>
        <v/>
      </c>
      <c r="G74" s="32"/>
      <c r="H74" s="11"/>
      <c r="I74" s="33"/>
      <c r="J74" s="8" t="str">
        <f aca="false">IF(COUNTA(B74,D74,G74,H74,I74)=0,"",IF(B74="","Enter date",IF(OR(B74&lt;$AC$2,B74&gt;$AC$3),"Date not in July",IF(D74="","Pick project",IF(ISNA(MATCH(D74,ProjNames,0)),"Project not in list",IF(G74="","Add task description",IF(H74="","Pick NTIME or P6",IF(N(I74)&lt;=0,"Enter hours",IF(AND(AllowOT&lt;&gt;"Yes",SUMIF($B$7:$B$256,B74,$I$7:$I$256)&gt;INDEX($O$58:$O$88,DAY(B74))),"Day over "&amp;INDEX($O$58:$O$88,DAY(B74))&amp;" h","✓")))))))))</f>
        <v/>
      </c>
      <c r="K74" s="1"/>
      <c r="L74" s="35" t="n">
        <v>46220</v>
      </c>
      <c r="M74" s="36" t="str">
        <f aca="false">TEXT(L74,"ddd")</f>
        <v>Fri</v>
      </c>
      <c r="N74" s="37" t="s">
        <v>93</v>
      </c>
      <c r="O74" s="37" t="n">
        <f aca="false">AvailHours</f>
        <v>8</v>
      </c>
      <c r="P74" s="24" t="n">
        <f aca="false">SUMIFS($I$7:$I$256,$B$7:$B$256,L74,$H$7:$H$256,"NTIME")</f>
        <v>0</v>
      </c>
      <c r="Q74" s="24" t="n">
        <f aca="false">SUMIFS($I$7:$I$256,$B$7:$B$256,L74,$H$7:$H$256,"P6")</f>
        <v>0</v>
      </c>
      <c r="R74" s="24" t="n">
        <f aca="false">IF(N74="Overhead only",O74,IF(AND(N74="Working",P74+Q74&gt;0),MAX(0,O74-P74-Q74),0))</f>
        <v>0</v>
      </c>
      <c r="S74" s="24" t="n">
        <f aca="false">IF(OR(N74="Working",N74="Overhead only"),MAX(0,P74+Q74-O74),0)</f>
        <v>0</v>
      </c>
      <c r="T74" s="24" t="n">
        <f aca="false">P74+Q74+R74</f>
        <v>0</v>
      </c>
      <c r="U74" s="24" t="str">
        <f aca="true">IF(N74="Working",IF(P74+Q74=0,IF(L74&lt;=TODAY(),"Not logged",""),IF(P74+Q74&gt;O74,IF(AllowOT="Yes","Overtime","Over "&amp;O74&amp;" h!"),"✓")),IF(N74="Overhead only","✓ Overhead day",IF(P74+Q74&gt;0,"Entries on "&amp;LOWER(N74)&amp;" day",N74)))</f>
        <v>Not logged</v>
      </c>
      <c r="V74" s="1"/>
      <c r="W74" s="1" t="str">
        <f aca="false">IF(Projects!B72="","",Projects!B72)</f>
        <v/>
      </c>
      <c r="X74" s="1" t="n">
        <f aca="false">IF(W74="",0,SUMIFS($I$7:$I$256,$D$7:$D$256,W74,$H$7:$H$256,"NTIME"))</f>
        <v>0</v>
      </c>
      <c r="Y74" s="1" t="n">
        <f aca="false">IF(W74="",0,SUMIFS($I$7:$I$256,$D$7:$D$256,W74,$H$7:$H$256,"P6"))</f>
        <v>0</v>
      </c>
      <c r="Z74" s="1" t="n">
        <f aca="false">X74+Y74</f>
        <v>0</v>
      </c>
      <c r="AA74" s="1" t="n">
        <f aca="false">IF(Z74&gt;0,Z74+(201-68)/10^6,0)</f>
        <v>0</v>
      </c>
      <c r="AB74" s="1"/>
      <c r="AC74" s="1"/>
      <c r="AD74" s="1"/>
      <c r="AE74" s="1"/>
      <c r="AF74" s="1"/>
      <c r="AG74" s="1"/>
      <c r="AH74" s="1"/>
    </row>
    <row r="75" customFormat="false" ht="15" hidden="false" customHeight="false" outlineLevel="0" collapsed="false">
      <c r="A75" s="1"/>
      <c r="B75" s="10"/>
      <c r="C75" s="31" t="str">
        <f aca="false">IF(B75="","",TEXT(B75,"ddd"))</f>
        <v/>
      </c>
      <c r="D75" s="11"/>
      <c r="E75" s="8" t="str">
        <f aca="false">IF(D75="","",IFERROR(INDEX(ProjNumbers,MATCH(D75,ProjNames,0)),""))</f>
        <v/>
      </c>
      <c r="F75" s="8" t="str">
        <f aca="false">IF(D75="","",IFERROR(INDEX(ProjCodes,MATCH(D75,ProjNames,0)),""))</f>
        <v/>
      </c>
      <c r="G75" s="32"/>
      <c r="H75" s="11"/>
      <c r="I75" s="33"/>
      <c r="J75" s="8" t="str">
        <f aca="false">IF(COUNTA(B75,D75,G75,H75,I75)=0,"",IF(B75="","Enter date",IF(OR(B75&lt;$AC$2,B75&gt;$AC$3),"Date not in July",IF(D75="","Pick project",IF(ISNA(MATCH(D75,ProjNames,0)),"Project not in list",IF(G75="","Add task description",IF(H75="","Pick NTIME or P6",IF(N(I75)&lt;=0,"Enter hours",IF(AND(AllowOT&lt;&gt;"Yes",SUMIF($B$7:$B$256,B75,$I$7:$I$256)&gt;INDEX($O$58:$O$88,DAY(B75))),"Day over "&amp;INDEX($O$58:$O$88,DAY(B75))&amp;" h","✓")))))))))</f>
        <v/>
      </c>
      <c r="K75" s="1"/>
      <c r="L75" s="35" t="n">
        <v>46221</v>
      </c>
      <c r="M75" s="36" t="str">
        <f aca="false">TEXT(L75,"ddd")</f>
        <v>Sat</v>
      </c>
      <c r="N75" s="37" t="s">
        <v>94</v>
      </c>
      <c r="O75" s="37" t="n">
        <f aca="false">AvailHours</f>
        <v>8</v>
      </c>
      <c r="P75" s="24" t="n">
        <f aca="false">SUMIFS($I$7:$I$256,$B$7:$B$256,L75,$H$7:$H$256,"NTIME")</f>
        <v>0</v>
      </c>
      <c r="Q75" s="24" t="n">
        <f aca="false">SUMIFS($I$7:$I$256,$B$7:$B$256,L75,$H$7:$H$256,"P6")</f>
        <v>0</v>
      </c>
      <c r="R75" s="24" t="n">
        <f aca="false">IF(N75="Overhead only",O75,IF(AND(N75="Working",P75+Q75&gt;0),MAX(0,O75-P75-Q75),0))</f>
        <v>0</v>
      </c>
      <c r="S75" s="24" t="n">
        <f aca="false">IF(OR(N75="Working",N75="Overhead only"),MAX(0,P75+Q75-O75),0)</f>
        <v>0</v>
      </c>
      <c r="T75" s="24" t="n">
        <f aca="false">P75+Q75+R75</f>
        <v>0</v>
      </c>
      <c r="U75" s="24" t="str">
        <f aca="true">IF(N75="Working",IF(P75+Q75=0,IF(L75&lt;=TODAY(),"Not logged",""),IF(P75+Q75&gt;O75,IF(AllowOT="Yes","Overtime","Over "&amp;O75&amp;" h!"),"✓")),IF(N75="Overhead only","✓ Overhead day",IF(P75+Q75&gt;0,"Entries on "&amp;LOWER(N75)&amp;" day",N75)))</f>
        <v>Weekend</v>
      </c>
      <c r="V75" s="1"/>
      <c r="W75" s="1" t="str">
        <f aca="false">IF(Projects!B73="","",Projects!B73)</f>
        <v/>
      </c>
      <c r="X75" s="1" t="n">
        <f aca="false">IF(W75="",0,SUMIFS($I$7:$I$256,$D$7:$D$256,W75,$H$7:$H$256,"NTIME"))</f>
        <v>0</v>
      </c>
      <c r="Y75" s="1" t="n">
        <f aca="false">IF(W75="",0,SUMIFS($I$7:$I$256,$D$7:$D$256,W75,$H$7:$H$256,"P6"))</f>
        <v>0</v>
      </c>
      <c r="Z75" s="1" t="n">
        <f aca="false">X75+Y75</f>
        <v>0</v>
      </c>
      <c r="AA75" s="1" t="n">
        <f aca="false">IF(Z75&gt;0,Z75+(201-69)/10^6,0)</f>
        <v>0</v>
      </c>
      <c r="AB75" s="1"/>
      <c r="AC75" s="1"/>
      <c r="AD75" s="1"/>
      <c r="AE75" s="1"/>
      <c r="AF75" s="1"/>
      <c r="AG75" s="1"/>
      <c r="AH75" s="1"/>
    </row>
    <row r="76" customFormat="false" ht="15" hidden="false" customHeight="false" outlineLevel="0" collapsed="false">
      <c r="A76" s="1"/>
      <c r="B76" s="10"/>
      <c r="C76" s="31" t="str">
        <f aca="false">IF(B76="","",TEXT(B76,"ddd"))</f>
        <v/>
      </c>
      <c r="D76" s="11"/>
      <c r="E76" s="8" t="str">
        <f aca="false">IF(D76="","",IFERROR(INDEX(ProjNumbers,MATCH(D76,ProjNames,0)),""))</f>
        <v/>
      </c>
      <c r="F76" s="8" t="str">
        <f aca="false">IF(D76="","",IFERROR(INDEX(ProjCodes,MATCH(D76,ProjNames,0)),""))</f>
        <v/>
      </c>
      <c r="G76" s="32"/>
      <c r="H76" s="11"/>
      <c r="I76" s="33"/>
      <c r="J76" s="8" t="str">
        <f aca="false">IF(COUNTA(B76,D76,G76,H76,I76)=0,"",IF(B76="","Enter date",IF(OR(B76&lt;$AC$2,B76&gt;$AC$3),"Date not in July",IF(D76="","Pick project",IF(ISNA(MATCH(D76,ProjNames,0)),"Project not in list",IF(G76="","Add task description",IF(H76="","Pick NTIME or P6",IF(N(I76)&lt;=0,"Enter hours",IF(AND(AllowOT&lt;&gt;"Yes",SUMIF($B$7:$B$256,B76,$I$7:$I$256)&gt;INDEX($O$58:$O$88,DAY(B76))),"Day over "&amp;INDEX($O$58:$O$88,DAY(B76))&amp;" h","✓")))))))))</f>
        <v/>
      </c>
      <c r="K76" s="1"/>
      <c r="L76" s="35" t="n">
        <v>46222</v>
      </c>
      <c r="M76" s="36" t="str">
        <f aca="false">TEXT(L76,"ddd")</f>
        <v>Sun</v>
      </c>
      <c r="N76" s="37" t="s">
        <v>94</v>
      </c>
      <c r="O76" s="37" t="n">
        <f aca="false">AvailHours</f>
        <v>8</v>
      </c>
      <c r="P76" s="24" t="n">
        <f aca="false">SUMIFS($I$7:$I$256,$B$7:$B$256,L76,$H$7:$H$256,"NTIME")</f>
        <v>0</v>
      </c>
      <c r="Q76" s="24" t="n">
        <f aca="false">SUMIFS($I$7:$I$256,$B$7:$B$256,L76,$H$7:$H$256,"P6")</f>
        <v>0</v>
      </c>
      <c r="R76" s="24" t="n">
        <f aca="false">IF(N76="Overhead only",O76,IF(AND(N76="Working",P76+Q76&gt;0),MAX(0,O76-P76-Q76),0))</f>
        <v>0</v>
      </c>
      <c r="S76" s="24" t="n">
        <f aca="false">IF(OR(N76="Working",N76="Overhead only"),MAX(0,P76+Q76-O76),0)</f>
        <v>0</v>
      </c>
      <c r="T76" s="24" t="n">
        <f aca="false">P76+Q76+R76</f>
        <v>0</v>
      </c>
      <c r="U76" s="24" t="str">
        <f aca="true">IF(N76="Working",IF(P76+Q76=0,IF(L76&lt;=TODAY(),"Not logged",""),IF(P76+Q76&gt;O76,IF(AllowOT="Yes","Overtime","Over "&amp;O76&amp;" h!"),"✓")),IF(N76="Overhead only","✓ Overhead day",IF(P76+Q76&gt;0,"Entries on "&amp;LOWER(N76)&amp;" day",N76)))</f>
        <v>Weekend</v>
      </c>
      <c r="V76" s="1"/>
      <c r="W76" s="1" t="str">
        <f aca="false">IF(Projects!B74="","",Projects!B74)</f>
        <v/>
      </c>
      <c r="X76" s="1" t="n">
        <f aca="false">IF(W76="",0,SUMIFS($I$7:$I$256,$D$7:$D$256,W76,$H$7:$H$256,"NTIME"))</f>
        <v>0</v>
      </c>
      <c r="Y76" s="1" t="n">
        <f aca="false">IF(W76="",0,SUMIFS($I$7:$I$256,$D$7:$D$256,W76,$H$7:$H$256,"P6"))</f>
        <v>0</v>
      </c>
      <c r="Z76" s="1" t="n">
        <f aca="false">X76+Y76</f>
        <v>0</v>
      </c>
      <c r="AA76" s="1" t="n">
        <f aca="false">IF(Z76&gt;0,Z76+(201-70)/10^6,0)</f>
        <v>0</v>
      </c>
      <c r="AB76" s="1"/>
      <c r="AC76" s="1"/>
      <c r="AD76" s="1"/>
      <c r="AE76" s="1"/>
      <c r="AF76" s="1"/>
      <c r="AG76" s="1"/>
      <c r="AH76" s="1"/>
    </row>
    <row r="77" customFormat="false" ht="15" hidden="false" customHeight="false" outlineLevel="0" collapsed="false">
      <c r="A77" s="1"/>
      <c r="B77" s="10"/>
      <c r="C77" s="31" t="str">
        <f aca="false">IF(B77="","",TEXT(B77,"ddd"))</f>
        <v/>
      </c>
      <c r="D77" s="11"/>
      <c r="E77" s="8" t="str">
        <f aca="false">IF(D77="","",IFERROR(INDEX(ProjNumbers,MATCH(D77,ProjNames,0)),""))</f>
        <v/>
      </c>
      <c r="F77" s="8" t="str">
        <f aca="false">IF(D77="","",IFERROR(INDEX(ProjCodes,MATCH(D77,ProjNames,0)),""))</f>
        <v/>
      </c>
      <c r="G77" s="32"/>
      <c r="H77" s="11"/>
      <c r="I77" s="33"/>
      <c r="J77" s="8" t="str">
        <f aca="false">IF(COUNTA(B77,D77,G77,H77,I77)=0,"",IF(B77="","Enter date",IF(OR(B77&lt;$AC$2,B77&gt;$AC$3),"Date not in July",IF(D77="","Pick project",IF(ISNA(MATCH(D77,ProjNames,0)),"Project not in list",IF(G77="","Add task description",IF(H77="","Pick NTIME or P6",IF(N(I77)&lt;=0,"Enter hours",IF(AND(AllowOT&lt;&gt;"Yes",SUMIF($B$7:$B$256,B77,$I$7:$I$256)&gt;INDEX($O$58:$O$88,DAY(B77))),"Day over "&amp;INDEX($O$58:$O$88,DAY(B77))&amp;" h","✓")))))))))</f>
        <v/>
      </c>
      <c r="K77" s="1"/>
      <c r="L77" s="35" t="n">
        <v>46223</v>
      </c>
      <c r="M77" s="36" t="str">
        <f aca="false">TEXT(L77,"ddd")</f>
        <v>Mon</v>
      </c>
      <c r="N77" s="37" t="s">
        <v>93</v>
      </c>
      <c r="O77" s="37" t="n">
        <f aca="false">AvailHours</f>
        <v>8</v>
      </c>
      <c r="P77" s="24" t="n">
        <f aca="false">SUMIFS($I$7:$I$256,$B$7:$B$256,L77,$H$7:$H$256,"NTIME")</f>
        <v>0</v>
      </c>
      <c r="Q77" s="24" t="n">
        <f aca="false">SUMIFS($I$7:$I$256,$B$7:$B$256,L77,$H$7:$H$256,"P6")</f>
        <v>0</v>
      </c>
      <c r="R77" s="24" t="n">
        <f aca="false">IF(N77="Overhead only",O77,IF(AND(N77="Working",P77+Q77&gt;0),MAX(0,O77-P77-Q77),0))</f>
        <v>0</v>
      </c>
      <c r="S77" s="24" t="n">
        <f aca="false">IF(OR(N77="Working",N77="Overhead only"),MAX(0,P77+Q77-O77),0)</f>
        <v>0</v>
      </c>
      <c r="T77" s="24" t="n">
        <f aca="false">P77+Q77+R77</f>
        <v>0</v>
      </c>
      <c r="U77" s="24" t="str">
        <f aca="true">IF(N77="Working",IF(P77+Q77=0,IF(L77&lt;=TODAY(),"Not logged",""),IF(P77+Q77&gt;O77,IF(AllowOT="Yes","Overtime","Over "&amp;O77&amp;" h!"),"✓")),IF(N77="Overhead only","✓ Overhead day",IF(P77+Q77&gt;0,"Entries on "&amp;LOWER(N77)&amp;" day",N77)))</f>
        <v>Not logged</v>
      </c>
      <c r="V77" s="1"/>
      <c r="W77" s="1" t="str">
        <f aca="false">IF(Projects!B75="","",Projects!B75)</f>
        <v/>
      </c>
      <c r="X77" s="1" t="n">
        <f aca="false">IF(W77="",0,SUMIFS($I$7:$I$256,$D$7:$D$256,W77,$H$7:$H$256,"NTIME"))</f>
        <v>0</v>
      </c>
      <c r="Y77" s="1" t="n">
        <f aca="false">IF(W77="",0,SUMIFS($I$7:$I$256,$D$7:$D$256,W77,$H$7:$H$256,"P6"))</f>
        <v>0</v>
      </c>
      <c r="Z77" s="1" t="n">
        <f aca="false">X77+Y77</f>
        <v>0</v>
      </c>
      <c r="AA77" s="1" t="n">
        <f aca="false">IF(Z77&gt;0,Z77+(201-71)/10^6,0)</f>
        <v>0</v>
      </c>
      <c r="AB77" s="1"/>
      <c r="AC77" s="1"/>
      <c r="AD77" s="1"/>
      <c r="AE77" s="1"/>
      <c r="AF77" s="1"/>
      <c r="AG77" s="1"/>
      <c r="AH77" s="1"/>
    </row>
    <row r="78" customFormat="false" ht="15" hidden="false" customHeight="false" outlineLevel="0" collapsed="false">
      <c r="A78" s="1"/>
      <c r="B78" s="10"/>
      <c r="C78" s="31" t="str">
        <f aca="false">IF(B78="","",TEXT(B78,"ddd"))</f>
        <v/>
      </c>
      <c r="D78" s="11"/>
      <c r="E78" s="8" t="str">
        <f aca="false">IF(D78="","",IFERROR(INDEX(ProjNumbers,MATCH(D78,ProjNames,0)),""))</f>
        <v/>
      </c>
      <c r="F78" s="8" t="str">
        <f aca="false">IF(D78="","",IFERROR(INDEX(ProjCodes,MATCH(D78,ProjNames,0)),""))</f>
        <v/>
      </c>
      <c r="G78" s="32"/>
      <c r="H78" s="11"/>
      <c r="I78" s="33"/>
      <c r="J78" s="8" t="str">
        <f aca="false">IF(COUNTA(B78,D78,G78,H78,I78)=0,"",IF(B78="","Enter date",IF(OR(B78&lt;$AC$2,B78&gt;$AC$3),"Date not in July",IF(D78="","Pick project",IF(ISNA(MATCH(D78,ProjNames,0)),"Project not in list",IF(G78="","Add task description",IF(H78="","Pick NTIME or P6",IF(N(I78)&lt;=0,"Enter hours",IF(AND(AllowOT&lt;&gt;"Yes",SUMIF($B$7:$B$256,B78,$I$7:$I$256)&gt;INDEX($O$58:$O$88,DAY(B78))),"Day over "&amp;INDEX($O$58:$O$88,DAY(B78))&amp;" h","✓")))))))))</f>
        <v/>
      </c>
      <c r="K78" s="1"/>
      <c r="L78" s="35" t="n">
        <v>46224</v>
      </c>
      <c r="M78" s="36" t="str">
        <f aca="false">TEXT(L78,"ddd")</f>
        <v>Tue</v>
      </c>
      <c r="N78" s="37" t="s">
        <v>93</v>
      </c>
      <c r="O78" s="37" t="n">
        <f aca="false">AvailHours</f>
        <v>8</v>
      </c>
      <c r="P78" s="24" t="n">
        <f aca="false">SUMIFS($I$7:$I$256,$B$7:$B$256,L78,$H$7:$H$256,"NTIME")</f>
        <v>0</v>
      </c>
      <c r="Q78" s="24" t="n">
        <f aca="false">SUMIFS($I$7:$I$256,$B$7:$B$256,L78,$H$7:$H$256,"P6")</f>
        <v>0</v>
      </c>
      <c r="R78" s="24" t="n">
        <f aca="false">IF(N78="Overhead only",O78,IF(AND(N78="Working",P78+Q78&gt;0),MAX(0,O78-P78-Q78),0))</f>
        <v>0</v>
      </c>
      <c r="S78" s="24" t="n">
        <f aca="false">IF(OR(N78="Working",N78="Overhead only"),MAX(0,P78+Q78-O78),0)</f>
        <v>0</v>
      </c>
      <c r="T78" s="24" t="n">
        <f aca="false">P78+Q78+R78</f>
        <v>0</v>
      </c>
      <c r="U78" s="24" t="str">
        <f aca="true">IF(N78="Working",IF(P78+Q78=0,IF(L78&lt;=TODAY(),"Not logged",""),IF(P78+Q78&gt;O78,IF(AllowOT="Yes","Overtime","Over "&amp;O78&amp;" h!"),"✓")),IF(N78="Overhead only","✓ Overhead day",IF(P78+Q78&gt;0,"Entries on "&amp;LOWER(N78)&amp;" day",N78)))</f>
        <v>Not logged</v>
      </c>
      <c r="V78" s="1"/>
      <c r="W78" s="1" t="str">
        <f aca="false">IF(Projects!B76="","",Projects!B76)</f>
        <v/>
      </c>
      <c r="X78" s="1" t="n">
        <f aca="false">IF(W78="",0,SUMIFS($I$7:$I$256,$D$7:$D$256,W78,$H$7:$H$256,"NTIME"))</f>
        <v>0</v>
      </c>
      <c r="Y78" s="1" t="n">
        <f aca="false">IF(W78="",0,SUMIFS($I$7:$I$256,$D$7:$D$256,W78,$H$7:$H$256,"P6"))</f>
        <v>0</v>
      </c>
      <c r="Z78" s="1" t="n">
        <f aca="false">X78+Y78</f>
        <v>0</v>
      </c>
      <c r="AA78" s="1" t="n">
        <f aca="false">IF(Z78&gt;0,Z78+(201-72)/10^6,0)</f>
        <v>0</v>
      </c>
      <c r="AB78" s="1"/>
      <c r="AC78" s="1"/>
      <c r="AD78" s="1"/>
      <c r="AE78" s="1"/>
      <c r="AF78" s="1"/>
      <c r="AG78" s="1"/>
      <c r="AH78" s="1"/>
    </row>
    <row r="79" customFormat="false" ht="15" hidden="false" customHeight="false" outlineLevel="0" collapsed="false">
      <c r="A79" s="1"/>
      <c r="B79" s="10"/>
      <c r="C79" s="31" t="str">
        <f aca="false">IF(B79="","",TEXT(B79,"ddd"))</f>
        <v/>
      </c>
      <c r="D79" s="11"/>
      <c r="E79" s="8" t="str">
        <f aca="false">IF(D79="","",IFERROR(INDEX(ProjNumbers,MATCH(D79,ProjNames,0)),""))</f>
        <v/>
      </c>
      <c r="F79" s="8" t="str">
        <f aca="false">IF(D79="","",IFERROR(INDEX(ProjCodes,MATCH(D79,ProjNames,0)),""))</f>
        <v/>
      </c>
      <c r="G79" s="32"/>
      <c r="H79" s="11"/>
      <c r="I79" s="33"/>
      <c r="J79" s="8" t="str">
        <f aca="false">IF(COUNTA(B79,D79,G79,H79,I79)=0,"",IF(B79="","Enter date",IF(OR(B79&lt;$AC$2,B79&gt;$AC$3),"Date not in July",IF(D79="","Pick project",IF(ISNA(MATCH(D79,ProjNames,0)),"Project not in list",IF(G79="","Add task description",IF(H79="","Pick NTIME or P6",IF(N(I79)&lt;=0,"Enter hours",IF(AND(AllowOT&lt;&gt;"Yes",SUMIF($B$7:$B$256,B79,$I$7:$I$256)&gt;INDEX($O$58:$O$88,DAY(B79))),"Day over "&amp;INDEX($O$58:$O$88,DAY(B79))&amp;" h","✓")))))))))</f>
        <v/>
      </c>
      <c r="K79" s="1"/>
      <c r="L79" s="35" t="n">
        <v>46225</v>
      </c>
      <c r="M79" s="36" t="str">
        <f aca="false">TEXT(L79,"ddd")</f>
        <v>Wed</v>
      </c>
      <c r="N79" s="37" t="s">
        <v>93</v>
      </c>
      <c r="O79" s="37" t="n">
        <f aca="false">AvailHours</f>
        <v>8</v>
      </c>
      <c r="P79" s="24" t="n">
        <f aca="false">SUMIFS($I$7:$I$256,$B$7:$B$256,L79,$H$7:$H$256,"NTIME")</f>
        <v>0</v>
      </c>
      <c r="Q79" s="24" t="n">
        <f aca="false">SUMIFS($I$7:$I$256,$B$7:$B$256,L79,$H$7:$H$256,"P6")</f>
        <v>0</v>
      </c>
      <c r="R79" s="24" t="n">
        <f aca="false">IF(N79="Overhead only",O79,IF(AND(N79="Working",P79+Q79&gt;0),MAX(0,O79-P79-Q79),0))</f>
        <v>0</v>
      </c>
      <c r="S79" s="24" t="n">
        <f aca="false">IF(OR(N79="Working",N79="Overhead only"),MAX(0,P79+Q79-O79),0)</f>
        <v>0</v>
      </c>
      <c r="T79" s="24" t="n">
        <f aca="false">P79+Q79+R79</f>
        <v>0</v>
      </c>
      <c r="U79" s="24" t="str">
        <f aca="true">IF(N79="Working",IF(P79+Q79=0,IF(L79&lt;=TODAY(),"Not logged",""),IF(P79+Q79&gt;O79,IF(AllowOT="Yes","Overtime","Over "&amp;O79&amp;" h!"),"✓")),IF(N79="Overhead only","✓ Overhead day",IF(P79+Q79&gt;0,"Entries on "&amp;LOWER(N79)&amp;" day",N79)))</f>
        <v>Not logged</v>
      </c>
      <c r="V79" s="1"/>
      <c r="W79" s="1" t="str">
        <f aca="false">IF(Projects!B77="","",Projects!B77)</f>
        <v/>
      </c>
      <c r="X79" s="1" t="n">
        <f aca="false">IF(W79="",0,SUMIFS($I$7:$I$256,$D$7:$D$256,W79,$H$7:$H$256,"NTIME"))</f>
        <v>0</v>
      </c>
      <c r="Y79" s="1" t="n">
        <f aca="false">IF(W79="",0,SUMIFS($I$7:$I$256,$D$7:$D$256,W79,$H$7:$H$256,"P6"))</f>
        <v>0</v>
      </c>
      <c r="Z79" s="1" t="n">
        <f aca="false">X79+Y79</f>
        <v>0</v>
      </c>
      <c r="AA79" s="1" t="n">
        <f aca="false">IF(Z79&gt;0,Z79+(201-73)/10^6,0)</f>
        <v>0</v>
      </c>
      <c r="AB79" s="1"/>
      <c r="AC79" s="1"/>
      <c r="AD79" s="1"/>
      <c r="AE79" s="1"/>
      <c r="AF79" s="1"/>
      <c r="AG79" s="1"/>
      <c r="AH79" s="1"/>
    </row>
    <row r="80" customFormat="false" ht="15" hidden="false" customHeight="false" outlineLevel="0" collapsed="false">
      <c r="A80" s="1"/>
      <c r="B80" s="10"/>
      <c r="C80" s="31" t="str">
        <f aca="false">IF(B80="","",TEXT(B80,"ddd"))</f>
        <v/>
      </c>
      <c r="D80" s="11"/>
      <c r="E80" s="8" t="str">
        <f aca="false">IF(D80="","",IFERROR(INDEX(ProjNumbers,MATCH(D80,ProjNames,0)),""))</f>
        <v/>
      </c>
      <c r="F80" s="8" t="str">
        <f aca="false">IF(D80="","",IFERROR(INDEX(ProjCodes,MATCH(D80,ProjNames,0)),""))</f>
        <v/>
      </c>
      <c r="G80" s="32"/>
      <c r="H80" s="11"/>
      <c r="I80" s="33"/>
      <c r="J80" s="8" t="str">
        <f aca="false">IF(COUNTA(B80,D80,G80,H80,I80)=0,"",IF(B80="","Enter date",IF(OR(B80&lt;$AC$2,B80&gt;$AC$3),"Date not in July",IF(D80="","Pick project",IF(ISNA(MATCH(D80,ProjNames,0)),"Project not in list",IF(G80="","Add task description",IF(H80="","Pick NTIME or P6",IF(N(I80)&lt;=0,"Enter hours",IF(AND(AllowOT&lt;&gt;"Yes",SUMIF($B$7:$B$256,B80,$I$7:$I$256)&gt;INDEX($O$58:$O$88,DAY(B80))),"Day over "&amp;INDEX($O$58:$O$88,DAY(B80))&amp;" h","✓")))))))))</f>
        <v/>
      </c>
      <c r="K80" s="1"/>
      <c r="L80" s="35" t="n">
        <v>46226</v>
      </c>
      <c r="M80" s="36" t="str">
        <f aca="false">TEXT(L80,"ddd")</f>
        <v>Thu</v>
      </c>
      <c r="N80" s="37" t="s">
        <v>93</v>
      </c>
      <c r="O80" s="37" t="n">
        <f aca="false">AvailHours</f>
        <v>8</v>
      </c>
      <c r="P80" s="24" t="n">
        <f aca="false">SUMIFS($I$7:$I$256,$B$7:$B$256,L80,$H$7:$H$256,"NTIME")</f>
        <v>0</v>
      </c>
      <c r="Q80" s="24" t="n">
        <f aca="false">SUMIFS($I$7:$I$256,$B$7:$B$256,L80,$H$7:$H$256,"P6")</f>
        <v>0</v>
      </c>
      <c r="R80" s="24" t="n">
        <f aca="false">IF(N80="Overhead only",O80,IF(AND(N80="Working",P80+Q80&gt;0),MAX(0,O80-P80-Q80),0))</f>
        <v>0</v>
      </c>
      <c r="S80" s="24" t="n">
        <f aca="false">IF(OR(N80="Working",N80="Overhead only"),MAX(0,P80+Q80-O80),0)</f>
        <v>0</v>
      </c>
      <c r="T80" s="24" t="n">
        <f aca="false">P80+Q80+R80</f>
        <v>0</v>
      </c>
      <c r="U80" s="24" t="str">
        <f aca="true">IF(N80="Working",IF(P80+Q80=0,IF(L80&lt;=TODAY(),"Not logged",""),IF(P80+Q80&gt;O80,IF(AllowOT="Yes","Overtime","Over "&amp;O80&amp;" h!"),"✓")),IF(N80="Overhead only","✓ Overhead day",IF(P80+Q80&gt;0,"Entries on "&amp;LOWER(N80)&amp;" day",N80)))</f>
        <v>Not logged</v>
      </c>
      <c r="V80" s="1"/>
      <c r="W80" s="1" t="str">
        <f aca="false">IF(Projects!B78="","",Projects!B78)</f>
        <v/>
      </c>
      <c r="X80" s="1" t="n">
        <f aca="false">IF(W80="",0,SUMIFS($I$7:$I$256,$D$7:$D$256,W80,$H$7:$H$256,"NTIME"))</f>
        <v>0</v>
      </c>
      <c r="Y80" s="1" t="n">
        <f aca="false">IF(W80="",0,SUMIFS($I$7:$I$256,$D$7:$D$256,W80,$H$7:$H$256,"P6"))</f>
        <v>0</v>
      </c>
      <c r="Z80" s="1" t="n">
        <f aca="false">X80+Y80</f>
        <v>0</v>
      </c>
      <c r="AA80" s="1" t="n">
        <f aca="false">IF(Z80&gt;0,Z80+(201-74)/10^6,0)</f>
        <v>0</v>
      </c>
      <c r="AB80" s="1"/>
      <c r="AC80" s="1"/>
      <c r="AD80" s="1"/>
      <c r="AE80" s="1"/>
      <c r="AF80" s="1"/>
      <c r="AG80" s="1"/>
      <c r="AH80" s="1"/>
    </row>
    <row r="81" customFormat="false" ht="15" hidden="false" customHeight="false" outlineLevel="0" collapsed="false">
      <c r="A81" s="1"/>
      <c r="B81" s="10"/>
      <c r="C81" s="31" t="str">
        <f aca="false">IF(B81="","",TEXT(B81,"ddd"))</f>
        <v/>
      </c>
      <c r="D81" s="11"/>
      <c r="E81" s="8" t="str">
        <f aca="false">IF(D81="","",IFERROR(INDEX(ProjNumbers,MATCH(D81,ProjNames,0)),""))</f>
        <v/>
      </c>
      <c r="F81" s="8" t="str">
        <f aca="false">IF(D81="","",IFERROR(INDEX(ProjCodes,MATCH(D81,ProjNames,0)),""))</f>
        <v/>
      </c>
      <c r="G81" s="32"/>
      <c r="H81" s="11"/>
      <c r="I81" s="33"/>
      <c r="J81" s="8" t="str">
        <f aca="false">IF(COUNTA(B81,D81,G81,H81,I81)=0,"",IF(B81="","Enter date",IF(OR(B81&lt;$AC$2,B81&gt;$AC$3),"Date not in July",IF(D81="","Pick project",IF(ISNA(MATCH(D81,ProjNames,0)),"Project not in list",IF(G81="","Add task description",IF(H81="","Pick NTIME or P6",IF(N(I81)&lt;=0,"Enter hours",IF(AND(AllowOT&lt;&gt;"Yes",SUMIF($B$7:$B$256,B81,$I$7:$I$256)&gt;INDEX($O$58:$O$88,DAY(B81))),"Day over "&amp;INDEX($O$58:$O$88,DAY(B81))&amp;" h","✓")))))))))</f>
        <v/>
      </c>
      <c r="K81" s="1"/>
      <c r="L81" s="35" t="n">
        <v>46227</v>
      </c>
      <c r="M81" s="36" t="str">
        <f aca="false">TEXT(L81,"ddd")</f>
        <v>Fri</v>
      </c>
      <c r="N81" s="37" t="s">
        <v>93</v>
      </c>
      <c r="O81" s="37" t="n">
        <f aca="false">AvailHours</f>
        <v>8</v>
      </c>
      <c r="P81" s="24" t="n">
        <f aca="false">SUMIFS($I$7:$I$256,$B$7:$B$256,L81,$H$7:$H$256,"NTIME")</f>
        <v>0</v>
      </c>
      <c r="Q81" s="24" t="n">
        <f aca="false">SUMIFS($I$7:$I$256,$B$7:$B$256,L81,$H$7:$H$256,"P6")</f>
        <v>0</v>
      </c>
      <c r="R81" s="24" t="n">
        <f aca="false">IF(N81="Overhead only",O81,IF(AND(N81="Working",P81+Q81&gt;0),MAX(0,O81-P81-Q81),0))</f>
        <v>0</v>
      </c>
      <c r="S81" s="24" t="n">
        <f aca="false">IF(OR(N81="Working",N81="Overhead only"),MAX(0,P81+Q81-O81),0)</f>
        <v>0</v>
      </c>
      <c r="T81" s="24" t="n">
        <f aca="false">P81+Q81+R81</f>
        <v>0</v>
      </c>
      <c r="U81" s="24" t="str">
        <f aca="true">IF(N81="Working",IF(P81+Q81=0,IF(L81&lt;=TODAY(),"Not logged",""),IF(P81+Q81&gt;O81,IF(AllowOT="Yes","Overtime","Over "&amp;O81&amp;" h!"),"✓")),IF(N81="Overhead only","✓ Overhead day",IF(P81+Q81&gt;0,"Entries on "&amp;LOWER(N81)&amp;" day",N81)))</f>
        <v>Not logged</v>
      </c>
      <c r="V81" s="1"/>
      <c r="W81" s="1" t="str">
        <f aca="false">IF(Projects!B79="","",Projects!B79)</f>
        <v/>
      </c>
      <c r="X81" s="1" t="n">
        <f aca="false">IF(W81="",0,SUMIFS($I$7:$I$256,$D$7:$D$256,W81,$H$7:$H$256,"NTIME"))</f>
        <v>0</v>
      </c>
      <c r="Y81" s="1" t="n">
        <f aca="false">IF(W81="",0,SUMIFS($I$7:$I$256,$D$7:$D$256,W81,$H$7:$H$256,"P6"))</f>
        <v>0</v>
      </c>
      <c r="Z81" s="1" t="n">
        <f aca="false">X81+Y81</f>
        <v>0</v>
      </c>
      <c r="AA81" s="1" t="n">
        <f aca="false">IF(Z81&gt;0,Z81+(201-75)/10^6,0)</f>
        <v>0</v>
      </c>
      <c r="AB81" s="1"/>
      <c r="AC81" s="1"/>
      <c r="AD81" s="1"/>
      <c r="AE81" s="1"/>
      <c r="AF81" s="1"/>
      <c r="AG81" s="1"/>
      <c r="AH81" s="1"/>
    </row>
    <row r="82" customFormat="false" ht="15" hidden="false" customHeight="false" outlineLevel="0" collapsed="false">
      <c r="A82" s="1"/>
      <c r="B82" s="10"/>
      <c r="C82" s="31" t="str">
        <f aca="false">IF(B82="","",TEXT(B82,"ddd"))</f>
        <v/>
      </c>
      <c r="D82" s="11"/>
      <c r="E82" s="8" t="str">
        <f aca="false">IF(D82="","",IFERROR(INDEX(ProjNumbers,MATCH(D82,ProjNames,0)),""))</f>
        <v/>
      </c>
      <c r="F82" s="8" t="str">
        <f aca="false">IF(D82="","",IFERROR(INDEX(ProjCodes,MATCH(D82,ProjNames,0)),""))</f>
        <v/>
      </c>
      <c r="G82" s="32"/>
      <c r="H82" s="11"/>
      <c r="I82" s="33"/>
      <c r="J82" s="8" t="str">
        <f aca="false">IF(COUNTA(B82,D82,G82,H82,I82)=0,"",IF(B82="","Enter date",IF(OR(B82&lt;$AC$2,B82&gt;$AC$3),"Date not in July",IF(D82="","Pick project",IF(ISNA(MATCH(D82,ProjNames,0)),"Project not in list",IF(G82="","Add task description",IF(H82="","Pick NTIME or P6",IF(N(I82)&lt;=0,"Enter hours",IF(AND(AllowOT&lt;&gt;"Yes",SUMIF($B$7:$B$256,B82,$I$7:$I$256)&gt;INDEX($O$58:$O$88,DAY(B82))),"Day over "&amp;INDEX($O$58:$O$88,DAY(B82))&amp;" h","✓")))))))))</f>
        <v/>
      </c>
      <c r="K82" s="1"/>
      <c r="L82" s="35" t="n">
        <v>46228</v>
      </c>
      <c r="M82" s="36" t="str">
        <f aca="false">TEXT(L82,"ddd")</f>
        <v>Sat</v>
      </c>
      <c r="N82" s="37" t="s">
        <v>94</v>
      </c>
      <c r="O82" s="37" t="n">
        <f aca="false">AvailHours</f>
        <v>8</v>
      </c>
      <c r="P82" s="24" t="n">
        <f aca="false">SUMIFS($I$7:$I$256,$B$7:$B$256,L82,$H$7:$H$256,"NTIME")</f>
        <v>0</v>
      </c>
      <c r="Q82" s="24" t="n">
        <f aca="false">SUMIFS($I$7:$I$256,$B$7:$B$256,L82,$H$7:$H$256,"P6")</f>
        <v>0</v>
      </c>
      <c r="R82" s="24" t="n">
        <f aca="false">IF(N82="Overhead only",O82,IF(AND(N82="Working",P82+Q82&gt;0),MAX(0,O82-P82-Q82),0))</f>
        <v>0</v>
      </c>
      <c r="S82" s="24" t="n">
        <f aca="false">IF(OR(N82="Working",N82="Overhead only"),MAX(0,P82+Q82-O82),0)</f>
        <v>0</v>
      </c>
      <c r="T82" s="24" t="n">
        <f aca="false">P82+Q82+R82</f>
        <v>0</v>
      </c>
      <c r="U82" s="24" t="str">
        <f aca="true">IF(N82="Working",IF(P82+Q82=0,IF(L82&lt;=TODAY(),"Not logged",""),IF(P82+Q82&gt;O82,IF(AllowOT="Yes","Overtime","Over "&amp;O82&amp;" h!"),"✓")),IF(N82="Overhead only","✓ Overhead day",IF(P82+Q82&gt;0,"Entries on "&amp;LOWER(N82)&amp;" day",N82)))</f>
        <v>Weekend</v>
      </c>
      <c r="V82" s="1"/>
      <c r="W82" s="1" t="str">
        <f aca="false">IF(Projects!B80="","",Projects!B80)</f>
        <v/>
      </c>
      <c r="X82" s="1" t="n">
        <f aca="false">IF(W82="",0,SUMIFS($I$7:$I$256,$D$7:$D$256,W82,$H$7:$H$256,"NTIME"))</f>
        <v>0</v>
      </c>
      <c r="Y82" s="1" t="n">
        <f aca="false">IF(W82="",0,SUMIFS($I$7:$I$256,$D$7:$D$256,W82,$H$7:$H$256,"P6"))</f>
        <v>0</v>
      </c>
      <c r="Z82" s="1" t="n">
        <f aca="false">X82+Y82</f>
        <v>0</v>
      </c>
      <c r="AA82" s="1" t="n">
        <f aca="false">IF(Z82&gt;0,Z82+(201-76)/10^6,0)</f>
        <v>0</v>
      </c>
      <c r="AB82" s="1"/>
      <c r="AC82" s="1"/>
      <c r="AD82" s="1"/>
      <c r="AE82" s="1"/>
      <c r="AF82" s="1"/>
      <c r="AG82" s="1"/>
      <c r="AH82" s="1"/>
    </row>
    <row r="83" customFormat="false" ht="15" hidden="false" customHeight="false" outlineLevel="0" collapsed="false">
      <c r="A83" s="1"/>
      <c r="B83" s="10"/>
      <c r="C83" s="31" t="str">
        <f aca="false">IF(B83="","",TEXT(B83,"ddd"))</f>
        <v/>
      </c>
      <c r="D83" s="11"/>
      <c r="E83" s="8" t="str">
        <f aca="false">IF(D83="","",IFERROR(INDEX(ProjNumbers,MATCH(D83,ProjNames,0)),""))</f>
        <v/>
      </c>
      <c r="F83" s="8" t="str">
        <f aca="false">IF(D83="","",IFERROR(INDEX(ProjCodes,MATCH(D83,ProjNames,0)),""))</f>
        <v/>
      </c>
      <c r="G83" s="32"/>
      <c r="H83" s="11"/>
      <c r="I83" s="33"/>
      <c r="J83" s="8" t="str">
        <f aca="false">IF(COUNTA(B83,D83,G83,H83,I83)=0,"",IF(B83="","Enter date",IF(OR(B83&lt;$AC$2,B83&gt;$AC$3),"Date not in July",IF(D83="","Pick project",IF(ISNA(MATCH(D83,ProjNames,0)),"Project not in list",IF(G83="","Add task description",IF(H83="","Pick NTIME or P6",IF(N(I83)&lt;=0,"Enter hours",IF(AND(AllowOT&lt;&gt;"Yes",SUMIF($B$7:$B$256,B83,$I$7:$I$256)&gt;INDEX($O$58:$O$88,DAY(B83))),"Day over "&amp;INDEX($O$58:$O$88,DAY(B83))&amp;" h","✓")))))))))</f>
        <v/>
      </c>
      <c r="K83" s="1"/>
      <c r="L83" s="35" t="n">
        <v>46229</v>
      </c>
      <c r="M83" s="36" t="str">
        <f aca="false">TEXT(L83,"ddd")</f>
        <v>Sun</v>
      </c>
      <c r="N83" s="37" t="s">
        <v>94</v>
      </c>
      <c r="O83" s="37" t="n">
        <f aca="false">AvailHours</f>
        <v>8</v>
      </c>
      <c r="P83" s="24" t="n">
        <f aca="false">SUMIFS($I$7:$I$256,$B$7:$B$256,L83,$H$7:$H$256,"NTIME")</f>
        <v>0</v>
      </c>
      <c r="Q83" s="24" t="n">
        <f aca="false">SUMIFS($I$7:$I$256,$B$7:$B$256,L83,$H$7:$H$256,"P6")</f>
        <v>0</v>
      </c>
      <c r="R83" s="24" t="n">
        <f aca="false">IF(N83="Overhead only",O83,IF(AND(N83="Working",P83+Q83&gt;0),MAX(0,O83-P83-Q83),0))</f>
        <v>0</v>
      </c>
      <c r="S83" s="24" t="n">
        <f aca="false">IF(OR(N83="Working",N83="Overhead only"),MAX(0,P83+Q83-O83),0)</f>
        <v>0</v>
      </c>
      <c r="T83" s="24" t="n">
        <f aca="false">P83+Q83+R83</f>
        <v>0</v>
      </c>
      <c r="U83" s="24" t="str">
        <f aca="true">IF(N83="Working",IF(P83+Q83=0,IF(L83&lt;=TODAY(),"Not logged",""),IF(P83+Q83&gt;O83,IF(AllowOT="Yes","Overtime","Over "&amp;O83&amp;" h!"),"✓")),IF(N83="Overhead only","✓ Overhead day",IF(P83+Q83&gt;0,"Entries on "&amp;LOWER(N83)&amp;" day",N83)))</f>
        <v>Weekend</v>
      </c>
      <c r="V83" s="1"/>
      <c r="W83" s="1" t="str">
        <f aca="false">IF(Projects!B81="","",Projects!B81)</f>
        <v/>
      </c>
      <c r="X83" s="1" t="n">
        <f aca="false">IF(W83="",0,SUMIFS($I$7:$I$256,$D$7:$D$256,W83,$H$7:$H$256,"NTIME"))</f>
        <v>0</v>
      </c>
      <c r="Y83" s="1" t="n">
        <f aca="false">IF(W83="",0,SUMIFS($I$7:$I$256,$D$7:$D$256,W83,$H$7:$H$256,"P6"))</f>
        <v>0</v>
      </c>
      <c r="Z83" s="1" t="n">
        <f aca="false">X83+Y83</f>
        <v>0</v>
      </c>
      <c r="AA83" s="1" t="n">
        <f aca="false">IF(Z83&gt;0,Z83+(201-77)/10^6,0)</f>
        <v>0</v>
      </c>
      <c r="AB83" s="1"/>
      <c r="AC83" s="1"/>
      <c r="AD83" s="1"/>
      <c r="AE83" s="1"/>
      <c r="AF83" s="1"/>
      <c r="AG83" s="1"/>
      <c r="AH83" s="1"/>
    </row>
    <row r="84" customFormat="false" ht="15" hidden="false" customHeight="false" outlineLevel="0" collapsed="false">
      <c r="A84" s="1"/>
      <c r="B84" s="10"/>
      <c r="C84" s="31" t="str">
        <f aca="false">IF(B84="","",TEXT(B84,"ddd"))</f>
        <v/>
      </c>
      <c r="D84" s="11"/>
      <c r="E84" s="8" t="str">
        <f aca="false">IF(D84="","",IFERROR(INDEX(ProjNumbers,MATCH(D84,ProjNames,0)),""))</f>
        <v/>
      </c>
      <c r="F84" s="8" t="str">
        <f aca="false">IF(D84="","",IFERROR(INDEX(ProjCodes,MATCH(D84,ProjNames,0)),""))</f>
        <v/>
      </c>
      <c r="G84" s="32"/>
      <c r="H84" s="11"/>
      <c r="I84" s="33"/>
      <c r="J84" s="8" t="str">
        <f aca="false">IF(COUNTA(B84,D84,G84,H84,I84)=0,"",IF(B84="","Enter date",IF(OR(B84&lt;$AC$2,B84&gt;$AC$3),"Date not in July",IF(D84="","Pick project",IF(ISNA(MATCH(D84,ProjNames,0)),"Project not in list",IF(G84="","Add task description",IF(H84="","Pick NTIME or P6",IF(N(I84)&lt;=0,"Enter hours",IF(AND(AllowOT&lt;&gt;"Yes",SUMIF($B$7:$B$256,B84,$I$7:$I$256)&gt;INDEX($O$58:$O$88,DAY(B84))),"Day over "&amp;INDEX($O$58:$O$88,DAY(B84))&amp;" h","✓")))))))))</f>
        <v/>
      </c>
      <c r="K84" s="1"/>
      <c r="L84" s="35" t="n">
        <v>46230</v>
      </c>
      <c r="M84" s="36" t="str">
        <f aca="false">TEXT(L84,"ddd")</f>
        <v>Mon</v>
      </c>
      <c r="N84" s="37" t="s">
        <v>93</v>
      </c>
      <c r="O84" s="37" t="n">
        <f aca="false">AvailHours</f>
        <v>8</v>
      </c>
      <c r="P84" s="24" t="n">
        <f aca="false">SUMIFS($I$7:$I$256,$B$7:$B$256,L84,$H$7:$H$256,"NTIME")</f>
        <v>0</v>
      </c>
      <c r="Q84" s="24" t="n">
        <f aca="false">SUMIFS($I$7:$I$256,$B$7:$B$256,L84,$H$7:$H$256,"P6")</f>
        <v>0</v>
      </c>
      <c r="R84" s="24" t="n">
        <f aca="false">IF(N84="Overhead only",O84,IF(AND(N84="Working",P84+Q84&gt;0),MAX(0,O84-P84-Q84),0))</f>
        <v>0</v>
      </c>
      <c r="S84" s="24" t="n">
        <f aca="false">IF(OR(N84="Working",N84="Overhead only"),MAX(0,P84+Q84-O84),0)</f>
        <v>0</v>
      </c>
      <c r="T84" s="24" t="n">
        <f aca="false">P84+Q84+R84</f>
        <v>0</v>
      </c>
      <c r="U84" s="24" t="str">
        <f aca="true">IF(N84="Working",IF(P84+Q84=0,IF(L84&lt;=TODAY(),"Not logged",""),IF(P84+Q84&gt;O84,IF(AllowOT="Yes","Overtime","Over "&amp;O84&amp;" h!"),"✓")),IF(N84="Overhead only","✓ Overhead day",IF(P84+Q84&gt;0,"Entries on "&amp;LOWER(N84)&amp;" day",N84)))</f>
        <v>Not logged</v>
      </c>
      <c r="V84" s="1"/>
      <c r="W84" s="1" t="str">
        <f aca="false">IF(Projects!B82="","",Projects!B82)</f>
        <v/>
      </c>
      <c r="X84" s="1" t="n">
        <f aca="false">IF(W84="",0,SUMIFS($I$7:$I$256,$D$7:$D$256,W84,$H$7:$H$256,"NTIME"))</f>
        <v>0</v>
      </c>
      <c r="Y84" s="1" t="n">
        <f aca="false">IF(W84="",0,SUMIFS($I$7:$I$256,$D$7:$D$256,W84,$H$7:$H$256,"P6"))</f>
        <v>0</v>
      </c>
      <c r="Z84" s="1" t="n">
        <f aca="false">X84+Y84</f>
        <v>0</v>
      </c>
      <c r="AA84" s="1" t="n">
        <f aca="false">IF(Z84&gt;0,Z84+(201-78)/10^6,0)</f>
        <v>0</v>
      </c>
      <c r="AB84" s="1"/>
      <c r="AC84" s="1"/>
      <c r="AD84" s="1"/>
      <c r="AE84" s="1"/>
      <c r="AF84" s="1"/>
      <c r="AG84" s="1"/>
      <c r="AH84" s="1"/>
    </row>
    <row r="85" customFormat="false" ht="15" hidden="false" customHeight="false" outlineLevel="0" collapsed="false">
      <c r="A85" s="1"/>
      <c r="B85" s="10"/>
      <c r="C85" s="31" t="str">
        <f aca="false">IF(B85="","",TEXT(B85,"ddd"))</f>
        <v/>
      </c>
      <c r="D85" s="11"/>
      <c r="E85" s="8" t="str">
        <f aca="false">IF(D85="","",IFERROR(INDEX(ProjNumbers,MATCH(D85,ProjNames,0)),""))</f>
        <v/>
      </c>
      <c r="F85" s="8" t="str">
        <f aca="false">IF(D85="","",IFERROR(INDEX(ProjCodes,MATCH(D85,ProjNames,0)),""))</f>
        <v/>
      </c>
      <c r="G85" s="32"/>
      <c r="H85" s="11"/>
      <c r="I85" s="33"/>
      <c r="J85" s="8" t="str">
        <f aca="false">IF(COUNTA(B85,D85,G85,H85,I85)=0,"",IF(B85="","Enter date",IF(OR(B85&lt;$AC$2,B85&gt;$AC$3),"Date not in July",IF(D85="","Pick project",IF(ISNA(MATCH(D85,ProjNames,0)),"Project not in list",IF(G85="","Add task description",IF(H85="","Pick NTIME or P6",IF(N(I85)&lt;=0,"Enter hours",IF(AND(AllowOT&lt;&gt;"Yes",SUMIF($B$7:$B$256,B85,$I$7:$I$256)&gt;INDEX($O$58:$O$88,DAY(B85))),"Day over "&amp;INDEX($O$58:$O$88,DAY(B85))&amp;" h","✓")))))))))</f>
        <v/>
      </c>
      <c r="K85" s="1"/>
      <c r="L85" s="35" t="n">
        <v>46231</v>
      </c>
      <c r="M85" s="36" t="str">
        <f aca="false">TEXT(L85,"ddd")</f>
        <v>Tue</v>
      </c>
      <c r="N85" s="37" t="s">
        <v>93</v>
      </c>
      <c r="O85" s="37" t="n">
        <f aca="false">AvailHours</f>
        <v>8</v>
      </c>
      <c r="P85" s="24" t="n">
        <f aca="false">SUMIFS($I$7:$I$256,$B$7:$B$256,L85,$H$7:$H$256,"NTIME")</f>
        <v>0</v>
      </c>
      <c r="Q85" s="24" t="n">
        <f aca="false">SUMIFS($I$7:$I$256,$B$7:$B$256,L85,$H$7:$H$256,"P6")</f>
        <v>0</v>
      </c>
      <c r="R85" s="24" t="n">
        <f aca="false">IF(N85="Overhead only",O85,IF(AND(N85="Working",P85+Q85&gt;0),MAX(0,O85-P85-Q85),0))</f>
        <v>0</v>
      </c>
      <c r="S85" s="24" t="n">
        <f aca="false">IF(OR(N85="Working",N85="Overhead only"),MAX(0,P85+Q85-O85),0)</f>
        <v>0</v>
      </c>
      <c r="T85" s="24" t="n">
        <f aca="false">P85+Q85+R85</f>
        <v>0</v>
      </c>
      <c r="U85" s="24" t="str">
        <f aca="true">IF(N85="Working",IF(P85+Q85=0,IF(L85&lt;=TODAY(),"Not logged",""),IF(P85+Q85&gt;O85,IF(AllowOT="Yes","Overtime","Over "&amp;O85&amp;" h!"),"✓")),IF(N85="Overhead only","✓ Overhead day",IF(P85+Q85&gt;0,"Entries on "&amp;LOWER(N85)&amp;" day",N85)))</f>
        <v>Not logged</v>
      </c>
      <c r="V85" s="1"/>
      <c r="W85" s="1" t="str">
        <f aca="false">IF(Projects!B83="","",Projects!B83)</f>
        <v/>
      </c>
      <c r="X85" s="1" t="n">
        <f aca="false">IF(W85="",0,SUMIFS($I$7:$I$256,$D$7:$D$256,W85,$H$7:$H$256,"NTIME"))</f>
        <v>0</v>
      </c>
      <c r="Y85" s="1" t="n">
        <f aca="false">IF(W85="",0,SUMIFS($I$7:$I$256,$D$7:$D$256,W85,$H$7:$H$256,"P6"))</f>
        <v>0</v>
      </c>
      <c r="Z85" s="1" t="n">
        <f aca="false">X85+Y85</f>
        <v>0</v>
      </c>
      <c r="AA85" s="1" t="n">
        <f aca="false">IF(Z85&gt;0,Z85+(201-79)/10^6,0)</f>
        <v>0</v>
      </c>
      <c r="AB85" s="1"/>
      <c r="AC85" s="1"/>
      <c r="AD85" s="1"/>
      <c r="AE85" s="1"/>
      <c r="AF85" s="1"/>
      <c r="AG85" s="1"/>
      <c r="AH85" s="1"/>
    </row>
    <row r="86" customFormat="false" ht="15" hidden="false" customHeight="false" outlineLevel="0" collapsed="false">
      <c r="A86" s="1"/>
      <c r="B86" s="10"/>
      <c r="C86" s="31" t="str">
        <f aca="false">IF(B86="","",TEXT(B86,"ddd"))</f>
        <v/>
      </c>
      <c r="D86" s="11"/>
      <c r="E86" s="8" t="str">
        <f aca="false">IF(D86="","",IFERROR(INDEX(ProjNumbers,MATCH(D86,ProjNames,0)),""))</f>
        <v/>
      </c>
      <c r="F86" s="8" t="str">
        <f aca="false">IF(D86="","",IFERROR(INDEX(ProjCodes,MATCH(D86,ProjNames,0)),""))</f>
        <v/>
      </c>
      <c r="G86" s="32"/>
      <c r="H86" s="11"/>
      <c r="I86" s="33"/>
      <c r="J86" s="8" t="str">
        <f aca="false">IF(COUNTA(B86,D86,G86,H86,I86)=0,"",IF(B86="","Enter date",IF(OR(B86&lt;$AC$2,B86&gt;$AC$3),"Date not in July",IF(D86="","Pick project",IF(ISNA(MATCH(D86,ProjNames,0)),"Project not in list",IF(G86="","Add task description",IF(H86="","Pick NTIME or P6",IF(N(I86)&lt;=0,"Enter hours",IF(AND(AllowOT&lt;&gt;"Yes",SUMIF($B$7:$B$256,B86,$I$7:$I$256)&gt;INDEX($O$58:$O$88,DAY(B86))),"Day over "&amp;INDEX($O$58:$O$88,DAY(B86))&amp;" h","✓")))))))))</f>
        <v/>
      </c>
      <c r="K86" s="1"/>
      <c r="L86" s="35" t="n">
        <v>46232</v>
      </c>
      <c r="M86" s="36" t="str">
        <f aca="false">TEXT(L86,"ddd")</f>
        <v>Wed</v>
      </c>
      <c r="N86" s="37" t="s">
        <v>93</v>
      </c>
      <c r="O86" s="37" t="n">
        <f aca="false">AvailHours</f>
        <v>8</v>
      </c>
      <c r="P86" s="24" t="n">
        <f aca="false">SUMIFS($I$7:$I$256,$B$7:$B$256,L86,$H$7:$H$256,"NTIME")</f>
        <v>0</v>
      </c>
      <c r="Q86" s="24" t="n">
        <f aca="false">SUMIFS($I$7:$I$256,$B$7:$B$256,L86,$H$7:$H$256,"P6")</f>
        <v>0</v>
      </c>
      <c r="R86" s="24" t="n">
        <f aca="false">IF(N86="Overhead only",O86,IF(AND(N86="Working",P86+Q86&gt;0),MAX(0,O86-P86-Q86),0))</f>
        <v>0</v>
      </c>
      <c r="S86" s="24" t="n">
        <f aca="false">IF(OR(N86="Working",N86="Overhead only"),MAX(0,P86+Q86-O86),0)</f>
        <v>0</v>
      </c>
      <c r="T86" s="24" t="n">
        <f aca="false">P86+Q86+R86</f>
        <v>0</v>
      </c>
      <c r="U86" s="24" t="str">
        <f aca="true">IF(N86="Working",IF(P86+Q86=0,IF(L86&lt;=TODAY(),"Not logged",""),IF(P86+Q86&gt;O86,IF(AllowOT="Yes","Overtime","Over "&amp;O86&amp;" h!"),"✓")),IF(N86="Overhead only","✓ Overhead day",IF(P86+Q86&gt;0,"Entries on "&amp;LOWER(N86)&amp;" day",N86)))</f>
        <v>Not logged</v>
      </c>
      <c r="V86" s="1"/>
      <c r="W86" s="1" t="str">
        <f aca="false">IF(Projects!B84="","",Projects!B84)</f>
        <v/>
      </c>
      <c r="X86" s="1" t="n">
        <f aca="false">IF(W86="",0,SUMIFS($I$7:$I$256,$D$7:$D$256,W86,$H$7:$H$256,"NTIME"))</f>
        <v>0</v>
      </c>
      <c r="Y86" s="1" t="n">
        <f aca="false">IF(W86="",0,SUMIFS($I$7:$I$256,$D$7:$D$256,W86,$H$7:$H$256,"P6"))</f>
        <v>0</v>
      </c>
      <c r="Z86" s="1" t="n">
        <f aca="false">X86+Y86</f>
        <v>0</v>
      </c>
      <c r="AA86" s="1" t="n">
        <f aca="false">IF(Z86&gt;0,Z86+(201-80)/10^6,0)</f>
        <v>0</v>
      </c>
      <c r="AB86" s="1"/>
      <c r="AC86" s="1"/>
      <c r="AD86" s="1"/>
      <c r="AE86" s="1"/>
      <c r="AF86" s="1"/>
      <c r="AG86" s="1"/>
      <c r="AH86" s="1"/>
    </row>
    <row r="87" customFormat="false" ht="15" hidden="false" customHeight="false" outlineLevel="0" collapsed="false">
      <c r="A87" s="1"/>
      <c r="B87" s="10"/>
      <c r="C87" s="31" t="str">
        <f aca="false">IF(B87="","",TEXT(B87,"ddd"))</f>
        <v/>
      </c>
      <c r="D87" s="11"/>
      <c r="E87" s="8" t="str">
        <f aca="false">IF(D87="","",IFERROR(INDEX(ProjNumbers,MATCH(D87,ProjNames,0)),""))</f>
        <v/>
      </c>
      <c r="F87" s="8" t="str">
        <f aca="false">IF(D87="","",IFERROR(INDEX(ProjCodes,MATCH(D87,ProjNames,0)),""))</f>
        <v/>
      </c>
      <c r="G87" s="32"/>
      <c r="H87" s="11"/>
      <c r="I87" s="33"/>
      <c r="J87" s="8" t="str">
        <f aca="false">IF(COUNTA(B87,D87,G87,H87,I87)=0,"",IF(B87="","Enter date",IF(OR(B87&lt;$AC$2,B87&gt;$AC$3),"Date not in July",IF(D87="","Pick project",IF(ISNA(MATCH(D87,ProjNames,0)),"Project not in list",IF(G87="","Add task description",IF(H87="","Pick NTIME or P6",IF(N(I87)&lt;=0,"Enter hours",IF(AND(AllowOT&lt;&gt;"Yes",SUMIF($B$7:$B$256,B87,$I$7:$I$256)&gt;INDEX($O$58:$O$88,DAY(B87))),"Day over "&amp;INDEX($O$58:$O$88,DAY(B87))&amp;" h","✓")))))))))</f>
        <v/>
      </c>
      <c r="K87" s="1"/>
      <c r="L87" s="35" t="n">
        <v>46233</v>
      </c>
      <c r="M87" s="36" t="str">
        <f aca="false">TEXT(L87,"ddd")</f>
        <v>Thu</v>
      </c>
      <c r="N87" s="37" t="s">
        <v>93</v>
      </c>
      <c r="O87" s="37" t="n">
        <f aca="false">AvailHours</f>
        <v>8</v>
      </c>
      <c r="P87" s="24" t="n">
        <f aca="false">SUMIFS($I$7:$I$256,$B$7:$B$256,L87,$H$7:$H$256,"NTIME")</f>
        <v>0</v>
      </c>
      <c r="Q87" s="24" t="n">
        <f aca="false">SUMIFS($I$7:$I$256,$B$7:$B$256,L87,$H$7:$H$256,"P6")</f>
        <v>0</v>
      </c>
      <c r="R87" s="24" t="n">
        <f aca="false">IF(N87="Overhead only",O87,IF(AND(N87="Working",P87+Q87&gt;0),MAX(0,O87-P87-Q87),0))</f>
        <v>0</v>
      </c>
      <c r="S87" s="24" t="n">
        <f aca="false">IF(OR(N87="Working",N87="Overhead only"),MAX(0,P87+Q87-O87),0)</f>
        <v>0</v>
      </c>
      <c r="T87" s="24" t="n">
        <f aca="false">P87+Q87+R87</f>
        <v>0</v>
      </c>
      <c r="U87" s="24" t="str">
        <f aca="true">IF(N87="Working",IF(P87+Q87=0,IF(L87&lt;=TODAY(),"Not logged",""),IF(P87+Q87&gt;O87,IF(AllowOT="Yes","Overtime","Over "&amp;O87&amp;" h!"),"✓")),IF(N87="Overhead only","✓ Overhead day",IF(P87+Q87&gt;0,"Entries on "&amp;LOWER(N87)&amp;" day",N87)))</f>
        <v>Not logged</v>
      </c>
      <c r="V87" s="1"/>
      <c r="W87" s="1" t="str">
        <f aca="false">IF(Projects!B85="","",Projects!B85)</f>
        <v/>
      </c>
      <c r="X87" s="1" t="n">
        <f aca="false">IF(W87="",0,SUMIFS($I$7:$I$256,$D$7:$D$256,W87,$H$7:$H$256,"NTIME"))</f>
        <v>0</v>
      </c>
      <c r="Y87" s="1" t="n">
        <f aca="false">IF(W87="",0,SUMIFS($I$7:$I$256,$D$7:$D$256,W87,$H$7:$H$256,"P6"))</f>
        <v>0</v>
      </c>
      <c r="Z87" s="1" t="n">
        <f aca="false">X87+Y87</f>
        <v>0</v>
      </c>
      <c r="AA87" s="1" t="n">
        <f aca="false">IF(Z87&gt;0,Z87+(201-81)/10^6,0)</f>
        <v>0</v>
      </c>
      <c r="AB87" s="1"/>
      <c r="AC87" s="1"/>
      <c r="AD87" s="1"/>
      <c r="AE87" s="1"/>
      <c r="AF87" s="1"/>
      <c r="AG87" s="1"/>
      <c r="AH87" s="1"/>
    </row>
    <row r="88" customFormat="false" ht="15" hidden="false" customHeight="false" outlineLevel="0" collapsed="false">
      <c r="A88" s="1"/>
      <c r="B88" s="10"/>
      <c r="C88" s="31" t="str">
        <f aca="false">IF(B88="","",TEXT(B88,"ddd"))</f>
        <v/>
      </c>
      <c r="D88" s="11"/>
      <c r="E88" s="8" t="str">
        <f aca="false">IF(D88="","",IFERROR(INDEX(ProjNumbers,MATCH(D88,ProjNames,0)),""))</f>
        <v/>
      </c>
      <c r="F88" s="8" t="str">
        <f aca="false">IF(D88="","",IFERROR(INDEX(ProjCodes,MATCH(D88,ProjNames,0)),""))</f>
        <v/>
      </c>
      <c r="G88" s="32"/>
      <c r="H88" s="11"/>
      <c r="I88" s="33"/>
      <c r="J88" s="8" t="str">
        <f aca="false">IF(COUNTA(B88,D88,G88,H88,I88)=0,"",IF(B88="","Enter date",IF(OR(B88&lt;$AC$2,B88&gt;$AC$3),"Date not in July",IF(D88="","Pick project",IF(ISNA(MATCH(D88,ProjNames,0)),"Project not in list",IF(G88="","Add task description",IF(H88="","Pick NTIME or P6",IF(N(I88)&lt;=0,"Enter hours",IF(AND(AllowOT&lt;&gt;"Yes",SUMIF($B$7:$B$256,B88,$I$7:$I$256)&gt;INDEX($O$58:$O$88,DAY(B88))),"Day over "&amp;INDEX($O$58:$O$88,DAY(B88))&amp;" h","✓")))))))))</f>
        <v/>
      </c>
      <c r="K88" s="1"/>
      <c r="L88" s="35" t="n">
        <v>46234</v>
      </c>
      <c r="M88" s="36" t="str">
        <f aca="false">TEXT(L88,"ddd")</f>
        <v>Fri</v>
      </c>
      <c r="N88" s="37" t="s">
        <v>93</v>
      </c>
      <c r="O88" s="37" t="n">
        <f aca="false">AvailHours</f>
        <v>8</v>
      </c>
      <c r="P88" s="24" t="n">
        <f aca="false">SUMIFS($I$7:$I$256,$B$7:$B$256,L88,$H$7:$H$256,"NTIME")</f>
        <v>0</v>
      </c>
      <c r="Q88" s="24" t="n">
        <f aca="false">SUMIFS($I$7:$I$256,$B$7:$B$256,L88,$H$7:$H$256,"P6")</f>
        <v>0</v>
      </c>
      <c r="R88" s="24" t="n">
        <f aca="false">IF(N88="Overhead only",O88,IF(AND(N88="Working",P88+Q88&gt;0),MAX(0,O88-P88-Q88),0))</f>
        <v>0</v>
      </c>
      <c r="S88" s="24" t="n">
        <f aca="false">IF(OR(N88="Working",N88="Overhead only"),MAX(0,P88+Q88-O88),0)</f>
        <v>0</v>
      </c>
      <c r="T88" s="24" t="n">
        <f aca="false">P88+Q88+R88</f>
        <v>0</v>
      </c>
      <c r="U88" s="24" t="str">
        <f aca="true">IF(N88="Working",IF(P88+Q88=0,IF(L88&lt;=TODAY(),"Not logged",""),IF(P88+Q88&gt;O88,IF(AllowOT="Yes","Overtime","Over "&amp;O88&amp;" h!"),"✓")),IF(N88="Overhead only","✓ Overhead day",IF(P88+Q88&gt;0,"Entries on "&amp;LOWER(N88)&amp;" day",N88)))</f>
        <v>Not logged</v>
      </c>
      <c r="V88" s="1"/>
      <c r="W88" s="1" t="str">
        <f aca="false">IF(Projects!B86="","",Projects!B86)</f>
        <v/>
      </c>
      <c r="X88" s="1" t="n">
        <f aca="false">IF(W88="",0,SUMIFS($I$7:$I$256,$D$7:$D$256,W88,$H$7:$H$256,"NTIME"))</f>
        <v>0</v>
      </c>
      <c r="Y88" s="1" t="n">
        <f aca="false">IF(W88="",0,SUMIFS($I$7:$I$256,$D$7:$D$256,W88,$H$7:$H$256,"P6"))</f>
        <v>0</v>
      </c>
      <c r="Z88" s="1" t="n">
        <f aca="false">X88+Y88</f>
        <v>0</v>
      </c>
      <c r="AA88" s="1" t="n">
        <f aca="false">IF(Z88&gt;0,Z88+(201-82)/10^6,0)</f>
        <v>0</v>
      </c>
      <c r="AB88" s="1"/>
      <c r="AC88" s="1"/>
      <c r="AD88" s="1"/>
      <c r="AE88" s="1"/>
      <c r="AF88" s="1"/>
      <c r="AG88" s="1"/>
      <c r="AH88" s="1"/>
    </row>
    <row r="89" customFormat="false" ht="15" hidden="false" customHeight="false" outlineLevel="0" collapsed="false">
      <c r="A89" s="1"/>
      <c r="B89" s="10"/>
      <c r="C89" s="31" t="str">
        <f aca="false">IF(B89="","",TEXT(B89,"ddd"))</f>
        <v/>
      </c>
      <c r="D89" s="11"/>
      <c r="E89" s="8" t="str">
        <f aca="false">IF(D89="","",IFERROR(INDEX(ProjNumbers,MATCH(D89,ProjNames,0)),""))</f>
        <v/>
      </c>
      <c r="F89" s="8" t="str">
        <f aca="false">IF(D89="","",IFERROR(INDEX(ProjCodes,MATCH(D89,ProjNames,0)),""))</f>
        <v/>
      </c>
      <c r="G89" s="32"/>
      <c r="H89" s="11"/>
      <c r="I89" s="33"/>
      <c r="J89" s="8" t="str">
        <f aca="false">IF(COUNTA(B89,D89,G89,H89,I89)=0,"",IF(B89="","Enter date",IF(OR(B89&lt;$AC$2,B89&gt;$AC$3),"Date not in July",IF(D89="","Pick project",IF(ISNA(MATCH(D89,ProjNames,0)),"Project not in list",IF(G89="","Add task description",IF(H89="","Pick NTIME or P6",IF(N(I89)&lt;=0,"Enter hours",IF(AND(AllowOT&lt;&gt;"Yes",SUMIF($B$7:$B$256,B89,$I$7:$I$256)&gt;INDEX($O$58:$O$88,DAY(B89))),"Day over "&amp;INDEX($O$58:$O$88,DAY(B89))&amp;" h","✓")))))))))</f>
        <v/>
      </c>
      <c r="K89" s="1"/>
      <c r="L89" s="27" t="s">
        <v>84</v>
      </c>
      <c r="M89" s="27"/>
      <c r="N89" s="27"/>
      <c r="O89" s="27"/>
      <c r="P89" s="27" t="n">
        <f aca="false">SUM(P58:P88)</f>
        <v>0</v>
      </c>
      <c r="Q89" s="27" t="n">
        <f aca="false">SUM(Q58:Q88)</f>
        <v>0</v>
      </c>
      <c r="R89" s="27" t="n">
        <f aca="false">SUM(R58:R88)</f>
        <v>0</v>
      </c>
      <c r="S89" s="27" t="n">
        <f aca="false">SUM(S58:S88)</f>
        <v>0</v>
      </c>
      <c r="T89" s="27" t="n">
        <f aca="false">SUM(T58:T88)</f>
        <v>0</v>
      </c>
      <c r="U89" s="27"/>
      <c r="V89" s="1"/>
      <c r="W89" s="1" t="str">
        <f aca="false">IF(Projects!B87="","",Projects!B87)</f>
        <v/>
      </c>
      <c r="X89" s="1" t="n">
        <f aca="false">IF(W89="",0,SUMIFS($I$7:$I$256,$D$7:$D$256,W89,$H$7:$H$256,"NTIME"))</f>
        <v>0</v>
      </c>
      <c r="Y89" s="1" t="n">
        <f aca="false">IF(W89="",0,SUMIFS($I$7:$I$256,$D$7:$D$256,W89,$H$7:$H$256,"P6"))</f>
        <v>0</v>
      </c>
      <c r="Z89" s="1" t="n">
        <f aca="false">X89+Y89</f>
        <v>0</v>
      </c>
      <c r="AA89" s="1" t="n">
        <f aca="false">IF(Z89&gt;0,Z89+(201-83)/10^6,0)</f>
        <v>0</v>
      </c>
      <c r="AB89" s="1"/>
      <c r="AC89" s="1"/>
      <c r="AD89" s="1"/>
      <c r="AE89" s="1"/>
      <c r="AF89" s="1"/>
      <c r="AG89" s="1"/>
      <c r="AH89" s="1"/>
    </row>
    <row r="90" customFormat="false" ht="15" hidden="false" customHeight="false" outlineLevel="0" collapsed="false">
      <c r="A90" s="1"/>
      <c r="B90" s="10"/>
      <c r="C90" s="31" t="str">
        <f aca="false">IF(B90="","",TEXT(B90,"ddd"))</f>
        <v/>
      </c>
      <c r="D90" s="11"/>
      <c r="E90" s="8" t="str">
        <f aca="false">IF(D90="","",IFERROR(INDEX(ProjNumbers,MATCH(D90,ProjNames,0)),""))</f>
        <v/>
      </c>
      <c r="F90" s="8" t="str">
        <f aca="false">IF(D90="","",IFERROR(INDEX(ProjCodes,MATCH(D90,ProjNames,0)),""))</f>
        <v/>
      </c>
      <c r="G90" s="32"/>
      <c r="H90" s="11"/>
      <c r="I90" s="33"/>
      <c r="J90" s="8" t="str">
        <f aca="false">IF(COUNTA(B90,D90,G90,H90,I90)=0,"",IF(B90="","Enter date",IF(OR(B90&lt;$AC$2,B90&gt;$AC$3),"Date not in July",IF(D90="","Pick project",IF(ISNA(MATCH(D90,ProjNames,0)),"Project not in list",IF(G90="","Add task description",IF(H90="","Pick NTIME or P6",IF(N(I90)&lt;=0,"Enter hours",IF(AND(AllowOT&lt;&gt;"Yes",SUMIF($B$7:$B$256,B90,$I$7:$I$256)&gt;INDEX($O$58:$O$88,DAY(B90))),"Day over "&amp;INDEX($O$58:$O$88,DAY(B90))&amp;" h","✓")))))))))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tr">
        <f aca="false">IF(Projects!B88="","",Projects!B88)</f>
        <v/>
      </c>
      <c r="X90" s="1" t="n">
        <f aca="false">IF(W90="",0,SUMIFS($I$7:$I$256,$D$7:$D$256,W90,$H$7:$H$256,"NTIME"))</f>
        <v>0</v>
      </c>
      <c r="Y90" s="1" t="n">
        <f aca="false">IF(W90="",0,SUMIFS($I$7:$I$256,$D$7:$D$256,W90,$H$7:$H$256,"P6"))</f>
        <v>0</v>
      </c>
      <c r="Z90" s="1" t="n">
        <f aca="false">X90+Y90</f>
        <v>0</v>
      </c>
      <c r="AA90" s="1" t="n">
        <f aca="false">IF(Z90&gt;0,Z90+(201-84)/10^6,0)</f>
        <v>0</v>
      </c>
      <c r="AB90" s="1"/>
      <c r="AC90" s="1"/>
      <c r="AD90" s="1"/>
      <c r="AE90" s="1"/>
      <c r="AF90" s="1"/>
      <c r="AG90" s="1"/>
      <c r="AH90" s="1"/>
    </row>
    <row r="91" customFormat="false" ht="15" hidden="false" customHeight="false" outlineLevel="0" collapsed="false">
      <c r="A91" s="1"/>
      <c r="B91" s="10"/>
      <c r="C91" s="31" t="str">
        <f aca="false">IF(B91="","",TEXT(B91,"ddd"))</f>
        <v/>
      </c>
      <c r="D91" s="11"/>
      <c r="E91" s="8" t="str">
        <f aca="false">IF(D91="","",IFERROR(INDEX(ProjNumbers,MATCH(D91,ProjNames,0)),""))</f>
        <v/>
      </c>
      <c r="F91" s="8" t="str">
        <f aca="false">IF(D91="","",IFERROR(INDEX(ProjCodes,MATCH(D91,ProjNames,0)),""))</f>
        <v/>
      </c>
      <c r="G91" s="32"/>
      <c r="H91" s="11"/>
      <c r="I91" s="33"/>
      <c r="J91" s="8" t="str">
        <f aca="false">IF(COUNTA(B91,D91,G91,H91,I91)=0,"",IF(B91="","Enter date",IF(OR(B91&lt;$AC$2,B91&gt;$AC$3),"Date not in July",IF(D91="","Pick project",IF(ISNA(MATCH(D91,ProjNames,0)),"Project not in list",IF(G91="","Add task description",IF(H91="","Pick NTIME or P6",IF(N(I91)&lt;=0,"Enter hours",IF(AND(AllowOT&lt;&gt;"Yes",SUMIF($B$7:$B$256,B91,$I$7:$I$256)&gt;INDEX($O$58:$O$88,DAY(B91))),"Day over "&amp;INDEX($O$58:$O$88,DAY(B91))&amp;" h","✓")))))))))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tr">
        <f aca="false">IF(Projects!B89="","",Projects!B89)</f>
        <v/>
      </c>
      <c r="X91" s="1" t="n">
        <f aca="false">IF(W91="",0,SUMIFS($I$7:$I$256,$D$7:$D$256,W91,$H$7:$H$256,"NTIME"))</f>
        <v>0</v>
      </c>
      <c r="Y91" s="1" t="n">
        <f aca="false">IF(W91="",0,SUMIFS($I$7:$I$256,$D$7:$D$256,W91,$H$7:$H$256,"P6"))</f>
        <v>0</v>
      </c>
      <c r="Z91" s="1" t="n">
        <f aca="false">X91+Y91</f>
        <v>0</v>
      </c>
      <c r="AA91" s="1" t="n">
        <f aca="false">IF(Z91&gt;0,Z91+(201-85)/10^6,0)</f>
        <v>0</v>
      </c>
      <c r="AB91" s="1"/>
      <c r="AC91" s="1"/>
      <c r="AD91" s="1"/>
      <c r="AE91" s="1"/>
      <c r="AF91" s="1"/>
      <c r="AG91" s="1"/>
      <c r="AH91" s="1"/>
    </row>
    <row r="92" customFormat="false" ht="15" hidden="false" customHeight="false" outlineLevel="0" collapsed="false">
      <c r="A92" s="1"/>
      <c r="B92" s="10"/>
      <c r="C92" s="31" t="str">
        <f aca="false">IF(B92="","",TEXT(B92,"ddd"))</f>
        <v/>
      </c>
      <c r="D92" s="11"/>
      <c r="E92" s="8" t="str">
        <f aca="false">IF(D92="","",IFERROR(INDEX(ProjNumbers,MATCH(D92,ProjNames,0)),""))</f>
        <v/>
      </c>
      <c r="F92" s="8" t="str">
        <f aca="false">IF(D92="","",IFERROR(INDEX(ProjCodes,MATCH(D92,ProjNames,0)),""))</f>
        <v/>
      </c>
      <c r="G92" s="32"/>
      <c r="H92" s="11"/>
      <c r="I92" s="33"/>
      <c r="J92" s="8" t="str">
        <f aca="false">IF(COUNTA(B92,D92,G92,H92,I92)=0,"",IF(B92="","Enter date",IF(OR(B92&lt;$AC$2,B92&gt;$AC$3),"Date not in July",IF(D92="","Pick project",IF(ISNA(MATCH(D92,ProjNames,0)),"Project not in list",IF(G92="","Add task description",IF(H92="","Pick NTIME or P6",IF(N(I92)&lt;=0,"Enter hours",IF(AND(AllowOT&lt;&gt;"Yes",SUMIF($B$7:$B$256,B92,$I$7:$I$256)&gt;INDEX($O$58:$O$88,DAY(B92))),"Day over "&amp;INDEX($O$58:$O$88,DAY(B92))&amp;" h","✓")))))))))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tr">
        <f aca="false">IF(Projects!B90="","",Projects!B90)</f>
        <v/>
      </c>
      <c r="X92" s="1" t="n">
        <f aca="false">IF(W92="",0,SUMIFS($I$7:$I$256,$D$7:$D$256,W92,$H$7:$H$256,"NTIME"))</f>
        <v>0</v>
      </c>
      <c r="Y92" s="1" t="n">
        <f aca="false">IF(W92="",0,SUMIFS($I$7:$I$256,$D$7:$D$256,W92,$H$7:$H$256,"P6"))</f>
        <v>0</v>
      </c>
      <c r="Z92" s="1" t="n">
        <f aca="false">X92+Y92</f>
        <v>0</v>
      </c>
      <c r="AA92" s="1" t="n">
        <f aca="false">IF(Z92&gt;0,Z92+(201-86)/10^6,0)</f>
        <v>0</v>
      </c>
      <c r="AB92" s="1"/>
      <c r="AC92" s="1"/>
      <c r="AD92" s="1"/>
      <c r="AE92" s="1"/>
      <c r="AF92" s="1"/>
      <c r="AG92" s="1"/>
      <c r="AH92" s="1"/>
    </row>
    <row r="93" customFormat="false" ht="15" hidden="false" customHeight="false" outlineLevel="0" collapsed="false">
      <c r="A93" s="1"/>
      <c r="B93" s="10"/>
      <c r="C93" s="31" t="str">
        <f aca="false">IF(B93="","",TEXT(B93,"ddd"))</f>
        <v/>
      </c>
      <c r="D93" s="11"/>
      <c r="E93" s="8" t="str">
        <f aca="false">IF(D93="","",IFERROR(INDEX(ProjNumbers,MATCH(D93,ProjNames,0)),""))</f>
        <v/>
      </c>
      <c r="F93" s="8" t="str">
        <f aca="false">IF(D93="","",IFERROR(INDEX(ProjCodes,MATCH(D93,ProjNames,0)),""))</f>
        <v/>
      </c>
      <c r="G93" s="32"/>
      <c r="H93" s="11"/>
      <c r="I93" s="33"/>
      <c r="J93" s="8" t="str">
        <f aca="false">IF(COUNTA(B93,D93,G93,H93,I93)=0,"",IF(B93="","Enter date",IF(OR(B93&lt;$AC$2,B93&gt;$AC$3),"Date not in July",IF(D93="","Pick project",IF(ISNA(MATCH(D93,ProjNames,0)),"Project not in list",IF(G93="","Add task description",IF(H93="","Pick NTIME or P6",IF(N(I93)&lt;=0,"Enter hours",IF(AND(AllowOT&lt;&gt;"Yes",SUMIF($B$7:$B$256,B93,$I$7:$I$256)&gt;INDEX($O$58:$O$88,DAY(B93))),"Day over "&amp;INDEX($O$58:$O$88,DAY(B93))&amp;" h","✓")))))))))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tr">
        <f aca="false">IF(Projects!B91="","",Projects!B91)</f>
        <v/>
      </c>
      <c r="X93" s="1" t="n">
        <f aca="false">IF(W93="",0,SUMIFS($I$7:$I$256,$D$7:$D$256,W93,$H$7:$H$256,"NTIME"))</f>
        <v>0</v>
      </c>
      <c r="Y93" s="1" t="n">
        <f aca="false">IF(W93="",0,SUMIFS($I$7:$I$256,$D$7:$D$256,W93,$H$7:$H$256,"P6"))</f>
        <v>0</v>
      </c>
      <c r="Z93" s="1" t="n">
        <f aca="false">X93+Y93</f>
        <v>0</v>
      </c>
      <c r="AA93" s="1" t="n">
        <f aca="false">IF(Z93&gt;0,Z93+(201-87)/10^6,0)</f>
        <v>0</v>
      </c>
      <c r="AB93" s="1"/>
      <c r="AC93" s="1"/>
      <c r="AD93" s="1"/>
      <c r="AE93" s="1"/>
      <c r="AF93" s="1"/>
      <c r="AG93" s="1"/>
      <c r="AH93" s="1"/>
    </row>
    <row r="94" customFormat="false" ht="15" hidden="false" customHeight="false" outlineLevel="0" collapsed="false">
      <c r="A94" s="1"/>
      <c r="B94" s="10"/>
      <c r="C94" s="31" t="str">
        <f aca="false">IF(B94="","",TEXT(B94,"ddd"))</f>
        <v/>
      </c>
      <c r="D94" s="11"/>
      <c r="E94" s="8" t="str">
        <f aca="false">IF(D94="","",IFERROR(INDEX(ProjNumbers,MATCH(D94,ProjNames,0)),""))</f>
        <v/>
      </c>
      <c r="F94" s="8" t="str">
        <f aca="false">IF(D94="","",IFERROR(INDEX(ProjCodes,MATCH(D94,ProjNames,0)),""))</f>
        <v/>
      </c>
      <c r="G94" s="32"/>
      <c r="H94" s="11"/>
      <c r="I94" s="33"/>
      <c r="J94" s="8" t="str">
        <f aca="false">IF(COUNTA(B94,D94,G94,H94,I94)=0,"",IF(B94="","Enter date",IF(OR(B94&lt;$AC$2,B94&gt;$AC$3),"Date not in July",IF(D94="","Pick project",IF(ISNA(MATCH(D94,ProjNames,0)),"Project not in list",IF(G94="","Add task description",IF(H94="","Pick NTIME or P6",IF(N(I94)&lt;=0,"Enter hours",IF(AND(AllowOT&lt;&gt;"Yes",SUMIF($B$7:$B$256,B94,$I$7:$I$256)&gt;INDEX($O$58:$O$88,DAY(B94))),"Day over "&amp;INDEX($O$58:$O$88,DAY(B94))&amp;" h","✓")))))))))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tr">
        <f aca="false">IF(Projects!B92="","",Projects!B92)</f>
        <v/>
      </c>
      <c r="X94" s="1" t="n">
        <f aca="false">IF(W94="",0,SUMIFS($I$7:$I$256,$D$7:$D$256,W94,$H$7:$H$256,"NTIME"))</f>
        <v>0</v>
      </c>
      <c r="Y94" s="1" t="n">
        <f aca="false">IF(W94="",0,SUMIFS($I$7:$I$256,$D$7:$D$256,W94,$H$7:$H$256,"P6"))</f>
        <v>0</v>
      </c>
      <c r="Z94" s="1" t="n">
        <f aca="false">X94+Y94</f>
        <v>0</v>
      </c>
      <c r="AA94" s="1" t="n">
        <f aca="false">IF(Z94&gt;0,Z94+(201-88)/10^6,0)</f>
        <v>0</v>
      </c>
      <c r="AB94" s="1"/>
      <c r="AC94" s="1"/>
      <c r="AD94" s="1"/>
      <c r="AE94" s="1"/>
      <c r="AF94" s="1"/>
      <c r="AG94" s="1"/>
      <c r="AH94" s="1"/>
    </row>
    <row r="95" customFormat="false" ht="15" hidden="false" customHeight="false" outlineLevel="0" collapsed="false">
      <c r="A95" s="1"/>
      <c r="B95" s="10"/>
      <c r="C95" s="31" t="str">
        <f aca="false">IF(B95="","",TEXT(B95,"ddd"))</f>
        <v/>
      </c>
      <c r="D95" s="11"/>
      <c r="E95" s="8" t="str">
        <f aca="false">IF(D95="","",IFERROR(INDEX(ProjNumbers,MATCH(D95,ProjNames,0)),""))</f>
        <v/>
      </c>
      <c r="F95" s="8" t="str">
        <f aca="false">IF(D95="","",IFERROR(INDEX(ProjCodes,MATCH(D95,ProjNames,0)),""))</f>
        <v/>
      </c>
      <c r="G95" s="32"/>
      <c r="H95" s="11"/>
      <c r="I95" s="33"/>
      <c r="J95" s="8" t="str">
        <f aca="false">IF(COUNTA(B95,D95,G95,H95,I95)=0,"",IF(B95="","Enter date",IF(OR(B95&lt;$AC$2,B95&gt;$AC$3),"Date not in July",IF(D95="","Pick project",IF(ISNA(MATCH(D95,ProjNames,0)),"Project not in list",IF(G95="","Add task description",IF(H95="","Pick NTIME or P6",IF(N(I95)&lt;=0,"Enter hours",IF(AND(AllowOT&lt;&gt;"Yes",SUMIF($B$7:$B$256,B95,$I$7:$I$256)&gt;INDEX($O$58:$O$88,DAY(B95))),"Day over "&amp;INDEX($O$58:$O$88,DAY(B95))&amp;" h","✓")))))))))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tr">
        <f aca="false">IF(Projects!B93="","",Projects!B93)</f>
        <v/>
      </c>
      <c r="X95" s="1" t="n">
        <f aca="false">IF(W95="",0,SUMIFS($I$7:$I$256,$D$7:$D$256,W95,$H$7:$H$256,"NTIME"))</f>
        <v>0</v>
      </c>
      <c r="Y95" s="1" t="n">
        <f aca="false">IF(W95="",0,SUMIFS($I$7:$I$256,$D$7:$D$256,W95,$H$7:$H$256,"P6"))</f>
        <v>0</v>
      </c>
      <c r="Z95" s="1" t="n">
        <f aca="false">X95+Y95</f>
        <v>0</v>
      </c>
      <c r="AA95" s="1" t="n">
        <f aca="false">IF(Z95&gt;0,Z95+(201-89)/10^6,0)</f>
        <v>0</v>
      </c>
      <c r="AB95" s="1"/>
      <c r="AC95" s="1"/>
      <c r="AD95" s="1"/>
      <c r="AE95" s="1"/>
      <c r="AF95" s="1"/>
      <c r="AG95" s="1"/>
      <c r="AH95" s="1"/>
    </row>
    <row r="96" customFormat="false" ht="15" hidden="false" customHeight="false" outlineLevel="0" collapsed="false">
      <c r="A96" s="1"/>
      <c r="B96" s="10"/>
      <c r="C96" s="31" t="str">
        <f aca="false">IF(B96="","",TEXT(B96,"ddd"))</f>
        <v/>
      </c>
      <c r="D96" s="11"/>
      <c r="E96" s="8" t="str">
        <f aca="false">IF(D96="","",IFERROR(INDEX(ProjNumbers,MATCH(D96,ProjNames,0)),""))</f>
        <v/>
      </c>
      <c r="F96" s="8" t="str">
        <f aca="false">IF(D96="","",IFERROR(INDEX(ProjCodes,MATCH(D96,ProjNames,0)),""))</f>
        <v/>
      </c>
      <c r="G96" s="32"/>
      <c r="H96" s="11"/>
      <c r="I96" s="33"/>
      <c r="J96" s="8" t="str">
        <f aca="false">IF(COUNTA(B96,D96,G96,H96,I96)=0,"",IF(B96="","Enter date",IF(OR(B96&lt;$AC$2,B96&gt;$AC$3),"Date not in July",IF(D96="","Pick project",IF(ISNA(MATCH(D96,ProjNames,0)),"Project not in list",IF(G96="","Add task description",IF(H96="","Pick NTIME or P6",IF(N(I96)&lt;=0,"Enter hours",IF(AND(AllowOT&lt;&gt;"Yes",SUMIF($B$7:$B$256,B96,$I$7:$I$256)&gt;INDEX($O$58:$O$88,DAY(B96))),"Day over "&amp;INDEX($O$58:$O$88,DAY(B96))&amp;" h","✓")))))))))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tr">
        <f aca="false">IF(Projects!B94="","",Projects!B94)</f>
        <v/>
      </c>
      <c r="X96" s="1" t="n">
        <f aca="false">IF(W96="",0,SUMIFS($I$7:$I$256,$D$7:$D$256,W96,$H$7:$H$256,"NTIME"))</f>
        <v>0</v>
      </c>
      <c r="Y96" s="1" t="n">
        <f aca="false">IF(W96="",0,SUMIFS($I$7:$I$256,$D$7:$D$256,W96,$H$7:$H$256,"P6"))</f>
        <v>0</v>
      </c>
      <c r="Z96" s="1" t="n">
        <f aca="false">X96+Y96</f>
        <v>0</v>
      </c>
      <c r="AA96" s="1" t="n">
        <f aca="false">IF(Z96&gt;0,Z96+(201-90)/10^6,0)</f>
        <v>0</v>
      </c>
      <c r="AB96" s="1"/>
      <c r="AC96" s="1"/>
      <c r="AD96" s="1"/>
      <c r="AE96" s="1"/>
      <c r="AF96" s="1"/>
      <c r="AG96" s="1"/>
      <c r="AH96" s="1"/>
    </row>
    <row r="97" customFormat="false" ht="15" hidden="false" customHeight="false" outlineLevel="0" collapsed="false">
      <c r="A97" s="1"/>
      <c r="B97" s="10"/>
      <c r="C97" s="31" t="str">
        <f aca="false">IF(B97="","",TEXT(B97,"ddd"))</f>
        <v/>
      </c>
      <c r="D97" s="11"/>
      <c r="E97" s="8" t="str">
        <f aca="false">IF(D97="","",IFERROR(INDEX(ProjNumbers,MATCH(D97,ProjNames,0)),""))</f>
        <v/>
      </c>
      <c r="F97" s="8" t="str">
        <f aca="false">IF(D97="","",IFERROR(INDEX(ProjCodes,MATCH(D97,ProjNames,0)),""))</f>
        <v/>
      </c>
      <c r="G97" s="32"/>
      <c r="H97" s="11"/>
      <c r="I97" s="33"/>
      <c r="J97" s="8" t="str">
        <f aca="false">IF(COUNTA(B97,D97,G97,H97,I97)=0,"",IF(B97="","Enter date",IF(OR(B97&lt;$AC$2,B97&gt;$AC$3),"Date not in July",IF(D97="","Pick project",IF(ISNA(MATCH(D97,ProjNames,0)),"Project not in list",IF(G97="","Add task description",IF(H97="","Pick NTIME or P6",IF(N(I97)&lt;=0,"Enter hours",IF(AND(AllowOT&lt;&gt;"Yes",SUMIF($B$7:$B$256,B97,$I$7:$I$256)&gt;INDEX($O$58:$O$88,DAY(B97))),"Day over "&amp;INDEX($O$58:$O$88,DAY(B97))&amp;" h","✓")))))))))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tr">
        <f aca="false">IF(Projects!B95="","",Projects!B95)</f>
        <v/>
      </c>
      <c r="X97" s="1" t="n">
        <f aca="false">IF(W97="",0,SUMIFS($I$7:$I$256,$D$7:$D$256,W97,$H$7:$H$256,"NTIME"))</f>
        <v>0</v>
      </c>
      <c r="Y97" s="1" t="n">
        <f aca="false">IF(W97="",0,SUMIFS($I$7:$I$256,$D$7:$D$256,W97,$H$7:$H$256,"P6"))</f>
        <v>0</v>
      </c>
      <c r="Z97" s="1" t="n">
        <f aca="false">X97+Y97</f>
        <v>0</v>
      </c>
      <c r="AA97" s="1" t="n">
        <f aca="false">IF(Z97&gt;0,Z97+(201-91)/10^6,0)</f>
        <v>0</v>
      </c>
      <c r="AB97" s="1"/>
      <c r="AC97" s="1"/>
      <c r="AD97" s="1"/>
      <c r="AE97" s="1"/>
      <c r="AF97" s="1"/>
      <c r="AG97" s="1"/>
      <c r="AH97" s="1"/>
    </row>
    <row r="98" customFormat="false" ht="15" hidden="false" customHeight="false" outlineLevel="0" collapsed="false">
      <c r="A98" s="1"/>
      <c r="B98" s="10"/>
      <c r="C98" s="31" t="str">
        <f aca="false">IF(B98="","",TEXT(B98,"ddd"))</f>
        <v/>
      </c>
      <c r="D98" s="11"/>
      <c r="E98" s="8" t="str">
        <f aca="false">IF(D98="","",IFERROR(INDEX(ProjNumbers,MATCH(D98,ProjNames,0)),""))</f>
        <v/>
      </c>
      <c r="F98" s="8" t="str">
        <f aca="false">IF(D98="","",IFERROR(INDEX(ProjCodes,MATCH(D98,ProjNames,0)),""))</f>
        <v/>
      </c>
      <c r="G98" s="32"/>
      <c r="H98" s="11"/>
      <c r="I98" s="33"/>
      <c r="J98" s="8" t="str">
        <f aca="false">IF(COUNTA(B98,D98,G98,H98,I98)=0,"",IF(B98="","Enter date",IF(OR(B98&lt;$AC$2,B98&gt;$AC$3),"Date not in July",IF(D98="","Pick project",IF(ISNA(MATCH(D98,ProjNames,0)),"Project not in list",IF(G98="","Add task description",IF(H98="","Pick NTIME or P6",IF(N(I98)&lt;=0,"Enter hours",IF(AND(AllowOT&lt;&gt;"Yes",SUMIF($B$7:$B$256,B98,$I$7:$I$256)&gt;INDEX($O$58:$O$88,DAY(B98))),"Day over "&amp;INDEX($O$58:$O$88,DAY(B98))&amp;" h","✓")))))))))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tr">
        <f aca="false">IF(Projects!B96="","",Projects!B96)</f>
        <v/>
      </c>
      <c r="X98" s="1" t="n">
        <f aca="false">IF(W98="",0,SUMIFS($I$7:$I$256,$D$7:$D$256,W98,$H$7:$H$256,"NTIME"))</f>
        <v>0</v>
      </c>
      <c r="Y98" s="1" t="n">
        <f aca="false">IF(W98="",0,SUMIFS($I$7:$I$256,$D$7:$D$256,W98,$H$7:$H$256,"P6"))</f>
        <v>0</v>
      </c>
      <c r="Z98" s="1" t="n">
        <f aca="false">X98+Y98</f>
        <v>0</v>
      </c>
      <c r="AA98" s="1" t="n">
        <f aca="false">IF(Z98&gt;0,Z98+(201-92)/10^6,0)</f>
        <v>0</v>
      </c>
      <c r="AB98" s="1"/>
      <c r="AC98" s="1"/>
      <c r="AD98" s="1"/>
      <c r="AE98" s="1"/>
      <c r="AF98" s="1"/>
      <c r="AG98" s="1"/>
      <c r="AH98" s="1"/>
    </row>
    <row r="99" customFormat="false" ht="15" hidden="false" customHeight="false" outlineLevel="0" collapsed="false">
      <c r="A99" s="1"/>
      <c r="B99" s="10"/>
      <c r="C99" s="31" t="str">
        <f aca="false">IF(B99="","",TEXT(B99,"ddd"))</f>
        <v/>
      </c>
      <c r="D99" s="11"/>
      <c r="E99" s="8" t="str">
        <f aca="false">IF(D99="","",IFERROR(INDEX(ProjNumbers,MATCH(D99,ProjNames,0)),""))</f>
        <v/>
      </c>
      <c r="F99" s="8" t="str">
        <f aca="false">IF(D99="","",IFERROR(INDEX(ProjCodes,MATCH(D99,ProjNames,0)),""))</f>
        <v/>
      </c>
      <c r="G99" s="32"/>
      <c r="H99" s="11"/>
      <c r="I99" s="33"/>
      <c r="J99" s="8" t="str">
        <f aca="false">IF(COUNTA(B99,D99,G99,H99,I99)=0,"",IF(B99="","Enter date",IF(OR(B99&lt;$AC$2,B99&gt;$AC$3),"Date not in July",IF(D99="","Pick project",IF(ISNA(MATCH(D99,ProjNames,0)),"Project not in list",IF(G99="","Add task description",IF(H99="","Pick NTIME or P6",IF(N(I99)&lt;=0,"Enter hours",IF(AND(AllowOT&lt;&gt;"Yes",SUMIF($B$7:$B$256,B99,$I$7:$I$256)&gt;INDEX($O$58:$O$88,DAY(B99))),"Day over "&amp;INDEX($O$58:$O$88,DAY(B99))&amp;" h","✓")))))))))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tr">
        <f aca="false">IF(Projects!B97="","",Projects!B97)</f>
        <v/>
      </c>
      <c r="X99" s="1" t="n">
        <f aca="false">IF(W99="",0,SUMIFS($I$7:$I$256,$D$7:$D$256,W99,$H$7:$H$256,"NTIME"))</f>
        <v>0</v>
      </c>
      <c r="Y99" s="1" t="n">
        <f aca="false">IF(W99="",0,SUMIFS($I$7:$I$256,$D$7:$D$256,W99,$H$7:$H$256,"P6"))</f>
        <v>0</v>
      </c>
      <c r="Z99" s="1" t="n">
        <f aca="false">X99+Y99</f>
        <v>0</v>
      </c>
      <c r="AA99" s="1" t="n">
        <f aca="false">IF(Z99&gt;0,Z99+(201-93)/10^6,0)</f>
        <v>0</v>
      </c>
      <c r="AB99" s="1"/>
      <c r="AC99" s="1"/>
      <c r="AD99" s="1"/>
      <c r="AE99" s="1"/>
      <c r="AF99" s="1"/>
      <c r="AG99" s="1"/>
      <c r="AH99" s="1"/>
    </row>
    <row r="100" customFormat="false" ht="15" hidden="false" customHeight="false" outlineLevel="0" collapsed="false">
      <c r="A100" s="1"/>
      <c r="B100" s="10"/>
      <c r="C100" s="31" t="str">
        <f aca="false">IF(B100="","",TEXT(B100,"ddd"))</f>
        <v/>
      </c>
      <c r="D100" s="11"/>
      <c r="E100" s="8" t="str">
        <f aca="false">IF(D100="","",IFERROR(INDEX(ProjNumbers,MATCH(D100,ProjNames,0)),""))</f>
        <v/>
      </c>
      <c r="F100" s="8" t="str">
        <f aca="false">IF(D100="","",IFERROR(INDEX(ProjCodes,MATCH(D100,ProjNames,0)),""))</f>
        <v/>
      </c>
      <c r="G100" s="32"/>
      <c r="H100" s="11"/>
      <c r="I100" s="33"/>
      <c r="J100" s="8" t="str">
        <f aca="false">IF(COUNTA(B100,D100,G100,H100,I100)=0,"",IF(B100="","Enter date",IF(OR(B100&lt;$AC$2,B100&gt;$AC$3),"Date not in July",IF(D100="","Pick project",IF(ISNA(MATCH(D100,ProjNames,0)),"Project not in list",IF(G100="","Add task description",IF(H100="","Pick NTIME or P6",IF(N(I100)&lt;=0,"Enter hours",IF(AND(AllowOT&lt;&gt;"Yes",SUMIF($B$7:$B$256,B100,$I$7:$I$256)&gt;INDEX($O$58:$O$88,DAY(B100))),"Day over "&amp;INDEX($O$58:$O$88,DAY(B100))&amp;" h","✓")))))))))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tr">
        <f aca="false">IF(Projects!B98="","",Projects!B98)</f>
        <v/>
      </c>
      <c r="X100" s="1" t="n">
        <f aca="false">IF(W100="",0,SUMIFS($I$7:$I$256,$D$7:$D$256,W100,$H$7:$H$256,"NTIME"))</f>
        <v>0</v>
      </c>
      <c r="Y100" s="1" t="n">
        <f aca="false">IF(W100="",0,SUMIFS($I$7:$I$256,$D$7:$D$256,W100,$H$7:$H$256,"P6"))</f>
        <v>0</v>
      </c>
      <c r="Z100" s="1" t="n">
        <f aca="false">X100+Y100</f>
        <v>0</v>
      </c>
      <c r="AA100" s="1" t="n">
        <f aca="false">IF(Z100&gt;0,Z100+(201-94)/10^6,0)</f>
        <v>0</v>
      </c>
      <c r="AB100" s="1"/>
      <c r="AC100" s="1"/>
      <c r="AD100" s="1"/>
      <c r="AE100" s="1"/>
      <c r="AF100" s="1"/>
      <c r="AG100" s="1"/>
      <c r="AH100" s="1"/>
    </row>
    <row r="101" customFormat="false" ht="15" hidden="false" customHeight="false" outlineLevel="0" collapsed="false">
      <c r="A101" s="1"/>
      <c r="B101" s="10"/>
      <c r="C101" s="31" t="str">
        <f aca="false">IF(B101="","",TEXT(B101,"ddd"))</f>
        <v/>
      </c>
      <c r="D101" s="11"/>
      <c r="E101" s="8" t="str">
        <f aca="false">IF(D101="","",IFERROR(INDEX(ProjNumbers,MATCH(D101,ProjNames,0)),""))</f>
        <v/>
      </c>
      <c r="F101" s="8" t="str">
        <f aca="false">IF(D101="","",IFERROR(INDEX(ProjCodes,MATCH(D101,ProjNames,0)),""))</f>
        <v/>
      </c>
      <c r="G101" s="32"/>
      <c r="H101" s="11"/>
      <c r="I101" s="33"/>
      <c r="J101" s="8" t="str">
        <f aca="false">IF(COUNTA(B101,D101,G101,H101,I101)=0,"",IF(B101="","Enter date",IF(OR(B101&lt;$AC$2,B101&gt;$AC$3),"Date not in July",IF(D101="","Pick project",IF(ISNA(MATCH(D101,ProjNames,0)),"Project not in list",IF(G101="","Add task description",IF(H101="","Pick NTIME or P6",IF(N(I101)&lt;=0,"Enter hours",IF(AND(AllowOT&lt;&gt;"Yes",SUMIF($B$7:$B$256,B101,$I$7:$I$256)&gt;INDEX($O$58:$O$88,DAY(B101))),"Day over "&amp;INDEX($O$58:$O$88,DAY(B101))&amp;" h","✓")))))))))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aca="false">IF(Projects!B99="","",Projects!B99)</f>
        <v/>
      </c>
      <c r="X101" s="1" t="n">
        <f aca="false">IF(W101="",0,SUMIFS($I$7:$I$256,$D$7:$D$256,W101,$H$7:$H$256,"NTIME"))</f>
        <v>0</v>
      </c>
      <c r="Y101" s="1" t="n">
        <f aca="false">IF(W101="",0,SUMIFS($I$7:$I$256,$D$7:$D$256,W101,$H$7:$H$256,"P6"))</f>
        <v>0</v>
      </c>
      <c r="Z101" s="1" t="n">
        <f aca="false">X101+Y101</f>
        <v>0</v>
      </c>
      <c r="AA101" s="1" t="n">
        <f aca="false">IF(Z101&gt;0,Z101+(201-95)/10^6,0)</f>
        <v>0</v>
      </c>
      <c r="AB101" s="1"/>
      <c r="AC101" s="1"/>
      <c r="AD101" s="1"/>
      <c r="AE101" s="1"/>
      <c r="AF101" s="1"/>
      <c r="AG101" s="1"/>
      <c r="AH101" s="1"/>
    </row>
    <row r="102" customFormat="false" ht="15" hidden="false" customHeight="false" outlineLevel="0" collapsed="false">
      <c r="A102" s="1"/>
      <c r="B102" s="10"/>
      <c r="C102" s="31" t="str">
        <f aca="false">IF(B102="","",TEXT(B102,"ddd"))</f>
        <v/>
      </c>
      <c r="D102" s="11"/>
      <c r="E102" s="8" t="str">
        <f aca="false">IF(D102="","",IFERROR(INDEX(ProjNumbers,MATCH(D102,ProjNames,0)),""))</f>
        <v/>
      </c>
      <c r="F102" s="8" t="str">
        <f aca="false">IF(D102="","",IFERROR(INDEX(ProjCodes,MATCH(D102,ProjNames,0)),""))</f>
        <v/>
      </c>
      <c r="G102" s="32"/>
      <c r="H102" s="11"/>
      <c r="I102" s="33"/>
      <c r="J102" s="8" t="str">
        <f aca="false">IF(COUNTA(B102,D102,G102,H102,I102)=0,"",IF(B102="","Enter date",IF(OR(B102&lt;$AC$2,B102&gt;$AC$3),"Date not in July",IF(D102="","Pick project",IF(ISNA(MATCH(D102,ProjNames,0)),"Project not in list",IF(G102="","Add task description",IF(H102="","Pick NTIME or P6",IF(N(I102)&lt;=0,"Enter hours",IF(AND(AllowOT&lt;&gt;"Yes",SUMIF($B$7:$B$256,B102,$I$7:$I$256)&gt;INDEX($O$58:$O$88,DAY(B102))),"Day over "&amp;INDEX($O$58:$O$88,DAY(B102))&amp;" h","✓")))))))))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tr">
        <f aca="false">IF(Projects!B100="","",Projects!B100)</f>
        <v/>
      </c>
      <c r="X102" s="1" t="n">
        <f aca="false">IF(W102="",0,SUMIFS($I$7:$I$256,$D$7:$D$256,W102,$H$7:$H$256,"NTIME"))</f>
        <v>0</v>
      </c>
      <c r="Y102" s="1" t="n">
        <f aca="false">IF(W102="",0,SUMIFS($I$7:$I$256,$D$7:$D$256,W102,$H$7:$H$256,"P6"))</f>
        <v>0</v>
      </c>
      <c r="Z102" s="1" t="n">
        <f aca="false">X102+Y102</f>
        <v>0</v>
      </c>
      <c r="AA102" s="1" t="n">
        <f aca="false">IF(Z102&gt;0,Z102+(201-96)/10^6,0)</f>
        <v>0</v>
      </c>
      <c r="AB102" s="1"/>
      <c r="AC102" s="1"/>
      <c r="AD102" s="1"/>
      <c r="AE102" s="1"/>
      <c r="AF102" s="1"/>
      <c r="AG102" s="1"/>
      <c r="AH102" s="1"/>
    </row>
    <row r="103" customFormat="false" ht="15" hidden="false" customHeight="false" outlineLevel="0" collapsed="false">
      <c r="A103" s="1"/>
      <c r="B103" s="10"/>
      <c r="C103" s="31" t="str">
        <f aca="false">IF(B103="","",TEXT(B103,"ddd"))</f>
        <v/>
      </c>
      <c r="D103" s="11"/>
      <c r="E103" s="8" t="str">
        <f aca="false">IF(D103="","",IFERROR(INDEX(ProjNumbers,MATCH(D103,ProjNames,0)),""))</f>
        <v/>
      </c>
      <c r="F103" s="8" t="str">
        <f aca="false">IF(D103="","",IFERROR(INDEX(ProjCodes,MATCH(D103,ProjNames,0)),""))</f>
        <v/>
      </c>
      <c r="G103" s="32"/>
      <c r="H103" s="11"/>
      <c r="I103" s="33"/>
      <c r="J103" s="8" t="str">
        <f aca="false">IF(COUNTA(B103,D103,G103,H103,I103)=0,"",IF(B103="","Enter date",IF(OR(B103&lt;$AC$2,B103&gt;$AC$3),"Date not in July",IF(D103="","Pick project",IF(ISNA(MATCH(D103,ProjNames,0)),"Project not in list",IF(G103="","Add task description",IF(H103="","Pick NTIME or P6",IF(N(I103)&lt;=0,"Enter hours",IF(AND(AllowOT&lt;&gt;"Yes",SUMIF($B$7:$B$256,B103,$I$7:$I$256)&gt;INDEX($O$58:$O$88,DAY(B103))),"Day over "&amp;INDEX($O$58:$O$88,DAY(B103))&amp;" h","✓")))))))))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tr">
        <f aca="false">IF(Projects!B101="","",Projects!B101)</f>
        <v/>
      </c>
      <c r="X103" s="1" t="n">
        <f aca="false">IF(W103="",0,SUMIFS($I$7:$I$256,$D$7:$D$256,W103,$H$7:$H$256,"NTIME"))</f>
        <v>0</v>
      </c>
      <c r="Y103" s="1" t="n">
        <f aca="false">IF(W103="",0,SUMIFS($I$7:$I$256,$D$7:$D$256,W103,$H$7:$H$256,"P6"))</f>
        <v>0</v>
      </c>
      <c r="Z103" s="1" t="n">
        <f aca="false">X103+Y103</f>
        <v>0</v>
      </c>
      <c r="AA103" s="1" t="n">
        <f aca="false">IF(Z103&gt;0,Z103+(201-97)/10^6,0)</f>
        <v>0</v>
      </c>
      <c r="AB103" s="1"/>
      <c r="AC103" s="1"/>
      <c r="AD103" s="1"/>
      <c r="AE103" s="1"/>
      <c r="AF103" s="1"/>
      <c r="AG103" s="1"/>
      <c r="AH103" s="1"/>
    </row>
    <row r="104" customFormat="false" ht="15" hidden="false" customHeight="false" outlineLevel="0" collapsed="false">
      <c r="A104" s="1"/>
      <c r="B104" s="10"/>
      <c r="C104" s="31" t="str">
        <f aca="false">IF(B104="","",TEXT(B104,"ddd"))</f>
        <v/>
      </c>
      <c r="D104" s="11"/>
      <c r="E104" s="8" t="str">
        <f aca="false">IF(D104="","",IFERROR(INDEX(ProjNumbers,MATCH(D104,ProjNames,0)),""))</f>
        <v/>
      </c>
      <c r="F104" s="8" t="str">
        <f aca="false">IF(D104="","",IFERROR(INDEX(ProjCodes,MATCH(D104,ProjNames,0)),""))</f>
        <v/>
      </c>
      <c r="G104" s="32"/>
      <c r="H104" s="11"/>
      <c r="I104" s="33"/>
      <c r="J104" s="8" t="str">
        <f aca="false">IF(COUNTA(B104,D104,G104,H104,I104)=0,"",IF(B104="","Enter date",IF(OR(B104&lt;$AC$2,B104&gt;$AC$3),"Date not in July",IF(D104="","Pick project",IF(ISNA(MATCH(D104,ProjNames,0)),"Project not in list",IF(G104="","Add task description",IF(H104="","Pick NTIME or P6",IF(N(I104)&lt;=0,"Enter hours",IF(AND(AllowOT&lt;&gt;"Yes",SUMIF($B$7:$B$256,B104,$I$7:$I$256)&gt;INDEX($O$58:$O$88,DAY(B104))),"Day over "&amp;INDEX($O$58:$O$88,DAY(B104))&amp;" h","✓")))))))))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tr">
        <f aca="false">IF(Projects!B102="","",Projects!B102)</f>
        <v/>
      </c>
      <c r="X104" s="1" t="n">
        <f aca="false">IF(W104="",0,SUMIFS($I$7:$I$256,$D$7:$D$256,W104,$H$7:$H$256,"NTIME"))</f>
        <v>0</v>
      </c>
      <c r="Y104" s="1" t="n">
        <f aca="false">IF(W104="",0,SUMIFS($I$7:$I$256,$D$7:$D$256,W104,$H$7:$H$256,"P6"))</f>
        <v>0</v>
      </c>
      <c r="Z104" s="1" t="n">
        <f aca="false">X104+Y104</f>
        <v>0</v>
      </c>
      <c r="AA104" s="1" t="n">
        <f aca="false">IF(Z104&gt;0,Z104+(201-98)/10^6,0)</f>
        <v>0</v>
      </c>
      <c r="AB104" s="1"/>
      <c r="AC104" s="1"/>
      <c r="AD104" s="1"/>
      <c r="AE104" s="1"/>
      <c r="AF104" s="1"/>
      <c r="AG104" s="1"/>
      <c r="AH104" s="1"/>
    </row>
    <row r="105" customFormat="false" ht="15" hidden="false" customHeight="false" outlineLevel="0" collapsed="false">
      <c r="A105" s="1"/>
      <c r="B105" s="10"/>
      <c r="C105" s="31" t="str">
        <f aca="false">IF(B105="","",TEXT(B105,"ddd"))</f>
        <v/>
      </c>
      <c r="D105" s="11"/>
      <c r="E105" s="8" t="str">
        <f aca="false">IF(D105="","",IFERROR(INDEX(ProjNumbers,MATCH(D105,ProjNames,0)),""))</f>
        <v/>
      </c>
      <c r="F105" s="8" t="str">
        <f aca="false">IF(D105="","",IFERROR(INDEX(ProjCodes,MATCH(D105,ProjNames,0)),""))</f>
        <v/>
      </c>
      <c r="G105" s="32"/>
      <c r="H105" s="11"/>
      <c r="I105" s="33"/>
      <c r="J105" s="8" t="str">
        <f aca="false">IF(COUNTA(B105,D105,G105,H105,I105)=0,"",IF(B105="","Enter date",IF(OR(B105&lt;$AC$2,B105&gt;$AC$3),"Date not in July",IF(D105="","Pick project",IF(ISNA(MATCH(D105,ProjNames,0)),"Project not in list",IF(G105="","Add task description",IF(H105="","Pick NTIME or P6",IF(N(I105)&lt;=0,"Enter hours",IF(AND(AllowOT&lt;&gt;"Yes",SUMIF($B$7:$B$256,B105,$I$7:$I$256)&gt;INDEX($O$58:$O$88,DAY(B105))),"Day over "&amp;INDEX($O$58:$O$88,DAY(B105))&amp;" h","✓")))))))))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tr">
        <f aca="false">IF(Projects!B103="","",Projects!B103)</f>
        <v/>
      </c>
      <c r="X105" s="1" t="n">
        <f aca="false">IF(W105="",0,SUMIFS($I$7:$I$256,$D$7:$D$256,W105,$H$7:$H$256,"NTIME"))</f>
        <v>0</v>
      </c>
      <c r="Y105" s="1" t="n">
        <f aca="false">IF(W105="",0,SUMIFS($I$7:$I$256,$D$7:$D$256,W105,$H$7:$H$256,"P6"))</f>
        <v>0</v>
      </c>
      <c r="Z105" s="1" t="n">
        <f aca="false">X105+Y105</f>
        <v>0</v>
      </c>
      <c r="AA105" s="1" t="n">
        <f aca="false">IF(Z105&gt;0,Z105+(201-99)/10^6,0)</f>
        <v>0</v>
      </c>
      <c r="AB105" s="1"/>
      <c r="AC105" s="1"/>
      <c r="AD105" s="1"/>
      <c r="AE105" s="1"/>
      <c r="AF105" s="1"/>
      <c r="AG105" s="1"/>
      <c r="AH105" s="1"/>
    </row>
    <row r="106" customFormat="false" ht="15" hidden="false" customHeight="false" outlineLevel="0" collapsed="false">
      <c r="A106" s="1"/>
      <c r="B106" s="10"/>
      <c r="C106" s="31" t="str">
        <f aca="false">IF(B106="","",TEXT(B106,"ddd"))</f>
        <v/>
      </c>
      <c r="D106" s="11"/>
      <c r="E106" s="8" t="str">
        <f aca="false">IF(D106="","",IFERROR(INDEX(ProjNumbers,MATCH(D106,ProjNames,0)),""))</f>
        <v/>
      </c>
      <c r="F106" s="8" t="str">
        <f aca="false">IF(D106="","",IFERROR(INDEX(ProjCodes,MATCH(D106,ProjNames,0)),""))</f>
        <v/>
      </c>
      <c r="G106" s="32"/>
      <c r="H106" s="11"/>
      <c r="I106" s="33"/>
      <c r="J106" s="8" t="str">
        <f aca="false">IF(COUNTA(B106,D106,G106,H106,I106)=0,"",IF(B106="","Enter date",IF(OR(B106&lt;$AC$2,B106&gt;$AC$3),"Date not in July",IF(D106="","Pick project",IF(ISNA(MATCH(D106,ProjNames,0)),"Project not in list",IF(G106="","Add task description",IF(H106="","Pick NTIME or P6",IF(N(I106)&lt;=0,"Enter hours",IF(AND(AllowOT&lt;&gt;"Yes",SUMIF($B$7:$B$256,B106,$I$7:$I$256)&gt;INDEX($O$58:$O$88,DAY(B106))),"Day over "&amp;INDEX($O$58:$O$88,DAY(B106))&amp;" h","✓")))))))))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tr">
        <f aca="false">IF(Projects!B104="","",Projects!B104)</f>
        <v/>
      </c>
      <c r="X106" s="1" t="n">
        <f aca="false">IF(W106="",0,SUMIFS($I$7:$I$256,$D$7:$D$256,W106,$H$7:$H$256,"NTIME"))</f>
        <v>0</v>
      </c>
      <c r="Y106" s="1" t="n">
        <f aca="false">IF(W106="",0,SUMIFS($I$7:$I$256,$D$7:$D$256,W106,$H$7:$H$256,"P6"))</f>
        <v>0</v>
      </c>
      <c r="Z106" s="1" t="n">
        <f aca="false">X106+Y106</f>
        <v>0</v>
      </c>
      <c r="AA106" s="1" t="n">
        <f aca="false">IF(Z106&gt;0,Z106+(201-100)/10^6,0)</f>
        <v>0</v>
      </c>
      <c r="AB106" s="1"/>
      <c r="AC106" s="1"/>
      <c r="AD106" s="1"/>
      <c r="AE106" s="1"/>
      <c r="AF106" s="1"/>
      <c r="AG106" s="1"/>
      <c r="AH106" s="1"/>
    </row>
    <row r="107" customFormat="false" ht="15" hidden="false" customHeight="false" outlineLevel="0" collapsed="false">
      <c r="A107" s="1"/>
      <c r="B107" s="10"/>
      <c r="C107" s="31" t="str">
        <f aca="false">IF(B107="","",TEXT(B107,"ddd"))</f>
        <v/>
      </c>
      <c r="D107" s="11"/>
      <c r="E107" s="8" t="str">
        <f aca="false">IF(D107="","",IFERROR(INDEX(ProjNumbers,MATCH(D107,ProjNames,0)),""))</f>
        <v/>
      </c>
      <c r="F107" s="8" t="str">
        <f aca="false">IF(D107="","",IFERROR(INDEX(ProjCodes,MATCH(D107,ProjNames,0)),""))</f>
        <v/>
      </c>
      <c r="G107" s="32"/>
      <c r="H107" s="11"/>
      <c r="I107" s="33"/>
      <c r="J107" s="8" t="str">
        <f aca="false">IF(COUNTA(B107,D107,G107,H107,I107)=0,"",IF(B107="","Enter date",IF(OR(B107&lt;$AC$2,B107&gt;$AC$3),"Date not in July",IF(D107="","Pick project",IF(ISNA(MATCH(D107,ProjNames,0)),"Project not in list",IF(G107="","Add task description",IF(H107="","Pick NTIME or P6",IF(N(I107)&lt;=0,"Enter hours",IF(AND(AllowOT&lt;&gt;"Yes",SUMIF($B$7:$B$256,B107,$I$7:$I$256)&gt;INDEX($O$58:$O$88,DAY(B107))),"Day over "&amp;INDEX($O$58:$O$88,DAY(B107))&amp;" h","✓")))))))))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tr">
        <f aca="false">IF(Projects!B105="","",Projects!B105)</f>
        <v/>
      </c>
      <c r="X107" s="1" t="n">
        <f aca="false">IF(W107="",0,SUMIFS($I$7:$I$256,$D$7:$D$256,W107,$H$7:$H$256,"NTIME"))</f>
        <v>0</v>
      </c>
      <c r="Y107" s="1" t="n">
        <f aca="false">IF(W107="",0,SUMIFS($I$7:$I$256,$D$7:$D$256,W107,$H$7:$H$256,"P6"))</f>
        <v>0</v>
      </c>
      <c r="Z107" s="1" t="n">
        <f aca="false">X107+Y107</f>
        <v>0</v>
      </c>
      <c r="AA107" s="1" t="n">
        <f aca="false">IF(Z107&gt;0,Z107+(201-101)/10^6,0)</f>
        <v>0</v>
      </c>
      <c r="AB107" s="1"/>
      <c r="AC107" s="1"/>
      <c r="AD107" s="1"/>
      <c r="AE107" s="1"/>
      <c r="AF107" s="1"/>
      <c r="AG107" s="1"/>
      <c r="AH107" s="1"/>
    </row>
    <row r="108" customFormat="false" ht="15" hidden="false" customHeight="false" outlineLevel="0" collapsed="false">
      <c r="A108" s="1"/>
      <c r="B108" s="10"/>
      <c r="C108" s="31" t="str">
        <f aca="false">IF(B108="","",TEXT(B108,"ddd"))</f>
        <v/>
      </c>
      <c r="D108" s="11"/>
      <c r="E108" s="8" t="str">
        <f aca="false">IF(D108="","",IFERROR(INDEX(ProjNumbers,MATCH(D108,ProjNames,0)),""))</f>
        <v/>
      </c>
      <c r="F108" s="8" t="str">
        <f aca="false">IF(D108="","",IFERROR(INDEX(ProjCodes,MATCH(D108,ProjNames,0)),""))</f>
        <v/>
      </c>
      <c r="G108" s="32"/>
      <c r="H108" s="11"/>
      <c r="I108" s="33"/>
      <c r="J108" s="8" t="str">
        <f aca="false">IF(COUNTA(B108,D108,G108,H108,I108)=0,"",IF(B108="","Enter date",IF(OR(B108&lt;$AC$2,B108&gt;$AC$3),"Date not in July",IF(D108="","Pick project",IF(ISNA(MATCH(D108,ProjNames,0)),"Project not in list",IF(G108="","Add task description",IF(H108="","Pick NTIME or P6",IF(N(I108)&lt;=0,"Enter hours",IF(AND(AllowOT&lt;&gt;"Yes",SUMIF($B$7:$B$256,B108,$I$7:$I$256)&gt;INDEX($O$58:$O$88,DAY(B108))),"Day over "&amp;INDEX($O$58:$O$88,DAY(B108))&amp;" h","✓")))))))))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aca="false">IF(Projects!B106="","",Projects!B106)</f>
        <v/>
      </c>
      <c r="X108" s="1" t="n">
        <f aca="false">IF(W108="",0,SUMIFS($I$7:$I$256,$D$7:$D$256,W108,$H$7:$H$256,"NTIME"))</f>
        <v>0</v>
      </c>
      <c r="Y108" s="1" t="n">
        <f aca="false">IF(W108="",0,SUMIFS($I$7:$I$256,$D$7:$D$256,W108,$H$7:$H$256,"P6"))</f>
        <v>0</v>
      </c>
      <c r="Z108" s="1" t="n">
        <f aca="false">X108+Y108</f>
        <v>0</v>
      </c>
      <c r="AA108" s="1" t="n">
        <f aca="false">IF(Z108&gt;0,Z108+(201-102)/10^6,0)</f>
        <v>0</v>
      </c>
      <c r="AB108" s="1"/>
      <c r="AC108" s="1"/>
      <c r="AD108" s="1"/>
      <c r="AE108" s="1"/>
      <c r="AF108" s="1"/>
      <c r="AG108" s="1"/>
      <c r="AH108" s="1"/>
    </row>
    <row r="109" customFormat="false" ht="15" hidden="false" customHeight="false" outlineLevel="0" collapsed="false">
      <c r="A109" s="1"/>
      <c r="B109" s="10"/>
      <c r="C109" s="31" t="str">
        <f aca="false">IF(B109="","",TEXT(B109,"ddd"))</f>
        <v/>
      </c>
      <c r="D109" s="11"/>
      <c r="E109" s="8" t="str">
        <f aca="false">IF(D109="","",IFERROR(INDEX(ProjNumbers,MATCH(D109,ProjNames,0)),""))</f>
        <v/>
      </c>
      <c r="F109" s="8" t="str">
        <f aca="false">IF(D109="","",IFERROR(INDEX(ProjCodes,MATCH(D109,ProjNames,0)),""))</f>
        <v/>
      </c>
      <c r="G109" s="32"/>
      <c r="H109" s="11"/>
      <c r="I109" s="33"/>
      <c r="J109" s="8" t="str">
        <f aca="false">IF(COUNTA(B109,D109,G109,H109,I109)=0,"",IF(B109="","Enter date",IF(OR(B109&lt;$AC$2,B109&gt;$AC$3),"Date not in July",IF(D109="","Pick project",IF(ISNA(MATCH(D109,ProjNames,0)),"Project not in list",IF(G109="","Add task description",IF(H109="","Pick NTIME or P6",IF(N(I109)&lt;=0,"Enter hours",IF(AND(AllowOT&lt;&gt;"Yes",SUMIF($B$7:$B$256,B109,$I$7:$I$256)&gt;INDEX($O$58:$O$88,DAY(B109))),"Day over "&amp;INDEX($O$58:$O$88,DAY(B109))&amp;" h","✓")))))))))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tr">
        <f aca="false">IF(Projects!B107="","",Projects!B107)</f>
        <v/>
      </c>
      <c r="X109" s="1" t="n">
        <f aca="false">IF(W109="",0,SUMIFS($I$7:$I$256,$D$7:$D$256,W109,$H$7:$H$256,"NTIME"))</f>
        <v>0</v>
      </c>
      <c r="Y109" s="1" t="n">
        <f aca="false">IF(W109="",0,SUMIFS($I$7:$I$256,$D$7:$D$256,W109,$H$7:$H$256,"P6"))</f>
        <v>0</v>
      </c>
      <c r="Z109" s="1" t="n">
        <f aca="false">X109+Y109</f>
        <v>0</v>
      </c>
      <c r="AA109" s="1" t="n">
        <f aca="false">IF(Z109&gt;0,Z109+(201-103)/10^6,0)</f>
        <v>0</v>
      </c>
      <c r="AB109" s="1"/>
      <c r="AC109" s="1"/>
      <c r="AD109" s="1"/>
      <c r="AE109" s="1"/>
      <c r="AF109" s="1"/>
      <c r="AG109" s="1"/>
      <c r="AH109" s="1"/>
    </row>
    <row r="110" customFormat="false" ht="15" hidden="false" customHeight="false" outlineLevel="0" collapsed="false">
      <c r="A110" s="1"/>
      <c r="B110" s="10"/>
      <c r="C110" s="31" t="str">
        <f aca="false">IF(B110="","",TEXT(B110,"ddd"))</f>
        <v/>
      </c>
      <c r="D110" s="11"/>
      <c r="E110" s="8" t="str">
        <f aca="false">IF(D110="","",IFERROR(INDEX(ProjNumbers,MATCH(D110,ProjNames,0)),""))</f>
        <v/>
      </c>
      <c r="F110" s="8" t="str">
        <f aca="false">IF(D110="","",IFERROR(INDEX(ProjCodes,MATCH(D110,ProjNames,0)),""))</f>
        <v/>
      </c>
      <c r="G110" s="32"/>
      <c r="H110" s="11"/>
      <c r="I110" s="33"/>
      <c r="J110" s="8" t="str">
        <f aca="false">IF(COUNTA(B110,D110,G110,H110,I110)=0,"",IF(B110="","Enter date",IF(OR(B110&lt;$AC$2,B110&gt;$AC$3),"Date not in July",IF(D110="","Pick project",IF(ISNA(MATCH(D110,ProjNames,0)),"Project not in list",IF(G110="","Add task description",IF(H110="","Pick NTIME or P6",IF(N(I110)&lt;=0,"Enter hours",IF(AND(AllowOT&lt;&gt;"Yes",SUMIF($B$7:$B$256,B110,$I$7:$I$256)&gt;INDEX($O$58:$O$88,DAY(B110))),"Day over "&amp;INDEX($O$58:$O$88,DAY(B110))&amp;" h","✓")))))))))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tr">
        <f aca="false">IF(Projects!B108="","",Projects!B108)</f>
        <v/>
      </c>
      <c r="X110" s="1" t="n">
        <f aca="false">IF(W110="",0,SUMIFS($I$7:$I$256,$D$7:$D$256,W110,$H$7:$H$256,"NTIME"))</f>
        <v>0</v>
      </c>
      <c r="Y110" s="1" t="n">
        <f aca="false">IF(W110="",0,SUMIFS($I$7:$I$256,$D$7:$D$256,W110,$H$7:$H$256,"P6"))</f>
        <v>0</v>
      </c>
      <c r="Z110" s="1" t="n">
        <f aca="false">X110+Y110</f>
        <v>0</v>
      </c>
      <c r="AA110" s="1" t="n">
        <f aca="false">IF(Z110&gt;0,Z110+(201-104)/10^6,0)</f>
        <v>0</v>
      </c>
      <c r="AB110" s="1"/>
      <c r="AC110" s="1"/>
      <c r="AD110" s="1"/>
      <c r="AE110" s="1"/>
      <c r="AF110" s="1"/>
      <c r="AG110" s="1"/>
      <c r="AH110" s="1"/>
    </row>
    <row r="111" customFormat="false" ht="15" hidden="false" customHeight="false" outlineLevel="0" collapsed="false">
      <c r="A111" s="1"/>
      <c r="B111" s="10"/>
      <c r="C111" s="31" t="str">
        <f aca="false">IF(B111="","",TEXT(B111,"ddd"))</f>
        <v/>
      </c>
      <c r="D111" s="11"/>
      <c r="E111" s="8" t="str">
        <f aca="false">IF(D111="","",IFERROR(INDEX(ProjNumbers,MATCH(D111,ProjNames,0)),""))</f>
        <v/>
      </c>
      <c r="F111" s="8" t="str">
        <f aca="false">IF(D111="","",IFERROR(INDEX(ProjCodes,MATCH(D111,ProjNames,0)),""))</f>
        <v/>
      </c>
      <c r="G111" s="32"/>
      <c r="H111" s="11"/>
      <c r="I111" s="33"/>
      <c r="J111" s="8" t="str">
        <f aca="false">IF(COUNTA(B111,D111,G111,H111,I111)=0,"",IF(B111="","Enter date",IF(OR(B111&lt;$AC$2,B111&gt;$AC$3),"Date not in July",IF(D111="","Pick project",IF(ISNA(MATCH(D111,ProjNames,0)),"Project not in list",IF(G111="","Add task description",IF(H111="","Pick NTIME or P6",IF(N(I111)&lt;=0,"Enter hours",IF(AND(AllowOT&lt;&gt;"Yes",SUMIF($B$7:$B$256,B111,$I$7:$I$256)&gt;INDEX($O$58:$O$88,DAY(B111))),"Day over "&amp;INDEX($O$58:$O$88,DAY(B111))&amp;" h","✓")))))))))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tr">
        <f aca="false">IF(Projects!B109="","",Projects!B109)</f>
        <v/>
      </c>
      <c r="X111" s="1" t="n">
        <f aca="false">IF(W111="",0,SUMIFS($I$7:$I$256,$D$7:$D$256,W111,$H$7:$H$256,"NTIME"))</f>
        <v>0</v>
      </c>
      <c r="Y111" s="1" t="n">
        <f aca="false">IF(W111="",0,SUMIFS($I$7:$I$256,$D$7:$D$256,W111,$H$7:$H$256,"P6"))</f>
        <v>0</v>
      </c>
      <c r="Z111" s="1" t="n">
        <f aca="false">X111+Y111</f>
        <v>0</v>
      </c>
      <c r="AA111" s="1" t="n">
        <f aca="false">IF(Z111&gt;0,Z111+(201-105)/10^6,0)</f>
        <v>0</v>
      </c>
      <c r="AB111" s="1"/>
      <c r="AC111" s="1"/>
      <c r="AD111" s="1"/>
      <c r="AE111" s="1"/>
      <c r="AF111" s="1"/>
      <c r="AG111" s="1"/>
      <c r="AH111" s="1"/>
    </row>
    <row r="112" customFormat="false" ht="15" hidden="false" customHeight="false" outlineLevel="0" collapsed="false">
      <c r="A112" s="1"/>
      <c r="B112" s="10"/>
      <c r="C112" s="31" t="str">
        <f aca="false">IF(B112="","",TEXT(B112,"ddd"))</f>
        <v/>
      </c>
      <c r="D112" s="11"/>
      <c r="E112" s="8" t="str">
        <f aca="false">IF(D112="","",IFERROR(INDEX(ProjNumbers,MATCH(D112,ProjNames,0)),""))</f>
        <v/>
      </c>
      <c r="F112" s="8" t="str">
        <f aca="false">IF(D112="","",IFERROR(INDEX(ProjCodes,MATCH(D112,ProjNames,0)),""))</f>
        <v/>
      </c>
      <c r="G112" s="32"/>
      <c r="H112" s="11"/>
      <c r="I112" s="33"/>
      <c r="J112" s="8" t="str">
        <f aca="false">IF(COUNTA(B112,D112,G112,H112,I112)=0,"",IF(B112="","Enter date",IF(OR(B112&lt;$AC$2,B112&gt;$AC$3),"Date not in July",IF(D112="","Pick project",IF(ISNA(MATCH(D112,ProjNames,0)),"Project not in list",IF(G112="","Add task description",IF(H112="","Pick NTIME or P6",IF(N(I112)&lt;=0,"Enter hours",IF(AND(AllowOT&lt;&gt;"Yes",SUMIF($B$7:$B$256,B112,$I$7:$I$256)&gt;INDEX($O$58:$O$88,DAY(B112))),"Day over "&amp;INDEX($O$58:$O$88,DAY(B112))&amp;" h","✓")))))))))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tr">
        <f aca="false">IF(Projects!B110="","",Projects!B110)</f>
        <v/>
      </c>
      <c r="X112" s="1" t="n">
        <f aca="false">IF(W112="",0,SUMIFS($I$7:$I$256,$D$7:$D$256,W112,$H$7:$H$256,"NTIME"))</f>
        <v>0</v>
      </c>
      <c r="Y112" s="1" t="n">
        <f aca="false">IF(W112="",0,SUMIFS($I$7:$I$256,$D$7:$D$256,W112,$H$7:$H$256,"P6"))</f>
        <v>0</v>
      </c>
      <c r="Z112" s="1" t="n">
        <f aca="false">X112+Y112</f>
        <v>0</v>
      </c>
      <c r="AA112" s="1" t="n">
        <f aca="false">IF(Z112&gt;0,Z112+(201-106)/10^6,0)</f>
        <v>0</v>
      </c>
      <c r="AB112" s="1"/>
      <c r="AC112" s="1"/>
      <c r="AD112" s="1"/>
      <c r="AE112" s="1"/>
      <c r="AF112" s="1"/>
      <c r="AG112" s="1"/>
      <c r="AH112" s="1"/>
    </row>
    <row r="113" customFormat="false" ht="15" hidden="false" customHeight="false" outlineLevel="0" collapsed="false">
      <c r="A113" s="1"/>
      <c r="B113" s="10"/>
      <c r="C113" s="31" t="str">
        <f aca="false">IF(B113="","",TEXT(B113,"ddd"))</f>
        <v/>
      </c>
      <c r="D113" s="11"/>
      <c r="E113" s="8" t="str">
        <f aca="false">IF(D113="","",IFERROR(INDEX(ProjNumbers,MATCH(D113,ProjNames,0)),""))</f>
        <v/>
      </c>
      <c r="F113" s="8" t="str">
        <f aca="false">IF(D113="","",IFERROR(INDEX(ProjCodes,MATCH(D113,ProjNames,0)),""))</f>
        <v/>
      </c>
      <c r="G113" s="32"/>
      <c r="H113" s="11"/>
      <c r="I113" s="33"/>
      <c r="J113" s="8" t="str">
        <f aca="false">IF(COUNTA(B113,D113,G113,H113,I113)=0,"",IF(B113="","Enter date",IF(OR(B113&lt;$AC$2,B113&gt;$AC$3),"Date not in July",IF(D113="","Pick project",IF(ISNA(MATCH(D113,ProjNames,0)),"Project not in list",IF(G113="","Add task description",IF(H113="","Pick NTIME or P6",IF(N(I113)&lt;=0,"Enter hours",IF(AND(AllowOT&lt;&gt;"Yes",SUMIF($B$7:$B$256,B113,$I$7:$I$256)&gt;INDEX($O$58:$O$88,DAY(B113))),"Day over "&amp;INDEX($O$58:$O$88,DAY(B113))&amp;" h","✓")))))))))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tr">
        <f aca="false">IF(Projects!B111="","",Projects!B111)</f>
        <v/>
      </c>
      <c r="X113" s="1" t="n">
        <f aca="false">IF(W113="",0,SUMIFS($I$7:$I$256,$D$7:$D$256,W113,$H$7:$H$256,"NTIME"))</f>
        <v>0</v>
      </c>
      <c r="Y113" s="1" t="n">
        <f aca="false">IF(W113="",0,SUMIFS($I$7:$I$256,$D$7:$D$256,W113,$H$7:$H$256,"P6"))</f>
        <v>0</v>
      </c>
      <c r="Z113" s="1" t="n">
        <f aca="false">X113+Y113</f>
        <v>0</v>
      </c>
      <c r="AA113" s="1" t="n">
        <f aca="false">IF(Z113&gt;0,Z113+(201-107)/10^6,0)</f>
        <v>0</v>
      </c>
      <c r="AB113" s="1"/>
      <c r="AC113" s="1"/>
      <c r="AD113" s="1"/>
      <c r="AE113" s="1"/>
      <c r="AF113" s="1"/>
      <c r="AG113" s="1"/>
      <c r="AH113" s="1"/>
    </row>
    <row r="114" customFormat="false" ht="15" hidden="false" customHeight="false" outlineLevel="0" collapsed="false">
      <c r="A114" s="1"/>
      <c r="B114" s="10"/>
      <c r="C114" s="31" t="str">
        <f aca="false">IF(B114="","",TEXT(B114,"ddd"))</f>
        <v/>
      </c>
      <c r="D114" s="11"/>
      <c r="E114" s="8" t="str">
        <f aca="false">IF(D114="","",IFERROR(INDEX(ProjNumbers,MATCH(D114,ProjNames,0)),""))</f>
        <v/>
      </c>
      <c r="F114" s="8" t="str">
        <f aca="false">IF(D114="","",IFERROR(INDEX(ProjCodes,MATCH(D114,ProjNames,0)),""))</f>
        <v/>
      </c>
      <c r="G114" s="32"/>
      <c r="H114" s="11"/>
      <c r="I114" s="33"/>
      <c r="J114" s="8" t="str">
        <f aca="false">IF(COUNTA(B114,D114,G114,H114,I114)=0,"",IF(B114="","Enter date",IF(OR(B114&lt;$AC$2,B114&gt;$AC$3),"Date not in July",IF(D114="","Pick project",IF(ISNA(MATCH(D114,ProjNames,0)),"Project not in list",IF(G114="","Add task description",IF(H114="","Pick NTIME or P6",IF(N(I114)&lt;=0,"Enter hours",IF(AND(AllowOT&lt;&gt;"Yes",SUMIF($B$7:$B$256,B114,$I$7:$I$256)&gt;INDEX($O$58:$O$88,DAY(B114))),"Day over "&amp;INDEX($O$58:$O$88,DAY(B114))&amp;" h","✓")))))))))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tr">
        <f aca="false">IF(Projects!B112="","",Projects!B112)</f>
        <v/>
      </c>
      <c r="X114" s="1" t="n">
        <f aca="false">IF(W114="",0,SUMIFS($I$7:$I$256,$D$7:$D$256,W114,$H$7:$H$256,"NTIME"))</f>
        <v>0</v>
      </c>
      <c r="Y114" s="1" t="n">
        <f aca="false">IF(W114="",0,SUMIFS($I$7:$I$256,$D$7:$D$256,W114,$H$7:$H$256,"P6"))</f>
        <v>0</v>
      </c>
      <c r="Z114" s="1" t="n">
        <f aca="false">X114+Y114</f>
        <v>0</v>
      </c>
      <c r="AA114" s="1" t="n">
        <f aca="false">IF(Z114&gt;0,Z114+(201-108)/10^6,0)</f>
        <v>0</v>
      </c>
      <c r="AB114" s="1"/>
      <c r="AC114" s="1"/>
      <c r="AD114" s="1"/>
      <c r="AE114" s="1"/>
      <c r="AF114" s="1"/>
      <c r="AG114" s="1"/>
      <c r="AH114" s="1"/>
    </row>
    <row r="115" customFormat="false" ht="15" hidden="false" customHeight="false" outlineLevel="0" collapsed="false">
      <c r="A115" s="1"/>
      <c r="B115" s="10"/>
      <c r="C115" s="31" t="str">
        <f aca="false">IF(B115="","",TEXT(B115,"ddd"))</f>
        <v/>
      </c>
      <c r="D115" s="11"/>
      <c r="E115" s="8" t="str">
        <f aca="false">IF(D115="","",IFERROR(INDEX(ProjNumbers,MATCH(D115,ProjNames,0)),""))</f>
        <v/>
      </c>
      <c r="F115" s="8" t="str">
        <f aca="false">IF(D115="","",IFERROR(INDEX(ProjCodes,MATCH(D115,ProjNames,0)),""))</f>
        <v/>
      </c>
      <c r="G115" s="32"/>
      <c r="H115" s="11"/>
      <c r="I115" s="33"/>
      <c r="J115" s="8" t="str">
        <f aca="false">IF(COUNTA(B115,D115,G115,H115,I115)=0,"",IF(B115="","Enter date",IF(OR(B115&lt;$AC$2,B115&gt;$AC$3),"Date not in July",IF(D115="","Pick project",IF(ISNA(MATCH(D115,ProjNames,0)),"Project not in list",IF(G115="","Add task description",IF(H115="","Pick NTIME or P6",IF(N(I115)&lt;=0,"Enter hours",IF(AND(AllowOT&lt;&gt;"Yes",SUMIF($B$7:$B$256,B115,$I$7:$I$256)&gt;INDEX($O$58:$O$88,DAY(B115))),"Day over "&amp;INDEX($O$58:$O$88,DAY(B115))&amp;" h","✓")))))))))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tr">
        <f aca="false">IF(Projects!B113="","",Projects!B113)</f>
        <v/>
      </c>
      <c r="X115" s="1" t="n">
        <f aca="false">IF(W115="",0,SUMIFS($I$7:$I$256,$D$7:$D$256,W115,$H$7:$H$256,"NTIME"))</f>
        <v>0</v>
      </c>
      <c r="Y115" s="1" t="n">
        <f aca="false">IF(W115="",0,SUMIFS($I$7:$I$256,$D$7:$D$256,W115,$H$7:$H$256,"P6"))</f>
        <v>0</v>
      </c>
      <c r="Z115" s="1" t="n">
        <f aca="false">X115+Y115</f>
        <v>0</v>
      </c>
      <c r="AA115" s="1" t="n">
        <f aca="false">IF(Z115&gt;0,Z115+(201-109)/10^6,0)</f>
        <v>0</v>
      </c>
      <c r="AB115" s="1"/>
      <c r="AC115" s="1"/>
      <c r="AD115" s="1"/>
      <c r="AE115" s="1"/>
      <c r="AF115" s="1"/>
      <c r="AG115" s="1"/>
      <c r="AH115" s="1"/>
    </row>
    <row r="116" customFormat="false" ht="15" hidden="false" customHeight="false" outlineLevel="0" collapsed="false">
      <c r="A116" s="1"/>
      <c r="B116" s="10"/>
      <c r="C116" s="31" t="str">
        <f aca="false">IF(B116="","",TEXT(B116,"ddd"))</f>
        <v/>
      </c>
      <c r="D116" s="11"/>
      <c r="E116" s="8" t="str">
        <f aca="false">IF(D116="","",IFERROR(INDEX(ProjNumbers,MATCH(D116,ProjNames,0)),""))</f>
        <v/>
      </c>
      <c r="F116" s="8" t="str">
        <f aca="false">IF(D116="","",IFERROR(INDEX(ProjCodes,MATCH(D116,ProjNames,0)),""))</f>
        <v/>
      </c>
      <c r="G116" s="32"/>
      <c r="H116" s="11"/>
      <c r="I116" s="33"/>
      <c r="J116" s="8" t="str">
        <f aca="false">IF(COUNTA(B116,D116,G116,H116,I116)=0,"",IF(B116="","Enter date",IF(OR(B116&lt;$AC$2,B116&gt;$AC$3),"Date not in July",IF(D116="","Pick project",IF(ISNA(MATCH(D116,ProjNames,0)),"Project not in list",IF(G116="","Add task description",IF(H116="","Pick NTIME or P6",IF(N(I116)&lt;=0,"Enter hours",IF(AND(AllowOT&lt;&gt;"Yes",SUMIF($B$7:$B$256,B116,$I$7:$I$256)&gt;INDEX($O$58:$O$88,DAY(B116))),"Day over "&amp;INDEX($O$58:$O$88,DAY(B116))&amp;" h","✓")))))))))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tr">
        <f aca="false">IF(Projects!B114="","",Projects!B114)</f>
        <v/>
      </c>
      <c r="X116" s="1" t="n">
        <f aca="false">IF(W116="",0,SUMIFS($I$7:$I$256,$D$7:$D$256,W116,$H$7:$H$256,"NTIME"))</f>
        <v>0</v>
      </c>
      <c r="Y116" s="1" t="n">
        <f aca="false">IF(W116="",0,SUMIFS($I$7:$I$256,$D$7:$D$256,W116,$H$7:$H$256,"P6"))</f>
        <v>0</v>
      </c>
      <c r="Z116" s="1" t="n">
        <f aca="false">X116+Y116</f>
        <v>0</v>
      </c>
      <c r="AA116" s="1" t="n">
        <f aca="false">IF(Z116&gt;0,Z116+(201-110)/10^6,0)</f>
        <v>0</v>
      </c>
      <c r="AB116" s="1"/>
      <c r="AC116" s="1"/>
      <c r="AD116" s="1"/>
      <c r="AE116" s="1"/>
      <c r="AF116" s="1"/>
      <c r="AG116" s="1"/>
      <c r="AH116" s="1"/>
    </row>
    <row r="117" customFormat="false" ht="15" hidden="false" customHeight="false" outlineLevel="0" collapsed="false">
      <c r="A117" s="1"/>
      <c r="B117" s="10"/>
      <c r="C117" s="31" t="str">
        <f aca="false">IF(B117="","",TEXT(B117,"ddd"))</f>
        <v/>
      </c>
      <c r="D117" s="11"/>
      <c r="E117" s="8" t="str">
        <f aca="false">IF(D117="","",IFERROR(INDEX(ProjNumbers,MATCH(D117,ProjNames,0)),""))</f>
        <v/>
      </c>
      <c r="F117" s="8" t="str">
        <f aca="false">IF(D117="","",IFERROR(INDEX(ProjCodes,MATCH(D117,ProjNames,0)),""))</f>
        <v/>
      </c>
      <c r="G117" s="32"/>
      <c r="H117" s="11"/>
      <c r="I117" s="33"/>
      <c r="J117" s="8" t="str">
        <f aca="false">IF(COUNTA(B117,D117,G117,H117,I117)=0,"",IF(B117="","Enter date",IF(OR(B117&lt;$AC$2,B117&gt;$AC$3),"Date not in July",IF(D117="","Pick project",IF(ISNA(MATCH(D117,ProjNames,0)),"Project not in list",IF(G117="","Add task description",IF(H117="","Pick NTIME or P6",IF(N(I117)&lt;=0,"Enter hours",IF(AND(AllowOT&lt;&gt;"Yes",SUMIF($B$7:$B$256,B117,$I$7:$I$256)&gt;INDEX($O$58:$O$88,DAY(B117))),"Day over "&amp;INDEX($O$58:$O$88,DAY(B117))&amp;" h","✓")))))))))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tr">
        <f aca="false">IF(Projects!B115="","",Projects!B115)</f>
        <v/>
      </c>
      <c r="X117" s="1" t="n">
        <f aca="false">IF(W117="",0,SUMIFS($I$7:$I$256,$D$7:$D$256,W117,$H$7:$H$256,"NTIME"))</f>
        <v>0</v>
      </c>
      <c r="Y117" s="1" t="n">
        <f aca="false">IF(W117="",0,SUMIFS($I$7:$I$256,$D$7:$D$256,W117,$H$7:$H$256,"P6"))</f>
        <v>0</v>
      </c>
      <c r="Z117" s="1" t="n">
        <f aca="false">X117+Y117</f>
        <v>0</v>
      </c>
      <c r="AA117" s="1" t="n">
        <f aca="false">IF(Z117&gt;0,Z117+(201-111)/10^6,0)</f>
        <v>0</v>
      </c>
      <c r="AB117" s="1"/>
      <c r="AC117" s="1"/>
      <c r="AD117" s="1"/>
      <c r="AE117" s="1"/>
      <c r="AF117" s="1"/>
      <c r="AG117" s="1"/>
      <c r="AH117" s="1"/>
    </row>
    <row r="118" customFormat="false" ht="15" hidden="false" customHeight="false" outlineLevel="0" collapsed="false">
      <c r="A118" s="1"/>
      <c r="B118" s="10"/>
      <c r="C118" s="31" t="str">
        <f aca="false">IF(B118="","",TEXT(B118,"ddd"))</f>
        <v/>
      </c>
      <c r="D118" s="11"/>
      <c r="E118" s="8" t="str">
        <f aca="false">IF(D118="","",IFERROR(INDEX(ProjNumbers,MATCH(D118,ProjNames,0)),""))</f>
        <v/>
      </c>
      <c r="F118" s="8" t="str">
        <f aca="false">IF(D118="","",IFERROR(INDEX(ProjCodes,MATCH(D118,ProjNames,0)),""))</f>
        <v/>
      </c>
      <c r="G118" s="32"/>
      <c r="H118" s="11"/>
      <c r="I118" s="33"/>
      <c r="J118" s="8" t="str">
        <f aca="false">IF(COUNTA(B118,D118,G118,H118,I118)=0,"",IF(B118="","Enter date",IF(OR(B118&lt;$AC$2,B118&gt;$AC$3),"Date not in July",IF(D118="","Pick project",IF(ISNA(MATCH(D118,ProjNames,0)),"Project not in list",IF(G118="","Add task description",IF(H118="","Pick NTIME or P6",IF(N(I118)&lt;=0,"Enter hours",IF(AND(AllowOT&lt;&gt;"Yes",SUMIF($B$7:$B$256,B118,$I$7:$I$256)&gt;INDEX($O$58:$O$88,DAY(B118))),"Day over "&amp;INDEX($O$58:$O$88,DAY(B118))&amp;" h","✓")))))))))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tr">
        <f aca="false">IF(Projects!B116="","",Projects!B116)</f>
        <v/>
      </c>
      <c r="X118" s="1" t="n">
        <f aca="false">IF(W118="",0,SUMIFS($I$7:$I$256,$D$7:$D$256,W118,$H$7:$H$256,"NTIME"))</f>
        <v>0</v>
      </c>
      <c r="Y118" s="1" t="n">
        <f aca="false">IF(W118="",0,SUMIFS($I$7:$I$256,$D$7:$D$256,W118,$H$7:$H$256,"P6"))</f>
        <v>0</v>
      </c>
      <c r="Z118" s="1" t="n">
        <f aca="false">X118+Y118</f>
        <v>0</v>
      </c>
      <c r="AA118" s="1" t="n">
        <f aca="false">IF(Z118&gt;0,Z118+(201-112)/10^6,0)</f>
        <v>0</v>
      </c>
      <c r="AB118" s="1"/>
      <c r="AC118" s="1"/>
      <c r="AD118" s="1"/>
      <c r="AE118" s="1"/>
      <c r="AF118" s="1"/>
      <c r="AG118" s="1"/>
      <c r="AH118" s="1"/>
    </row>
    <row r="119" customFormat="false" ht="15" hidden="false" customHeight="false" outlineLevel="0" collapsed="false">
      <c r="A119" s="1"/>
      <c r="B119" s="10"/>
      <c r="C119" s="31" t="str">
        <f aca="false">IF(B119="","",TEXT(B119,"ddd"))</f>
        <v/>
      </c>
      <c r="D119" s="11"/>
      <c r="E119" s="8" t="str">
        <f aca="false">IF(D119="","",IFERROR(INDEX(ProjNumbers,MATCH(D119,ProjNames,0)),""))</f>
        <v/>
      </c>
      <c r="F119" s="8" t="str">
        <f aca="false">IF(D119="","",IFERROR(INDEX(ProjCodes,MATCH(D119,ProjNames,0)),""))</f>
        <v/>
      </c>
      <c r="G119" s="32"/>
      <c r="H119" s="11"/>
      <c r="I119" s="33"/>
      <c r="J119" s="8" t="str">
        <f aca="false">IF(COUNTA(B119,D119,G119,H119,I119)=0,"",IF(B119="","Enter date",IF(OR(B119&lt;$AC$2,B119&gt;$AC$3),"Date not in July",IF(D119="","Pick project",IF(ISNA(MATCH(D119,ProjNames,0)),"Project not in list",IF(G119="","Add task description",IF(H119="","Pick NTIME or P6",IF(N(I119)&lt;=0,"Enter hours",IF(AND(AllowOT&lt;&gt;"Yes",SUMIF($B$7:$B$256,B119,$I$7:$I$256)&gt;INDEX($O$58:$O$88,DAY(B119))),"Day over "&amp;INDEX($O$58:$O$88,DAY(B119))&amp;" h","✓")))))))))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 aca="false">IF(Projects!B117="","",Projects!B117)</f>
        <v/>
      </c>
      <c r="X119" s="1" t="n">
        <f aca="false">IF(W119="",0,SUMIFS($I$7:$I$256,$D$7:$D$256,W119,$H$7:$H$256,"NTIME"))</f>
        <v>0</v>
      </c>
      <c r="Y119" s="1" t="n">
        <f aca="false">IF(W119="",0,SUMIFS($I$7:$I$256,$D$7:$D$256,W119,$H$7:$H$256,"P6"))</f>
        <v>0</v>
      </c>
      <c r="Z119" s="1" t="n">
        <f aca="false">X119+Y119</f>
        <v>0</v>
      </c>
      <c r="AA119" s="1" t="n">
        <f aca="false">IF(Z119&gt;0,Z119+(201-113)/10^6,0)</f>
        <v>0</v>
      </c>
      <c r="AB119" s="1"/>
      <c r="AC119" s="1"/>
      <c r="AD119" s="1"/>
      <c r="AE119" s="1"/>
      <c r="AF119" s="1"/>
      <c r="AG119" s="1"/>
      <c r="AH119" s="1"/>
    </row>
    <row r="120" customFormat="false" ht="15" hidden="false" customHeight="false" outlineLevel="0" collapsed="false">
      <c r="A120" s="1"/>
      <c r="B120" s="10"/>
      <c r="C120" s="31" t="str">
        <f aca="false">IF(B120="","",TEXT(B120,"ddd"))</f>
        <v/>
      </c>
      <c r="D120" s="11"/>
      <c r="E120" s="8" t="str">
        <f aca="false">IF(D120="","",IFERROR(INDEX(ProjNumbers,MATCH(D120,ProjNames,0)),""))</f>
        <v/>
      </c>
      <c r="F120" s="8" t="str">
        <f aca="false">IF(D120="","",IFERROR(INDEX(ProjCodes,MATCH(D120,ProjNames,0)),""))</f>
        <v/>
      </c>
      <c r="G120" s="32"/>
      <c r="H120" s="11"/>
      <c r="I120" s="33"/>
      <c r="J120" s="8" t="str">
        <f aca="false">IF(COUNTA(B120,D120,G120,H120,I120)=0,"",IF(B120="","Enter date",IF(OR(B120&lt;$AC$2,B120&gt;$AC$3),"Date not in July",IF(D120="","Pick project",IF(ISNA(MATCH(D120,ProjNames,0)),"Project not in list",IF(G120="","Add task description",IF(H120="","Pick NTIME or P6",IF(N(I120)&lt;=0,"Enter hours",IF(AND(AllowOT&lt;&gt;"Yes",SUMIF($B$7:$B$256,B120,$I$7:$I$256)&gt;INDEX($O$58:$O$88,DAY(B120))),"Day over "&amp;INDEX($O$58:$O$88,DAY(B120))&amp;" h","✓")))))))))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tr">
        <f aca="false">IF(Projects!B118="","",Projects!B118)</f>
        <v/>
      </c>
      <c r="X120" s="1" t="n">
        <f aca="false">IF(W120="",0,SUMIFS($I$7:$I$256,$D$7:$D$256,W120,$H$7:$H$256,"NTIME"))</f>
        <v>0</v>
      </c>
      <c r="Y120" s="1" t="n">
        <f aca="false">IF(W120="",0,SUMIFS($I$7:$I$256,$D$7:$D$256,W120,$H$7:$H$256,"P6"))</f>
        <v>0</v>
      </c>
      <c r="Z120" s="1" t="n">
        <f aca="false">X120+Y120</f>
        <v>0</v>
      </c>
      <c r="AA120" s="1" t="n">
        <f aca="false">IF(Z120&gt;0,Z120+(201-114)/10^6,0)</f>
        <v>0</v>
      </c>
      <c r="AB120" s="1"/>
      <c r="AC120" s="1"/>
      <c r="AD120" s="1"/>
      <c r="AE120" s="1"/>
      <c r="AF120" s="1"/>
      <c r="AG120" s="1"/>
      <c r="AH120" s="1"/>
    </row>
    <row r="121" customFormat="false" ht="15" hidden="false" customHeight="false" outlineLevel="0" collapsed="false">
      <c r="A121" s="1"/>
      <c r="B121" s="10"/>
      <c r="C121" s="31" t="str">
        <f aca="false">IF(B121="","",TEXT(B121,"ddd"))</f>
        <v/>
      </c>
      <c r="D121" s="11"/>
      <c r="E121" s="8" t="str">
        <f aca="false">IF(D121="","",IFERROR(INDEX(ProjNumbers,MATCH(D121,ProjNames,0)),""))</f>
        <v/>
      </c>
      <c r="F121" s="8" t="str">
        <f aca="false">IF(D121="","",IFERROR(INDEX(ProjCodes,MATCH(D121,ProjNames,0)),""))</f>
        <v/>
      </c>
      <c r="G121" s="32"/>
      <c r="H121" s="11"/>
      <c r="I121" s="33"/>
      <c r="J121" s="8" t="str">
        <f aca="false">IF(COUNTA(B121,D121,G121,H121,I121)=0,"",IF(B121="","Enter date",IF(OR(B121&lt;$AC$2,B121&gt;$AC$3),"Date not in July",IF(D121="","Pick project",IF(ISNA(MATCH(D121,ProjNames,0)),"Project not in list",IF(G121="","Add task description",IF(H121="","Pick NTIME or P6",IF(N(I121)&lt;=0,"Enter hours",IF(AND(AllowOT&lt;&gt;"Yes",SUMIF($B$7:$B$256,B121,$I$7:$I$256)&gt;INDEX($O$58:$O$88,DAY(B121))),"Day over "&amp;INDEX($O$58:$O$88,DAY(B121))&amp;" h","✓")))))))))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tr">
        <f aca="false">IF(Projects!B119="","",Projects!B119)</f>
        <v/>
      </c>
      <c r="X121" s="1" t="n">
        <f aca="false">IF(W121="",0,SUMIFS($I$7:$I$256,$D$7:$D$256,W121,$H$7:$H$256,"NTIME"))</f>
        <v>0</v>
      </c>
      <c r="Y121" s="1" t="n">
        <f aca="false">IF(W121="",0,SUMIFS($I$7:$I$256,$D$7:$D$256,W121,$H$7:$H$256,"P6"))</f>
        <v>0</v>
      </c>
      <c r="Z121" s="1" t="n">
        <f aca="false">X121+Y121</f>
        <v>0</v>
      </c>
      <c r="AA121" s="1" t="n">
        <f aca="false">IF(Z121&gt;0,Z121+(201-115)/10^6,0)</f>
        <v>0</v>
      </c>
      <c r="AB121" s="1"/>
      <c r="AC121" s="1"/>
      <c r="AD121" s="1"/>
      <c r="AE121" s="1"/>
      <c r="AF121" s="1"/>
      <c r="AG121" s="1"/>
      <c r="AH121" s="1"/>
    </row>
    <row r="122" customFormat="false" ht="15" hidden="false" customHeight="false" outlineLevel="0" collapsed="false">
      <c r="A122" s="1"/>
      <c r="B122" s="10"/>
      <c r="C122" s="31" t="str">
        <f aca="false">IF(B122="","",TEXT(B122,"ddd"))</f>
        <v/>
      </c>
      <c r="D122" s="11"/>
      <c r="E122" s="8" t="str">
        <f aca="false">IF(D122="","",IFERROR(INDEX(ProjNumbers,MATCH(D122,ProjNames,0)),""))</f>
        <v/>
      </c>
      <c r="F122" s="8" t="str">
        <f aca="false">IF(D122="","",IFERROR(INDEX(ProjCodes,MATCH(D122,ProjNames,0)),""))</f>
        <v/>
      </c>
      <c r="G122" s="32"/>
      <c r="H122" s="11"/>
      <c r="I122" s="33"/>
      <c r="J122" s="8" t="str">
        <f aca="false">IF(COUNTA(B122,D122,G122,H122,I122)=0,"",IF(B122="","Enter date",IF(OR(B122&lt;$AC$2,B122&gt;$AC$3),"Date not in July",IF(D122="","Pick project",IF(ISNA(MATCH(D122,ProjNames,0)),"Project not in list",IF(G122="","Add task description",IF(H122="","Pick NTIME or P6",IF(N(I122)&lt;=0,"Enter hours",IF(AND(AllowOT&lt;&gt;"Yes",SUMIF($B$7:$B$256,B122,$I$7:$I$256)&gt;INDEX($O$58:$O$88,DAY(B122))),"Day over "&amp;INDEX($O$58:$O$88,DAY(B122))&amp;" h","✓")))))))))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tr">
        <f aca="false">IF(Projects!B120="","",Projects!B120)</f>
        <v/>
      </c>
      <c r="X122" s="1" t="n">
        <f aca="false">IF(W122="",0,SUMIFS($I$7:$I$256,$D$7:$D$256,W122,$H$7:$H$256,"NTIME"))</f>
        <v>0</v>
      </c>
      <c r="Y122" s="1" t="n">
        <f aca="false">IF(W122="",0,SUMIFS($I$7:$I$256,$D$7:$D$256,W122,$H$7:$H$256,"P6"))</f>
        <v>0</v>
      </c>
      <c r="Z122" s="1" t="n">
        <f aca="false">X122+Y122</f>
        <v>0</v>
      </c>
      <c r="AA122" s="1" t="n">
        <f aca="false">IF(Z122&gt;0,Z122+(201-116)/10^6,0)</f>
        <v>0</v>
      </c>
      <c r="AB122" s="1"/>
      <c r="AC122" s="1"/>
      <c r="AD122" s="1"/>
      <c r="AE122" s="1"/>
      <c r="AF122" s="1"/>
      <c r="AG122" s="1"/>
      <c r="AH122" s="1"/>
    </row>
    <row r="123" customFormat="false" ht="15" hidden="false" customHeight="false" outlineLevel="0" collapsed="false">
      <c r="A123" s="1"/>
      <c r="B123" s="10"/>
      <c r="C123" s="31" t="str">
        <f aca="false">IF(B123="","",TEXT(B123,"ddd"))</f>
        <v/>
      </c>
      <c r="D123" s="11"/>
      <c r="E123" s="8" t="str">
        <f aca="false">IF(D123="","",IFERROR(INDEX(ProjNumbers,MATCH(D123,ProjNames,0)),""))</f>
        <v/>
      </c>
      <c r="F123" s="8" t="str">
        <f aca="false">IF(D123="","",IFERROR(INDEX(ProjCodes,MATCH(D123,ProjNames,0)),""))</f>
        <v/>
      </c>
      <c r="G123" s="32"/>
      <c r="H123" s="11"/>
      <c r="I123" s="33"/>
      <c r="J123" s="8" t="str">
        <f aca="false">IF(COUNTA(B123,D123,G123,H123,I123)=0,"",IF(B123="","Enter date",IF(OR(B123&lt;$AC$2,B123&gt;$AC$3),"Date not in July",IF(D123="","Pick project",IF(ISNA(MATCH(D123,ProjNames,0)),"Project not in list",IF(G123="","Add task description",IF(H123="","Pick NTIME or P6",IF(N(I123)&lt;=0,"Enter hours",IF(AND(AllowOT&lt;&gt;"Yes",SUMIF($B$7:$B$256,B123,$I$7:$I$256)&gt;INDEX($O$58:$O$88,DAY(B123))),"Day over "&amp;INDEX($O$58:$O$88,DAY(B123))&amp;" h","✓")))))))))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tr">
        <f aca="false">IF(Projects!B121="","",Projects!B121)</f>
        <v/>
      </c>
      <c r="X123" s="1" t="n">
        <f aca="false">IF(W123="",0,SUMIFS($I$7:$I$256,$D$7:$D$256,W123,$H$7:$H$256,"NTIME"))</f>
        <v>0</v>
      </c>
      <c r="Y123" s="1" t="n">
        <f aca="false">IF(W123="",0,SUMIFS($I$7:$I$256,$D$7:$D$256,W123,$H$7:$H$256,"P6"))</f>
        <v>0</v>
      </c>
      <c r="Z123" s="1" t="n">
        <f aca="false">X123+Y123</f>
        <v>0</v>
      </c>
      <c r="AA123" s="1" t="n">
        <f aca="false">IF(Z123&gt;0,Z123+(201-117)/10^6,0)</f>
        <v>0</v>
      </c>
      <c r="AB123" s="1"/>
      <c r="AC123" s="1"/>
      <c r="AD123" s="1"/>
      <c r="AE123" s="1"/>
      <c r="AF123" s="1"/>
      <c r="AG123" s="1"/>
      <c r="AH123" s="1"/>
    </row>
    <row r="124" customFormat="false" ht="15" hidden="false" customHeight="false" outlineLevel="0" collapsed="false">
      <c r="A124" s="1"/>
      <c r="B124" s="10"/>
      <c r="C124" s="31" t="str">
        <f aca="false">IF(B124="","",TEXT(B124,"ddd"))</f>
        <v/>
      </c>
      <c r="D124" s="11"/>
      <c r="E124" s="8" t="str">
        <f aca="false">IF(D124="","",IFERROR(INDEX(ProjNumbers,MATCH(D124,ProjNames,0)),""))</f>
        <v/>
      </c>
      <c r="F124" s="8" t="str">
        <f aca="false">IF(D124="","",IFERROR(INDEX(ProjCodes,MATCH(D124,ProjNames,0)),""))</f>
        <v/>
      </c>
      <c r="G124" s="32"/>
      <c r="H124" s="11"/>
      <c r="I124" s="33"/>
      <c r="J124" s="8" t="str">
        <f aca="false">IF(COUNTA(B124,D124,G124,H124,I124)=0,"",IF(B124="","Enter date",IF(OR(B124&lt;$AC$2,B124&gt;$AC$3),"Date not in July",IF(D124="","Pick project",IF(ISNA(MATCH(D124,ProjNames,0)),"Project not in list",IF(G124="","Add task description",IF(H124="","Pick NTIME or P6",IF(N(I124)&lt;=0,"Enter hours",IF(AND(AllowOT&lt;&gt;"Yes",SUMIF($B$7:$B$256,B124,$I$7:$I$256)&gt;INDEX($O$58:$O$88,DAY(B124))),"Day over "&amp;INDEX($O$58:$O$88,DAY(B124))&amp;" h","✓")))))))))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tr">
        <f aca="false">IF(Projects!B122="","",Projects!B122)</f>
        <v/>
      </c>
      <c r="X124" s="1" t="n">
        <f aca="false">IF(W124="",0,SUMIFS($I$7:$I$256,$D$7:$D$256,W124,$H$7:$H$256,"NTIME"))</f>
        <v>0</v>
      </c>
      <c r="Y124" s="1" t="n">
        <f aca="false">IF(W124="",0,SUMIFS($I$7:$I$256,$D$7:$D$256,W124,$H$7:$H$256,"P6"))</f>
        <v>0</v>
      </c>
      <c r="Z124" s="1" t="n">
        <f aca="false">X124+Y124</f>
        <v>0</v>
      </c>
      <c r="AA124" s="1" t="n">
        <f aca="false">IF(Z124&gt;0,Z124+(201-118)/10^6,0)</f>
        <v>0</v>
      </c>
      <c r="AB124" s="1"/>
      <c r="AC124" s="1"/>
      <c r="AD124" s="1"/>
      <c r="AE124" s="1"/>
      <c r="AF124" s="1"/>
      <c r="AG124" s="1"/>
      <c r="AH124" s="1"/>
    </row>
    <row r="125" customFormat="false" ht="15" hidden="false" customHeight="false" outlineLevel="0" collapsed="false">
      <c r="A125" s="1"/>
      <c r="B125" s="10"/>
      <c r="C125" s="31" t="str">
        <f aca="false">IF(B125="","",TEXT(B125,"ddd"))</f>
        <v/>
      </c>
      <c r="D125" s="11"/>
      <c r="E125" s="8" t="str">
        <f aca="false">IF(D125="","",IFERROR(INDEX(ProjNumbers,MATCH(D125,ProjNames,0)),""))</f>
        <v/>
      </c>
      <c r="F125" s="8" t="str">
        <f aca="false">IF(D125="","",IFERROR(INDEX(ProjCodes,MATCH(D125,ProjNames,0)),""))</f>
        <v/>
      </c>
      <c r="G125" s="32"/>
      <c r="H125" s="11"/>
      <c r="I125" s="33"/>
      <c r="J125" s="8" t="str">
        <f aca="false">IF(COUNTA(B125,D125,G125,H125,I125)=0,"",IF(B125="","Enter date",IF(OR(B125&lt;$AC$2,B125&gt;$AC$3),"Date not in July",IF(D125="","Pick project",IF(ISNA(MATCH(D125,ProjNames,0)),"Project not in list",IF(G125="","Add task description",IF(H125="","Pick NTIME or P6",IF(N(I125)&lt;=0,"Enter hours",IF(AND(AllowOT&lt;&gt;"Yes",SUMIF($B$7:$B$256,B125,$I$7:$I$256)&gt;INDEX($O$58:$O$88,DAY(B125))),"Day over "&amp;INDEX($O$58:$O$88,DAY(B125))&amp;" h","✓")))))))))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tr">
        <f aca="false">IF(Projects!B123="","",Projects!B123)</f>
        <v/>
      </c>
      <c r="X125" s="1" t="n">
        <f aca="false">IF(W125="",0,SUMIFS($I$7:$I$256,$D$7:$D$256,W125,$H$7:$H$256,"NTIME"))</f>
        <v>0</v>
      </c>
      <c r="Y125" s="1" t="n">
        <f aca="false">IF(W125="",0,SUMIFS($I$7:$I$256,$D$7:$D$256,W125,$H$7:$H$256,"P6"))</f>
        <v>0</v>
      </c>
      <c r="Z125" s="1" t="n">
        <f aca="false">X125+Y125</f>
        <v>0</v>
      </c>
      <c r="AA125" s="1" t="n">
        <f aca="false">IF(Z125&gt;0,Z125+(201-119)/10^6,0)</f>
        <v>0</v>
      </c>
      <c r="AB125" s="1"/>
      <c r="AC125" s="1"/>
      <c r="AD125" s="1"/>
      <c r="AE125" s="1"/>
      <c r="AF125" s="1"/>
      <c r="AG125" s="1"/>
      <c r="AH125" s="1"/>
    </row>
    <row r="126" customFormat="false" ht="15" hidden="false" customHeight="false" outlineLevel="0" collapsed="false">
      <c r="A126" s="1"/>
      <c r="B126" s="10"/>
      <c r="C126" s="31" t="str">
        <f aca="false">IF(B126="","",TEXT(B126,"ddd"))</f>
        <v/>
      </c>
      <c r="D126" s="11"/>
      <c r="E126" s="8" t="str">
        <f aca="false">IF(D126="","",IFERROR(INDEX(ProjNumbers,MATCH(D126,ProjNames,0)),""))</f>
        <v/>
      </c>
      <c r="F126" s="8" t="str">
        <f aca="false">IF(D126="","",IFERROR(INDEX(ProjCodes,MATCH(D126,ProjNames,0)),""))</f>
        <v/>
      </c>
      <c r="G126" s="32"/>
      <c r="H126" s="11"/>
      <c r="I126" s="33"/>
      <c r="J126" s="8" t="str">
        <f aca="false">IF(COUNTA(B126,D126,G126,H126,I126)=0,"",IF(B126="","Enter date",IF(OR(B126&lt;$AC$2,B126&gt;$AC$3),"Date not in July",IF(D126="","Pick project",IF(ISNA(MATCH(D126,ProjNames,0)),"Project not in list",IF(G126="","Add task description",IF(H126="","Pick NTIME or P6",IF(N(I126)&lt;=0,"Enter hours",IF(AND(AllowOT&lt;&gt;"Yes",SUMIF($B$7:$B$256,B126,$I$7:$I$256)&gt;INDEX($O$58:$O$88,DAY(B126))),"Day over "&amp;INDEX($O$58:$O$88,DAY(B126))&amp;" h","✓")))))))))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tr">
        <f aca="false">IF(Projects!B124="","",Projects!B124)</f>
        <v/>
      </c>
      <c r="X126" s="1" t="n">
        <f aca="false">IF(W126="",0,SUMIFS($I$7:$I$256,$D$7:$D$256,W126,$H$7:$H$256,"NTIME"))</f>
        <v>0</v>
      </c>
      <c r="Y126" s="1" t="n">
        <f aca="false">IF(W126="",0,SUMIFS($I$7:$I$256,$D$7:$D$256,W126,$H$7:$H$256,"P6"))</f>
        <v>0</v>
      </c>
      <c r="Z126" s="1" t="n">
        <f aca="false">X126+Y126</f>
        <v>0</v>
      </c>
      <c r="AA126" s="1" t="n">
        <f aca="false">IF(Z126&gt;0,Z126+(201-120)/10^6,0)</f>
        <v>0</v>
      </c>
      <c r="AB126" s="1"/>
      <c r="AC126" s="1"/>
      <c r="AD126" s="1"/>
      <c r="AE126" s="1"/>
      <c r="AF126" s="1"/>
      <c r="AG126" s="1"/>
      <c r="AH126" s="1"/>
    </row>
    <row r="127" customFormat="false" ht="15" hidden="false" customHeight="false" outlineLevel="0" collapsed="false">
      <c r="A127" s="1"/>
      <c r="B127" s="10"/>
      <c r="C127" s="31" t="str">
        <f aca="false">IF(B127="","",TEXT(B127,"ddd"))</f>
        <v/>
      </c>
      <c r="D127" s="11"/>
      <c r="E127" s="8" t="str">
        <f aca="false">IF(D127="","",IFERROR(INDEX(ProjNumbers,MATCH(D127,ProjNames,0)),""))</f>
        <v/>
      </c>
      <c r="F127" s="8" t="str">
        <f aca="false">IF(D127="","",IFERROR(INDEX(ProjCodes,MATCH(D127,ProjNames,0)),""))</f>
        <v/>
      </c>
      <c r="G127" s="32"/>
      <c r="H127" s="11"/>
      <c r="I127" s="33"/>
      <c r="J127" s="8" t="str">
        <f aca="false">IF(COUNTA(B127,D127,G127,H127,I127)=0,"",IF(B127="","Enter date",IF(OR(B127&lt;$AC$2,B127&gt;$AC$3),"Date not in July",IF(D127="","Pick project",IF(ISNA(MATCH(D127,ProjNames,0)),"Project not in list",IF(G127="","Add task description",IF(H127="","Pick NTIME or P6",IF(N(I127)&lt;=0,"Enter hours",IF(AND(AllowOT&lt;&gt;"Yes",SUMIF($B$7:$B$256,B127,$I$7:$I$256)&gt;INDEX($O$58:$O$88,DAY(B127))),"Day over "&amp;INDEX($O$58:$O$88,DAY(B127))&amp;" h","✓")))))))))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tr">
        <f aca="false">IF(Projects!B125="","",Projects!B125)</f>
        <v/>
      </c>
      <c r="X127" s="1" t="n">
        <f aca="false">IF(W127="",0,SUMIFS($I$7:$I$256,$D$7:$D$256,W127,$H$7:$H$256,"NTIME"))</f>
        <v>0</v>
      </c>
      <c r="Y127" s="1" t="n">
        <f aca="false">IF(W127="",0,SUMIFS($I$7:$I$256,$D$7:$D$256,W127,$H$7:$H$256,"P6"))</f>
        <v>0</v>
      </c>
      <c r="Z127" s="1" t="n">
        <f aca="false">X127+Y127</f>
        <v>0</v>
      </c>
      <c r="AA127" s="1" t="n">
        <f aca="false">IF(Z127&gt;0,Z127+(201-121)/10^6,0)</f>
        <v>0</v>
      </c>
      <c r="AB127" s="1"/>
      <c r="AC127" s="1"/>
      <c r="AD127" s="1"/>
      <c r="AE127" s="1"/>
      <c r="AF127" s="1"/>
      <c r="AG127" s="1"/>
      <c r="AH127" s="1"/>
    </row>
    <row r="128" customFormat="false" ht="15" hidden="false" customHeight="false" outlineLevel="0" collapsed="false">
      <c r="A128" s="1"/>
      <c r="B128" s="10"/>
      <c r="C128" s="31" t="str">
        <f aca="false">IF(B128="","",TEXT(B128,"ddd"))</f>
        <v/>
      </c>
      <c r="D128" s="11"/>
      <c r="E128" s="8" t="str">
        <f aca="false">IF(D128="","",IFERROR(INDEX(ProjNumbers,MATCH(D128,ProjNames,0)),""))</f>
        <v/>
      </c>
      <c r="F128" s="8" t="str">
        <f aca="false">IF(D128="","",IFERROR(INDEX(ProjCodes,MATCH(D128,ProjNames,0)),""))</f>
        <v/>
      </c>
      <c r="G128" s="32"/>
      <c r="H128" s="11"/>
      <c r="I128" s="33"/>
      <c r="J128" s="8" t="str">
        <f aca="false">IF(COUNTA(B128,D128,G128,H128,I128)=0,"",IF(B128="","Enter date",IF(OR(B128&lt;$AC$2,B128&gt;$AC$3),"Date not in July",IF(D128="","Pick project",IF(ISNA(MATCH(D128,ProjNames,0)),"Project not in list",IF(G128="","Add task description",IF(H128="","Pick NTIME or P6",IF(N(I128)&lt;=0,"Enter hours",IF(AND(AllowOT&lt;&gt;"Yes",SUMIF($B$7:$B$256,B128,$I$7:$I$256)&gt;INDEX($O$58:$O$88,DAY(B128))),"Day over "&amp;INDEX($O$58:$O$88,DAY(B128))&amp;" h","✓")))))))))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tr">
        <f aca="false">IF(Projects!B126="","",Projects!B126)</f>
        <v/>
      </c>
      <c r="X128" s="1" t="n">
        <f aca="false">IF(W128="",0,SUMIFS($I$7:$I$256,$D$7:$D$256,W128,$H$7:$H$256,"NTIME"))</f>
        <v>0</v>
      </c>
      <c r="Y128" s="1" t="n">
        <f aca="false">IF(W128="",0,SUMIFS($I$7:$I$256,$D$7:$D$256,W128,$H$7:$H$256,"P6"))</f>
        <v>0</v>
      </c>
      <c r="Z128" s="1" t="n">
        <f aca="false">X128+Y128</f>
        <v>0</v>
      </c>
      <c r="AA128" s="1" t="n">
        <f aca="false">IF(Z128&gt;0,Z128+(201-122)/10^6,0)</f>
        <v>0</v>
      </c>
      <c r="AB128" s="1"/>
      <c r="AC128" s="1"/>
      <c r="AD128" s="1"/>
      <c r="AE128" s="1"/>
      <c r="AF128" s="1"/>
      <c r="AG128" s="1"/>
      <c r="AH128" s="1"/>
    </row>
    <row r="129" customFormat="false" ht="15" hidden="false" customHeight="false" outlineLevel="0" collapsed="false">
      <c r="A129" s="1"/>
      <c r="B129" s="10"/>
      <c r="C129" s="31" t="str">
        <f aca="false">IF(B129="","",TEXT(B129,"ddd"))</f>
        <v/>
      </c>
      <c r="D129" s="11"/>
      <c r="E129" s="8" t="str">
        <f aca="false">IF(D129="","",IFERROR(INDEX(ProjNumbers,MATCH(D129,ProjNames,0)),""))</f>
        <v/>
      </c>
      <c r="F129" s="8" t="str">
        <f aca="false">IF(D129="","",IFERROR(INDEX(ProjCodes,MATCH(D129,ProjNames,0)),""))</f>
        <v/>
      </c>
      <c r="G129" s="32"/>
      <c r="H129" s="11"/>
      <c r="I129" s="33"/>
      <c r="J129" s="8" t="str">
        <f aca="false">IF(COUNTA(B129,D129,G129,H129,I129)=0,"",IF(B129="","Enter date",IF(OR(B129&lt;$AC$2,B129&gt;$AC$3),"Date not in July",IF(D129="","Pick project",IF(ISNA(MATCH(D129,ProjNames,0)),"Project not in list",IF(G129="","Add task description",IF(H129="","Pick NTIME or P6",IF(N(I129)&lt;=0,"Enter hours",IF(AND(AllowOT&lt;&gt;"Yes",SUMIF($B$7:$B$256,B129,$I$7:$I$256)&gt;INDEX($O$58:$O$88,DAY(B129))),"Day over "&amp;INDEX($O$58:$O$88,DAY(B129))&amp;" h","✓")))))))))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tr">
        <f aca="false">IF(Projects!B127="","",Projects!B127)</f>
        <v/>
      </c>
      <c r="X129" s="1" t="n">
        <f aca="false">IF(W129="",0,SUMIFS($I$7:$I$256,$D$7:$D$256,W129,$H$7:$H$256,"NTIME"))</f>
        <v>0</v>
      </c>
      <c r="Y129" s="1" t="n">
        <f aca="false">IF(W129="",0,SUMIFS($I$7:$I$256,$D$7:$D$256,W129,$H$7:$H$256,"P6"))</f>
        <v>0</v>
      </c>
      <c r="Z129" s="1" t="n">
        <f aca="false">X129+Y129</f>
        <v>0</v>
      </c>
      <c r="AA129" s="1" t="n">
        <f aca="false">IF(Z129&gt;0,Z129+(201-123)/10^6,0)</f>
        <v>0</v>
      </c>
      <c r="AB129" s="1"/>
      <c r="AC129" s="1"/>
      <c r="AD129" s="1"/>
      <c r="AE129" s="1"/>
      <c r="AF129" s="1"/>
      <c r="AG129" s="1"/>
      <c r="AH129" s="1"/>
    </row>
    <row r="130" customFormat="false" ht="15" hidden="false" customHeight="false" outlineLevel="0" collapsed="false">
      <c r="A130" s="1"/>
      <c r="B130" s="10"/>
      <c r="C130" s="31" t="str">
        <f aca="false">IF(B130="","",TEXT(B130,"ddd"))</f>
        <v/>
      </c>
      <c r="D130" s="11"/>
      <c r="E130" s="8" t="str">
        <f aca="false">IF(D130="","",IFERROR(INDEX(ProjNumbers,MATCH(D130,ProjNames,0)),""))</f>
        <v/>
      </c>
      <c r="F130" s="8" t="str">
        <f aca="false">IF(D130="","",IFERROR(INDEX(ProjCodes,MATCH(D130,ProjNames,0)),""))</f>
        <v/>
      </c>
      <c r="G130" s="32"/>
      <c r="H130" s="11"/>
      <c r="I130" s="33"/>
      <c r="J130" s="8" t="str">
        <f aca="false">IF(COUNTA(B130,D130,G130,H130,I130)=0,"",IF(B130="","Enter date",IF(OR(B130&lt;$AC$2,B130&gt;$AC$3),"Date not in July",IF(D130="","Pick project",IF(ISNA(MATCH(D130,ProjNames,0)),"Project not in list",IF(G130="","Add task description",IF(H130="","Pick NTIME or P6",IF(N(I130)&lt;=0,"Enter hours",IF(AND(AllowOT&lt;&gt;"Yes",SUMIF($B$7:$B$256,B130,$I$7:$I$256)&gt;INDEX($O$58:$O$88,DAY(B130))),"Day over "&amp;INDEX($O$58:$O$88,DAY(B130))&amp;" h","✓")))))))))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tr">
        <f aca="false">IF(Projects!B128="","",Projects!B128)</f>
        <v/>
      </c>
      <c r="X130" s="1" t="n">
        <f aca="false">IF(W130="",0,SUMIFS($I$7:$I$256,$D$7:$D$256,W130,$H$7:$H$256,"NTIME"))</f>
        <v>0</v>
      </c>
      <c r="Y130" s="1" t="n">
        <f aca="false">IF(W130="",0,SUMIFS($I$7:$I$256,$D$7:$D$256,W130,$H$7:$H$256,"P6"))</f>
        <v>0</v>
      </c>
      <c r="Z130" s="1" t="n">
        <f aca="false">X130+Y130</f>
        <v>0</v>
      </c>
      <c r="AA130" s="1" t="n">
        <f aca="false">IF(Z130&gt;0,Z130+(201-124)/10^6,0)</f>
        <v>0</v>
      </c>
      <c r="AB130" s="1"/>
      <c r="AC130" s="1"/>
      <c r="AD130" s="1"/>
      <c r="AE130" s="1"/>
      <c r="AF130" s="1"/>
      <c r="AG130" s="1"/>
      <c r="AH130" s="1"/>
    </row>
    <row r="131" customFormat="false" ht="15" hidden="false" customHeight="false" outlineLevel="0" collapsed="false">
      <c r="A131" s="1"/>
      <c r="B131" s="10"/>
      <c r="C131" s="31" t="str">
        <f aca="false">IF(B131="","",TEXT(B131,"ddd"))</f>
        <v/>
      </c>
      <c r="D131" s="11"/>
      <c r="E131" s="8" t="str">
        <f aca="false">IF(D131="","",IFERROR(INDEX(ProjNumbers,MATCH(D131,ProjNames,0)),""))</f>
        <v/>
      </c>
      <c r="F131" s="8" t="str">
        <f aca="false">IF(D131="","",IFERROR(INDEX(ProjCodes,MATCH(D131,ProjNames,0)),""))</f>
        <v/>
      </c>
      <c r="G131" s="32"/>
      <c r="H131" s="11"/>
      <c r="I131" s="33"/>
      <c r="J131" s="8" t="str">
        <f aca="false">IF(COUNTA(B131,D131,G131,H131,I131)=0,"",IF(B131="","Enter date",IF(OR(B131&lt;$AC$2,B131&gt;$AC$3),"Date not in July",IF(D131="","Pick project",IF(ISNA(MATCH(D131,ProjNames,0)),"Project not in list",IF(G131="","Add task description",IF(H131="","Pick NTIME or P6",IF(N(I131)&lt;=0,"Enter hours",IF(AND(AllowOT&lt;&gt;"Yes",SUMIF($B$7:$B$256,B131,$I$7:$I$256)&gt;INDEX($O$58:$O$88,DAY(B131))),"Day over "&amp;INDEX($O$58:$O$88,DAY(B131))&amp;" h","✓")))))))))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tr">
        <f aca="false">IF(Projects!B129="","",Projects!B129)</f>
        <v/>
      </c>
      <c r="X131" s="1" t="n">
        <f aca="false">IF(W131="",0,SUMIFS($I$7:$I$256,$D$7:$D$256,W131,$H$7:$H$256,"NTIME"))</f>
        <v>0</v>
      </c>
      <c r="Y131" s="1" t="n">
        <f aca="false">IF(W131="",0,SUMIFS($I$7:$I$256,$D$7:$D$256,W131,$H$7:$H$256,"P6"))</f>
        <v>0</v>
      </c>
      <c r="Z131" s="1" t="n">
        <f aca="false">X131+Y131</f>
        <v>0</v>
      </c>
      <c r="AA131" s="1" t="n">
        <f aca="false">IF(Z131&gt;0,Z131+(201-125)/10^6,0)</f>
        <v>0</v>
      </c>
      <c r="AB131" s="1"/>
      <c r="AC131" s="1"/>
      <c r="AD131" s="1"/>
      <c r="AE131" s="1"/>
      <c r="AF131" s="1"/>
      <c r="AG131" s="1"/>
      <c r="AH131" s="1"/>
    </row>
    <row r="132" customFormat="false" ht="15" hidden="false" customHeight="false" outlineLevel="0" collapsed="false">
      <c r="A132" s="1"/>
      <c r="B132" s="10"/>
      <c r="C132" s="31" t="str">
        <f aca="false">IF(B132="","",TEXT(B132,"ddd"))</f>
        <v/>
      </c>
      <c r="D132" s="11"/>
      <c r="E132" s="8" t="str">
        <f aca="false">IF(D132="","",IFERROR(INDEX(ProjNumbers,MATCH(D132,ProjNames,0)),""))</f>
        <v/>
      </c>
      <c r="F132" s="8" t="str">
        <f aca="false">IF(D132="","",IFERROR(INDEX(ProjCodes,MATCH(D132,ProjNames,0)),""))</f>
        <v/>
      </c>
      <c r="G132" s="32"/>
      <c r="H132" s="11"/>
      <c r="I132" s="33"/>
      <c r="J132" s="8" t="str">
        <f aca="false">IF(COUNTA(B132,D132,G132,H132,I132)=0,"",IF(B132="","Enter date",IF(OR(B132&lt;$AC$2,B132&gt;$AC$3),"Date not in July",IF(D132="","Pick project",IF(ISNA(MATCH(D132,ProjNames,0)),"Project not in list",IF(G132="","Add task description",IF(H132="","Pick NTIME or P6",IF(N(I132)&lt;=0,"Enter hours",IF(AND(AllowOT&lt;&gt;"Yes",SUMIF($B$7:$B$256,B132,$I$7:$I$256)&gt;INDEX($O$58:$O$88,DAY(B132))),"Day over "&amp;INDEX($O$58:$O$88,DAY(B132))&amp;" h","✓")))))))))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tr">
        <f aca="false">IF(Projects!B130="","",Projects!B130)</f>
        <v/>
      </c>
      <c r="X132" s="1" t="n">
        <f aca="false">IF(W132="",0,SUMIFS($I$7:$I$256,$D$7:$D$256,W132,$H$7:$H$256,"NTIME"))</f>
        <v>0</v>
      </c>
      <c r="Y132" s="1" t="n">
        <f aca="false">IF(W132="",0,SUMIFS($I$7:$I$256,$D$7:$D$256,W132,$H$7:$H$256,"P6"))</f>
        <v>0</v>
      </c>
      <c r="Z132" s="1" t="n">
        <f aca="false">X132+Y132</f>
        <v>0</v>
      </c>
      <c r="AA132" s="1" t="n">
        <f aca="false">IF(Z132&gt;0,Z132+(201-126)/10^6,0)</f>
        <v>0</v>
      </c>
      <c r="AB132" s="1"/>
      <c r="AC132" s="1"/>
      <c r="AD132" s="1"/>
      <c r="AE132" s="1"/>
      <c r="AF132" s="1"/>
      <c r="AG132" s="1"/>
      <c r="AH132" s="1"/>
    </row>
    <row r="133" customFormat="false" ht="15" hidden="false" customHeight="false" outlineLevel="0" collapsed="false">
      <c r="A133" s="1"/>
      <c r="B133" s="10"/>
      <c r="C133" s="31" t="str">
        <f aca="false">IF(B133="","",TEXT(B133,"ddd"))</f>
        <v/>
      </c>
      <c r="D133" s="11"/>
      <c r="E133" s="8" t="str">
        <f aca="false">IF(D133="","",IFERROR(INDEX(ProjNumbers,MATCH(D133,ProjNames,0)),""))</f>
        <v/>
      </c>
      <c r="F133" s="8" t="str">
        <f aca="false">IF(D133="","",IFERROR(INDEX(ProjCodes,MATCH(D133,ProjNames,0)),""))</f>
        <v/>
      </c>
      <c r="G133" s="32"/>
      <c r="H133" s="11"/>
      <c r="I133" s="33"/>
      <c r="J133" s="8" t="str">
        <f aca="false">IF(COUNTA(B133,D133,G133,H133,I133)=0,"",IF(B133="","Enter date",IF(OR(B133&lt;$AC$2,B133&gt;$AC$3),"Date not in July",IF(D133="","Pick project",IF(ISNA(MATCH(D133,ProjNames,0)),"Project not in list",IF(G133="","Add task description",IF(H133="","Pick NTIME or P6",IF(N(I133)&lt;=0,"Enter hours",IF(AND(AllowOT&lt;&gt;"Yes",SUMIF($B$7:$B$256,B133,$I$7:$I$256)&gt;INDEX($O$58:$O$88,DAY(B133))),"Day over "&amp;INDEX($O$58:$O$88,DAY(B133))&amp;" h","✓")))))))))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tr">
        <f aca="false">IF(Projects!B131="","",Projects!B131)</f>
        <v/>
      </c>
      <c r="X133" s="1" t="n">
        <f aca="false">IF(W133="",0,SUMIFS($I$7:$I$256,$D$7:$D$256,W133,$H$7:$H$256,"NTIME"))</f>
        <v>0</v>
      </c>
      <c r="Y133" s="1" t="n">
        <f aca="false">IF(W133="",0,SUMIFS($I$7:$I$256,$D$7:$D$256,W133,$H$7:$H$256,"P6"))</f>
        <v>0</v>
      </c>
      <c r="Z133" s="1" t="n">
        <f aca="false">X133+Y133</f>
        <v>0</v>
      </c>
      <c r="AA133" s="1" t="n">
        <f aca="false">IF(Z133&gt;0,Z133+(201-127)/10^6,0)</f>
        <v>0</v>
      </c>
      <c r="AB133" s="1"/>
      <c r="AC133" s="1"/>
      <c r="AD133" s="1"/>
      <c r="AE133" s="1"/>
      <c r="AF133" s="1"/>
      <c r="AG133" s="1"/>
      <c r="AH133" s="1"/>
    </row>
    <row r="134" customFormat="false" ht="15" hidden="false" customHeight="false" outlineLevel="0" collapsed="false">
      <c r="A134" s="1"/>
      <c r="B134" s="10"/>
      <c r="C134" s="31" t="str">
        <f aca="false">IF(B134="","",TEXT(B134,"ddd"))</f>
        <v/>
      </c>
      <c r="D134" s="11"/>
      <c r="E134" s="8" t="str">
        <f aca="false">IF(D134="","",IFERROR(INDEX(ProjNumbers,MATCH(D134,ProjNames,0)),""))</f>
        <v/>
      </c>
      <c r="F134" s="8" t="str">
        <f aca="false">IF(D134="","",IFERROR(INDEX(ProjCodes,MATCH(D134,ProjNames,0)),""))</f>
        <v/>
      </c>
      <c r="G134" s="32"/>
      <c r="H134" s="11"/>
      <c r="I134" s="33"/>
      <c r="J134" s="8" t="str">
        <f aca="false">IF(COUNTA(B134,D134,G134,H134,I134)=0,"",IF(B134="","Enter date",IF(OR(B134&lt;$AC$2,B134&gt;$AC$3),"Date not in July",IF(D134="","Pick project",IF(ISNA(MATCH(D134,ProjNames,0)),"Project not in list",IF(G134="","Add task description",IF(H134="","Pick NTIME or P6",IF(N(I134)&lt;=0,"Enter hours",IF(AND(AllowOT&lt;&gt;"Yes",SUMIF($B$7:$B$256,B134,$I$7:$I$256)&gt;INDEX($O$58:$O$88,DAY(B134))),"Day over "&amp;INDEX($O$58:$O$88,DAY(B134))&amp;" h","✓")))))))))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tr">
        <f aca="false">IF(Projects!B132="","",Projects!B132)</f>
        <v/>
      </c>
      <c r="X134" s="1" t="n">
        <f aca="false">IF(W134="",0,SUMIFS($I$7:$I$256,$D$7:$D$256,W134,$H$7:$H$256,"NTIME"))</f>
        <v>0</v>
      </c>
      <c r="Y134" s="1" t="n">
        <f aca="false">IF(W134="",0,SUMIFS($I$7:$I$256,$D$7:$D$256,W134,$H$7:$H$256,"P6"))</f>
        <v>0</v>
      </c>
      <c r="Z134" s="1" t="n">
        <f aca="false">X134+Y134</f>
        <v>0</v>
      </c>
      <c r="AA134" s="1" t="n">
        <f aca="false">IF(Z134&gt;0,Z134+(201-128)/10^6,0)</f>
        <v>0</v>
      </c>
      <c r="AB134" s="1"/>
      <c r="AC134" s="1"/>
      <c r="AD134" s="1"/>
      <c r="AE134" s="1"/>
      <c r="AF134" s="1"/>
      <c r="AG134" s="1"/>
      <c r="AH134" s="1"/>
    </row>
    <row r="135" customFormat="false" ht="15" hidden="false" customHeight="false" outlineLevel="0" collapsed="false">
      <c r="A135" s="1"/>
      <c r="B135" s="10"/>
      <c r="C135" s="31" t="str">
        <f aca="false">IF(B135="","",TEXT(B135,"ddd"))</f>
        <v/>
      </c>
      <c r="D135" s="11"/>
      <c r="E135" s="8" t="str">
        <f aca="false">IF(D135="","",IFERROR(INDEX(ProjNumbers,MATCH(D135,ProjNames,0)),""))</f>
        <v/>
      </c>
      <c r="F135" s="8" t="str">
        <f aca="false">IF(D135="","",IFERROR(INDEX(ProjCodes,MATCH(D135,ProjNames,0)),""))</f>
        <v/>
      </c>
      <c r="G135" s="32"/>
      <c r="H135" s="11"/>
      <c r="I135" s="33"/>
      <c r="J135" s="8" t="str">
        <f aca="false">IF(COUNTA(B135,D135,G135,H135,I135)=0,"",IF(B135="","Enter date",IF(OR(B135&lt;$AC$2,B135&gt;$AC$3),"Date not in July",IF(D135="","Pick project",IF(ISNA(MATCH(D135,ProjNames,0)),"Project not in list",IF(G135="","Add task description",IF(H135="","Pick NTIME or P6",IF(N(I135)&lt;=0,"Enter hours",IF(AND(AllowOT&lt;&gt;"Yes",SUMIF($B$7:$B$256,B135,$I$7:$I$256)&gt;INDEX($O$58:$O$88,DAY(B135))),"Day over "&amp;INDEX($O$58:$O$88,DAY(B135))&amp;" h","✓")))))))))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tr">
        <f aca="false">IF(Projects!B133="","",Projects!B133)</f>
        <v/>
      </c>
      <c r="X135" s="1" t="n">
        <f aca="false">IF(W135="",0,SUMIFS($I$7:$I$256,$D$7:$D$256,W135,$H$7:$H$256,"NTIME"))</f>
        <v>0</v>
      </c>
      <c r="Y135" s="1" t="n">
        <f aca="false">IF(W135="",0,SUMIFS($I$7:$I$256,$D$7:$D$256,W135,$H$7:$H$256,"P6"))</f>
        <v>0</v>
      </c>
      <c r="Z135" s="1" t="n">
        <f aca="false">X135+Y135</f>
        <v>0</v>
      </c>
      <c r="AA135" s="1" t="n">
        <f aca="false">IF(Z135&gt;0,Z135+(201-129)/10^6,0)</f>
        <v>0</v>
      </c>
      <c r="AB135" s="1"/>
      <c r="AC135" s="1"/>
      <c r="AD135" s="1"/>
      <c r="AE135" s="1"/>
      <c r="AF135" s="1"/>
      <c r="AG135" s="1"/>
      <c r="AH135" s="1"/>
    </row>
    <row r="136" customFormat="false" ht="15" hidden="false" customHeight="false" outlineLevel="0" collapsed="false">
      <c r="A136" s="1"/>
      <c r="B136" s="10"/>
      <c r="C136" s="31" t="str">
        <f aca="false">IF(B136="","",TEXT(B136,"ddd"))</f>
        <v/>
      </c>
      <c r="D136" s="11"/>
      <c r="E136" s="8" t="str">
        <f aca="false">IF(D136="","",IFERROR(INDEX(ProjNumbers,MATCH(D136,ProjNames,0)),""))</f>
        <v/>
      </c>
      <c r="F136" s="8" t="str">
        <f aca="false">IF(D136="","",IFERROR(INDEX(ProjCodes,MATCH(D136,ProjNames,0)),""))</f>
        <v/>
      </c>
      <c r="G136" s="32"/>
      <c r="H136" s="11"/>
      <c r="I136" s="33"/>
      <c r="J136" s="8" t="str">
        <f aca="false">IF(COUNTA(B136,D136,G136,H136,I136)=0,"",IF(B136="","Enter date",IF(OR(B136&lt;$AC$2,B136&gt;$AC$3),"Date not in July",IF(D136="","Pick project",IF(ISNA(MATCH(D136,ProjNames,0)),"Project not in list",IF(G136="","Add task description",IF(H136="","Pick NTIME or P6",IF(N(I136)&lt;=0,"Enter hours",IF(AND(AllowOT&lt;&gt;"Yes",SUMIF($B$7:$B$256,B136,$I$7:$I$256)&gt;INDEX($O$58:$O$88,DAY(B136))),"Day over "&amp;INDEX($O$58:$O$88,DAY(B136))&amp;" h","✓")))))))))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tr">
        <f aca="false">IF(Projects!B134="","",Projects!B134)</f>
        <v/>
      </c>
      <c r="X136" s="1" t="n">
        <f aca="false">IF(W136="",0,SUMIFS($I$7:$I$256,$D$7:$D$256,W136,$H$7:$H$256,"NTIME"))</f>
        <v>0</v>
      </c>
      <c r="Y136" s="1" t="n">
        <f aca="false">IF(W136="",0,SUMIFS($I$7:$I$256,$D$7:$D$256,W136,$H$7:$H$256,"P6"))</f>
        <v>0</v>
      </c>
      <c r="Z136" s="1" t="n">
        <f aca="false">X136+Y136</f>
        <v>0</v>
      </c>
      <c r="AA136" s="1" t="n">
        <f aca="false">IF(Z136&gt;0,Z136+(201-130)/10^6,0)</f>
        <v>0</v>
      </c>
      <c r="AB136" s="1"/>
      <c r="AC136" s="1"/>
      <c r="AD136" s="1"/>
      <c r="AE136" s="1"/>
      <c r="AF136" s="1"/>
      <c r="AG136" s="1"/>
      <c r="AH136" s="1"/>
    </row>
    <row r="137" customFormat="false" ht="15" hidden="false" customHeight="false" outlineLevel="0" collapsed="false">
      <c r="A137" s="1"/>
      <c r="B137" s="10"/>
      <c r="C137" s="31" t="str">
        <f aca="false">IF(B137="","",TEXT(B137,"ddd"))</f>
        <v/>
      </c>
      <c r="D137" s="11"/>
      <c r="E137" s="8" t="str">
        <f aca="false">IF(D137="","",IFERROR(INDEX(ProjNumbers,MATCH(D137,ProjNames,0)),""))</f>
        <v/>
      </c>
      <c r="F137" s="8" t="str">
        <f aca="false">IF(D137="","",IFERROR(INDEX(ProjCodes,MATCH(D137,ProjNames,0)),""))</f>
        <v/>
      </c>
      <c r="G137" s="32"/>
      <c r="H137" s="11"/>
      <c r="I137" s="33"/>
      <c r="J137" s="8" t="str">
        <f aca="false">IF(COUNTA(B137,D137,G137,H137,I137)=0,"",IF(B137="","Enter date",IF(OR(B137&lt;$AC$2,B137&gt;$AC$3),"Date not in July",IF(D137="","Pick project",IF(ISNA(MATCH(D137,ProjNames,0)),"Project not in list",IF(G137="","Add task description",IF(H137="","Pick NTIME or P6",IF(N(I137)&lt;=0,"Enter hours",IF(AND(AllowOT&lt;&gt;"Yes",SUMIF($B$7:$B$256,B137,$I$7:$I$256)&gt;INDEX($O$58:$O$88,DAY(B137))),"Day over "&amp;INDEX($O$58:$O$88,DAY(B137))&amp;" h","✓")))))))))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tr">
        <f aca="false">IF(Projects!B135="","",Projects!B135)</f>
        <v/>
      </c>
      <c r="X137" s="1" t="n">
        <f aca="false">IF(W137="",0,SUMIFS($I$7:$I$256,$D$7:$D$256,W137,$H$7:$H$256,"NTIME"))</f>
        <v>0</v>
      </c>
      <c r="Y137" s="1" t="n">
        <f aca="false">IF(W137="",0,SUMIFS($I$7:$I$256,$D$7:$D$256,W137,$H$7:$H$256,"P6"))</f>
        <v>0</v>
      </c>
      <c r="Z137" s="1" t="n">
        <f aca="false">X137+Y137</f>
        <v>0</v>
      </c>
      <c r="AA137" s="1" t="n">
        <f aca="false">IF(Z137&gt;0,Z137+(201-131)/10^6,0)</f>
        <v>0</v>
      </c>
      <c r="AB137" s="1"/>
      <c r="AC137" s="1"/>
      <c r="AD137" s="1"/>
      <c r="AE137" s="1"/>
      <c r="AF137" s="1"/>
      <c r="AG137" s="1"/>
      <c r="AH137" s="1"/>
    </row>
    <row r="138" customFormat="false" ht="15" hidden="false" customHeight="false" outlineLevel="0" collapsed="false">
      <c r="A138" s="1"/>
      <c r="B138" s="10"/>
      <c r="C138" s="31" t="str">
        <f aca="false">IF(B138="","",TEXT(B138,"ddd"))</f>
        <v/>
      </c>
      <c r="D138" s="11"/>
      <c r="E138" s="8" t="str">
        <f aca="false">IF(D138="","",IFERROR(INDEX(ProjNumbers,MATCH(D138,ProjNames,0)),""))</f>
        <v/>
      </c>
      <c r="F138" s="8" t="str">
        <f aca="false">IF(D138="","",IFERROR(INDEX(ProjCodes,MATCH(D138,ProjNames,0)),""))</f>
        <v/>
      </c>
      <c r="G138" s="32"/>
      <c r="H138" s="11"/>
      <c r="I138" s="33"/>
      <c r="J138" s="8" t="str">
        <f aca="false">IF(COUNTA(B138,D138,G138,H138,I138)=0,"",IF(B138="","Enter date",IF(OR(B138&lt;$AC$2,B138&gt;$AC$3),"Date not in July",IF(D138="","Pick project",IF(ISNA(MATCH(D138,ProjNames,0)),"Project not in list",IF(G138="","Add task description",IF(H138="","Pick NTIME or P6",IF(N(I138)&lt;=0,"Enter hours",IF(AND(AllowOT&lt;&gt;"Yes",SUMIF($B$7:$B$256,B138,$I$7:$I$256)&gt;INDEX($O$58:$O$88,DAY(B138))),"Day over "&amp;INDEX($O$58:$O$88,DAY(B138))&amp;" h","✓")))))))))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tr">
        <f aca="false">IF(Projects!B136="","",Projects!B136)</f>
        <v/>
      </c>
      <c r="X138" s="1" t="n">
        <f aca="false">IF(W138="",0,SUMIFS($I$7:$I$256,$D$7:$D$256,W138,$H$7:$H$256,"NTIME"))</f>
        <v>0</v>
      </c>
      <c r="Y138" s="1" t="n">
        <f aca="false">IF(W138="",0,SUMIFS($I$7:$I$256,$D$7:$D$256,W138,$H$7:$H$256,"P6"))</f>
        <v>0</v>
      </c>
      <c r="Z138" s="1" t="n">
        <f aca="false">X138+Y138</f>
        <v>0</v>
      </c>
      <c r="AA138" s="1" t="n">
        <f aca="false">IF(Z138&gt;0,Z138+(201-132)/10^6,0)</f>
        <v>0</v>
      </c>
      <c r="AB138" s="1"/>
      <c r="AC138" s="1"/>
      <c r="AD138" s="1"/>
      <c r="AE138" s="1"/>
      <c r="AF138" s="1"/>
      <c r="AG138" s="1"/>
      <c r="AH138" s="1"/>
    </row>
    <row r="139" customFormat="false" ht="15" hidden="false" customHeight="false" outlineLevel="0" collapsed="false">
      <c r="A139" s="1"/>
      <c r="B139" s="10"/>
      <c r="C139" s="31" t="str">
        <f aca="false">IF(B139="","",TEXT(B139,"ddd"))</f>
        <v/>
      </c>
      <c r="D139" s="11"/>
      <c r="E139" s="8" t="str">
        <f aca="false">IF(D139="","",IFERROR(INDEX(ProjNumbers,MATCH(D139,ProjNames,0)),""))</f>
        <v/>
      </c>
      <c r="F139" s="8" t="str">
        <f aca="false">IF(D139="","",IFERROR(INDEX(ProjCodes,MATCH(D139,ProjNames,0)),""))</f>
        <v/>
      </c>
      <c r="G139" s="32"/>
      <c r="H139" s="11"/>
      <c r="I139" s="33"/>
      <c r="J139" s="8" t="str">
        <f aca="false">IF(COUNTA(B139,D139,G139,H139,I139)=0,"",IF(B139="","Enter date",IF(OR(B139&lt;$AC$2,B139&gt;$AC$3),"Date not in July",IF(D139="","Pick project",IF(ISNA(MATCH(D139,ProjNames,0)),"Project not in list",IF(G139="","Add task description",IF(H139="","Pick NTIME or P6",IF(N(I139)&lt;=0,"Enter hours",IF(AND(AllowOT&lt;&gt;"Yes",SUMIF($B$7:$B$256,B139,$I$7:$I$256)&gt;INDEX($O$58:$O$88,DAY(B139))),"Day over "&amp;INDEX($O$58:$O$88,DAY(B139))&amp;" h","✓")))))))))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tr">
        <f aca="false">IF(Projects!B137="","",Projects!B137)</f>
        <v/>
      </c>
      <c r="X139" s="1" t="n">
        <f aca="false">IF(W139="",0,SUMIFS($I$7:$I$256,$D$7:$D$256,W139,$H$7:$H$256,"NTIME"))</f>
        <v>0</v>
      </c>
      <c r="Y139" s="1" t="n">
        <f aca="false">IF(W139="",0,SUMIFS($I$7:$I$256,$D$7:$D$256,W139,$H$7:$H$256,"P6"))</f>
        <v>0</v>
      </c>
      <c r="Z139" s="1" t="n">
        <f aca="false">X139+Y139</f>
        <v>0</v>
      </c>
      <c r="AA139" s="1" t="n">
        <f aca="false">IF(Z139&gt;0,Z139+(201-133)/10^6,0)</f>
        <v>0</v>
      </c>
      <c r="AB139" s="1"/>
      <c r="AC139" s="1"/>
      <c r="AD139" s="1"/>
      <c r="AE139" s="1"/>
      <c r="AF139" s="1"/>
      <c r="AG139" s="1"/>
      <c r="AH139" s="1"/>
    </row>
    <row r="140" customFormat="false" ht="15" hidden="false" customHeight="false" outlineLevel="0" collapsed="false">
      <c r="A140" s="1"/>
      <c r="B140" s="10"/>
      <c r="C140" s="31" t="str">
        <f aca="false">IF(B140="","",TEXT(B140,"ddd"))</f>
        <v/>
      </c>
      <c r="D140" s="11"/>
      <c r="E140" s="8" t="str">
        <f aca="false">IF(D140="","",IFERROR(INDEX(ProjNumbers,MATCH(D140,ProjNames,0)),""))</f>
        <v/>
      </c>
      <c r="F140" s="8" t="str">
        <f aca="false">IF(D140="","",IFERROR(INDEX(ProjCodes,MATCH(D140,ProjNames,0)),""))</f>
        <v/>
      </c>
      <c r="G140" s="32"/>
      <c r="H140" s="11"/>
      <c r="I140" s="33"/>
      <c r="J140" s="8" t="str">
        <f aca="false">IF(COUNTA(B140,D140,G140,H140,I140)=0,"",IF(B140="","Enter date",IF(OR(B140&lt;$AC$2,B140&gt;$AC$3),"Date not in July",IF(D140="","Pick project",IF(ISNA(MATCH(D140,ProjNames,0)),"Project not in list",IF(G140="","Add task description",IF(H140="","Pick NTIME or P6",IF(N(I140)&lt;=0,"Enter hours",IF(AND(AllowOT&lt;&gt;"Yes",SUMIF($B$7:$B$256,B140,$I$7:$I$256)&gt;INDEX($O$58:$O$88,DAY(B140))),"Day over "&amp;INDEX($O$58:$O$88,DAY(B140))&amp;" h","✓")))))))))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tr">
        <f aca="false">IF(Projects!B138="","",Projects!B138)</f>
        <v/>
      </c>
      <c r="X140" s="1" t="n">
        <f aca="false">IF(W140="",0,SUMIFS($I$7:$I$256,$D$7:$D$256,W140,$H$7:$H$256,"NTIME"))</f>
        <v>0</v>
      </c>
      <c r="Y140" s="1" t="n">
        <f aca="false">IF(W140="",0,SUMIFS($I$7:$I$256,$D$7:$D$256,W140,$H$7:$H$256,"P6"))</f>
        <v>0</v>
      </c>
      <c r="Z140" s="1" t="n">
        <f aca="false">X140+Y140</f>
        <v>0</v>
      </c>
      <c r="AA140" s="1" t="n">
        <f aca="false">IF(Z140&gt;0,Z140+(201-134)/10^6,0)</f>
        <v>0</v>
      </c>
      <c r="AB140" s="1"/>
      <c r="AC140" s="1"/>
      <c r="AD140" s="1"/>
      <c r="AE140" s="1"/>
      <c r="AF140" s="1"/>
      <c r="AG140" s="1"/>
      <c r="AH140" s="1"/>
    </row>
    <row r="141" customFormat="false" ht="15" hidden="false" customHeight="false" outlineLevel="0" collapsed="false">
      <c r="A141" s="1"/>
      <c r="B141" s="10"/>
      <c r="C141" s="31" t="str">
        <f aca="false">IF(B141="","",TEXT(B141,"ddd"))</f>
        <v/>
      </c>
      <c r="D141" s="11"/>
      <c r="E141" s="8" t="str">
        <f aca="false">IF(D141="","",IFERROR(INDEX(ProjNumbers,MATCH(D141,ProjNames,0)),""))</f>
        <v/>
      </c>
      <c r="F141" s="8" t="str">
        <f aca="false">IF(D141="","",IFERROR(INDEX(ProjCodes,MATCH(D141,ProjNames,0)),""))</f>
        <v/>
      </c>
      <c r="G141" s="32"/>
      <c r="H141" s="11"/>
      <c r="I141" s="33"/>
      <c r="J141" s="8" t="str">
        <f aca="false">IF(COUNTA(B141,D141,G141,H141,I141)=0,"",IF(B141="","Enter date",IF(OR(B141&lt;$AC$2,B141&gt;$AC$3),"Date not in July",IF(D141="","Pick project",IF(ISNA(MATCH(D141,ProjNames,0)),"Project not in list",IF(G141="","Add task description",IF(H141="","Pick NTIME or P6",IF(N(I141)&lt;=0,"Enter hours",IF(AND(AllowOT&lt;&gt;"Yes",SUMIF($B$7:$B$256,B141,$I$7:$I$256)&gt;INDEX($O$58:$O$88,DAY(B141))),"Day over "&amp;INDEX($O$58:$O$88,DAY(B141))&amp;" h","✓")))))))))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tr">
        <f aca="false">IF(Projects!B139="","",Projects!B139)</f>
        <v/>
      </c>
      <c r="X141" s="1" t="n">
        <f aca="false">IF(W141="",0,SUMIFS($I$7:$I$256,$D$7:$D$256,W141,$H$7:$H$256,"NTIME"))</f>
        <v>0</v>
      </c>
      <c r="Y141" s="1" t="n">
        <f aca="false">IF(W141="",0,SUMIFS($I$7:$I$256,$D$7:$D$256,W141,$H$7:$H$256,"P6"))</f>
        <v>0</v>
      </c>
      <c r="Z141" s="1" t="n">
        <f aca="false">X141+Y141</f>
        <v>0</v>
      </c>
      <c r="AA141" s="1" t="n">
        <f aca="false">IF(Z141&gt;0,Z141+(201-135)/10^6,0)</f>
        <v>0</v>
      </c>
      <c r="AB141" s="1"/>
      <c r="AC141" s="1"/>
      <c r="AD141" s="1"/>
      <c r="AE141" s="1"/>
      <c r="AF141" s="1"/>
      <c r="AG141" s="1"/>
      <c r="AH141" s="1"/>
    </row>
    <row r="142" customFormat="false" ht="15" hidden="false" customHeight="false" outlineLevel="0" collapsed="false">
      <c r="A142" s="1"/>
      <c r="B142" s="10"/>
      <c r="C142" s="31" t="str">
        <f aca="false">IF(B142="","",TEXT(B142,"ddd"))</f>
        <v/>
      </c>
      <c r="D142" s="11"/>
      <c r="E142" s="8" t="str">
        <f aca="false">IF(D142="","",IFERROR(INDEX(ProjNumbers,MATCH(D142,ProjNames,0)),""))</f>
        <v/>
      </c>
      <c r="F142" s="8" t="str">
        <f aca="false">IF(D142="","",IFERROR(INDEX(ProjCodes,MATCH(D142,ProjNames,0)),""))</f>
        <v/>
      </c>
      <c r="G142" s="32"/>
      <c r="H142" s="11"/>
      <c r="I142" s="33"/>
      <c r="J142" s="8" t="str">
        <f aca="false">IF(COUNTA(B142,D142,G142,H142,I142)=0,"",IF(B142="","Enter date",IF(OR(B142&lt;$AC$2,B142&gt;$AC$3),"Date not in July",IF(D142="","Pick project",IF(ISNA(MATCH(D142,ProjNames,0)),"Project not in list",IF(G142="","Add task description",IF(H142="","Pick NTIME or P6",IF(N(I142)&lt;=0,"Enter hours",IF(AND(AllowOT&lt;&gt;"Yes",SUMIF($B$7:$B$256,B142,$I$7:$I$256)&gt;INDEX($O$58:$O$88,DAY(B142))),"Day over "&amp;INDEX($O$58:$O$88,DAY(B142))&amp;" h","✓")))))))))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tr">
        <f aca="false">IF(Projects!B140="","",Projects!B140)</f>
        <v/>
      </c>
      <c r="X142" s="1" t="n">
        <f aca="false">IF(W142="",0,SUMIFS($I$7:$I$256,$D$7:$D$256,W142,$H$7:$H$256,"NTIME"))</f>
        <v>0</v>
      </c>
      <c r="Y142" s="1" t="n">
        <f aca="false">IF(W142="",0,SUMIFS($I$7:$I$256,$D$7:$D$256,W142,$H$7:$H$256,"P6"))</f>
        <v>0</v>
      </c>
      <c r="Z142" s="1" t="n">
        <f aca="false">X142+Y142</f>
        <v>0</v>
      </c>
      <c r="AA142" s="1" t="n">
        <f aca="false">IF(Z142&gt;0,Z142+(201-136)/10^6,0)</f>
        <v>0</v>
      </c>
      <c r="AB142" s="1"/>
      <c r="AC142" s="1"/>
      <c r="AD142" s="1"/>
      <c r="AE142" s="1"/>
      <c r="AF142" s="1"/>
      <c r="AG142" s="1"/>
      <c r="AH142" s="1"/>
    </row>
    <row r="143" customFormat="false" ht="15" hidden="false" customHeight="false" outlineLevel="0" collapsed="false">
      <c r="A143" s="1"/>
      <c r="B143" s="10"/>
      <c r="C143" s="31" t="str">
        <f aca="false">IF(B143="","",TEXT(B143,"ddd"))</f>
        <v/>
      </c>
      <c r="D143" s="11"/>
      <c r="E143" s="8" t="str">
        <f aca="false">IF(D143="","",IFERROR(INDEX(ProjNumbers,MATCH(D143,ProjNames,0)),""))</f>
        <v/>
      </c>
      <c r="F143" s="8" t="str">
        <f aca="false">IF(D143="","",IFERROR(INDEX(ProjCodes,MATCH(D143,ProjNames,0)),""))</f>
        <v/>
      </c>
      <c r="G143" s="32"/>
      <c r="H143" s="11"/>
      <c r="I143" s="33"/>
      <c r="J143" s="8" t="str">
        <f aca="false">IF(COUNTA(B143,D143,G143,H143,I143)=0,"",IF(B143="","Enter date",IF(OR(B143&lt;$AC$2,B143&gt;$AC$3),"Date not in July",IF(D143="","Pick project",IF(ISNA(MATCH(D143,ProjNames,0)),"Project not in list",IF(G143="","Add task description",IF(H143="","Pick NTIME or P6",IF(N(I143)&lt;=0,"Enter hours",IF(AND(AllowOT&lt;&gt;"Yes",SUMIF($B$7:$B$256,B143,$I$7:$I$256)&gt;INDEX($O$58:$O$88,DAY(B143))),"Day over "&amp;INDEX($O$58:$O$88,DAY(B143))&amp;" h","✓")))))))))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tr">
        <f aca="false">IF(Projects!B141="","",Projects!B141)</f>
        <v/>
      </c>
      <c r="X143" s="1" t="n">
        <f aca="false">IF(W143="",0,SUMIFS($I$7:$I$256,$D$7:$D$256,W143,$H$7:$H$256,"NTIME"))</f>
        <v>0</v>
      </c>
      <c r="Y143" s="1" t="n">
        <f aca="false">IF(W143="",0,SUMIFS($I$7:$I$256,$D$7:$D$256,W143,$H$7:$H$256,"P6"))</f>
        <v>0</v>
      </c>
      <c r="Z143" s="1" t="n">
        <f aca="false">X143+Y143</f>
        <v>0</v>
      </c>
      <c r="AA143" s="1" t="n">
        <f aca="false">IF(Z143&gt;0,Z143+(201-137)/10^6,0)</f>
        <v>0</v>
      </c>
      <c r="AB143" s="1"/>
      <c r="AC143" s="1"/>
      <c r="AD143" s="1"/>
      <c r="AE143" s="1"/>
      <c r="AF143" s="1"/>
      <c r="AG143" s="1"/>
      <c r="AH143" s="1"/>
    </row>
    <row r="144" customFormat="false" ht="15" hidden="false" customHeight="false" outlineLevel="0" collapsed="false">
      <c r="A144" s="1"/>
      <c r="B144" s="10"/>
      <c r="C144" s="31" t="str">
        <f aca="false">IF(B144="","",TEXT(B144,"ddd"))</f>
        <v/>
      </c>
      <c r="D144" s="11"/>
      <c r="E144" s="8" t="str">
        <f aca="false">IF(D144="","",IFERROR(INDEX(ProjNumbers,MATCH(D144,ProjNames,0)),""))</f>
        <v/>
      </c>
      <c r="F144" s="8" t="str">
        <f aca="false">IF(D144="","",IFERROR(INDEX(ProjCodes,MATCH(D144,ProjNames,0)),""))</f>
        <v/>
      </c>
      <c r="G144" s="32"/>
      <c r="H144" s="11"/>
      <c r="I144" s="33"/>
      <c r="J144" s="8" t="str">
        <f aca="false">IF(COUNTA(B144,D144,G144,H144,I144)=0,"",IF(B144="","Enter date",IF(OR(B144&lt;$AC$2,B144&gt;$AC$3),"Date not in July",IF(D144="","Pick project",IF(ISNA(MATCH(D144,ProjNames,0)),"Project not in list",IF(G144="","Add task description",IF(H144="","Pick NTIME or P6",IF(N(I144)&lt;=0,"Enter hours",IF(AND(AllowOT&lt;&gt;"Yes",SUMIF($B$7:$B$256,B144,$I$7:$I$256)&gt;INDEX($O$58:$O$88,DAY(B144))),"Day over "&amp;INDEX($O$58:$O$88,DAY(B144))&amp;" h","✓")))))))))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tr">
        <f aca="false">IF(Projects!B142="","",Projects!B142)</f>
        <v/>
      </c>
      <c r="X144" s="1" t="n">
        <f aca="false">IF(W144="",0,SUMIFS($I$7:$I$256,$D$7:$D$256,W144,$H$7:$H$256,"NTIME"))</f>
        <v>0</v>
      </c>
      <c r="Y144" s="1" t="n">
        <f aca="false">IF(W144="",0,SUMIFS($I$7:$I$256,$D$7:$D$256,W144,$H$7:$H$256,"P6"))</f>
        <v>0</v>
      </c>
      <c r="Z144" s="1" t="n">
        <f aca="false">X144+Y144</f>
        <v>0</v>
      </c>
      <c r="AA144" s="1" t="n">
        <f aca="false">IF(Z144&gt;0,Z144+(201-138)/10^6,0)</f>
        <v>0</v>
      </c>
      <c r="AB144" s="1"/>
      <c r="AC144" s="1"/>
      <c r="AD144" s="1"/>
      <c r="AE144" s="1"/>
      <c r="AF144" s="1"/>
      <c r="AG144" s="1"/>
      <c r="AH144" s="1"/>
    </row>
    <row r="145" customFormat="false" ht="15" hidden="false" customHeight="false" outlineLevel="0" collapsed="false">
      <c r="A145" s="1"/>
      <c r="B145" s="10"/>
      <c r="C145" s="31" t="str">
        <f aca="false">IF(B145="","",TEXT(B145,"ddd"))</f>
        <v/>
      </c>
      <c r="D145" s="11"/>
      <c r="E145" s="8" t="str">
        <f aca="false">IF(D145="","",IFERROR(INDEX(ProjNumbers,MATCH(D145,ProjNames,0)),""))</f>
        <v/>
      </c>
      <c r="F145" s="8" t="str">
        <f aca="false">IF(D145="","",IFERROR(INDEX(ProjCodes,MATCH(D145,ProjNames,0)),""))</f>
        <v/>
      </c>
      <c r="G145" s="32"/>
      <c r="H145" s="11"/>
      <c r="I145" s="33"/>
      <c r="J145" s="8" t="str">
        <f aca="false">IF(COUNTA(B145,D145,G145,H145,I145)=0,"",IF(B145="","Enter date",IF(OR(B145&lt;$AC$2,B145&gt;$AC$3),"Date not in July",IF(D145="","Pick project",IF(ISNA(MATCH(D145,ProjNames,0)),"Project not in list",IF(G145="","Add task description",IF(H145="","Pick NTIME or P6",IF(N(I145)&lt;=0,"Enter hours",IF(AND(AllowOT&lt;&gt;"Yes",SUMIF($B$7:$B$256,B145,$I$7:$I$256)&gt;INDEX($O$58:$O$88,DAY(B145))),"Day over "&amp;INDEX($O$58:$O$88,DAY(B145))&amp;" h","✓")))))))))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tr">
        <f aca="false">IF(Projects!B143="","",Projects!B143)</f>
        <v/>
      </c>
      <c r="X145" s="1" t="n">
        <f aca="false">IF(W145="",0,SUMIFS($I$7:$I$256,$D$7:$D$256,W145,$H$7:$H$256,"NTIME"))</f>
        <v>0</v>
      </c>
      <c r="Y145" s="1" t="n">
        <f aca="false">IF(W145="",0,SUMIFS($I$7:$I$256,$D$7:$D$256,W145,$H$7:$H$256,"P6"))</f>
        <v>0</v>
      </c>
      <c r="Z145" s="1" t="n">
        <f aca="false">X145+Y145</f>
        <v>0</v>
      </c>
      <c r="AA145" s="1" t="n">
        <f aca="false">IF(Z145&gt;0,Z145+(201-139)/10^6,0)</f>
        <v>0</v>
      </c>
      <c r="AB145" s="1"/>
      <c r="AC145" s="1"/>
      <c r="AD145" s="1"/>
      <c r="AE145" s="1"/>
      <c r="AF145" s="1"/>
      <c r="AG145" s="1"/>
      <c r="AH145" s="1"/>
    </row>
    <row r="146" customFormat="false" ht="15" hidden="false" customHeight="false" outlineLevel="0" collapsed="false">
      <c r="A146" s="1"/>
      <c r="B146" s="10"/>
      <c r="C146" s="31" t="str">
        <f aca="false">IF(B146="","",TEXT(B146,"ddd"))</f>
        <v/>
      </c>
      <c r="D146" s="11"/>
      <c r="E146" s="8" t="str">
        <f aca="false">IF(D146="","",IFERROR(INDEX(ProjNumbers,MATCH(D146,ProjNames,0)),""))</f>
        <v/>
      </c>
      <c r="F146" s="8" t="str">
        <f aca="false">IF(D146="","",IFERROR(INDEX(ProjCodes,MATCH(D146,ProjNames,0)),""))</f>
        <v/>
      </c>
      <c r="G146" s="32"/>
      <c r="H146" s="11"/>
      <c r="I146" s="33"/>
      <c r="J146" s="8" t="str">
        <f aca="false">IF(COUNTA(B146,D146,G146,H146,I146)=0,"",IF(B146="","Enter date",IF(OR(B146&lt;$AC$2,B146&gt;$AC$3),"Date not in July",IF(D146="","Pick project",IF(ISNA(MATCH(D146,ProjNames,0)),"Project not in list",IF(G146="","Add task description",IF(H146="","Pick NTIME or P6",IF(N(I146)&lt;=0,"Enter hours",IF(AND(AllowOT&lt;&gt;"Yes",SUMIF($B$7:$B$256,B146,$I$7:$I$256)&gt;INDEX($O$58:$O$88,DAY(B146))),"Day over "&amp;INDEX($O$58:$O$88,DAY(B146))&amp;" h","✓")))))))))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tr">
        <f aca="false">IF(Projects!B144="","",Projects!B144)</f>
        <v/>
      </c>
      <c r="X146" s="1" t="n">
        <f aca="false">IF(W146="",0,SUMIFS($I$7:$I$256,$D$7:$D$256,W146,$H$7:$H$256,"NTIME"))</f>
        <v>0</v>
      </c>
      <c r="Y146" s="1" t="n">
        <f aca="false">IF(W146="",0,SUMIFS($I$7:$I$256,$D$7:$D$256,W146,$H$7:$H$256,"P6"))</f>
        <v>0</v>
      </c>
      <c r="Z146" s="1" t="n">
        <f aca="false">X146+Y146</f>
        <v>0</v>
      </c>
      <c r="AA146" s="1" t="n">
        <f aca="false">IF(Z146&gt;0,Z146+(201-140)/10^6,0)</f>
        <v>0</v>
      </c>
      <c r="AB146" s="1"/>
      <c r="AC146" s="1"/>
      <c r="AD146" s="1"/>
      <c r="AE146" s="1"/>
      <c r="AF146" s="1"/>
      <c r="AG146" s="1"/>
      <c r="AH146" s="1"/>
    </row>
    <row r="147" customFormat="false" ht="15" hidden="false" customHeight="false" outlineLevel="0" collapsed="false">
      <c r="A147" s="1"/>
      <c r="B147" s="10"/>
      <c r="C147" s="31" t="str">
        <f aca="false">IF(B147="","",TEXT(B147,"ddd"))</f>
        <v/>
      </c>
      <c r="D147" s="11"/>
      <c r="E147" s="8" t="str">
        <f aca="false">IF(D147="","",IFERROR(INDEX(ProjNumbers,MATCH(D147,ProjNames,0)),""))</f>
        <v/>
      </c>
      <c r="F147" s="8" t="str">
        <f aca="false">IF(D147="","",IFERROR(INDEX(ProjCodes,MATCH(D147,ProjNames,0)),""))</f>
        <v/>
      </c>
      <c r="G147" s="32"/>
      <c r="H147" s="11"/>
      <c r="I147" s="33"/>
      <c r="J147" s="8" t="str">
        <f aca="false">IF(COUNTA(B147,D147,G147,H147,I147)=0,"",IF(B147="","Enter date",IF(OR(B147&lt;$AC$2,B147&gt;$AC$3),"Date not in July",IF(D147="","Pick project",IF(ISNA(MATCH(D147,ProjNames,0)),"Project not in list",IF(G147="","Add task description",IF(H147="","Pick NTIME or P6",IF(N(I147)&lt;=0,"Enter hours",IF(AND(AllowOT&lt;&gt;"Yes",SUMIF($B$7:$B$256,B147,$I$7:$I$256)&gt;INDEX($O$58:$O$88,DAY(B147))),"Day over "&amp;INDEX($O$58:$O$88,DAY(B147))&amp;" h","✓")))))))))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tr">
        <f aca="false">IF(Projects!B145="","",Projects!B145)</f>
        <v/>
      </c>
      <c r="X147" s="1" t="n">
        <f aca="false">IF(W147="",0,SUMIFS($I$7:$I$256,$D$7:$D$256,W147,$H$7:$H$256,"NTIME"))</f>
        <v>0</v>
      </c>
      <c r="Y147" s="1" t="n">
        <f aca="false">IF(W147="",0,SUMIFS($I$7:$I$256,$D$7:$D$256,W147,$H$7:$H$256,"P6"))</f>
        <v>0</v>
      </c>
      <c r="Z147" s="1" t="n">
        <f aca="false">X147+Y147</f>
        <v>0</v>
      </c>
      <c r="AA147" s="1" t="n">
        <f aca="false">IF(Z147&gt;0,Z147+(201-141)/10^6,0)</f>
        <v>0</v>
      </c>
      <c r="AB147" s="1"/>
      <c r="AC147" s="1"/>
      <c r="AD147" s="1"/>
      <c r="AE147" s="1"/>
      <c r="AF147" s="1"/>
      <c r="AG147" s="1"/>
      <c r="AH147" s="1"/>
    </row>
    <row r="148" customFormat="false" ht="15" hidden="false" customHeight="false" outlineLevel="0" collapsed="false">
      <c r="A148" s="1"/>
      <c r="B148" s="10"/>
      <c r="C148" s="31" t="str">
        <f aca="false">IF(B148="","",TEXT(B148,"ddd"))</f>
        <v/>
      </c>
      <c r="D148" s="11"/>
      <c r="E148" s="8" t="str">
        <f aca="false">IF(D148="","",IFERROR(INDEX(ProjNumbers,MATCH(D148,ProjNames,0)),""))</f>
        <v/>
      </c>
      <c r="F148" s="8" t="str">
        <f aca="false">IF(D148="","",IFERROR(INDEX(ProjCodes,MATCH(D148,ProjNames,0)),""))</f>
        <v/>
      </c>
      <c r="G148" s="32"/>
      <c r="H148" s="11"/>
      <c r="I148" s="33"/>
      <c r="J148" s="8" t="str">
        <f aca="false">IF(COUNTA(B148,D148,G148,H148,I148)=0,"",IF(B148="","Enter date",IF(OR(B148&lt;$AC$2,B148&gt;$AC$3),"Date not in July",IF(D148="","Pick project",IF(ISNA(MATCH(D148,ProjNames,0)),"Project not in list",IF(G148="","Add task description",IF(H148="","Pick NTIME or P6",IF(N(I148)&lt;=0,"Enter hours",IF(AND(AllowOT&lt;&gt;"Yes",SUMIF($B$7:$B$256,B148,$I$7:$I$256)&gt;INDEX($O$58:$O$88,DAY(B148))),"Day over "&amp;INDEX($O$58:$O$88,DAY(B148))&amp;" h","✓")))))))))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tr">
        <f aca="false">IF(Projects!B146="","",Projects!B146)</f>
        <v/>
      </c>
      <c r="X148" s="1" t="n">
        <f aca="false">IF(W148="",0,SUMIFS($I$7:$I$256,$D$7:$D$256,W148,$H$7:$H$256,"NTIME"))</f>
        <v>0</v>
      </c>
      <c r="Y148" s="1" t="n">
        <f aca="false">IF(W148="",0,SUMIFS($I$7:$I$256,$D$7:$D$256,W148,$H$7:$H$256,"P6"))</f>
        <v>0</v>
      </c>
      <c r="Z148" s="1" t="n">
        <f aca="false">X148+Y148</f>
        <v>0</v>
      </c>
      <c r="AA148" s="1" t="n">
        <f aca="false">IF(Z148&gt;0,Z148+(201-142)/10^6,0)</f>
        <v>0</v>
      </c>
      <c r="AB148" s="1"/>
      <c r="AC148" s="1"/>
      <c r="AD148" s="1"/>
      <c r="AE148" s="1"/>
      <c r="AF148" s="1"/>
      <c r="AG148" s="1"/>
      <c r="AH148" s="1"/>
    </row>
    <row r="149" customFormat="false" ht="15" hidden="false" customHeight="false" outlineLevel="0" collapsed="false">
      <c r="A149" s="1"/>
      <c r="B149" s="10"/>
      <c r="C149" s="31" t="str">
        <f aca="false">IF(B149="","",TEXT(B149,"ddd"))</f>
        <v/>
      </c>
      <c r="D149" s="11"/>
      <c r="E149" s="8" t="str">
        <f aca="false">IF(D149="","",IFERROR(INDEX(ProjNumbers,MATCH(D149,ProjNames,0)),""))</f>
        <v/>
      </c>
      <c r="F149" s="8" t="str">
        <f aca="false">IF(D149="","",IFERROR(INDEX(ProjCodes,MATCH(D149,ProjNames,0)),""))</f>
        <v/>
      </c>
      <c r="G149" s="32"/>
      <c r="H149" s="11"/>
      <c r="I149" s="33"/>
      <c r="J149" s="8" t="str">
        <f aca="false">IF(COUNTA(B149,D149,G149,H149,I149)=0,"",IF(B149="","Enter date",IF(OR(B149&lt;$AC$2,B149&gt;$AC$3),"Date not in July",IF(D149="","Pick project",IF(ISNA(MATCH(D149,ProjNames,0)),"Project not in list",IF(G149="","Add task description",IF(H149="","Pick NTIME or P6",IF(N(I149)&lt;=0,"Enter hours",IF(AND(AllowOT&lt;&gt;"Yes",SUMIF($B$7:$B$256,B149,$I$7:$I$256)&gt;INDEX($O$58:$O$88,DAY(B149))),"Day over "&amp;INDEX($O$58:$O$88,DAY(B149))&amp;" h","✓")))))))))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tr">
        <f aca="false">IF(Projects!B147="","",Projects!B147)</f>
        <v/>
      </c>
      <c r="X149" s="1" t="n">
        <f aca="false">IF(W149="",0,SUMIFS($I$7:$I$256,$D$7:$D$256,W149,$H$7:$H$256,"NTIME"))</f>
        <v>0</v>
      </c>
      <c r="Y149" s="1" t="n">
        <f aca="false">IF(W149="",0,SUMIFS($I$7:$I$256,$D$7:$D$256,W149,$H$7:$H$256,"P6"))</f>
        <v>0</v>
      </c>
      <c r="Z149" s="1" t="n">
        <f aca="false">X149+Y149</f>
        <v>0</v>
      </c>
      <c r="AA149" s="1" t="n">
        <f aca="false">IF(Z149&gt;0,Z149+(201-143)/10^6,0)</f>
        <v>0</v>
      </c>
      <c r="AB149" s="1"/>
      <c r="AC149" s="1"/>
      <c r="AD149" s="1"/>
      <c r="AE149" s="1"/>
      <c r="AF149" s="1"/>
      <c r="AG149" s="1"/>
      <c r="AH149" s="1"/>
    </row>
    <row r="150" customFormat="false" ht="15" hidden="false" customHeight="false" outlineLevel="0" collapsed="false">
      <c r="A150" s="1"/>
      <c r="B150" s="10"/>
      <c r="C150" s="31" t="str">
        <f aca="false">IF(B150="","",TEXT(B150,"ddd"))</f>
        <v/>
      </c>
      <c r="D150" s="11"/>
      <c r="E150" s="8" t="str">
        <f aca="false">IF(D150="","",IFERROR(INDEX(ProjNumbers,MATCH(D150,ProjNames,0)),""))</f>
        <v/>
      </c>
      <c r="F150" s="8" t="str">
        <f aca="false">IF(D150="","",IFERROR(INDEX(ProjCodes,MATCH(D150,ProjNames,0)),""))</f>
        <v/>
      </c>
      <c r="G150" s="32"/>
      <c r="H150" s="11"/>
      <c r="I150" s="33"/>
      <c r="J150" s="8" t="str">
        <f aca="false">IF(COUNTA(B150,D150,G150,H150,I150)=0,"",IF(B150="","Enter date",IF(OR(B150&lt;$AC$2,B150&gt;$AC$3),"Date not in July",IF(D150="","Pick project",IF(ISNA(MATCH(D150,ProjNames,0)),"Project not in list",IF(G150="","Add task description",IF(H150="","Pick NTIME or P6",IF(N(I150)&lt;=0,"Enter hours",IF(AND(AllowOT&lt;&gt;"Yes",SUMIF($B$7:$B$256,B150,$I$7:$I$256)&gt;INDEX($O$58:$O$88,DAY(B150))),"Day over "&amp;INDEX($O$58:$O$88,DAY(B150))&amp;" h","✓")))))))))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tr">
        <f aca="false">IF(Projects!B148="","",Projects!B148)</f>
        <v/>
      </c>
      <c r="X150" s="1" t="n">
        <f aca="false">IF(W150="",0,SUMIFS($I$7:$I$256,$D$7:$D$256,W150,$H$7:$H$256,"NTIME"))</f>
        <v>0</v>
      </c>
      <c r="Y150" s="1" t="n">
        <f aca="false">IF(W150="",0,SUMIFS($I$7:$I$256,$D$7:$D$256,W150,$H$7:$H$256,"P6"))</f>
        <v>0</v>
      </c>
      <c r="Z150" s="1" t="n">
        <f aca="false">X150+Y150</f>
        <v>0</v>
      </c>
      <c r="AA150" s="1" t="n">
        <f aca="false">IF(Z150&gt;0,Z150+(201-144)/10^6,0)</f>
        <v>0</v>
      </c>
      <c r="AB150" s="1"/>
      <c r="AC150" s="1"/>
      <c r="AD150" s="1"/>
      <c r="AE150" s="1"/>
      <c r="AF150" s="1"/>
      <c r="AG150" s="1"/>
      <c r="AH150" s="1"/>
    </row>
    <row r="151" customFormat="false" ht="15" hidden="false" customHeight="false" outlineLevel="0" collapsed="false">
      <c r="A151" s="1"/>
      <c r="B151" s="10"/>
      <c r="C151" s="31" t="str">
        <f aca="false">IF(B151="","",TEXT(B151,"ddd"))</f>
        <v/>
      </c>
      <c r="D151" s="11"/>
      <c r="E151" s="8" t="str">
        <f aca="false">IF(D151="","",IFERROR(INDEX(ProjNumbers,MATCH(D151,ProjNames,0)),""))</f>
        <v/>
      </c>
      <c r="F151" s="8" t="str">
        <f aca="false">IF(D151="","",IFERROR(INDEX(ProjCodes,MATCH(D151,ProjNames,0)),""))</f>
        <v/>
      </c>
      <c r="G151" s="32"/>
      <c r="H151" s="11"/>
      <c r="I151" s="33"/>
      <c r="J151" s="8" t="str">
        <f aca="false">IF(COUNTA(B151,D151,G151,H151,I151)=0,"",IF(B151="","Enter date",IF(OR(B151&lt;$AC$2,B151&gt;$AC$3),"Date not in July",IF(D151="","Pick project",IF(ISNA(MATCH(D151,ProjNames,0)),"Project not in list",IF(G151="","Add task description",IF(H151="","Pick NTIME or P6",IF(N(I151)&lt;=0,"Enter hours",IF(AND(AllowOT&lt;&gt;"Yes",SUMIF($B$7:$B$256,B151,$I$7:$I$256)&gt;INDEX($O$58:$O$88,DAY(B151))),"Day over "&amp;INDEX($O$58:$O$88,DAY(B151))&amp;" h","✓")))))))))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tr">
        <f aca="false">IF(Projects!B149="","",Projects!B149)</f>
        <v/>
      </c>
      <c r="X151" s="1" t="n">
        <f aca="false">IF(W151="",0,SUMIFS($I$7:$I$256,$D$7:$D$256,W151,$H$7:$H$256,"NTIME"))</f>
        <v>0</v>
      </c>
      <c r="Y151" s="1" t="n">
        <f aca="false">IF(W151="",0,SUMIFS($I$7:$I$256,$D$7:$D$256,W151,$H$7:$H$256,"P6"))</f>
        <v>0</v>
      </c>
      <c r="Z151" s="1" t="n">
        <f aca="false">X151+Y151</f>
        <v>0</v>
      </c>
      <c r="AA151" s="1" t="n">
        <f aca="false">IF(Z151&gt;0,Z151+(201-145)/10^6,0)</f>
        <v>0</v>
      </c>
      <c r="AB151" s="1"/>
      <c r="AC151" s="1"/>
      <c r="AD151" s="1"/>
      <c r="AE151" s="1"/>
      <c r="AF151" s="1"/>
      <c r="AG151" s="1"/>
      <c r="AH151" s="1"/>
    </row>
    <row r="152" customFormat="false" ht="15" hidden="false" customHeight="false" outlineLevel="0" collapsed="false">
      <c r="A152" s="1"/>
      <c r="B152" s="10"/>
      <c r="C152" s="31" t="str">
        <f aca="false">IF(B152="","",TEXT(B152,"ddd"))</f>
        <v/>
      </c>
      <c r="D152" s="11"/>
      <c r="E152" s="8" t="str">
        <f aca="false">IF(D152="","",IFERROR(INDEX(ProjNumbers,MATCH(D152,ProjNames,0)),""))</f>
        <v/>
      </c>
      <c r="F152" s="8" t="str">
        <f aca="false">IF(D152="","",IFERROR(INDEX(ProjCodes,MATCH(D152,ProjNames,0)),""))</f>
        <v/>
      </c>
      <c r="G152" s="32"/>
      <c r="H152" s="11"/>
      <c r="I152" s="33"/>
      <c r="J152" s="8" t="str">
        <f aca="false">IF(COUNTA(B152,D152,G152,H152,I152)=0,"",IF(B152="","Enter date",IF(OR(B152&lt;$AC$2,B152&gt;$AC$3),"Date not in July",IF(D152="","Pick project",IF(ISNA(MATCH(D152,ProjNames,0)),"Project not in list",IF(G152="","Add task description",IF(H152="","Pick NTIME or P6",IF(N(I152)&lt;=0,"Enter hours",IF(AND(AllowOT&lt;&gt;"Yes",SUMIF($B$7:$B$256,B152,$I$7:$I$256)&gt;INDEX($O$58:$O$88,DAY(B152))),"Day over "&amp;INDEX($O$58:$O$88,DAY(B152))&amp;" h","✓")))))))))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tr">
        <f aca="false">IF(Projects!B150="","",Projects!B150)</f>
        <v/>
      </c>
      <c r="X152" s="1" t="n">
        <f aca="false">IF(W152="",0,SUMIFS($I$7:$I$256,$D$7:$D$256,W152,$H$7:$H$256,"NTIME"))</f>
        <v>0</v>
      </c>
      <c r="Y152" s="1" t="n">
        <f aca="false">IF(W152="",0,SUMIFS($I$7:$I$256,$D$7:$D$256,W152,$H$7:$H$256,"P6"))</f>
        <v>0</v>
      </c>
      <c r="Z152" s="1" t="n">
        <f aca="false">X152+Y152</f>
        <v>0</v>
      </c>
      <c r="AA152" s="1" t="n">
        <f aca="false">IF(Z152&gt;0,Z152+(201-146)/10^6,0)</f>
        <v>0</v>
      </c>
      <c r="AB152" s="1"/>
      <c r="AC152" s="1"/>
      <c r="AD152" s="1"/>
      <c r="AE152" s="1"/>
      <c r="AF152" s="1"/>
      <c r="AG152" s="1"/>
      <c r="AH152" s="1"/>
    </row>
    <row r="153" customFormat="false" ht="15" hidden="false" customHeight="false" outlineLevel="0" collapsed="false">
      <c r="A153" s="1"/>
      <c r="B153" s="10"/>
      <c r="C153" s="31" t="str">
        <f aca="false">IF(B153="","",TEXT(B153,"ddd"))</f>
        <v/>
      </c>
      <c r="D153" s="11"/>
      <c r="E153" s="8" t="str">
        <f aca="false">IF(D153="","",IFERROR(INDEX(ProjNumbers,MATCH(D153,ProjNames,0)),""))</f>
        <v/>
      </c>
      <c r="F153" s="8" t="str">
        <f aca="false">IF(D153="","",IFERROR(INDEX(ProjCodes,MATCH(D153,ProjNames,0)),""))</f>
        <v/>
      </c>
      <c r="G153" s="32"/>
      <c r="H153" s="11"/>
      <c r="I153" s="33"/>
      <c r="J153" s="8" t="str">
        <f aca="false">IF(COUNTA(B153,D153,G153,H153,I153)=0,"",IF(B153="","Enter date",IF(OR(B153&lt;$AC$2,B153&gt;$AC$3),"Date not in July",IF(D153="","Pick project",IF(ISNA(MATCH(D153,ProjNames,0)),"Project not in list",IF(G153="","Add task description",IF(H153="","Pick NTIME or P6",IF(N(I153)&lt;=0,"Enter hours",IF(AND(AllowOT&lt;&gt;"Yes",SUMIF($B$7:$B$256,B153,$I$7:$I$256)&gt;INDEX($O$58:$O$88,DAY(B153))),"Day over "&amp;INDEX($O$58:$O$88,DAY(B153))&amp;" h","✓")))))))))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tr">
        <f aca="false">IF(Projects!B151="","",Projects!B151)</f>
        <v/>
      </c>
      <c r="X153" s="1" t="n">
        <f aca="false">IF(W153="",0,SUMIFS($I$7:$I$256,$D$7:$D$256,W153,$H$7:$H$256,"NTIME"))</f>
        <v>0</v>
      </c>
      <c r="Y153" s="1" t="n">
        <f aca="false">IF(W153="",0,SUMIFS($I$7:$I$256,$D$7:$D$256,W153,$H$7:$H$256,"P6"))</f>
        <v>0</v>
      </c>
      <c r="Z153" s="1" t="n">
        <f aca="false">X153+Y153</f>
        <v>0</v>
      </c>
      <c r="AA153" s="1" t="n">
        <f aca="false">IF(Z153&gt;0,Z153+(201-147)/10^6,0)</f>
        <v>0</v>
      </c>
      <c r="AB153" s="1"/>
      <c r="AC153" s="1"/>
      <c r="AD153" s="1"/>
      <c r="AE153" s="1"/>
      <c r="AF153" s="1"/>
      <c r="AG153" s="1"/>
      <c r="AH153" s="1"/>
    </row>
    <row r="154" customFormat="false" ht="15" hidden="false" customHeight="false" outlineLevel="0" collapsed="false">
      <c r="A154" s="1"/>
      <c r="B154" s="10"/>
      <c r="C154" s="31" t="str">
        <f aca="false">IF(B154="","",TEXT(B154,"ddd"))</f>
        <v/>
      </c>
      <c r="D154" s="11"/>
      <c r="E154" s="8" t="str">
        <f aca="false">IF(D154="","",IFERROR(INDEX(ProjNumbers,MATCH(D154,ProjNames,0)),""))</f>
        <v/>
      </c>
      <c r="F154" s="8" t="str">
        <f aca="false">IF(D154="","",IFERROR(INDEX(ProjCodes,MATCH(D154,ProjNames,0)),""))</f>
        <v/>
      </c>
      <c r="G154" s="32"/>
      <c r="H154" s="11"/>
      <c r="I154" s="33"/>
      <c r="J154" s="8" t="str">
        <f aca="false">IF(COUNTA(B154,D154,G154,H154,I154)=0,"",IF(B154="","Enter date",IF(OR(B154&lt;$AC$2,B154&gt;$AC$3),"Date not in July",IF(D154="","Pick project",IF(ISNA(MATCH(D154,ProjNames,0)),"Project not in list",IF(G154="","Add task description",IF(H154="","Pick NTIME or P6",IF(N(I154)&lt;=0,"Enter hours",IF(AND(AllowOT&lt;&gt;"Yes",SUMIF($B$7:$B$256,B154,$I$7:$I$256)&gt;INDEX($O$58:$O$88,DAY(B154))),"Day over "&amp;INDEX($O$58:$O$88,DAY(B154))&amp;" h","✓")))))))))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tr">
        <f aca="false">IF(Projects!B152="","",Projects!B152)</f>
        <v/>
      </c>
      <c r="X154" s="1" t="n">
        <f aca="false">IF(W154="",0,SUMIFS($I$7:$I$256,$D$7:$D$256,W154,$H$7:$H$256,"NTIME"))</f>
        <v>0</v>
      </c>
      <c r="Y154" s="1" t="n">
        <f aca="false">IF(W154="",0,SUMIFS($I$7:$I$256,$D$7:$D$256,W154,$H$7:$H$256,"P6"))</f>
        <v>0</v>
      </c>
      <c r="Z154" s="1" t="n">
        <f aca="false">X154+Y154</f>
        <v>0</v>
      </c>
      <c r="AA154" s="1" t="n">
        <f aca="false">IF(Z154&gt;0,Z154+(201-148)/10^6,0)</f>
        <v>0</v>
      </c>
      <c r="AB154" s="1"/>
      <c r="AC154" s="1"/>
      <c r="AD154" s="1"/>
      <c r="AE154" s="1"/>
      <c r="AF154" s="1"/>
      <c r="AG154" s="1"/>
      <c r="AH154" s="1"/>
    </row>
    <row r="155" customFormat="false" ht="15" hidden="false" customHeight="false" outlineLevel="0" collapsed="false">
      <c r="A155" s="1"/>
      <c r="B155" s="10"/>
      <c r="C155" s="31" t="str">
        <f aca="false">IF(B155="","",TEXT(B155,"ddd"))</f>
        <v/>
      </c>
      <c r="D155" s="11"/>
      <c r="E155" s="8" t="str">
        <f aca="false">IF(D155="","",IFERROR(INDEX(ProjNumbers,MATCH(D155,ProjNames,0)),""))</f>
        <v/>
      </c>
      <c r="F155" s="8" t="str">
        <f aca="false">IF(D155="","",IFERROR(INDEX(ProjCodes,MATCH(D155,ProjNames,0)),""))</f>
        <v/>
      </c>
      <c r="G155" s="32"/>
      <c r="H155" s="11"/>
      <c r="I155" s="33"/>
      <c r="J155" s="8" t="str">
        <f aca="false">IF(COUNTA(B155,D155,G155,H155,I155)=0,"",IF(B155="","Enter date",IF(OR(B155&lt;$AC$2,B155&gt;$AC$3),"Date not in July",IF(D155="","Pick project",IF(ISNA(MATCH(D155,ProjNames,0)),"Project not in list",IF(G155="","Add task description",IF(H155="","Pick NTIME or P6",IF(N(I155)&lt;=0,"Enter hours",IF(AND(AllowOT&lt;&gt;"Yes",SUMIF($B$7:$B$256,B155,$I$7:$I$256)&gt;INDEX($O$58:$O$88,DAY(B155))),"Day over "&amp;INDEX($O$58:$O$88,DAY(B155))&amp;" h","✓")))))))))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tr">
        <f aca="false">IF(Projects!B153="","",Projects!B153)</f>
        <v/>
      </c>
      <c r="X155" s="1" t="n">
        <f aca="false">IF(W155="",0,SUMIFS($I$7:$I$256,$D$7:$D$256,W155,$H$7:$H$256,"NTIME"))</f>
        <v>0</v>
      </c>
      <c r="Y155" s="1" t="n">
        <f aca="false">IF(W155="",0,SUMIFS($I$7:$I$256,$D$7:$D$256,W155,$H$7:$H$256,"P6"))</f>
        <v>0</v>
      </c>
      <c r="Z155" s="1" t="n">
        <f aca="false">X155+Y155</f>
        <v>0</v>
      </c>
      <c r="AA155" s="1" t="n">
        <f aca="false">IF(Z155&gt;0,Z155+(201-149)/10^6,0)</f>
        <v>0</v>
      </c>
      <c r="AB155" s="1"/>
      <c r="AC155" s="1"/>
      <c r="AD155" s="1"/>
      <c r="AE155" s="1"/>
      <c r="AF155" s="1"/>
      <c r="AG155" s="1"/>
      <c r="AH155" s="1"/>
    </row>
    <row r="156" customFormat="false" ht="15" hidden="false" customHeight="false" outlineLevel="0" collapsed="false">
      <c r="A156" s="1"/>
      <c r="B156" s="10"/>
      <c r="C156" s="31" t="str">
        <f aca="false">IF(B156="","",TEXT(B156,"ddd"))</f>
        <v/>
      </c>
      <c r="D156" s="11"/>
      <c r="E156" s="8" t="str">
        <f aca="false">IF(D156="","",IFERROR(INDEX(ProjNumbers,MATCH(D156,ProjNames,0)),""))</f>
        <v/>
      </c>
      <c r="F156" s="8" t="str">
        <f aca="false">IF(D156="","",IFERROR(INDEX(ProjCodes,MATCH(D156,ProjNames,0)),""))</f>
        <v/>
      </c>
      <c r="G156" s="32"/>
      <c r="H156" s="11"/>
      <c r="I156" s="33"/>
      <c r="J156" s="8" t="str">
        <f aca="false">IF(COUNTA(B156,D156,G156,H156,I156)=0,"",IF(B156="","Enter date",IF(OR(B156&lt;$AC$2,B156&gt;$AC$3),"Date not in July",IF(D156="","Pick project",IF(ISNA(MATCH(D156,ProjNames,0)),"Project not in list",IF(G156="","Add task description",IF(H156="","Pick NTIME or P6",IF(N(I156)&lt;=0,"Enter hours",IF(AND(AllowOT&lt;&gt;"Yes",SUMIF($B$7:$B$256,B156,$I$7:$I$256)&gt;INDEX($O$58:$O$88,DAY(B156))),"Day over "&amp;INDEX($O$58:$O$88,DAY(B156))&amp;" h","✓")))))))))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tr">
        <f aca="false">IF(Projects!B154="","",Projects!B154)</f>
        <v/>
      </c>
      <c r="X156" s="1" t="n">
        <f aca="false">IF(W156="",0,SUMIFS($I$7:$I$256,$D$7:$D$256,W156,$H$7:$H$256,"NTIME"))</f>
        <v>0</v>
      </c>
      <c r="Y156" s="1" t="n">
        <f aca="false">IF(W156="",0,SUMIFS($I$7:$I$256,$D$7:$D$256,W156,$H$7:$H$256,"P6"))</f>
        <v>0</v>
      </c>
      <c r="Z156" s="1" t="n">
        <f aca="false">X156+Y156</f>
        <v>0</v>
      </c>
      <c r="AA156" s="1" t="n">
        <f aca="false">IF(Z156&gt;0,Z156+(201-150)/10^6,0)</f>
        <v>0</v>
      </c>
      <c r="AB156" s="1"/>
      <c r="AC156" s="1"/>
      <c r="AD156" s="1"/>
      <c r="AE156" s="1"/>
      <c r="AF156" s="1"/>
      <c r="AG156" s="1"/>
      <c r="AH156" s="1"/>
    </row>
    <row r="157" customFormat="false" ht="15" hidden="false" customHeight="false" outlineLevel="0" collapsed="false">
      <c r="A157" s="1"/>
      <c r="B157" s="10"/>
      <c r="C157" s="31" t="str">
        <f aca="false">IF(B157="","",TEXT(B157,"ddd"))</f>
        <v/>
      </c>
      <c r="D157" s="11"/>
      <c r="E157" s="8" t="str">
        <f aca="false">IF(D157="","",IFERROR(INDEX(ProjNumbers,MATCH(D157,ProjNames,0)),""))</f>
        <v/>
      </c>
      <c r="F157" s="8" t="str">
        <f aca="false">IF(D157="","",IFERROR(INDEX(ProjCodes,MATCH(D157,ProjNames,0)),""))</f>
        <v/>
      </c>
      <c r="G157" s="32"/>
      <c r="H157" s="11"/>
      <c r="I157" s="33"/>
      <c r="J157" s="8" t="str">
        <f aca="false">IF(COUNTA(B157,D157,G157,H157,I157)=0,"",IF(B157="","Enter date",IF(OR(B157&lt;$AC$2,B157&gt;$AC$3),"Date not in July",IF(D157="","Pick project",IF(ISNA(MATCH(D157,ProjNames,0)),"Project not in list",IF(G157="","Add task description",IF(H157="","Pick NTIME or P6",IF(N(I157)&lt;=0,"Enter hours",IF(AND(AllowOT&lt;&gt;"Yes",SUMIF($B$7:$B$256,B157,$I$7:$I$256)&gt;INDEX($O$58:$O$88,DAY(B157))),"Day over "&amp;INDEX($O$58:$O$88,DAY(B157))&amp;" h","✓")))))))))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tr">
        <f aca="false">IF(Projects!B155="","",Projects!B155)</f>
        <v/>
      </c>
      <c r="X157" s="1" t="n">
        <f aca="false">IF(W157="",0,SUMIFS($I$7:$I$256,$D$7:$D$256,W157,$H$7:$H$256,"NTIME"))</f>
        <v>0</v>
      </c>
      <c r="Y157" s="1" t="n">
        <f aca="false">IF(W157="",0,SUMIFS($I$7:$I$256,$D$7:$D$256,W157,$H$7:$H$256,"P6"))</f>
        <v>0</v>
      </c>
      <c r="Z157" s="1" t="n">
        <f aca="false">X157+Y157</f>
        <v>0</v>
      </c>
      <c r="AA157" s="1" t="n">
        <f aca="false">IF(Z157&gt;0,Z157+(201-151)/10^6,0)</f>
        <v>0</v>
      </c>
      <c r="AB157" s="1"/>
      <c r="AC157" s="1"/>
      <c r="AD157" s="1"/>
      <c r="AE157" s="1"/>
      <c r="AF157" s="1"/>
      <c r="AG157" s="1"/>
      <c r="AH157" s="1"/>
    </row>
    <row r="158" customFormat="false" ht="15" hidden="false" customHeight="false" outlineLevel="0" collapsed="false">
      <c r="A158" s="1"/>
      <c r="B158" s="10"/>
      <c r="C158" s="31" t="str">
        <f aca="false">IF(B158="","",TEXT(B158,"ddd"))</f>
        <v/>
      </c>
      <c r="D158" s="11"/>
      <c r="E158" s="8" t="str">
        <f aca="false">IF(D158="","",IFERROR(INDEX(ProjNumbers,MATCH(D158,ProjNames,0)),""))</f>
        <v/>
      </c>
      <c r="F158" s="8" t="str">
        <f aca="false">IF(D158="","",IFERROR(INDEX(ProjCodes,MATCH(D158,ProjNames,0)),""))</f>
        <v/>
      </c>
      <c r="G158" s="32"/>
      <c r="H158" s="11"/>
      <c r="I158" s="33"/>
      <c r="J158" s="8" t="str">
        <f aca="false">IF(COUNTA(B158,D158,G158,H158,I158)=0,"",IF(B158="","Enter date",IF(OR(B158&lt;$AC$2,B158&gt;$AC$3),"Date not in July",IF(D158="","Pick project",IF(ISNA(MATCH(D158,ProjNames,0)),"Project not in list",IF(G158="","Add task description",IF(H158="","Pick NTIME or P6",IF(N(I158)&lt;=0,"Enter hours",IF(AND(AllowOT&lt;&gt;"Yes",SUMIF($B$7:$B$256,B158,$I$7:$I$256)&gt;INDEX($O$58:$O$88,DAY(B158))),"Day over "&amp;INDEX($O$58:$O$88,DAY(B158))&amp;" h","✓")))))))))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tr">
        <f aca="false">IF(Projects!B156="","",Projects!B156)</f>
        <v/>
      </c>
      <c r="X158" s="1" t="n">
        <f aca="false">IF(W158="",0,SUMIFS($I$7:$I$256,$D$7:$D$256,W158,$H$7:$H$256,"NTIME"))</f>
        <v>0</v>
      </c>
      <c r="Y158" s="1" t="n">
        <f aca="false">IF(W158="",0,SUMIFS($I$7:$I$256,$D$7:$D$256,W158,$H$7:$H$256,"P6"))</f>
        <v>0</v>
      </c>
      <c r="Z158" s="1" t="n">
        <f aca="false">X158+Y158</f>
        <v>0</v>
      </c>
      <c r="AA158" s="1" t="n">
        <f aca="false">IF(Z158&gt;0,Z158+(201-152)/10^6,0)</f>
        <v>0</v>
      </c>
      <c r="AB158" s="1"/>
      <c r="AC158" s="1"/>
      <c r="AD158" s="1"/>
      <c r="AE158" s="1"/>
      <c r="AF158" s="1"/>
      <c r="AG158" s="1"/>
      <c r="AH158" s="1"/>
    </row>
    <row r="159" customFormat="false" ht="15" hidden="false" customHeight="false" outlineLevel="0" collapsed="false">
      <c r="A159" s="1"/>
      <c r="B159" s="10"/>
      <c r="C159" s="31" t="str">
        <f aca="false">IF(B159="","",TEXT(B159,"ddd"))</f>
        <v/>
      </c>
      <c r="D159" s="11"/>
      <c r="E159" s="8" t="str">
        <f aca="false">IF(D159="","",IFERROR(INDEX(ProjNumbers,MATCH(D159,ProjNames,0)),""))</f>
        <v/>
      </c>
      <c r="F159" s="8" t="str">
        <f aca="false">IF(D159="","",IFERROR(INDEX(ProjCodes,MATCH(D159,ProjNames,0)),""))</f>
        <v/>
      </c>
      <c r="G159" s="32"/>
      <c r="H159" s="11"/>
      <c r="I159" s="33"/>
      <c r="J159" s="8" t="str">
        <f aca="false">IF(COUNTA(B159,D159,G159,H159,I159)=0,"",IF(B159="","Enter date",IF(OR(B159&lt;$AC$2,B159&gt;$AC$3),"Date not in July",IF(D159="","Pick project",IF(ISNA(MATCH(D159,ProjNames,0)),"Project not in list",IF(G159="","Add task description",IF(H159="","Pick NTIME or P6",IF(N(I159)&lt;=0,"Enter hours",IF(AND(AllowOT&lt;&gt;"Yes",SUMIF($B$7:$B$256,B159,$I$7:$I$256)&gt;INDEX($O$58:$O$88,DAY(B159))),"Day over "&amp;INDEX($O$58:$O$88,DAY(B159))&amp;" h","✓")))))))))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tr">
        <f aca="false">IF(Projects!B157="","",Projects!B157)</f>
        <v/>
      </c>
      <c r="X159" s="1" t="n">
        <f aca="false">IF(W159="",0,SUMIFS($I$7:$I$256,$D$7:$D$256,W159,$H$7:$H$256,"NTIME"))</f>
        <v>0</v>
      </c>
      <c r="Y159" s="1" t="n">
        <f aca="false">IF(W159="",0,SUMIFS($I$7:$I$256,$D$7:$D$256,W159,$H$7:$H$256,"P6"))</f>
        <v>0</v>
      </c>
      <c r="Z159" s="1" t="n">
        <f aca="false">X159+Y159</f>
        <v>0</v>
      </c>
      <c r="AA159" s="1" t="n">
        <f aca="false">IF(Z159&gt;0,Z159+(201-153)/10^6,0)</f>
        <v>0</v>
      </c>
      <c r="AB159" s="1"/>
      <c r="AC159" s="1"/>
      <c r="AD159" s="1"/>
      <c r="AE159" s="1"/>
      <c r="AF159" s="1"/>
      <c r="AG159" s="1"/>
      <c r="AH159" s="1"/>
    </row>
    <row r="160" customFormat="false" ht="15" hidden="false" customHeight="false" outlineLevel="0" collapsed="false">
      <c r="A160" s="1"/>
      <c r="B160" s="10"/>
      <c r="C160" s="31" t="str">
        <f aca="false">IF(B160="","",TEXT(B160,"ddd"))</f>
        <v/>
      </c>
      <c r="D160" s="11"/>
      <c r="E160" s="8" t="str">
        <f aca="false">IF(D160="","",IFERROR(INDEX(ProjNumbers,MATCH(D160,ProjNames,0)),""))</f>
        <v/>
      </c>
      <c r="F160" s="8" t="str">
        <f aca="false">IF(D160="","",IFERROR(INDEX(ProjCodes,MATCH(D160,ProjNames,0)),""))</f>
        <v/>
      </c>
      <c r="G160" s="32"/>
      <c r="H160" s="11"/>
      <c r="I160" s="33"/>
      <c r="J160" s="8" t="str">
        <f aca="false">IF(COUNTA(B160,D160,G160,H160,I160)=0,"",IF(B160="","Enter date",IF(OR(B160&lt;$AC$2,B160&gt;$AC$3),"Date not in July",IF(D160="","Pick project",IF(ISNA(MATCH(D160,ProjNames,0)),"Project not in list",IF(G160="","Add task description",IF(H160="","Pick NTIME or P6",IF(N(I160)&lt;=0,"Enter hours",IF(AND(AllowOT&lt;&gt;"Yes",SUMIF($B$7:$B$256,B160,$I$7:$I$256)&gt;INDEX($O$58:$O$88,DAY(B160))),"Day over "&amp;INDEX($O$58:$O$88,DAY(B160))&amp;" h","✓")))))))))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tr">
        <f aca="false">IF(Projects!B158="","",Projects!B158)</f>
        <v/>
      </c>
      <c r="X160" s="1" t="n">
        <f aca="false">IF(W160="",0,SUMIFS($I$7:$I$256,$D$7:$D$256,W160,$H$7:$H$256,"NTIME"))</f>
        <v>0</v>
      </c>
      <c r="Y160" s="1" t="n">
        <f aca="false">IF(W160="",0,SUMIFS($I$7:$I$256,$D$7:$D$256,W160,$H$7:$H$256,"P6"))</f>
        <v>0</v>
      </c>
      <c r="Z160" s="1" t="n">
        <f aca="false">X160+Y160</f>
        <v>0</v>
      </c>
      <c r="AA160" s="1" t="n">
        <f aca="false">IF(Z160&gt;0,Z160+(201-154)/10^6,0)</f>
        <v>0</v>
      </c>
      <c r="AB160" s="1"/>
      <c r="AC160" s="1"/>
      <c r="AD160" s="1"/>
      <c r="AE160" s="1"/>
      <c r="AF160" s="1"/>
      <c r="AG160" s="1"/>
      <c r="AH160" s="1"/>
    </row>
    <row r="161" customFormat="false" ht="15" hidden="false" customHeight="false" outlineLevel="0" collapsed="false">
      <c r="A161" s="1"/>
      <c r="B161" s="10"/>
      <c r="C161" s="31" t="str">
        <f aca="false">IF(B161="","",TEXT(B161,"ddd"))</f>
        <v/>
      </c>
      <c r="D161" s="11"/>
      <c r="E161" s="8" t="str">
        <f aca="false">IF(D161="","",IFERROR(INDEX(ProjNumbers,MATCH(D161,ProjNames,0)),""))</f>
        <v/>
      </c>
      <c r="F161" s="8" t="str">
        <f aca="false">IF(D161="","",IFERROR(INDEX(ProjCodes,MATCH(D161,ProjNames,0)),""))</f>
        <v/>
      </c>
      <c r="G161" s="32"/>
      <c r="H161" s="11"/>
      <c r="I161" s="33"/>
      <c r="J161" s="8" t="str">
        <f aca="false">IF(COUNTA(B161,D161,G161,H161,I161)=0,"",IF(B161="","Enter date",IF(OR(B161&lt;$AC$2,B161&gt;$AC$3),"Date not in July",IF(D161="","Pick project",IF(ISNA(MATCH(D161,ProjNames,0)),"Project not in list",IF(G161="","Add task description",IF(H161="","Pick NTIME or P6",IF(N(I161)&lt;=0,"Enter hours",IF(AND(AllowOT&lt;&gt;"Yes",SUMIF($B$7:$B$256,B161,$I$7:$I$256)&gt;INDEX($O$58:$O$88,DAY(B161))),"Day over "&amp;INDEX($O$58:$O$88,DAY(B161))&amp;" h","✓")))))))))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tr">
        <f aca="false">IF(Projects!B159="","",Projects!B159)</f>
        <v/>
      </c>
      <c r="X161" s="1" t="n">
        <f aca="false">IF(W161="",0,SUMIFS($I$7:$I$256,$D$7:$D$256,W161,$H$7:$H$256,"NTIME"))</f>
        <v>0</v>
      </c>
      <c r="Y161" s="1" t="n">
        <f aca="false">IF(W161="",0,SUMIFS($I$7:$I$256,$D$7:$D$256,W161,$H$7:$H$256,"P6"))</f>
        <v>0</v>
      </c>
      <c r="Z161" s="1" t="n">
        <f aca="false">X161+Y161</f>
        <v>0</v>
      </c>
      <c r="AA161" s="1" t="n">
        <f aca="false">IF(Z161&gt;0,Z161+(201-155)/10^6,0)</f>
        <v>0</v>
      </c>
      <c r="AB161" s="1"/>
      <c r="AC161" s="1"/>
      <c r="AD161" s="1"/>
      <c r="AE161" s="1"/>
      <c r="AF161" s="1"/>
      <c r="AG161" s="1"/>
      <c r="AH161" s="1"/>
    </row>
    <row r="162" customFormat="false" ht="15" hidden="false" customHeight="false" outlineLevel="0" collapsed="false">
      <c r="A162" s="1"/>
      <c r="B162" s="10"/>
      <c r="C162" s="31" t="str">
        <f aca="false">IF(B162="","",TEXT(B162,"ddd"))</f>
        <v/>
      </c>
      <c r="D162" s="11"/>
      <c r="E162" s="8" t="str">
        <f aca="false">IF(D162="","",IFERROR(INDEX(ProjNumbers,MATCH(D162,ProjNames,0)),""))</f>
        <v/>
      </c>
      <c r="F162" s="8" t="str">
        <f aca="false">IF(D162="","",IFERROR(INDEX(ProjCodes,MATCH(D162,ProjNames,0)),""))</f>
        <v/>
      </c>
      <c r="G162" s="32"/>
      <c r="H162" s="11"/>
      <c r="I162" s="33"/>
      <c r="J162" s="8" t="str">
        <f aca="false">IF(COUNTA(B162,D162,G162,H162,I162)=0,"",IF(B162="","Enter date",IF(OR(B162&lt;$AC$2,B162&gt;$AC$3),"Date not in July",IF(D162="","Pick project",IF(ISNA(MATCH(D162,ProjNames,0)),"Project not in list",IF(G162="","Add task description",IF(H162="","Pick NTIME or P6",IF(N(I162)&lt;=0,"Enter hours",IF(AND(AllowOT&lt;&gt;"Yes",SUMIF($B$7:$B$256,B162,$I$7:$I$256)&gt;INDEX($O$58:$O$88,DAY(B162))),"Day over "&amp;INDEX($O$58:$O$88,DAY(B162))&amp;" h","✓")))))))))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tr">
        <f aca="false">IF(Projects!B160="","",Projects!B160)</f>
        <v/>
      </c>
      <c r="X162" s="1" t="n">
        <f aca="false">IF(W162="",0,SUMIFS($I$7:$I$256,$D$7:$D$256,W162,$H$7:$H$256,"NTIME"))</f>
        <v>0</v>
      </c>
      <c r="Y162" s="1" t="n">
        <f aca="false">IF(W162="",0,SUMIFS($I$7:$I$256,$D$7:$D$256,W162,$H$7:$H$256,"P6"))</f>
        <v>0</v>
      </c>
      <c r="Z162" s="1" t="n">
        <f aca="false">X162+Y162</f>
        <v>0</v>
      </c>
      <c r="AA162" s="1" t="n">
        <f aca="false">IF(Z162&gt;0,Z162+(201-156)/10^6,0)</f>
        <v>0</v>
      </c>
      <c r="AB162" s="1"/>
      <c r="AC162" s="1"/>
      <c r="AD162" s="1"/>
      <c r="AE162" s="1"/>
      <c r="AF162" s="1"/>
      <c r="AG162" s="1"/>
      <c r="AH162" s="1"/>
    </row>
    <row r="163" customFormat="false" ht="15" hidden="false" customHeight="false" outlineLevel="0" collapsed="false">
      <c r="A163" s="1"/>
      <c r="B163" s="10"/>
      <c r="C163" s="31" t="str">
        <f aca="false">IF(B163="","",TEXT(B163,"ddd"))</f>
        <v/>
      </c>
      <c r="D163" s="11"/>
      <c r="E163" s="8" t="str">
        <f aca="false">IF(D163="","",IFERROR(INDEX(ProjNumbers,MATCH(D163,ProjNames,0)),""))</f>
        <v/>
      </c>
      <c r="F163" s="8" t="str">
        <f aca="false">IF(D163="","",IFERROR(INDEX(ProjCodes,MATCH(D163,ProjNames,0)),""))</f>
        <v/>
      </c>
      <c r="G163" s="32"/>
      <c r="H163" s="11"/>
      <c r="I163" s="33"/>
      <c r="J163" s="8" t="str">
        <f aca="false">IF(COUNTA(B163,D163,G163,H163,I163)=0,"",IF(B163="","Enter date",IF(OR(B163&lt;$AC$2,B163&gt;$AC$3),"Date not in July",IF(D163="","Pick project",IF(ISNA(MATCH(D163,ProjNames,0)),"Project not in list",IF(G163="","Add task description",IF(H163="","Pick NTIME or P6",IF(N(I163)&lt;=0,"Enter hours",IF(AND(AllowOT&lt;&gt;"Yes",SUMIF($B$7:$B$256,B163,$I$7:$I$256)&gt;INDEX($O$58:$O$88,DAY(B163))),"Day over "&amp;INDEX($O$58:$O$88,DAY(B163))&amp;" h","✓")))))))))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tr">
        <f aca="false">IF(Projects!B161="","",Projects!B161)</f>
        <v/>
      </c>
      <c r="X163" s="1" t="n">
        <f aca="false">IF(W163="",0,SUMIFS($I$7:$I$256,$D$7:$D$256,W163,$H$7:$H$256,"NTIME"))</f>
        <v>0</v>
      </c>
      <c r="Y163" s="1" t="n">
        <f aca="false">IF(W163="",0,SUMIFS($I$7:$I$256,$D$7:$D$256,W163,$H$7:$H$256,"P6"))</f>
        <v>0</v>
      </c>
      <c r="Z163" s="1" t="n">
        <f aca="false">X163+Y163</f>
        <v>0</v>
      </c>
      <c r="AA163" s="1" t="n">
        <f aca="false">IF(Z163&gt;0,Z163+(201-157)/10^6,0)</f>
        <v>0</v>
      </c>
      <c r="AB163" s="1"/>
      <c r="AC163" s="1"/>
      <c r="AD163" s="1"/>
      <c r="AE163" s="1"/>
      <c r="AF163" s="1"/>
      <c r="AG163" s="1"/>
      <c r="AH163" s="1"/>
    </row>
    <row r="164" customFormat="false" ht="15" hidden="false" customHeight="false" outlineLevel="0" collapsed="false">
      <c r="A164" s="1"/>
      <c r="B164" s="10"/>
      <c r="C164" s="31" t="str">
        <f aca="false">IF(B164="","",TEXT(B164,"ddd"))</f>
        <v/>
      </c>
      <c r="D164" s="11"/>
      <c r="E164" s="8" t="str">
        <f aca="false">IF(D164="","",IFERROR(INDEX(ProjNumbers,MATCH(D164,ProjNames,0)),""))</f>
        <v/>
      </c>
      <c r="F164" s="8" t="str">
        <f aca="false">IF(D164="","",IFERROR(INDEX(ProjCodes,MATCH(D164,ProjNames,0)),""))</f>
        <v/>
      </c>
      <c r="G164" s="32"/>
      <c r="H164" s="11"/>
      <c r="I164" s="33"/>
      <c r="J164" s="8" t="str">
        <f aca="false">IF(COUNTA(B164,D164,G164,H164,I164)=0,"",IF(B164="","Enter date",IF(OR(B164&lt;$AC$2,B164&gt;$AC$3),"Date not in July",IF(D164="","Pick project",IF(ISNA(MATCH(D164,ProjNames,0)),"Project not in list",IF(G164="","Add task description",IF(H164="","Pick NTIME or P6",IF(N(I164)&lt;=0,"Enter hours",IF(AND(AllowOT&lt;&gt;"Yes",SUMIF($B$7:$B$256,B164,$I$7:$I$256)&gt;INDEX($O$58:$O$88,DAY(B164))),"Day over "&amp;INDEX($O$58:$O$88,DAY(B164))&amp;" h","✓")))))))))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tr">
        <f aca="false">IF(Projects!B162="","",Projects!B162)</f>
        <v/>
      </c>
      <c r="X164" s="1" t="n">
        <f aca="false">IF(W164="",0,SUMIFS($I$7:$I$256,$D$7:$D$256,W164,$H$7:$H$256,"NTIME"))</f>
        <v>0</v>
      </c>
      <c r="Y164" s="1" t="n">
        <f aca="false">IF(W164="",0,SUMIFS($I$7:$I$256,$D$7:$D$256,W164,$H$7:$H$256,"P6"))</f>
        <v>0</v>
      </c>
      <c r="Z164" s="1" t="n">
        <f aca="false">X164+Y164</f>
        <v>0</v>
      </c>
      <c r="AA164" s="1" t="n">
        <f aca="false">IF(Z164&gt;0,Z164+(201-158)/10^6,0)</f>
        <v>0</v>
      </c>
      <c r="AB164" s="1"/>
      <c r="AC164" s="1"/>
      <c r="AD164" s="1"/>
      <c r="AE164" s="1"/>
      <c r="AF164" s="1"/>
      <c r="AG164" s="1"/>
      <c r="AH164" s="1"/>
    </row>
    <row r="165" customFormat="false" ht="15" hidden="false" customHeight="false" outlineLevel="0" collapsed="false">
      <c r="A165" s="1"/>
      <c r="B165" s="10"/>
      <c r="C165" s="31" t="str">
        <f aca="false">IF(B165="","",TEXT(B165,"ddd"))</f>
        <v/>
      </c>
      <c r="D165" s="11"/>
      <c r="E165" s="8" t="str">
        <f aca="false">IF(D165="","",IFERROR(INDEX(ProjNumbers,MATCH(D165,ProjNames,0)),""))</f>
        <v/>
      </c>
      <c r="F165" s="8" t="str">
        <f aca="false">IF(D165="","",IFERROR(INDEX(ProjCodes,MATCH(D165,ProjNames,0)),""))</f>
        <v/>
      </c>
      <c r="G165" s="32"/>
      <c r="H165" s="11"/>
      <c r="I165" s="33"/>
      <c r="J165" s="8" t="str">
        <f aca="false">IF(COUNTA(B165,D165,G165,H165,I165)=0,"",IF(B165="","Enter date",IF(OR(B165&lt;$AC$2,B165&gt;$AC$3),"Date not in July",IF(D165="","Pick project",IF(ISNA(MATCH(D165,ProjNames,0)),"Project not in list",IF(G165="","Add task description",IF(H165="","Pick NTIME or P6",IF(N(I165)&lt;=0,"Enter hours",IF(AND(AllowOT&lt;&gt;"Yes",SUMIF($B$7:$B$256,B165,$I$7:$I$256)&gt;INDEX($O$58:$O$88,DAY(B165))),"Day over "&amp;INDEX($O$58:$O$88,DAY(B165))&amp;" h","✓")))))))))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tr">
        <f aca="false">IF(Projects!B163="","",Projects!B163)</f>
        <v/>
      </c>
      <c r="X165" s="1" t="n">
        <f aca="false">IF(W165="",0,SUMIFS($I$7:$I$256,$D$7:$D$256,W165,$H$7:$H$256,"NTIME"))</f>
        <v>0</v>
      </c>
      <c r="Y165" s="1" t="n">
        <f aca="false">IF(W165="",0,SUMIFS($I$7:$I$256,$D$7:$D$256,W165,$H$7:$H$256,"P6"))</f>
        <v>0</v>
      </c>
      <c r="Z165" s="1" t="n">
        <f aca="false">X165+Y165</f>
        <v>0</v>
      </c>
      <c r="AA165" s="1" t="n">
        <f aca="false">IF(Z165&gt;0,Z165+(201-159)/10^6,0)</f>
        <v>0</v>
      </c>
      <c r="AB165" s="1"/>
      <c r="AC165" s="1"/>
      <c r="AD165" s="1"/>
      <c r="AE165" s="1"/>
      <c r="AF165" s="1"/>
      <c r="AG165" s="1"/>
      <c r="AH165" s="1"/>
    </row>
    <row r="166" customFormat="false" ht="15" hidden="false" customHeight="false" outlineLevel="0" collapsed="false">
      <c r="A166" s="1"/>
      <c r="B166" s="10"/>
      <c r="C166" s="31" t="str">
        <f aca="false">IF(B166="","",TEXT(B166,"ddd"))</f>
        <v/>
      </c>
      <c r="D166" s="11"/>
      <c r="E166" s="8" t="str">
        <f aca="false">IF(D166="","",IFERROR(INDEX(ProjNumbers,MATCH(D166,ProjNames,0)),""))</f>
        <v/>
      </c>
      <c r="F166" s="8" t="str">
        <f aca="false">IF(D166="","",IFERROR(INDEX(ProjCodes,MATCH(D166,ProjNames,0)),""))</f>
        <v/>
      </c>
      <c r="G166" s="32"/>
      <c r="H166" s="11"/>
      <c r="I166" s="33"/>
      <c r="J166" s="8" t="str">
        <f aca="false">IF(COUNTA(B166,D166,G166,H166,I166)=0,"",IF(B166="","Enter date",IF(OR(B166&lt;$AC$2,B166&gt;$AC$3),"Date not in July",IF(D166="","Pick project",IF(ISNA(MATCH(D166,ProjNames,0)),"Project not in list",IF(G166="","Add task description",IF(H166="","Pick NTIME or P6",IF(N(I166)&lt;=0,"Enter hours",IF(AND(AllowOT&lt;&gt;"Yes",SUMIF($B$7:$B$256,B166,$I$7:$I$256)&gt;INDEX($O$58:$O$88,DAY(B166))),"Day over "&amp;INDEX($O$58:$O$88,DAY(B166))&amp;" h","✓")))))))))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tr">
        <f aca="false">IF(Projects!B164="","",Projects!B164)</f>
        <v/>
      </c>
      <c r="X166" s="1" t="n">
        <f aca="false">IF(W166="",0,SUMIFS($I$7:$I$256,$D$7:$D$256,W166,$H$7:$H$256,"NTIME"))</f>
        <v>0</v>
      </c>
      <c r="Y166" s="1" t="n">
        <f aca="false">IF(W166="",0,SUMIFS($I$7:$I$256,$D$7:$D$256,W166,$H$7:$H$256,"P6"))</f>
        <v>0</v>
      </c>
      <c r="Z166" s="1" t="n">
        <f aca="false">X166+Y166</f>
        <v>0</v>
      </c>
      <c r="AA166" s="1" t="n">
        <f aca="false">IF(Z166&gt;0,Z166+(201-160)/10^6,0)</f>
        <v>0</v>
      </c>
      <c r="AB166" s="1"/>
      <c r="AC166" s="1"/>
      <c r="AD166" s="1"/>
      <c r="AE166" s="1"/>
      <c r="AF166" s="1"/>
      <c r="AG166" s="1"/>
      <c r="AH166" s="1"/>
    </row>
    <row r="167" customFormat="false" ht="15" hidden="false" customHeight="false" outlineLevel="0" collapsed="false">
      <c r="A167" s="1"/>
      <c r="B167" s="10"/>
      <c r="C167" s="31" t="str">
        <f aca="false">IF(B167="","",TEXT(B167,"ddd"))</f>
        <v/>
      </c>
      <c r="D167" s="11"/>
      <c r="E167" s="8" t="str">
        <f aca="false">IF(D167="","",IFERROR(INDEX(ProjNumbers,MATCH(D167,ProjNames,0)),""))</f>
        <v/>
      </c>
      <c r="F167" s="8" t="str">
        <f aca="false">IF(D167="","",IFERROR(INDEX(ProjCodes,MATCH(D167,ProjNames,0)),""))</f>
        <v/>
      </c>
      <c r="G167" s="32"/>
      <c r="H167" s="11"/>
      <c r="I167" s="33"/>
      <c r="J167" s="8" t="str">
        <f aca="false">IF(COUNTA(B167,D167,G167,H167,I167)=0,"",IF(B167="","Enter date",IF(OR(B167&lt;$AC$2,B167&gt;$AC$3),"Date not in July",IF(D167="","Pick project",IF(ISNA(MATCH(D167,ProjNames,0)),"Project not in list",IF(G167="","Add task description",IF(H167="","Pick NTIME or P6",IF(N(I167)&lt;=0,"Enter hours",IF(AND(AllowOT&lt;&gt;"Yes",SUMIF($B$7:$B$256,B167,$I$7:$I$256)&gt;INDEX($O$58:$O$88,DAY(B167))),"Day over "&amp;INDEX($O$58:$O$88,DAY(B167))&amp;" h","✓")))))))))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 aca="false">IF(Projects!B165="","",Projects!B165)</f>
        <v/>
      </c>
      <c r="X167" s="1" t="n">
        <f aca="false">IF(W167="",0,SUMIFS($I$7:$I$256,$D$7:$D$256,W167,$H$7:$H$256,"NTIME"))</f>
        <v>0</v>
      </c>
      <c r="Y167" s="1" t="n">
        <f aca="false">IF(W167="",0,SUMIFS($I$7:$I$256,$D$7:$D$256,W167,$H$7:$H$256,"P6"))</f>
        <v>0</v>
      </c>
      <c r="Z167" s="1" t="n">
        <f aca="false">X167+Y167</f>
        <v>0</v>
      </c>
      <c r="AA167" s="1" t="n">
        <f aca="false">IF(Z167&gt;0,Z167+(201-161)/10^6,0)</f>
        <v>0</v>
      </c>
      <c r="AB167" s="1"/>
      <c r="AC167" s="1"/>
      <c r="AD167" s="1"/>
      <c r="AE167" s="1"/>
      <c r="AF167" s="1"/>
      <c r="AG167" s="1"/>
      <c r="AH167" s="1"/>
    </row>
    <row r="168" customFormat="false" ht="15" hidden="false" customHeight="false" outlineLevel="0" collapsed="false">
      <c r="A168" s="1"/>
      <c r="B168" s="10"/>
      <c r="C168" s="31" t="str">
        <f aca="false">IF(B168="","",TEXT(B168,"ddd"))</f>
        <v/>
      </c>
      <c r="D168" s="11"/>
      <c r="E168" s="8" t="str">
        <f aca="false">IF(D168="","",IFERROR(INDEX(ProjNumbers,MATCH(D168,ProjNames,0)),""))</f>
        <v/>
      </c>
      <c r="F168" s="8" t="str">
        <f aca="false">IF(D168="","",IFERROR(INDEX(ProjCodes,MATCH(D168,ProjNames,0)),""))</f>
        <v/>
      </c>
      <c r="G168" s="32"/>
      <c r="H168" s="11"/>
      <c r="I168" s="33"/>
      <c r="J168" s="8" t="str">
        <f aca="false">IF(COUNTA(B168,D168,G168,H168,I168)=0,"",IF(B168="","Enter date",IF(OR(B168&lt;$AC$2,B168&gt;$AC$3),"Date not in July",IF(D168="","Pick project",IF(ISNA(MATCH(D168,ProjNames,0)),"Project not in list",IF(G168="","Add task description",IF(H168="","Pick NTIME or P6",IF(N(I168)&lt;=0,"Enter hours",IF(AND(AllowOT&lt;&gt;"Yes",SUMIF($B$7:$B$256,B168,$I$7:$I$256)&gt;INDEX($O$58:$O$88,DAY(B168))),"Day over "&amp;INDEX($O$58:$O$88,DAY(B168))&amp;" h","✓")))))))))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tr">
        <f aca="false">IF(Projects!B166="","",Projects!B166)</f>
        <v/>
      </c>
      <c r="X168" s="1" t="n">
        <f aca="false">IF(W168="",0,SUMIFS($I$7:$I$256,$D$7:$D$256,W168,$H$7:$H$256,"NTIME"))</f>
        <v>0</v>
      </c>
      <c r="Y168" s="1" t="n">
        <f aca="false">IF(W168="",0,SUMIFS($I$7:$I$256,$D$7:$D$256,W168,$H$7:$H$256,"P6"))</f>
        <v>0</v>
      </c>
      <c r="Z168" s="1" t="n">
        <f aca="false">X168+Y168</f>
        <v>0</v>
      </c>
      <c r="AA168" s="1" t="n">
        <f aca="false">IF(Z168&gt;0,Z168+(201-162)/10^6,0)</f>
        <v>0</v>
      </c>
      <c r="AB168" s="1"/>
      <c r="AC168" s="1"/>
      <c r="AD168" s="1"/>
      <c r="AE168" s="1"/>
      <c r="AF168" s="1"/>
      <c r="AG168" s="1"/>
      <c r="AH168" s="1"/>
    </row>
    <row r="169" customFormat="false" ht="15" hidden="false" customHeight="false" outlineLevel="0" collapsed="false">
      <c r="A169" s="1"/>
      <c r="B169" s="10"/>
      <c r="C169" s="31" t="str">
        <f aca="false">IF(B169="","",TEXT(B169,"ddd"))</f>
        <v/>
      </c>
      <c r="D169" s="11"/>
      <c r="E169" s="8" t="str">
        <f aca="false">IF(D169="","",IFERROR(INDEX(ProjNumbers,MATCH(D169,ProjNames,0)),""))</f>
        <v/>
      </c>
      <c r="F169" s="8" t="str">
        <f aca="false">IF(D169="","",IFERROR(INDEX(ProjCodes,MATCH(D169,ProjNames,0)),""))</f>
        <v/>
      </c>
      <c r="G169" s="32"/>
      <c r="H169" s="11"/>
      <c r="I169" s="33"/>
      <c r="J169" s="8" t="str">
        <f aca="false">IF(COUNTA(B169,D169,G169,H169,I169)=0,"",IF(B169="","Enter date",IF(OR(B169&lt;$AC$2,B169&gt;$AC$3),"Date not in July",IF(D169="","Pick project",IF(ISNA(MATCH(D169,ProjNames,0)),"Project not in list",IF(G169="","Add task description",IF(H169="","Pick NTIME or P6",IF(N(I169)&lt;=0,"Enter hours",IF(AND(AllowOT&lt;&gt;"Yes",SUMIF($B$7:$B$256,B169,$I$7:$I$256)&gt;INDEX($O$58:$O$88,DAY(B169))),"Day over "&amp;INDEX($O$58:$O$88,DAY(B169))&amp;" h","✓")))))))))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tr">
        <f aca="false">IF(Projects!B167="","",Projects!B167)</f>
        <v/>
      </c>
      <c r="X169" s="1" t="n">
        <f aca="false">IF(W169="",0,SUMIFS($I$7:$I$256,$D$7:$D$256,W169,$H$7:$H$256,"NTIME"))</f>
        <v>0</v>
      </c>
      <c r="Y169" s="1" t="n">
        <f aca="false">IF(W169="",0,SUMIFS($I$7:$I$256,$D$7:$D$256,W169,$H$7:$H$256,"P6"))</f>
        <v>0</v>
      </c>
      <c r="Z169" s="1" t="n">
        <f aca="false">X169+Y169</f>
        <v>0</v>
      </c>
      <c r="AA169" s="1" t="n">
        <f aca="false">IF(Z169&gt;0,Z169+(201-163)/10^6,0)</f>
        <v>0</v>
      </c>
      <c r="AB169" s="1"/>
      <c r="AC169" s="1"/>
      <c r="AD169" s="1"/>
      <c r="AE169" s="1"/>
      <c r="AF169" s="1"/>
      <c r="AG169" s="1"/>
      <c r="AH169" s="1"/>
    </row>
    <row r="170" customFormat="false" ht="15" hidden="false" customHeight="false" outlineLevel="0" collapsed="false">
      <c r="A170" s="1"/>
      <c r="B170" s="10"/>
      <c r="C170" s="31" t="str">
        <f aca="false">IF(B170="","",TEXT(B170,"ddd"))</f>
        <v/>
      </c>
      <c r="D170" s="11"/>
      <c r="E170" s="8" t="str">
        <f aca="false">IF(D170="","",IFERROR(INDEX(ProjNumbers,MATCH(D170,ProjNames,0)),""))</f>
        <v/>
      </c>
      <c r="F170" s="8" t="str">
        <f aca="false">IF(D170="","",IFERROR(INDEX(ProjCodes,MATCH(D170,ProjNames,0)),""))</f>
        <v/>
      </c>
      <c r="G170" s="32"/>
      <c r="H170" s="11"/>
      <c r="I170" s="33"/>
      <c r="J170" s="8" t="str">
        <f aca="false">IF(COUNTA(B170,D170,G170,H170,I170)=0,"",IF(B170="","Enter date",IF(OR(B170&lt;$AC$2,B170&gt;$AC$3),"Date not in July",IF(D170="","Pick project",IF(ISNA(MATCH(D170,ProjNames,0)),"Project not in list",IF(G170="","Add task description",IF(H170="","Pick NTIME or P6",IF(N(I170)&lt;=0,"Enter hours",IF(AND(AllowOT&lt;&gt;"Yes",SUMIF($B$7:$B$256,B170,$I$7:$I$256)&gt;INDEX($O$58:$O$88,DAY(B170))),"Day over "&amp;INDEX($O$58:$O$88,DAY(B170))&amp;" h","✓")))))))))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tr">
        <f aca="false">IF(Projects!B168="","",Projects!B168)</f>
        <v/>
      </c>
      <c r="X170" s="1" t="n">
        <f aca="false">IF(W170="",0,SUMIFS($I$7:$I$256,$D$7:$D$256,W170,$H$7:$H$256,"NTIME"))</f>
        <v>0</v>
      </c>
      <c r="Y170" s="1" t="n">
        <f aca="false">IF(W170="",0,SUMIFS($I$7:$I$256,$D$7:$D$256,W170,$H$7:$H$256,"P6"))</f>
        <v>0</v>
      </c>
      <c r="Z170" s="1" t="n">
        <f aca="false">X170+Y170</f>
        <v>0</v>
      </c>
      <c r="AA170" s="1" t="n">
        <f aca="false">IF(Z170&gt;0,Z170+(201-164)/10^6,0)</f>
        <v>0</v>
      </c>
      <c r="AB170" s="1"/>
      <c r="AC170" s="1"/>
      <c r="AD170" s="1"/>
      <c r="AE170" s="1"/>
      <c r="AF170" s="1"/>
      <c r="AG170" s="1"/>
      <c r="AH170" s="1"/>
    </row>
    <row r="171" customFormat="false" ht="15" hidden="false" customHeight="false" outlineLevel="0" collapsed="false">
      <c r="A171" s="1"/>
      <c r="B171" s="10"/>
      <c r="C171" s="31" t="str">
        <f aca="false">IF(B171="","",TEXT(B171,"ddd"))</f>
        <v/>
      </c>
      <c r="D171" s="11"/>
      <c r="E171" s="8" t="str">
        <f aca="false">IF(D171="","",IFERROR(INDEX(ProjNumbers,MATCH(D171,ProjNames,0)),""))</f>
        <v/>
      </c>
      <c r="F171" s="8" t="str">
        <f aca="false">IF(D171="","",IFERROR(INDEX(ProjCodes,MATCH(D171,ProjNames,0)),""))</f>
        <v/>
      </c>
      <c r="G171" s="32"/>
      <c r="H171" s="11"/>
      <c r="I171" s="33"/>
      <c r="J171" s="8" t="str">
        <f aca="false">IF(COUNTA(B171,D171,G171,H171,I171)=0,"",IF(B171="","Enter date",IF(OR(B171&lt;$AC$2,B171&gt;$AC$3),"Date not in July",IF(D171="","Pick project",IF(ISNA(MATCH(D171,ProjNames,0)),"Project not in list",IF(G171="","Add task description",IF(H171="","Pick NTIME or P6",IF(N(I171)&lt;=0,"Enter hours",IF(AND(AllowOT&lt;&gt;"Yes",SUMIF($B$7:$B$256,B171,$I$7:$I$256)&gt;INDEX($O$58:$O$88,DAY(B171))),"Day over "&amp;INDEX($O$58:$O$88,DAY(B171))&amp;" h","✓")))))))))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tr">
        <f aca="false">IF(Projects!B169="","",Projects!B169)</f>
        <v/>
      </c>
      <c r="X171" s="1" t="n">
        <f aca="false">IF(W171="",0,SUMIFS($I$7:$I$256,$D$7:$D$256,W171,$H$7:$H$256,"NTIME"))</f>
        <v>0</v>
      </c>
      <c r="Y171" s="1" t="n">
        <f aca="false">IF(W171="",0,SUMIFS($I$7:$I$256,$D$7:$D$256,W171,$H$7:$H$256,"P6"))</f>
        <v>0</v>
      </c>
      <c r="Z171" s="1" t="n">
        <f aca="false">X171+Y171</f>
        <v>0</v>
      </c>
      <c r="AA171" s="1" t="n">
        <f aca="false">IF(Z171&gt;0,Z171+(201-165)/10^6,0)</f>
        <v>0</v>
      </c>
      <c r="AB171" s="1"/>
      <c r="AC171" s="1"/>
      <c r="AD171" s="1"/>
      <c r="AE171" s="1"/>
      <c r="AF171" s="1"/>
      <c r="AG171" s="1"/>
      <c r="AH171" s="1"/>
    </row>
    <row r="172" customFormat="false" ht="15" hidden="false" customHeight="false" outlineLevel="0" collapsed="false">
      <c r="A172" s="1"/>
      <c r="B172" s="10"/>
      <c r="C172" s="31" t="str">
        <f aca="false">IF(B172="","",TEXT(B172,"ddd"))</f>
        <v/>
      </c>
      <c r="D172" s="11"/>
      <c r="E172" s="8" t="str">
        <f aca="false">IF(D172="","",IFERROR(INDEX(ProjNumbers,MATCH(D172,ProjNames,0)),""))</f>
        <v/>
      </c>
      <c r="F172" s="8" t="str">
        <f aca="false">IF(D172="","",IFERROR(INDEX(ProjCodes,MATCH(D172,ProjNames,0)),""))</f>
        <v/>
      </c>
      <c r="G172" s="32"/>
      <c r="H172" s="11"/>
      <c r="I172" s="33"/>
      <c r="J172" s="8" t="str">
        <f aca="false">IF(COUNTA(B172,D172,G172,H172,I172)=0,"",IF(B172="","Enter date",IF(OR(B172&lt;$AC$2,B172&gt;$AC$3),"Date not in July",IF(D172="","Pick project",IF(ISNA(MATCH(D172,ProjNames,0)),"Project not in list",IF(G172="","Add task description",IF(H172="","Pick NTIME or P6",IF(N(I172)&lt;=0,"Enter hours",IF(AND(AllowOT&lt;&gt;"Yes",SUMIF($B$7:$B$256,B172,$I$7:$I$256)&gt;INDEX($O$58:$O$88,DAY(B172))),"Day over "&amp;INDEX($O$58:$O$88,DAY(B172))&amp;" h","✓")))))))))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tr">
        <f aca="false">IF(Projects!B170="","",Projects!B170)</f>
        <v/>
      </c>
      <c r="X172" s="1" t="n">
        <f aca="false">IF(W172="",0,SUMIFS($I$7:$I$256,$D$7:$D$256,W172,$H$7:$H$256,"NTIME"))</f>
        <v>0</v>
      </c>
      <c r="Y172" s="1" t="n">
        <f aca="false">IF(W172="",0,SUMIFS($I$7:$I$256,$D$7:$D$256,W172,$H$7:$H$256,"P6"))</f>
        <v>0</v>
      </c>
      <c r="Z172" s="1" t="n">
        <f aca="false">X172+Y172</f>
        <v>0</v>
      </c>
      <c r="AA172" s="1" t="n">
        <f aca="false">IF(Z172&gt;0,Z172+(201-166)/10^6,0)</f>
        <v>0</v>
      </c>
      <c r="AB172" s="1"/>
      <c r="AC172" s="1"/>
      <c r="AD172" s="1"/>
      <c r="AE172" s="1"/>
      <c r="AF172" s="1"/>
      <c r="AG172" s="1"/>
      <c r="AH172" s="1"/>
    </row>
    <row r="173" customFormat="false" ht="15" hidden="false" customHeight="false" outlineLevel="0" collapsed="false">
      <c r="A173" s="1"/>
      <c r="B173" s="10"/>
      <c r="C173" s="31" t="str">
        <f aca="false">IF(B173="","",TEXT(B173,"ddd"))</f>
        <v/>
      </c>
      <c r="D173" s="11"/>
      <c r="E173" s="8" t="str">
        <f aca="false">IF(D173="","",IFERROR(INDEX(ProjNumbers,MATCH(D173,ProjNames,0)),""))</f>
        <v/>
      </c>
      <c r="F173" s="8" t="str">
        <f aca="false">IF(D173="","",IFERROR(INDEX(ProjCodes,MATCH(D173,ProjNames,0)),""))</f>
        <v/>
      </c>
      <c r="G173" s="32"/>
      <c r="H173" s="11"/>
      <c r="I173" s="33"/>
      <c r="J173" s="8" t="str">
        <f aca="false">IF(COUNTA(B173,D173,G173,H173,I173)=0,"",IF(B173="","Enter date",IF(OR(B173&lt;$AC$2,B173&gt;$AC$3),"Date not in July",IF(D173="","Pick project",IF(ISNA(MATCH(D173,ProjNames,0)),"Project not in list",IF(G173="","Add task description",IF(H173="","Pick NTIME or P6",IF(N(I173)&lt;=0,"Enter hours",IF(AND(AllowOT&lt;&gt;"Yes",SUMIF($B$7:$B$256,B173,$I$7:$I$256)&gt;INDEX($O$58:$O$88,DAY(B173))),"Day over "&amp;INDEX($O$58:$O$88,DAY(B173))&amp;" h","✓")))))))))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tr">
        <f aca="false">IF(Projects!B171="","",Projects!B171)</f>
        <v/>
      </c>
      <c r="X173" s="1" t="n">
        <f aca="false">IF(W173="",0,SUMIFS($I$7:$I$256,$D$7:$D$256,W173,$H$7:$H$256,"NTIME"))</f>
        <v>0</v>
      </c>
      <c r="Y173" s="1" t="n">
        <f aca="false">IF(W173="",0,SUMIFS($I$7:$I$256,$D$7:$D$256,W173,$H$7:$H$256,"P6"))</f>
        <v>0</v>
      </c>
      <c r="Z173" s="1" t="n">
        <f aca="false">X173+Y173</f>
        <v>0</v>
      </c>
      <c r="AA173" s="1" t="n">
        <f aca="false">IF(Z173&gt;0,Z173+(201-167)/10^6,0)</f>
        <v>0</v>
      </c>
      <c r="AB173" s="1"/>
      <c r="AC173" s="1"/>
      <c r="AD173" s="1"/>
      <c r="AE173" s="1"/>
      <c r="AF173" s="1"/>
      <c r="AG173" s="1"/>
      <c r="AH173" s="1"/>
    </row>
    <row r="174" customFormat="false" ht="15" hidden="false" customHeight="false" outlineLevel="0" collapsed="false">
      <c r="A174" s="1"/>
      <c r="B174" s="10"/>
      <c r="C174" s="31" t="str">
        <f aca="false">IF(B174="","",TEXT(B174,"ddd"))</f>
        <v/>
      </c>
      <c r="D174" s="11"/>
      <c r="E174" s="8" t="str">
        <f aca="false">IF(D174="","",IFERROR(INDEX(ProjNumbers,MATCH(D174,ProjNames,0)),""))</f>
        <v/>
      </c>
      <c r="F174" s="8" t="str">
        <f aca="false">IF(D174="","",IFERROR(INDEX(ProjCodes,MATCH(D174,ProjNames,0)),""))</f>
        <v/>
      </c>
      <c r="G174" s="32"/>
      <c r="H174" s="11"/>
      <c r="I174" s="33"/>
      <c r="J174" s="8" t="str">
        <f aca="false">IF(COUNTA(B174,D174,G174,H174,I174)=0,"",IF(B174="","Enter date",IF(OR(B174&lt;$AC$2,B174&gt;$AC$3),"Date not in July",IF(D174="","Pick project",IF(ISNA(MATCH(D174,ProjNames,0)),"Project not in list",IF(G174="","Add task description",IF(H174="","Pick NTIME or P6",IF(N(I174)&lt;=0,"Enter hours",IF(AND(AllowOT&lt;&gt;"Yes",SUMIF($B$7:$B$256,B174,$I$7:$I$256)&gt;INDEX($O$58:$O$88,DAY(B174))),"Day over "&amp;INDEX($O$58:$O$88,DAY(B174))&amp;" h","✓")))))))))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tr">
        <f aca="false">IF(Projects!B172="","",Projects!B172)</f>
        <v/>
      </c>
      <c r="X174" s="1" t="n">
        <f aca="false">IF(W174="",0,SUMIFS($I$7:$I$256,$D$7:$D$256,W174,$H$7:$H$256,"NTIME"))</f>
        <v>0</v>
      </c>
      <c r="Y174" s="1" t="n">
        <f aca="false">IF(W174="",0,SUMIFS($I$7:$I$256,$D$7:$D$256,W174,$H$7:$H$256,"P6"))</f>
        <v>0</v>
      </c>
      <c r="Z174" s="1" t="n">
        <f aca="false">X174+Y174</f>
        <v>0</v>
      </c>
      <c r="AA174" s="1" t="n">
        <f aca="false">IF(Z174&gt;0,Z174+(201-168)/10^6,0)</f>
        <v>0</v>
      </c>
      <c r="AB174" s="1"/>
      <c r="AC174" s="1"/>
      <c r="AD174" s="1"/>
      <c r="AE174" s="1"/>
      <c r="AF174" s="1"/>
      <c r="AG174" s="1"/>
      <c r="AH174" s="1"/>
    </row>
    <row r="175" customFormat="false" ht="15" hidden="false" customHeight="false" outlineLevel="0" collapsed="false">
      <c r="A175" s="1"/>
      <c r="B175" s="10"/>
      <c r="C175" s="31" t="str">
        <f aca="false">IF(B175="","",TEXT(B175,"ddd"))</f>
        <v/>
      </c>
      <c r="D175" s="11"/>
      <c r="E175" s="8" t="str">
        <f aca="false">IF(D175="","",IFERROR(INDEX(ProjNumbers,MATCH(D175,ProjNames,0)),""))</f>
        <v/>
      </c>
      <c r="F175" s="8" t="str">
        <f aca="false">IF(D175="","",IFERROR(INDEX(ProjCodes,MATCH(D175,ProjNames,0)),""))</f>
        <v/>
      </c>
      <c r="G175" s="32"/>
      <c r="H175" s="11"/>
      <c r="I175" s="33"/>
      <c r="J175" s="8" t="str">
        <f aca="false">IF(COUNTA(B175,D175,G175,H175,I175)=0,"",IF(B175="","Enter date",IF(OR(B175&lt;$AC$2,B175&gt;$AC$3),"Date not in July",IF(D175="","Pick project",IF(ISNA(MATCH(D175,ProjNames,0)),"Project not in list",IF(G175="","Add task description",IF(H175="","Pick NTIME or P6",IF(N(I175)&lt;=0,"Enter hours",IF(AND(AllowOT&lt;&gt;"Yes",SUMIF($B$7:$B$256,B175,$I$7:$I$256)&gt;INDEX($O$58:$O$88,DAY(B175))),"Day over "&amp;INDEX($O$58:$O$88,DAY(B175))&amp;" h","✓")))))))))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tr">
        <f aca="false">IF(Projects!B173="","",Projects!B173)</f>
        <v/>
      </c>
      <c r="X175" s="1" t="n">
        <f aca="false">IF(W175="",0,SUMIFS($I$7:$I$256,$D$7:$D$256,W175,$H$7:$H$256,"NTIME"))</f>
        <v>0</v>
      </c>
      <c r="Y175" s="1" t="n">
        <f aca="false">IF(W175="",0,SUMIFS($I$7:$I$256,$D$7:$D$256,W175,$H$7:$H$256,"P6"))</f>
        <v>0</v>
      </c>
      <c r="Z175" s="1" t="n">
        <f aca="false">X175+Y175</f>
        <v>0</v>
      </c>
      <c r="AA175" s="1" t="n">
        <f aca="false">IF(Z175&gt;0,Z175+(201-169)/10^6,0)</f>
        <v>0</v>
      </c>
      <c r="AB175" s="1"/>
      <c r="AC175" s="1"/>
      <c r="AD175" s="1"/>
      <c r="AE175" s="1"/>
      <c r="AF175" s="1"/>
      <c r="AG175" s="1"/>
      <c r="AH175" s="1"/>
    </row>
    <row r="176" customFormat="false" ht="15" hidden="false" customHeight="false" outlineLevel="0" collapsed="false">
      <c r="A176" s="1"/>
      <c r="B176" s="10"/>
      <c r="C176" s="31" t="str">
        <f aca="false">IF(B176="","",TEXT(B176,"ddd"))</f>
        <v/>
      </c>
      <c r="D176" s="11"/>
      <c r="E176" s="8" t="str">
        <f aca="false">IF(D176="","",IFERROR(INDEX(ProjNumbers,MATCH(D176,ProjNames,0)),""))</f>
        <v/>
      </c>
      <c r="F176" s="8" t="str">
        <f aca="false">IF(D176="","",IFERROR(INDEX(ProjCodes,MATCH(D176,ProjNames,0)),""))</f>
        <v/>
      </c>
      <c r="G176" s="32"/>
      <c r="H176" s="11"/>
      <c r="I176" s="33"/>
      <c r="J176" s="8" t="str">
        <f aca="false">IF(COUNTA(B176,D176,G176,H176,I176)=0,"",IF(B176="","Enter date",IF(OR(B176&lt;$AC$2,B176&gt;$AC$3),"Date not in July",IF(D176="","Pick project",IF(ISNA(MATCH(D176,ProjNames,0)),"Project not in list",IF(G176="","Add task description",IF(H176="","Pick NTIME or P6",IF(N(I176)&lt;=0,"Enter hours",IF(AND(AllowOT&lt;&gt;"Yes",SUMIF($B$7:$B$256,B176,$I$7:$I$256)&gt;INDEX($O$58:$O$88,DAY(B176))),"Day over "&amp;INDEX($O$58:$O$88,DAY(B176))&amp;" h","✓")))))))))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tr">
        <f aca="false">IF(Projects!B174="","",Projects!B174)</f>
        <v/>
      </c>
      <c r="X176" s="1" t="n">
        <f aca="false">IF(W176="",0,SUMIFS($I$7:$I$256,$D$7:$D$256,W176,$H$7:$H$256,"NTIME"))</f>
        <v>0</v>
      </c>
      <c r="Y176" s="1" t="n">
        <f aca="false">IF(W176="",0,SUMIFS($I$7:$I$256,$D$7:$D$256,W176,$H$7:$H$256,"P6"))</f>
        <v>0</v>
      </c>
      <c r="Z176" s="1" t="n">
        <f aca="false">X176+Y176</f>
        <v>0</v>
      </c>
      <c r="AA176" s="1" t="n">
        <f aca="false">IF(Z176&gt;0,Z176+(201-170)/10^6,0)</f>
        <v>0</v>
      </c>
      <c r="AB176" s="1"/>
      <c r="AC176" s="1"/>
      <c r="AD176" s="1"/>
      <c r="AE176" s="1"/>
      <c r="AF176" s="1"/>
      <c r="AG176" s="1"/>
      <c r="AH176" s="1"/>
    </row>
    <row r="177" customFormat="false" ht="15" hidden="false" customHeight="false" outlineLevel="0" collapsed="false">
      <c r="A177" s="1"/>
      <c r="B177" s="10"/>
      <c r="C177" s="31" t="str">
        <f aca="false">IF(B177="","",TEXT(B177,"ddd"))</f>
        <v/>
      </c>
      <c r="D177" s="11"/>
      <c r="E177" s="8" t="str">
        <f aca="false">IF(D177="","",IFERROR(INDEX(ProjNumbers,MATCH(D177,ProjNames,0)),""))</f>
        <v/>
      </c>
      <c r="F177" s="8" t="str">
        <f aca="false">IF(D177="","",IFERROR(INDEX(ProjCodes,MATCH(D177,ProjNames,0)),""))</f>
        <v/>
      </c>
      <c r="G177" s="32"/>
      <c r="H177" s="11"/>
      <c r="I177" s="33"/>
      <c r="J177" s="8" t="str">
        <f aca="false">IF(COUNTA(B177,D177,G177,H177,I177)=0,"",IF(B177="","Enter date",IF(OR(B177&lt;$AC$2,B177&gt;$AC$3),"Date not in July",IF(D177="","Pick project",IF(ISNA(MATCH(D177,ProjNames,0)),"Project not in list",IF(G177="","Add task description",IF(H177="","Pick NTIME or P6",IF(N(I177)&lt;=0,"Enter hours",IF(AND(AllowOT&lt;&gt;"Yes",SUMIF($B$7:$B$256,B177,$I$7:$I$256)&gt;INDEX($O$58:$O$88,DAY(B177))),"Day over "&amp;INDEX($O$58:$O$88,DAY(B177))&amp;" h","✓")))))))))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tr">
        <f aca="false">IF(Projects!B175="","",Projects!B175)</f>
        <v/>
      </c>
      <c r="X177" s="1" t="n">
        <f aca="false">IF(W177="",0,SUMIFS($I$7:$I$256,$D$7:$D$256,W177,$H$7:$H$256,"NTIME"))</f>
        <v>0</v>
      </c>
      <c r="Y177" s="1" t="n">
        <f aca="false">IF(W177="",0,SUMIFS($I$7:$I$256,$D$7:$D$256,W177,$H$7:$H$256,"P6"))</f>
        <v>0</v>
      </c>
      <c r="Z177" s="1" t="n">
        <f aca="false">X177+Y177</f>
        <v>0</v>
      </c>
      <c r="AA177" s="1" t="n">
        <f aca="false">IF(Z177&gt;0,Z177+(201-171)/10^6,0)</f>
        <v>0</v>
      </c>
      <c r="AB177" s="1"/>
      <c r="AC177" s="1"/>
      <c r="AD177" s="1"/>
      <c r="AE177" s="1"/>
      <c r="AF177" s="1"/>
      <c r="AG177" s="1"/>
      <c r="AH177" s="1"/>
    </row>
    <row r="178" customFormat="false" ht="15" hidden="false" customHeight="false" outlineLevel="0" collapsed="false">
      <c r="A178" s="1"/>
      <c r="B178" s="10"/>
      <c r="C178" s="31" t="str">
        <f aca="false">IF(B178="","",TEXT(B178,"ddd"))</f>
        <v/>
      </c>
      <c r="D178" s="11"/>
      <c r="E178" s="8" t="str">
        <f aca="false">IF(D178="","",IFERROR(INDEX(ProjNumbers,MATCH(D178,ProjNames,0)),""))</f>
        <v/>
      </c>
      <c r="F178" s="8" t="str">
        <f aca="false">IF(D178="","",IFERROR(INDEX(ProjCodes,MATCH(D178,ProjNames,0)),""))</f>
        <v/>
      </c>
      <c r="G178" s="32"/>
      <c r="H178" s="11"/>
      <c r="I178" s="33"/>
      <c r="J178" s="8" t="str">
        <f aca="false">IF(COUNTA(B178,D178,G178,H178,I178)=0,"",IF(B178="","Enter date",IF(OR(B178&lt;$AC$2,B178&gt;$AC$3),"Date not in July",IF(D178="","Pick project",IF(ISNA(MATCH(D178,ProjNames,0)),"Project not in list",IF(G178="","Add task description",IF(H178="","Pick NTIME or P6",IF(N(I178)&lt;=0,"Enter hours",IF(AND(AllowOT&lt;&gt;"Yes",SUMIF($B$7:$B$256,B178,$I$7:$I$256)&gt;INDEX($O$58:$O$88,DAY(B178))),"Day over "&amp;INDEX($O$58:$O$88,DAY(B178))&amp;" h","✓")))))))))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tr">
        <f aca="false">IF(Projects!B176="","",Projects!B176)</f>
        <v/>
      </c>
      <c r="X178" s="1" t="n">
        <f aca="false">IF(W178="",0,SUMIFS($I$7:$I$256,$D$7:$D$256,W178,$H$7:$H$256,"NTIME"))</f>
        <v>0</v>
      </c>
      <c r="Y178" s="1" t="n">
        <f aca="false">IF(W178="",0,SUMIFS($I$7:$I$256,$D$7:$D$256,W178,$H$7:$H$256,"P6"))</f>
        <v>0</v>
      </c>
      <c r="Z178" s="1" t="n">
        <f aca="false">X178+Y178</f>
        <v>0</v>
      </c>
      <c r="AA178" s="1" t="n">
        <f aca="false">IF(Z178&gt;0,Z178+(201-172)/10^6,0)</f>
        <v>0</v>
      </c>
      <c r="AB178" s="1"/>
      <c r="AC178" s="1"/>
      <c r="AD178" s="1"/>
      <c r="AE178" s="1"/>
      <c r="AF178" s="1"/>
      <c r="AG178" s="1"/>
      <c r="AH178" s="1"/>
    </row>
    <row r="179" customFormat="false" ht="15" hidden="false" customHeight="false" outlineLevel="0" collapsed="false">
      <c r="A179" s="1"/>
      <c r="B179" s="10"/>
      <c r="C179" s="31" t="str">
        <f aca="false">IF(B179="","",TEXT(B179,"ddd"))</f>
        <v/>
      </c>
      <c r="D179" s="11"/>
      <c r="E179" s="8" t="str">
        <f aca="false">IF(D179="","",IFERROR(INDEX(ProjNumbers,MATCH(D179,ProjNames,0)),""))</f>
        <v/>
      </c>
      <c r="F179" s="8" t="str">
        <f aca="false">IF(D179="","",IFERROR(INDEX(ProjCodes,MATCH(D179,ProjNames,0)),""))</f>
        <v/>
      </c>
      <c r="G179" s="32"/>
      <c r="H179" s="11"/>
      <c r="I179" s="33"/>
      <c r="J179" s="8" t="str">
        <f aca="false">IF(COUNTA(B179,D179,G179,H179,I179)=0,"",IF(B179="","Enter date",IF(OR(B179&lt;$AC$2,B179&gt;$AC$3),"Date not in July",IF(D179="","Pick project",IF(ISNA(MATCH(D179,ProjNames,0)),"Project not in list",IF(G179="","Add task description",IF(H179="","Pick NTIME or P6",IF(N(I179)&lt;=0,"Enter hours",IF(AND(AllowOT&lt;&gt;"Yes",SUMIF($B$7:$B$256,B179,$I$7:$I$256)&gt;INDEX($O$58:$O$88,DAY(B179))),"Day over "&amp;INDEX($O$58:$O$88,DAY(B179))&amp;" h","✓")))))))))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tr">
        <f aca="false">IF(Projects!B177="","",Projects!B177)</f>
        <v/>
      </c>
      <c r="X179" s="1" t="n">
        <f aca="false">IF(W179="",0,SUMIFS($I$7:$I$256,$D$7:$D$256,W179,$H$7:$H$256,"NTIME"))</f>
        <v>0</v>
      </c>
      <c r="Y179" s="1" t="n">
        <f aca="false">IF(W179="",0,SUMIFS($I$7:$I$256,$D$7:$D$256,W179,$H$7:$H$256,"P6"))</f>
        <v>0</v>
      </c>
      <c r="Z179" s="1" t="n">
        <f aca="false">X179+Y179</f>
        <v>0</v>
      </c>
      <c r="AA179" s="1" t="n">
        <f aca="false">IF(Z179&gt;0,Z179+(201-173)/10^6,0)</f>
        <v>0</v>
      </c>
      <c r="AB179" s="1"/>
      <c r="AC179" s="1"/>
      <c r="AD179" s="1"/>
      <c r="AE179" s="1"/>
      <c r="AF179" s="1"/>
      <c r="AG179" s="1"/>
      <c r="AH179" s="1"/>
    </row>
    <row r="180" customFormat="false" ht="15" hidden="false" customHeight="false" outlineLevel="0" collapsed="false">
      <c r="A180" s="1"/>
      <c r="B180" s="10"/>
      <c r="C180" s="31" t="str">
        <f aca="false">IF(B180="","",TEXT(B180,"ddd"))</f>
        <v/>
      </c>
      <c r="D180" s="11"/>
      <c r="E180" s="8" t="str">
        <f aca="false">IF(D180="","",IFERROR(INDEX(ProjNumbers,MATCH(D180,ProjNames,0)),""))</f>
        <v/>
      </c>
      <c r="F180" s="8" t="str">
        <f aca="false">IF(D180="","",IFERROR(INDEX(ProjCodes,MATCH(D180,ProjNames,0)),""))</f>
        <v/>
      </c>
      <c r="G180" s="32"/>
      <c r="H180" s="11"/>
      <c r="I180" s="33"/>
      <c r="J180" s="8" t="str">
        <f aca="false">IF(COUNTA(B180,D180,G180,H180,I180)=0,"",IF(B180="","Enter date",IF(OR(B180&lt;$AC$2,B180&gt;$AC$3),"Date not in July",IF(D180="","Pick project",IF(ISNA(MATCH(D180,ProjNames,0)),"Project not in list",IF(G180="","Add task description",IF(H180="","Pick NTIME or P6",IF(N(I180)&lt;=0,"Enter hours",IF(AND(AllowOT&lt;&gt;"Yes",SUMIF($B$7:$B$256,B180,$I$7:$I$256)&gt;INDEX($O$58:$O$88,DAY(B180))),"Day over "&amp;INDEX($O$58:$O$88,DAY(B180))&amp;" h","✓")))))))))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tr">
        <f aca="false">IF(Projects!B178="","",Projects!B178)</f>
        <v/>
      </c>
      <c r="X180" s="1" t="n">
        <f aca="false">IF(W180="",0,SUMIFS($I$7:$I$256,$D$7:$D$256,W180,$H$7:$H$256,"NTIME"))</f>
        <v>0</v>
      </c>
      <c r="Y180" s="1" t="n">
        <f aca="false">IF(W180="",0,SUMIFS($I$7:$I$256,$D$7:$D$256,W180,$H$7:$H$256,"P6"))</f>
        <v>0</v>
      </c>
      <c r="Z180" s="1" t="n">
        <f aca="false">X180+Y180</f>
        <v>0</v>
      </c>
      <c r="AA180" s="1" t="n">
        <f aca="false">IF(Z180&gt;0,Z180+(201-174)/10^6,0)</f>
        <v>0</v>
      </c>
      <c r="AB180" s="1"/>
      <c r="AC180" s="1"/>
      <c r="AD180" s="1"/>
      <c r="AE180" s="1"/>
      <c r="AF180" s="1"/>
      <c r="AG180" s="1"/>
      <c r="AH180" s="1"/>
    </row>
    <row r="181" customFormat="false" ht="15" hidden="false" customHeight="false" outlineLevel="0" collapsed="false">
      <c r="A181" s="1"/>
      <c r="B181" s="10"/>
      <c r="C181" s="31" t="str">
        <f aca="false">IF(B181="","",TEXT(B181,"ddd"))</f>
        <v/>
      </c>
      <c r="D181" s="11"/>
      <c r="E181" s="8" t="str">
        <f aca="false">IF(D181="","",IFERROR(INDEX(ProjNumbers,MATCH(D181,ProjNames,0)),""))</f>
        <v/>
      </c>
      <c r="F181" s="8" t="str">
        <f aca="false">IF(D181="","",IFERROR(INDEX(ProjCodes,MATCH(D181,ProjNames,0)),""))</f>
        <v/>
      </c>
      <c r="G181" s="32"/>
      <c r="H181" s="11"/>
      <c r="I181" s="33"/>
      <c r="J181" s="8" t="str">
        <f aca="false">IF(COUNTA(B181,D181,G181,H181,I181)=0,"",IF(B181="","Enter date",IF(OR(B181&lt;$AC$2,B181&gt;$AC$3),"Date not in July",IF(D181="","Pick project",IF(ISNA(MATCH(D181,ProjNames,0)),"Project not in list",IF(G181="","Add task description",IF(H181="","Pick NTIME or P6",IF(N(I181)&lt;=0,"Enter hours",IF(AND(AllowOT&lt;&gt;"Yes",SUMIF($B$7:$B$256,B181,$I$7:$I$256)&gt;INDEX($O$58:$O$88,DAY(B181))),"Day over "&amp;INDEX($O$58:$O$88,DAY(B181))&amp;" h","✓")))))))))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tr">
        <f aca="false">IF(Projects!B179="","",Projects!B179)</f>
        <v/>
      </c>
      <c r="X181" s="1" t="n">
        <f aca="false">IF(W181="",0,SUMIFS($I$7:$I$256,$D$7:$D$256,W181,$H$7:$H$256,"NTIME"))</f>
        <v>0</v>
      </c>
      <c r="Y181" s="1" t="n">
        <f aca="false">IF(W181="",0,SUMIFS($I$7:$I$256,$D$7:$D$256,W181,$H$7:$H$256,"P6"))</f>
        <v>0</v>
      </c>
      <c r="Z181" s="1" t="n">
        <f aca="false">X181+Y181</f>
        <v>0</v>
      </c>
      <c r="AA181" s="1" t="n">
        <f aca="false">IF(Z181&gt;0,Z181+(201-175)/10^6,0)</f>
        <v>0</v>
      </c>
      <c r="AB181" s="1"/>
      <c r="AC181" s="1"/>
      <c r="AD181" s="1"/>
      <c r="AE181" s="1"/>
      <c r="AF181" s="1"/>
      <c r="AG181" s="1"/>
      <c r="AH181" s="1"/>
    </row>
    <row r="182" customFormat="false" ht="15" hidden="false" customHeight="false" outlineLevel="0" collapsed="false">
      <c r="A182" s="1"/>
      <c r="B182" s="10"/>
      <c r="C182" s="31" t="str">
        <f aca="false">IF(B182="","",TEXT(B182,"ddd"))</f>
        <v/>
      </c>
      <c r="D182" s="11"/>
      <c r="E182" s="8" t="str">
        <f aca="false">IF(D182="","",IFERROR(INDEX(ProjNumbers,MATCH(D182,ProjNames,0)),""))</f>
        <v/>
      </c>
      <c r="F182" s="8" t="str">
        <f aca="false">IF(D182="","",IFERROR(INDEX(ProjCodes,MATCH(D182,ProjNames,0)),""))</f>
        <v/>
      </c>
      <c r="G182" s="32"/>
      <c r="H182" s="11"/>
      <c r="I182" s="33"/>
      <c r="J182" s="8" t="str">
        <f aca="false">IF(COUNTA(B182,D182,G182,H182,I182)=0,"",IF(B182="","Enter date",IF(OR(B182&lt;$AC$2,B182&gt;$AC$3),"Date not in July",IF(D182="","Pick project",IF(ISNA(MATCH(D182,ProjNames,0)),"Project not in list",IF(G182="","Add task description",IF(H182="","Pick NTIME or P6",IF(N(I182)&lt;=0,"Enter hours",IF(AND(AllowOT&lt;&gt;"Yes",SUMIF($B$7:$B$256,B182,$I$7:$I$256)&gt;INDEX($O$58:$O$88,DAY(B182))),"Day over "&amp;INDEX($O$58:$O$88,DAY(B182))&amp;" h","✓")))))))))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tr">
        <f aca="false">IF(Projects!B180="","",Projects!B180)</f>
        <v/>
      </c>
      <c r="X182" s="1" t="n">
        <f aca="false">IF(W182="",0,SUMIFS($I$7:$I$256,$D$7:$D$256,W182,$H$7:$H$256,"NTIME"))</f>
        <v>0</v>
      </c>
      <c r="Y182" s="1" t="n">
        <f aca="false">IF(W182="",0,SUMIFS($I$7:$I$256,$D$7:$D$256,W182,$H$7:$H$256,"P6"))</f>
        <v>0</v>
      </c>
      <c r="Z182" s="1" t="n">
        <f aca="false">X182+Y182</f>
        <v>0</v>
      </c>
      <c r="AA182" s="1" t="n">
        <f aca="false">IF(Z182&gt;0,Z182+(201-176)/10^6,0)</f>
        <v>0</v>
      </c>
      <c r="AB182" s="1"/>
      <c r="AC182" s="1"/>
      <c r="AD182" s="1"/>
      <c r="AE182" s="1"/>
      <c r="AF182" s="1"/>
      <c r="AG182" s="1"/>
      <c r="AH182" s="1"/>
    </row>
    <row r="183" customFormat="false" ht="15" hidden="false" customHeight="false" outlineLevel="0" collapsed="false">
      <c r="A183" s="1"/>
      <c r="B183" s="10"/>
      <c r="C183" s="31" t="str">
        <f aca="false">IF(B183="","",TEXT(B183,"ddd"))</f>
        <v/>
      </c>
      <c r="D183" s="11"/>
      <c r="E183" s="8" t="str">
        <f aca="false">IF(D183="","",IFERROR(INDEX(ProjNumbers,MATCH(D183,ProjNames,0)),""))</f>
        <v/>
      </c>
      <c r="F183" s="8" t="str">
        <f aca="false">IF(D183="","",IFERROR(INDEX(ProjCodes,MATCH(D183,ProjNames,0)),""))</f>
        <v/>
      </c>
      <c r="G183" s="32"/>
      <c r="H183" s="11"/>
      <c r="I183" s="33"/>
      <c r="J183" s="8" t="str">
        <f aca="false">IF(COUNTA(B183,D183,G183,H183,I183)=0,"",IF(B183="","Enter date",IF(OR(B183&lt;$AC$2,B183&gt;$AC$3),"Date not in July",IF(D183="","Pick project",IF(ISNA(MATCH(D183,ProjNames,0)),"Project not in list",IF(G183="","Add task description",IF(H183="","Pick NTIME or P6",IF(N(I183)&lt;=0,"Enter hours",IF(AND(AllowOT&lt;&gt;"Yes",SUMIF($B$7:$B$256,B183,$I$7:$I$256)&gt;INDEX($O$58:$O$88,DAY(B183))),"Day over "&amp;INDEX($O$58:$O$88,DAY(B183))&amp;" h","✓")))))))))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tr">
        <f aca="false">IF(Projects!B181="","",Projects!B181)</f>
        <v/>
      </c>
      <c r="X183" s="1" t="n">
        <f aca="false">IF(W183="",0,SUMIFS($I$7:$I$256,$D$7:$D$256,W183,$H$7:$H$256,"NTIME"))</f>
        <v>0</v>
      </c>
      <c r="Y183" s="1" t="n">
        <f aca="false">IF(W183="",0,SUMIFS($I$7:$I$256,$D$7:$D$256,W183,$H$7:$H$256,"P6"))</f>
        <v>0</v>
      </c>
      <c r="Z183" s="1" t="n">
        <f aca="false">X183+Y183</f>
        <v>0</v>
      </c>
      <c r="AA183" s="1" t="n">
        <f aca="false">IF(Z183&gt;0,Z183+(201-177)/10^6,0)</f>
        <v>0</v>
      </c>
      <c r="AB183" s="1"/>
      <c r="AC183" s="1"/>
      <c r="AD183" s="1"/>
      <c r="AE183" s="1"/>
      <c r="AF183" s="1"/>
      <c r="AG183" s="1"/>
      <c r="AH183" s="1"/>
    </row>
    <row r="184" customFormat="false" ht="15" hidden="false" customHeight="false" outlineLevel="0" collapsed="false">
      <c r="A184" s="1"/>
      <c r="B184" s="10"/>
      <c r="C184" s="31" t="str">
        <f aca="false">IF(B184="","",TEXT(B184,"ddd"))</f>
        <v/>
      </c>
      <c r="D184" s="11"/>
      <c r="E184" s="8" t="str">
        <f aca="false">IF(D184="","",IFERROR(INDEX(ProjNumbers,MATCH(D184,ProjNames,0)),""))</f>
        <v/>
      </c>
      <c r="F184" s="8" t="str">
        <f aca="false">IF(D184="","",IFERROR(INDEX(ProjCodes,MATCH(D184,ProjNames,0)),""))</f>
        <v/>
      </c>
      <c r="G184" s="32"/>
      <c r="H184" s="11"/>
      <c r="I184" s="33"/>
      <c r="J184" s="8" t="str">
        <f aca="false">IF(COUNTA(B184,D184,G184,H184,I184)=0,"",IF(B184="","Enter date",IF(OR(B184&lt;$AC$2,B184&gt;$AC$3),"Date not in July",IF(D184="","Pick project",IF(ISNA(MATCH(D184,ProjNames,0)),"Project not in list",IF(G184="","Add task description",IF(H184="","Pick NTIME or P6",IF(N(I184)&lt;=0,"Enter hours",IF(AND(AllowOT&lt;&gt;"Yes",SUMIF($B$7:$B$256,B184,$I$7:$I$256)&gt;INDEX($O$58:$O$88,DAY(B184))),"Day over "&amp;INDEX($O$58:$O$88,DAY(B184))&amp;" h","✓")))))))))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tr">
        <f aca="false">IF(Projects!B182="","",Projects!B182)</f>
        <v/>
      </c>
      <c r="X184" s="1" t="n">
        <f aca="false">IF(W184="",0,SUMIFS($I$7:$I$256,$D$7:$D$256,W184,$H$7:$H$256,"NTIME"))</f>
        <v>0</v>
      </c>
      <c r="Y184" s="1" t="n">
        <f aca="false">IF(W184="",0,SUMIFS($I$7:$I$256,$D$7:$D$256,W184,$H$7:$H$256,"P6"))</f>
        <v>0</v>
      </c>
      <c r="Z184" s="1" t="n">
        <f aca="false">X184+Y184</f>
        <v>0</v>
      </c>
      <c r="AA184" s="1" t="n">
        <f aca="false">IF(Z184&gt;0,Z184+(201-178)/10^6,0)</f>
        <v>0</v>
      </c>
      <c r="AB184" s="1"/>
      <c r="AC184" s="1"/>
      <c r="AD184" s="1"/>
      <c r="AE184" s="1"/>
      <c r="AF184" s="1"/>
      <c r="AG184" s="1"/>
      <c r="AH184" s="1"/>
    </row>
    <row r="185" customFormat="false" ht="15" hidden="false" customHeight="false" outlineLevel="0" collapsed="false">
      <c r="A185" s="1"/>
      <c r="B185" s="10"/>
      <c r="C185" s="31" t="str">
        <f aca="false">IF(B185="","",TEXT(B185,"ddd"))</f>
        <v/>
      </c>
      <c r="D185" s="11"/>
      <c r="E185" s="8" t="str">
        <f aca="false">IF(D185="","",IFERROR(INDEX(ProjNumbers,MATCH(D185,ProjNames,0)),""))</f>
        <v/>
      </c>
      <c r="F185" s="8" t="str">
        <f aca="false">IF(D185="","",IFERROR(INDEX(ProjCodes,MATCH(D185,ProjNames,0)),""))</f>
        <v/>
      </c>
      <c r="G185" s="32"/>
      <c r="H185" s="11"/>
      <c r="I185" s="33"/>
      <c r="J185" s="8" t="str">
        <f aca="false">IF(COUNTA(B185,D185,G185,H185,I185)=0,"",IF(B185="","Enter date",IF(OR(B185&lt;$AC$2,B185&gt;$AC$3),"Date not in July",IF(D185="","Pick project",IF(ISNA(MATCH(D185,ProjNames,0)),"Project not in list",IF(G185="","Add task description",IF(H185="","Pick NTIME or P6",IF(N(I185)&lt;=0,"Enter hours",IF(AND(AllowOT&lt;&gt;"Yes",SUMIF($B$7:$B$256,B185,$I$7:$I$256)&gt;INDEX($O$58:$O$88,DAY(B185))),"Day over "&amp;INDEX($O$58:$O$88,DAY(B185))&amp;" h","✓")))))))))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tr">
        <f aca="false">IF(Projects!B183="","",Projects!B183)</f>
        <v/>
      </c>
      <c r="X185" s="1" t="n">
        <f aca="false">IF(W185="",0,SUMIFS($I$7:$I$256,$D$7:$D$256,W185,$H$7:$H$256,"NTIME"))</f>
        <v>0</v>
      </c>
      <c r="Y185" s="1" t="n">
        <f aca="false">IF(W185="",0,SUMIFS($I$7:$I$256,$D$7:$D$256,W185,$H$7:$H$256,"P6"))</f>
        <v>0</v>
      </c>
      <c r="Z185" s="1" t="n">
        <f aca="false">X185+Y185</f>
        <v>0</v>
      </c>
      <c r="AA185" s="1" t="n">
        <f aca="false">IF(Z185&gt;0,Z185+(201-179)/10^6,0)</f>
        <v>0</v>
      </c>
      <c r="AB185" s="1"/>
      <c r="AC185" s="1"/>
      <c r="AD185" s="1"/>
      <c r="AE185" s="1"/>
      <c r="AF185" s="1"/>
      <c r="AG185" s="1"/>
      <c r="AH185" s="1"/>
    </row>
    <row r="186" customFormat="false" ht="15" hidden="false" customHeight="false" outlineLevel="0" collapsed="false">
      <c r="A186" s="1"/>
      <c r="B186" s="10"/>
      <c r="C186" s="31" t="str">
        <f aca="false">IF(B186="","",TEXT(B186,"ddd"))</f>
        <v/>
      </c>
      <c r="D186" s="11"/>
      <c r="E186" s="8" t="str">
        <f aca="false">IF(D186="","",IFERROR(INDEX(ProjNumbers,MATCH(D186,ProjNames,0)),""))</f>
        <v/>
      </c>
      <c r="F186" s="8" t="str">
        <f aca="false">IF(D186="","",IFERROR(INDEX(ProjCodes,MATCH(D186,ProjNames,0)),""))</f>
        <v/>
      </c>
      <c r="G186" s="32"/>
      <c r="H186" s="11"/>
      <c r="I186" s="33"/>
      <c r="J186" s="8" t="str">
        <f aca="false">IF(COUNTA(B186,D186,G186,H186,I186)=0,"",IF(B186="","Enter date",IF(OR(B186&lt;$AC$2,B186&gt;$AC$3),"Date not in July",IF(D186="","Pick project",IF(ISNA(MATCH(D186,ProjNames,0)),"Project not in list",IF(G186="","Add task description",IF(H186="","Pick NTIME or P6",IF(N(I186)&lt;=0,"Enter hours",IF(AND(AllowOT&lt;&gt;"Yes",SUMIF($B$7:$B$256,B186,$I$7:$I$256)&gt;INDEX($O$58:$O$88,DAY(B186))),"Day over "&amp;INDEX($O$58:$O$88,DAY(B186))&amp;" h","✓")))))))))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tr">
        <f aca="false">IF(Projects!B184="","",Projects!B184)</f>
        <v/>
      </c>
      <c r="X186" s="1" t="n">
        <f aca="false">IF(W186="",0,SUMIFS($I$7:$I$256,$D$7:$D$256,W186,$H$7:$H$256,"NTIME"))</f>
        <v>0</v>
      </c>
      <c r="Y186" s="1" t="n">
        <f aca="false">IF(W186="",0,SUMIFS($I$7:$I$256,$D$7:$D$256,W186,$H$7:$H$256,"P6"))</f>
        <v>0</v>
      </c>
      <c r="Z186" s="1" t="n">
        <f aca="false">X186+Y186</f>
        <v>0</v>
      </c>
      <c r="AA186" s="1" t="n">
        <f aca="false">IF(Z186&gt;0,Z186+(201-180)/10^6,0)</f>
        <v>0</v>
      </c>
      <c r="AB186" s="1"/>
      <c r="AC186" s="1"/>
      <c r="AD186" s="1"/>
      <c r="AE186" s="1"/>
      <c r="AF186" s="1"/>
      <c r="AG186" s="1"/>
      <c r="AH186" s="1"/>
    </row>
    <row r="187" customFormat="false" ht="15" hidden="false" customHeight="false" outlineLevel="0" collapsed="false">
      <c r="A187" s="1"/>
      <c r="B187" s="10"/>
      <c r="C187" s="31" t="str">
        <f aca="false">IF(B187="","",TEXT(B187,"ddd"))</f>
        <v/>
      </c>
      <c r="D187" s="11"/>
      <c r="E187" s="8" t="str">
        <f aca="false">IF(D187="","",IFERROR(INDEX(ProjNumbers,MATCH(D187,ProjNames,0)),""))</f>
        <v/>
      </c>
      <c r="F187" s="8" t="str">
        <f aca="false">IF(D187="","",IFERROR(INDEX(ProjCodes,MATCH(D187,ProjNames,0)),""))</f>
        <v/>
      </c>
      <c r="G187" s="32"/>
      <c r="H187" s="11"/>
      <c r="I187" s="33"/>
      <c r="J187" s="8" t="str">
        <f aca="false">IF(COUNTA(B187,D187,G187,H187,I187)=0,"",IF(B187="","Enter date",IF(OR(B187&lt;$AC$2,B187&gt;$AC$3),"Date not in July",IF(D187="","Pick project",IF(ISNA(MATCH(D187,ProjNames,0)),"Project not in list",IF(G187="","Add task description",IF(H187="","Pick NTIME or P6",IF(N(I187)&lt;=0,"Enter hours",IF(AND(AllowOT&lt;&gt;"Yes",SUMIF($B$7:$B$256,B187,$I$7:$I$256)&gt;INDEX($O$58:$O$88,DAY(B187))),"Day over "&amp;INDEX($O$58:$O$88,DAY(B187))&amp;" h","✓")))))))))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tr">
        <f aca="false">IF(Projects!B185="","",Projects!B185)</f>
        <v/>
      </c>
      <c r="X187" s="1" t="n">
        <f aca="false">IF(W187="",0,SUMIFS($I$7:$I$256,$D$7:$D$256,W187,$H$7:$H$256,"NTIME"))</f>
        <v>0</v>
      </c>
      <c r="Y187" s="1" t="n">
        <f aca="false">IF(W187="",0,SUMIFS($I$7:$I$256,$D$7:$D$256,W187,$H$7:$H$256,"P6"))</f>
        <v>0</v>
      </c>
      <c r="Z187" s="1" t="n">
        <f aca="false">X187+Y187</f>
        <v>0</v>
      </c>
      <c r="AA187" s="1" t="n">
        <f aca="false">IF(Z187&gt;0,Z187+(201-181)/10^6,0)</f>
        <v>0</v>
      </c>
      <c r="AB187" s="1"/>
      <c r="AC187" s="1"/>
      <c r="AD187" s="1"/>
      <c r="AE187" s="1"/>
      <c r="AF187" s="1"/>
      <c r="AG187" s="1"/>
      <c r="AH187" s="1"/>
    </row>
    <row r="188" customFormat="false" ht="15" hidden="false" customHeight="false" outlineLevel="0" collapsed="false">
      <c r="A188" s="1"/>
      <c r="B188" s="10"/>
      <c r="C188" s="31" t="str">
        <f aca="false">IF(B188="","",TEXT(B188,"ddd"))</f>
        <v/>
      </c>
      <c r="D188" s="11"/>
      <c r="E188" s="8" t="str">
        <f aca="false">IF(D188="","",IFERROR(INDEX(ProjNumbers,MATCH(D188,ProjNames,0)),""))</f>
        <v/>
      </c>
      <c r="F188" s="8" t="str">
        <f aca="false">IF(D188="","",IFERROR(INDEX(ProjCodes,MATCH(D188,ProjNames,0)),""))</f>
        <v/>
      </c>
      <c r="G188" s="32"/>
      <c r="H188" s="11"/>
      <c r="I188" s="33"/>
      <c r="J188" s="8" t="str">
        <f aca="false">IF(COUNTA(B188,D188,G188,H188,I188)=0,"",IF(B188="","Enter date",IF(OR(B188&lt;$AC$2,B188&gt;$AC$3),"Date not in July",IF(D188="","Pick project",IF(ISNA(MATCH(D188,ProjNames,0)),"Project not in list",IF(G188="","Add task description",IF(H188="","Pick NTIME or P6",IF(N(I188)&lt;=0,"Enter hours",IF(AND(AllowOT&lt;&gt;"Yes",SUMIF($B$7:$B$256,B188,$I$7:$I$256)&gt;INDEX($O$58:$O$88,DAY(B188))),"Day over "&amp;INDEX($O$58:$O$88,DAY(B188))&amp;" h","✓")))))))))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tr">
        <f aca="false">IF(Projects!B186="","",Projects!B186)</f>
        <v/>
      </c>
      <c r="X188" s="1" t="n">
        <f aca="false">IF(W188="",0,SUMIFS($I$7:$I$256,$D$7:$D$256,W188,$H$7:$H$256,"NTIME"))</f>
        <v>0</v>
      </c>
      <c r="Y188" s="1" t="n">
        <f aca="false">IF(W188="",0,SUMIFS($I$7:$I$256,$D$7:$D$256,W188,$H$7:$H$256,"P6"))</f>
        <v>0</v>
      </c>
      <c r="Z188" s="1" t="n">
        <f aca="false">X188+Y188</f>
        <v>0</v>
      </c>
      <c r="AA188" s="1" t="n">
        <f aca="false">IF(Z188&gt;0,Z188+(201-182)/10^6,0)</f>
        <v>0</v>
      </c>
      <c r="AB188" s="1"/>
      <c r="AC188" s="1"/>
      <c r="AD188" s="1"/>
      <c r="AE188" s="1"/>
      <c r="AF188" s="1"/>
      <c r="AG188" s="1"/>
      <c r="AH188" s="1"/>
    </row>
    <row r="189" customFormat="false" ht="15" hidden="false" customHeight="false" outlineLevel="0" collapsed="false">
      <c r="A189" s="1"/>
      <c r="B189" s="10"/>
      <c r="C189" s="31" t="str">
        <f aca="false">IF(B189="","",TEXT(B189,"ddd"))</f>
        <v/>
      </c>
      <c r="D189" s="11"/>
      <c r="E189" s="8" t="str">
        <f aca="false">IF(D189="","",IFERROR(INDEX(ProjNumbers,MATCH(D189,ProjNames,0)),""))</f>
        <v/>
      </c>
      <c r="F189" s="8" t="str">
        <f aca="false">IF(D189="","",IFERROR(INDEX(ProjCodes,MATCH(D189,ProjNames,0)),""))</f>
        <v/>
      </c>
      <c r="G189" s="32"/>
      <c r="H189" s="11"/>
      <c r="I189" s="33"/>
      <c r="J189" s="8" t="str">
        <f aca="false">IF(COUNTA(B189,D189,G189,H189,I189)=0,"",IF(B189="","Enter date",IF(OR(B189&lt;$AC$2,B189&gt;$AC$3),"Date not in July",IF(D189="","Pick project",IF(ISNA(MATCH(D189,ProjNames,0)),"Project not in list",IF(G189="","Add task description",IF(H189="","Pick NTIME or P6",IF(N(I189)&lt;=0,"Enter hours",IF(AND(AllowOT&lt;&gt;"Yes",SUMIF($B$7:$B$256,B189,$I$7:$I$256)&gt;INDEX($O$58:$O$88,DAY(B189))),"Day over "&amp;INDEX($O$58:$O$88,DAY(B189))&amp;" h","✓")))))))))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tr">
        <f aca="false">IF(Projects!B187="","",Projects!B187)</f>
        <v/>
      </c>
      <c r="X189" s="1" t="n">
        <f aca="false">IF(W189="",0,SUMIFS($I$7:$I$256,$D$7:$D$256,W189,$H$7:$H$256,"NTIME"))</f>
        <v>0</v>
      </c>
      <c r="Y189" s="1" t="n">
        <f aca="false">IF(W189="",0,SUMIFS($I$7:$I$256,$D$7:$D$256,W189,$H$7:$H$256,"P6"))</f>
        <v>0</v>
      </c>
      <c r="Z189" s="1" t="n">
        <f aca="false">X189+Y189</f>
        <v>0</v>
      </c>
      <c r="AA189" s="1" t="n">
        <f aca="false">IF(Z189&gt;0,Z189+(201-183)/10^6,0)</f>
        <v>0</v>
      </c>
      <c r="AB189" s="1"/>
      <c r="AC189" s="1"/>
      <c r="AD189" s="1"/>
      <c r="AE189" s="1"/>
      <c r="AF189" s="1"/>
      <c r="AG189" s="1"/>
      <c r="AH189" s="1"/>
    </row>
    <row r="190" customFormat="false" ht="15" hidden="false" customHeight="false" outlineLevel="0" collapsed="false">
      <c r="A190" s="1"/>
      <c r="B190" s="10"/>
      <c r="C190" s="31" t="str">
        <f aca="false">IF(B190="","",TEXT(B190,"ddd"))</f>
        <v/>
      </c>
      <c r="D190" s="11"/>
      <c r="E190" s="8" t="str">
        <f aca="false">IF(D190="","",IFERROR(INDEX(ProjNumbers,MATCH(D190,ProjNames,0)),""))</f>
        <v/>
      </c>
      <c r="F190" s="8" t="str">
        <f aca="false">IF(D190="","",IFERROR(INDEX(ProjCodes,MATCH(D190,ProjNames,0)),""))</f>
        <v/>
      </c>
      <c r="G190" s="32"/>
      <c r="H190" s="11"/>
      <c r="I190" s="33"/>
      <c r="J190" s="8" t="str">
        <f aca="false">IF(COUNTA(B190,D190,G190,H190,I190)=0,"",IF(B190="","Enter date",IF(OR(B190&lt;$AC$2,B190&gt;$AC$3),"Date not in July",IF(D190="","Pick project",IF(ISNA(MATCH(D190,ProjNames,0)),"Project not in list",IF(G190="","Add task description",IF(H190="","Pick NTIME or P6",IF(N(I190)&lt;=0,"Enter hours",IF(AND(AllowOT&lt;&gt;"Yes",SUMIF($B$7:$B$256,B190,$I$7:$I$256)&gt;INDEX($O$58:$O$88,DAY(B190))),"Day over "&amp;INDEX($O$58:$O$88,DAY(B190))&amp;" h","✓")))))))))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tr">
        <f aca="false">IF(Projects!B188="","",Projects!B188)</f>
        <v/>
      </c>
      <c r="X190" s="1" t="n">
        <f aca="false">IF(W190="",0,SUMIFS($I$7:$I$256,$D$7:$D$256,W190,$H$7:$H$256,"NTIME"))</f>
        <v>0</v>
      </c>
      <c r="Y190" s="1" t="n">
        <f aca="false">IF(W190="",0,SUMIFS($I$7:$I$256,$D$7:$D$256,W190,$H$7:$H$256,"P6"))</f>
        <v>0</v>
      </c>
      <c r="Z190" s="1" t="n">
        <f aca="false">X190+Y190</f>
        <v>0</v>
      </c>
      <c r="AA190" s="1" t="n">
        <f aca="false">IF(Z190&gt;0,Z190+(201-184)/10^6,0)</f>
        <v>0</v>
      </c>
      <c r="AB190" s="1"/>
      <c r="AC190" s="1"/>
      <c r="AD190" s="1"/>
      <c r="AE190" s="1"/>
      <c r="AF190" s="1"/>
      <c r="AG190" s="1"/>
      <c r="AH190" s="1"/>
    </row>
    <row r="191" customFormat="false" ht="15" hidden="false" customHeight="false" outlineLevel="0" collapsed="false">
      <c r="A191" s="1"/>
      <c r="B191" s="10"/>
      <c r="C191" s="31" t="str">
        <f aca="false">IF(B191="","",TEXT(B191,"ddd"))</f>
        <v/>
      </c>
      <c r="D191" s="11"/>
      <c r="E191" s="8" t="str">
        <f aca="false">IF(D191="","",IFERROR(INDEX(ProjNumbers,MATCH(D191,ProjNames,0)),""))</f>
        <v/>
      </c>
      <c r="F191" s="8" t="str">
        <f aca="false">IF(D191="","",IFERROR(INDEX(ProjCodes,MATCH(D191,ProjNames,0)),""))</f>
        <v/>
      </c>
      <c r="G191" s="32"/>
      <c r="H191" s="11"/>
      <c r="I191" s="33"/>
      <c r="J191" s="8" t="str">
        <f aca="false">IF(COUNTA(B191,D191,G191,H191,I191)=0,"",IF(B191="","Enter date",IF(OR(B191&lt;$AC$2,B191&gt;$AC$3),"Date not in July",IF(D191="","Pick project",IF(ISNA(MATCH(D191,ProjNames,0)),"Project not in list",IF(G191="","Add task description",IF(H191="","Pick NTIME or P6",IF(N(I191)&lt;=0,"Enter hours",IF(AND(AllowOT&lt;&gt;"Yes",SUMIF($B$7:$B$256,B191,$I$7:$I$256)&gt;INDEX($O$58:$O$88,DAY(B191))),"Day over "&amp;INDEX($O$58:$O$88,DAY(B191))&amp;" h","✓")))))))))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tr">
        <f aca="false">IF(Projects!B189="","",Projects!B189)</f>
        <v/>
      </c>
      <c r="X191" s="1" t="n">
        <f aca="false">IF(W191="",0,SUMIFS($I$7:$I$256,$D$7:$D$256,W191,$H$7:$H$256,"NTIME"))</f>
        <v>0</v>
      </c>
      <c r="Y191" s="1" t="n">
        <f aca="false">IF(W191="",0,SUMIFS($I$7:$I$256,$D$7:$D$256,W191,$H$7:$H$256,"P6"))</f>
        <v>0</v>
      </c>
      <c r="Z191" s="1" t="n">
        <f aca="false">X191+Y191</f>
        <v>0</v>
      </c>
      <c r="AA191" s="1" t="n">
        <f aca="false">IF(Z191&gt;0,Z191+(201-185)/10^6,0)</f>
        <v>0</v>
      </c>
      <c r="AB191" s="1"/>
      <c r="AC191" s="1"/>
      <c r="AD191" s="1"/>
      <c r="AE191" s="1"/>
      <c r="AF191" s="1"/>
      <c r="AG191" s="1"/>
      <c r="AH191" s="1"/>
    </row>
    <row r="192" customFormat="false" ht="15" hidden="false" customHeight="false" outlineLevel="0" collapsed="false">
      <c r="A192" s="1"/>
      <c r="B192" s="10"/>
      <c r="C192" s="31" t="str">
        <f aca="false">IF(B192="","",TEXT(B192,"ddd"))</f>
        <v/>
      </c>
      <c r="D192" s="11"/>
      <c r="E192" s="8" t="str">
        <f aca="false">IF(D192="","",IFERROR(INDEX(ProjNumbers,MATCH(D192,ProjNames,0)),""))</f>
        <v/>
      </c>
      <c r="F192" s="8" t="str">
        <f aca="false">IF(D192="","",IFERROR(INDEX(ProjCodes,MATCH(D192,ProjNames,0)),""))</f>
        <v/>
      </c>
      <c r="G192" s="32"/>
      <c r="H192" s="11"/>
      <c r="I192" s="33"/>
      <c r="J192" s="8" t="str">
        <f aca="false">IF(COUNTA(B192,D192,G192,H192,I192)=0,"",IF(B192="","Enter date",IF(OR(B192&lt;$AC$2,B192&gt;$AC$3),"Date not in July",IF(D192="","Pick project",IF(ISNA(MATCH(D192,ProjNames,0)),"Project not in list",IF(G192="","Add task description",IF(H192="","Pick NTIME or P6",IF(N(I192)&lt;=0,"Enter hours",IF(AND(AllowOT&lt;&gt;"Yes",SUMIF($B$7:$B$256,B192,$I$7:$I$256)&gt;INDEX($O$58:$O$88,DAY(B192))),"Day over "&amp;INDEX($O$58:$O$88,DAY(B192))&amp;" h","✓")))))))))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tr">
        <f aca="false">IF(Projects!B190="","",Projects!B190)</f>
        <v/>
      </c>
      <c r="X192" s="1" t="n">
        <f aca="false">IF(W192="",0,SUMIFS($I$7:$I$256,$D$7:$D$256,W192,$H$7:$H$256,"NTIME"))</f>
        <v>0</v>
      </c>
      <c r="Y192" s="1" t="n">
        <f aca="false">IF(W192="",0,SUMIFS($I$7:$I$256,$D$7:$D$256,W192,$H$7:$H$256,"P6"))</f>
        <v>0</v>
      </c>
      <c r="Z192" s="1" t="n">
        <f aca="false">X192+Y192</f>
        <v>0</v>
      </c>
      <c r="AA192" s="1" t="n">
        <f aca="false">IF(Z192&gt;0,Z192+(201-186)/10^6,0)</f>
        <v>0</v>
      </c>
      <c r="AB192" s="1"/>
      <c r="AC192" s="1"/>
      <c r="AD192" s="1"/>
      <c r="AE192" s="1"/>
      <c r="AF192" s="1"/>
      <c r="AG192" s="1"/>
      <c r="AH192" s="1"/>
    </row>
    <row r="193" customFormat="false" ht="15" hidden="false" customHeight="false" outlineLevel="0" collapsed="false">
      <c r="A193" s="1"/>
      <c r="B193" s="10"/>
      <c r="C193" s="31" t="str">
        <f aca="false">IF(B193="","",TEXT(B193,"ddd"))</f>
        <v/>
      </c>
      <c r="D193" s="11"/>
      <c r="E193" s="8" t="str">
        <f aca="false">IF(D193="","",IFERROR(INDEX(ProjNumbers,MATCH(D193,ProjNames,0)),""))</f>
        <v/>
      </c>
      <c r="F193" s="8" t="str">
        <f aca="false">IF(D193="","",IFERROR(INDEX(ProjCodes,MATCH(D193,ProjNames,0)),""))</f>
        <v/>
      </c>
      <c r="G193" s="32"/>
      <c r="H193" s="11"/>
      <c r="I193" s="33"/>
      <c r="J193" s="8" t="str">
        <f aca="false">IF(COUNTA(B193,D193,G193,H193,I193)=0,"",IF(B193="","Enter date",IF(OR(B193&lt;$AC$2,B193&gt;$AC$3),"Date not in July",IF(D193="","Pick project",IF(ISNA(MATCH(D193,ProjNames,0)),"Project not in list",IF(G193="","Add task description",IF(H193="","Pick NTIME or P6",IF(N(I193)&lt;=0,"Enter hours",IF(AND(AllowOT&lt;&gt;"Yes",SUMIF($B$7:$B$256,B193,$I$7:$I$256)&gt;INDEX($O$58:$O$88,DAY(B193))),"Day over "&amp;INDEX($O$58:$O$88,DAY(B193))&amp;" h","✓")))))))))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tr">
        <f aca="false">IF(Projects!B191="","",Projects!B191)</f>
        <v/>
      </c>
      <c r="X193" s="1" t="n">
        <f aca="false">IF(W193="",0,SUMIFS($I$7:$I$256,$D$7:$D$256,W193,$H$7:$H$256,"NTIME"))</f>
        <v>0</v>
      </c>
      <c r="Y193" s="1" t="n">
        <f aca="false">IF(W193="",0,SUMIFS($I$7:$I$256,$D$7:$D$256,W193,$H$7:$H$256,"P6"))</f>
        <v>0</v>
      </c>
      <c r="Z193" s="1" t="n">
        <f aca="false">X193+Y193</f>
        <v>0</v>
      </c>
      <c r="AA193" s="1" t="n">
        <f aca="false">IF(Z193&gt;0,Z193+(201-187)/10^6,0)</f>
        <v>0</v>
      </c>
      <c r="AB193" s="1"/>
      <c r="AC193" s="1"/>
      <c r="AD193" s="1"/>
      <c r="AE193" s="1"/>
      <c r="AF193" s="1"/>
      <c r="AG193" s="1"/>
      <c r="AH193" s="1"/>
    </row>
    <row r="194" customFormat="false" ht="15" hidden="false" customHeight="false" outlineLevel="0" collapsed="false">
      <c r="A194" s="1"/>
      <c r="B194" s="10"/>
      <c r="C194" s="31" t="str">
        <f aca="false">IF(B194="","",TEXT(B194,"ddd"))</f>
        <v/>
      </c>
      <c r="D194" s="11"/>
      <c r="E194" s="8" t="str">
        <f aca="false">IF(D194="","",IFERROR(INDEX(ProjNumbers,MATCH(D194,ProjNames,0)),""))</f>
        <v/>
      </c>
      <c r="F194" s="8" t="str">
        <f aca="false">IF(D194="","",IFERROR(INDEX(ProjCodes,MATCH(D194,ProjNames,0)),""))</f>
        <v/>
      </c>
      <c r="G194" s="32"/>
      <c r="H194" s="11"/>
      <c r="I194" s="33"/>
      <c r="J194" s="8" t="str">
        <f aca="false">IF(COUNTA(B194,D194,G194,H194,I194)=0,"",IF(B194="","Enter date",IF(OR(B194&lt;$AC$2,B194&gt;$AC$3),"Date not in July",IF(D194="","Pick project",IF(ISNA(MATCH(D194,ProjNames,0)),"Project not in list",IF(G194="","Add task description",IF(H194="","Pick NTIME or P6",IF(N(I194)&lt;=0,"Enter hours",IF(AND(AllowOT&lt;&gt;"Yes",SUMIF($B$7:$B$256,B194,$I$7:$I$256)&gt;INDEX($O$58:$O$88,DAY(B194))),"Day over "&amp;INDEX($O$58:$O$88,DAY(B194))&amp;" h","✓")))))))))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tr">
        <f aca="false">IF(Projects!B192="","",Projects!B192)</f>
        <v/>
      </c>
      <c r="X194" s="1" t="n">
        <f aca="false">IF(W194="",0,SUMIFS($I$7:$I$256,$D$7:$D$256,W194,$H$7:$H$256,"NTIME"))</f>
        <v>0</v>
      </c>
      <c r="Y194" s="1" t="n">
        <f aca="false">IF(W194="",0,SUMIFS($I$7:$I$256,$D$7:$D$256,W194,$H$7:$H$256,"P6"))</f>
        <v>0</v>
      </c>
      <c r="Z194" s="1" t="n">
        <f aca="false">X194+Y194</f>
        <v>0</v>
      </c>
      <c r="AA194" s="1" t="n">
        <f aca="false">IF(Z194&gt;0,Z194+(201-188)/10^6,0)</f>
        <v>0</v>
      </c>
      <c r="AB194" s="1"/>
      <c r="AC194" s="1"/>
      <c r="AD194" s="1"/>
      <c r="AE194" s="1"/>
      <c r="AF194" s="1"/>
      <c r="AG194" s="1"/>
      <c r="AH194" s="1"/>
    </row>
    <row r="195" customFormat="false" ht="15" hidden="false" customHeight="false" outlineLevel="0" collapsed="false">
      <c r="A195" s="1"/>
      <c r="B195" s="10"/>
      <c r="C195" s="31" t="str">
        <f aca="false">IF(B195="","",TEXT(B195,"ddd"))</f>
        <v/>
      </c>
      <c r="D195" s="11"/>
      <c r="E195" s="8" t="str">
        <f aca="false">IF(D195="","",IFERROR(INDEX(ProjNumbers,MATCH(D195,ProjNames,0)),""))</f>
        <v/>
      </c>
      <c r="F195" s="8" t="str">
        <f aca="false">IF(D195="","",IFERROR(INDEX(ProjCodes,MATCH(D195,ProjNames,0)),""))</f>
        <v/>
      </c>
      <c r="G195" s="32"/>
      <c r="H195" s="11"/>
      <c r="I195" s="33"/>
      <c r="J195" s="8" t="str">
        <f aca="false">IF(COUNTA(B195,D195,G195,H195,I195)=0,"",IF(B195="","Enter date",IF(OR(B195&lt;$AC$2,B195&gt;$AC$3),"Date not in July",IF(D195="","Pick project",IF(ISNA(MATCH(D195,ProjNames,0)),"Project not in list",IF(G195="","Add task description",IF(H195="","Pick NTIME or P6",IF(N(I195)&lt;=0,"Enter hours",IF(AND(AllowOT&lt;&gt;"Yes",SUMIF($B$7:$B$256,B195,$I$7:$I$256)&gt;INDEX($O$58:$O$88,DAY(B195))),"Day over "&amp;INDEX($O$58:$O$88,DAY(B195))&amp;" h","✓")))))))))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tr">
        <f aca="false">IF(Projects!B193="","",Projects!B193)</f>
        <v/>
      </c>
      <c r="X195" s="1" t="n">
        <f aca="false">IF(W195="",0,SUMIFS($I$7:$I$256,$D$7:$D$256,W195,$H$7:$H$256,"NTIME"))</f>
        <v>0</v>
      </c>
      <c r="Y195" s="1" t="n">
        <f aca="false">IF(W195="",0,SUMIFS($I$7:$I$256,$D$7:$D$256,W195,$H$7:$H$256,"P6"))</f>
        <v>0</v>
      </c>
      <c r="Z195" s="1" t="n">
        <f aca="false">X195+Y195</f>
        <v>0</v>
      </c>
      <c r="AA195" s="1" t="n">
        <f aca="false">IF(Z195&gt;0,Z195+(201-189)/10^6,0)</f>
        <v>0</v>
      </c>
      <c r="AB195" s="1"/>
      <c r="AC195" s="1"/>
      <c r="AD195" s="1"/>
      <c r="AE195" s="1"/>
      <c r="AF195" s="1"/>
      <c r="AG195" s="1"/>
      <c r="AH195" s="1"/>
    </row>
    <row r="196" customFormat="false" ht="15" hidden="false" customHeight="false" outlineLevel="0" collapsed="false">
      <c r="A196" s="1"/>
      <c r="B196" s="10"/>
      <c r="C196" s="31" t="str">
        <f aca="false">IF(B196="","",TEXT(B196,"ddd"))</f>
        <v/>
      </c>
      <c r="D196" s="11"/>
      <c r="E196" s="8" t="str">
        <f aca="false">IF(D196="","",IFERROR(INDEX(ProjNumbers,MATCH(D196,ProjNames,0)),""))</f>
        <v/>
      </c>
      <c r="F196" s="8" t="str">
        <f aca="false">IF(D196="","",IFERROR(INDEX(ProjCodes,MATCH(D196,ProjNames,0)),""))</f>
        <v/>
      </c>
      <c r="G196" s="32"/>
      <c r="H196" s="11"/>
      <c r="I196" s="33"/>
      <c r="J196" s="8" t="str">
        <f aca="false">IF(COUNTA(B196,D196,G196,H196,I196)=0,"",IF(B196="","Enter date",IF(OR(B196&lt;$AC$2,B196&gt;$AC$3),"Date not in July",IF(D196="","Pick project",IF(ISNA(MATCH(D196,ProjNames,0)),"Project not in list",IF(G196="","Add task description",IF(H196="","Pick NTIME or P6",IF(N(I196)&lt;=0,"Enter hours",IF(AND(AllowOT&lt;&gt;"Yes",SUMIF($B$7:$B$256,B196,$I$7:$I$256)&gt;INDEX($O$58:$O$88,DAY(B196))),"Day over "&amp;INDEX($O$58:$O$88,DAY(B196))&amp;" h","✓")))))))))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tr">
        <f aca="false">IF(Projects!B194="","",Projects!B194)</f>
        <v/>
      </c>
      <c r="X196" s="1" t="n">
        <f aca="false">IF(W196="",0,SUMIFS($I$7:$I$256,$D$7:$D$256,W196,$H$7:$H$256,"NTIME"))</f>
        <v>0</v>
      </c>
      <c r="Y196" s="1" t="n">
        <f aca="false">IF(W196="",0,SUMIFS($I$7:$I$256,$D$7:$D$256,W196,$H$7:$H$256,"P6"))</f>
        <v>0</v>
      </c>
      <c r="Z196" s="1" t="n">
        <f aca="false">X196+Y196</f>
        <v>0</v>
      </c>
      <c r="AA196" s="1" t="n">
        <f aca="false">IF(Z196&gt;0,Z196+(201-190)/10^6,0)</f>
        <v>0</v>
      </c>
      <c r="AB196" s="1"/>
      <c r="AC196" s="1"/>
      <c r="AD196" s="1"/>
      <c r="AE196" s="1"/>
      <c r="AF196" s="1"/>
      <c r="AG196" s="1"/>
      <c r="AH196" s="1"/>
    </row>
    <row r="197" customFormat="false" ht="15" hidden="false" customHeight="false" outlineLevel="0" collapsed="false">
      <c r="A197" s="1"/>
      <c r="B197" s="10"/>
      <c r="C197" s="31" t="str">
        <f aca="false">IF(B197="","",TEXT(B197,"ddd"))</f>
        <v/>
      </c>
      <c r="D197" s="11"/>
      <c r="E197" s="8" t="str">
        <f aca="false">IF(D197="","",IFERROR(INDEX(ProjNumbers,MATCH(D197,ProjNames,0)),""))</f>
        <v/>
      </c>
      <c r="F197" s="8" t="str">
        <f aca="false">IF(D197="","",IFERROR(INDEX(ProjCodes,MATCH(D197,ProjNames,0)),""))</f>
        <v/>
      </c>
      <c r="G197" s="32"/>
      <c r="H197" s="11"/>
      <c r="I197" s="33"/>
      <c r="J197" s="8" t="str">
        <f aca="false">IF(COUNTA(B197,D197,G197,H197,I197)=0,"",IF(B197="","Enter date",IF(OR(B197&lt;$AC$2,B197&gt;$AC$3),"Date not in July",IF(D197="","Pick project",IF(ISNA(MATCH(D197,ProjNames,0)),"Project not in list",IF(G197="","Add task description",IF(H197="","Pick NTIME or P6",IF(N(I197)&lt;=0,"Enter hours",IF(AND(AllowOT&lt;&gt;"Yes",SUMIF($B$7:$B$256,B197,$I$7:$I$256)&gt;INDEX($O$58:$O$88,DAY(B197))),"Day over "&amp;INDEX($O$58:$O$88,DAY(B197))&amp;" h","✓")))))))))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tr">
        <f aca="false">IF(Projects!B195="","",Projects!B195)</f>
        <v/>
      </c>
      <c r="X197" s="1" t="n">
        <f aca="false">IF(W197="",0,SUMIFS($I$7:$I$256,$D$7:$D$256,W197,$H$7:$H$256,"NTIME"))</f>
        <v>0</v>
      </c>
      <c r="Y197" s="1" t="n">
        <f aca="false">IF(W197="",0,SUMIFS($I$7:$I$256,$D$7:$D$256,W197,$H$7:$H$256,"P6"))</f>
        <v>0</v>
      </c>
      <c r="Z197" s="1" t="n">
        <f aca="false">X197+Y197</f>
        <v>0</v>
      </c>
      <c r="AA197" s="1" t="n">
        <f aca="false">IF(Z197&gt;0,Z197+(201-191)/10^6,0)</f>
        <v>0</v>
      </c>
      <c r="AB197" s="1"/>
      <c r="AC197" s="1"/>
      <c r="AD197" s="1"/>
      <c r="AE197" s="1"/>
      <c r="AF197" s="1"/>
      <c r="AG197" s="1"/>
      <c r="AH197" s="1"/>
    </row>
    <row r="198" customFormat="false" ht="15" hidden="false" customHeight="false" outlineLevel="0" collapsed="false">
      <c r="A198" s="1"/>
      <c r="B198" s="10"/>
      <c r="C198" s="31" t="str">
        <f aca="false">IF(B198="","",TEXT(B198,"ddd"))</f>
        <v/>
      </c>
      <c r="D198" s="11"/>
      <c r="E198" s="8" t="str">
        <f aca="false">IF(D198="","",IFERROR(INDEX(ProjNumbers,MATCH(D198,ProjNames,0)),""))</f>
        <v/>
      </c>
      <c r="F198" s="8" t="str">
        <f aca="false">IF(D198="","",IFERROR(INDEX(ProjCodes,MATCH(D198,ProjNames,0)),""))</f>
        <v/>
      </c>
      <c r="G198" s="32"/>
      <c r="H198" s="11"/>
      <c r="I198" s="33"/>
      <c r="J198" s="8" t="str">
        <f aca="false">IF(COUNTA(B198,D198,G198,H198,I198)=0,"",IF(B198="","Enter date",IF(OR(B198&lt;$AC$2,B198&gt;$AC$3),"Date not in July",IF(D198="","Pick project",IF(ISNA(MATCH(D198,ProjNames,0)),"Project not in list",IF(G198="","Add task description",IF(H198="","Pick NTIME or P6",IF(N(I198)&lt;=0,"Enter hours",IF(AND(AllowOT&lt;&gt;"Yes",SUMIF($B$7:$B$256,B198,$I$7:$I$256)&gt;INDEX($O$58:$O$88,DAY(B198))),"Day over "&amp;INDEX($O$58:$O$88,DAY(B198))&amp;" h","✓")))))))))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tr">
        <f aca="false">IF(Projects!B196="","",Projects!B196)</f>
        <v/>
      </c>
      <c r="X198" s="1" t="n">
        <f aca="false">IF(W198="",0,SUMIFS($I$7:$I$256,$D$7:$D$256,W198,$H$7:$H$256,"NTIME"))</f>
        <v>0</v>
      </c>
      <c r="Y198" s="1" t="n">
        <f aca="false">IF(W198="",0,SUMIFS($I$7:$I$256,$D$7:$D$256,W198,$H$7:$H$256,"P6"))</f>
        <v>0</v>
      </c>
      <c r="Z198" s="1" t="n">
        <f aca="false">X198+Y198</f>
        <v>0</v>
      </c>
      <c r="AA198" s="1" t="n">
        <f aca="false">IF(Z198&gt;0,Z198+(201-192)/10^6,0)</f>
        <v>0</v>
      </c>
      <c r="AB198" s="1"/>
      <c r="AC198" s="1"/>
      <c r="AD198" s="1"/>
      <c r="AE198" s="1"/>
      <c r="AF198" s="1"/>
      <c r="AG198" s="1"/>
      <c r="AH198" s="1"/>
    </row>
    <row r="199" customFormat="false" ht="15" hidden="false" customHeight="false" outlineLevel="0" collapsed="false">
      <c r="A199" s="1"/>
      <c r="B199" s="10"/>
      <c r="C199" s="31" t="str">
        <f aca="false">IF(B199="","",TEXT(B199,"ddd"))</f>
        <v/>
      </c>
      <c r="D199" s="11"/>
      <c r="E199" s="8" t="str">
        <f aca="false">IF(D199="","",IFERROR(INDEX(ProjNumbers,MATCH(D199,ProjNames,0)),""))</f>
        <v/>
      </c>
      <c r="F199" s="8" t="str">
        <f aca="false">IF(D199="","",IFERROR(INDEX(ProjCodes,MATCH(D199,ProjNames,0)),""))</f>
        <v/>
      </c>
      <c r="G199" s="32"/>
      <c r="H199" s="11"/>
      <c r="I199" s="33"/>
      <c r="J199" s="8" t="str">
        <f aca="false">IF(COUNTA(B199,D199,G199,H199,I199)=0,"",IF(B199="","Enter date",IF(OR(B199&lt;$AC$2,B199&gt;$AC$3),"Date not in July",IF(D199="","Pick project",IF(ISNA(MATCH(D199,ProjNames,0)),"Project not in list",IF(G199="","Add task description",IF(H199="","Pick NTIME or P6",IF(N(I199)&lt;=0,"Enter hours",IF(AND(AllowOT&lt;&gt;"Yes",SUMIF($B$7:$B$256,B199,$I$7:$I$256)&gt;INDEX($O$58:$O$88,DAY(B199))),"Day over "&amp;INDEX($O$58:$O$88,DAY(B199))&amp;" h","✓")))))))))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tr">
        <f aca="false">IF(Projects!B197="","",Projects!B197)</f>
        <v/>
      </c>
      <c r="X199" s="1" t="n">
        <f aca="false">IF(W199="",0,SUMIFS($I$7:$I$256,$D$7:$D$256,W199,$H$7:$H$256,"NTIME"))</f>
        <v>0</v>
      </c>
      <c r="Y199" s="1" t="n">
        <f aca="false">IF(W199="",0,SUMIFS($I$7:$I$256,$D$7:$D$256,W199,$H$7:$H$256,"P6"))</f>
        <v>0</v>
      </c>
      <c r="Z199" s="1" t="n">
        <f aca="false">X199+Y199</f>
        <v>0</v>
      </c>
      <c r="AA199" s="1" t="n">
        <f aca="false">IF(Z199&gt;0,Z199+(201-193)/10^6,0)</f>
        <v>0</v>
      </c>
      <c r="AB199" s="1"/>
      <c r="AC199" s="1"/>
      <c r="AD199" s="1"/>
      <c r="AE199" s="1"/>
      <c r="AF199" s="1"/>
      <c r="AG199" s="1"/>
      <c r="AH199" s="1"/>
    </row>
    <row r="200" customFormat="false" ht="15" hidden="false" customHeight="false" outlineLevel="0" collapsed="false">
      <c r="A200" s="1"/>
      <c r="B200" s="10"/>
      <c r="C200" s="31" t="str">
        <f aca="false">IF(B200="","",TEXT(B200,"ddd"))</f>
        <v/>
      </c>
      <c r="D200" s="11"/>
      <c r="E200" s="8" t="str">
        <f aca="false">IF(D200="","",IFERROR(INDEX(ProjNumbers,MATCH(D200,ProjNames,0)),""))</f>
        <v/>
      </c>
      <c r="F200" s="8" t="str">
        <f aca="false">IF(D200="","",IFERROR(INDEX(ProjCodes,MATCH(D200,ProjNames,0)),""))</f>
        <v/>
      </c>
      <c r="G200" s="32"/>
      <c r="H200" s="11"/>
      <c r="I200" s="33"/>
      <c r="J200" s="8" t="str">
        <f aca="false">IF(COUNTA(B200,D200,G200,H200,I200)=0,"",IF(B200="","Enter date",IF(OR(B200&lt;$AC$2,B200&gt;$AC$3),"Date not in July",IF(D200="","Pick project",IF(ISNA(MATCH(D200,ProjNames,0)),"Project not in list",IF(G200="","Add task description",IF(H200="","Pick NTIME or P6",IF(N(I200)&lt;=0,"Enter hours",IF(AND(AllowOT&lt;&gt;"Yes",SUMIF($B$7:$B$256,B200,$I$7:$I$256)&gt;INDEX($O$58:$O$88,DAY(B200))),"Day over "&amp;INDEX($O$58:$O$88,DAY(B200))&amp;" h","✓")))))))))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tr">
        <f aca="false">IF(Projects!B198="","",Projects!B198)</f>
        <v/>
      </c>
      <c r="X200" s="1" t="n">
        <f aca="false">IF(W200="",0,SUMIFS($I$7:$I$256,$D$7:$D$256,W200,$H$7:$H$256,"NTIME"))</f>
        <v>0</v>
      </c>
      <c r="Y200" s="1" t="n">
        <f aca="false">IF(W200="",0,SUMIFS($I$7:$I$256,$D$7:$D$256,W200,$H$7:$H$256,"P6"))</f>
        <v>0</v>
      </c>
      <c r="Z200" s="1" t="n">
        <f aca="false">X200+Y200</f>
        <v>0</v>
      </c>
      <c r="AA200" s="1" t="n">
        <f aca="false">IF(Z200&gt;0,Z200+(201-194)/10^6,0)</f>
        <v>0</v>
      </c>
      <c r="AB200" s="1"/>
      <c r="AC200" s="1"/>
      <c r="AD200" s="1"/>
      <c r="AE200" s="1"/>
      <c r="AF200" s="1"/>
      <c r="AG200" s="1"/>
      <c r="AH200" s="1"/>
    </row>
    <row r="201" customFormat="false" ht="15" hidden="false" customHeight="false" outlineLevel="0" collapsed="false">
      <c r="A201" s="1"/>
      <c r="B201" s="10"/>
      <c r="C201" s="31" t="str">
        <f aca="false">IF(B201="","",TEXT(B201,"ddd"))</f>
        <v/>
      </c>
      <c r="D201" s="11"/>
      <c r="E201" s="8" t="str">
        <f aca="false">IF(D201="","",IFERROR(INDEX(ProjNumbers,MATCH(D201,ProjNames,0)),""))</f>
        <v/>
      </c>
      <c r="F201" s="8" t="str">
        <f aca="false">IF(D201="","",IFERROR(INDEX(ProjCodes,MATCH(D201,ProjNames,0)),""))</f>
        <v/>
      </c>
      <c r="G201" s="32"/>
      <c r="H201" s="11"/>
      <c r="I201" s="33"/>
      <c r="J201" s="8" t="str">
        <f aca="false">IF(COUNTA(B201,D201,G201,H201,I201)=0,"",IF(B201="","Enter date",IF(OR(B201&lt;$AC$2,B201&gt;$AC$3),"Date not in July",IF(D201="","Pick project",IF(ISNA(MATCH(D201,ProjNames,0)),"Project not in list",IF(G201="","Add task description",IF(H201="","Pick NTIME or P6",IF(N(I201)&lt;=0,"Enter hours",IF(AND(AllowOT&lt;&gt;"Yes",SUMIF($B$7:$B$256,B201,$I$7:$I$256)&gt;INDEX($O$58:$O$88,DAY(B201))),"Day over "&amp;INDEX($O$58:$O$88,DAY(B201))&amp;" h","✓")))))))))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tr">
        <f aca="false">IF(Projects!B199="","",Projects!B199)</f>
        <v/>
      </c>
      <c r="X201" s="1" t="n">
        <f aca="false">IF(W201="",0,SUMIFS($I$7:$I$256,$D$7:$D$256,W201,$H$7:$H$256,"NTIME"))</f>
        <v>0</v>
      </c>
      <c r="Y201" s="1" t="n">
        <f aca="false">IF(W201="",0,SUMIFS($I$7:$I$256,$D$7:$D$256,W201,$H$7:$H$256,"P6"))</f>
        <v>0</v>
      </c>
      <c r="Z201" s="1" t="n">
        <f aca="false">X201+Y201</f>
        <v>0</v>
      </c>
      <c r="AA201" s="1" t="n">
        <f aca="false">IF(Z201&gt;0,Z201+(201-195)/10^6,0)</f>
        <v>0</v>
      </c>
      <c r="AB201" s="1"/>
      <c r="AC201" s="1"/>
      <c r="AD201" s="1"/>
      <c r="AE201" s="1"/>
      <c r="AF201" s="1"/>
      <c r="AG201" s="1"/>
      <c r="AH201" s="1"/>
    </row>
    <row r="202" customFormat="false" ht="15" hidden="false" customHeight="false" outlineLevel="0" collapsed="false">
      <c r="A202" s="1"/>
      <c r="B202" s="10"/>
      <c r="C202" s="31" t="str">
        <f aca="false">IF(B202="","",TEXT(B202,"ddd"))</f>
        <v/>
      </c>
      <c r="D202" s="11"/>
      <c r="E202" s="8" t="str">
        <f aca="false">IF(D202="","",IFERROR(INDEX(ProjNumbers,MATCH(D202,ProjNames,0)),""))</f>
        <v/>
      </c>
      <c r="F202" s="8" t="str">
        <f aca="false">IF(D202="","",IFERROR(INDEX(ProjCodes,MATCH(D202,ProjNames,0)),""))</f>
        <v/>
      </c>
      <c r="G202" s="32"/>
      <c r="H202" s="11"/>
      <c r="I202" s="33"/>
      <c r="J202" s="8" t="str">
        <f aca="false">IF(COUNTA(B202,D202,G202,H202,I202)=0,"",IF(B202="","Enter date",IF(OR(B202&lt;$AC$2,B202&gt;$AC$3),"Date not in July",IF(D202="","Pick project",IF(ISNA(MATCH(D202,ProjNames,0)),"Project not in list",IF(G202="","Add task description",IF(H202="","Pick NTIME or P6",IF(N(I202)&lt;=0,"Enter hours",IF(AND(AllowOT&lt;&gt;"Yes",SUMIF($B$7:$B$256,B202,$I$7:$I$256)&gt;INDEX($O$58:$O$88,DAY(B202))),"Day over "&amp;INDEX($O$58:$O$88,DAY(B202))&amp;" h","✓")))))))))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tr">
        <f aca="false">IF(Projects!B200="","",Projects!B200)</f>
        <v/>
      </c>
      <c r="X202" s="1" t="n">
        <f aca="false">IF(W202="",0,SUMIFS($I$7:$I$256,$D$7:$D$256,W202,$H$7:$H$256,"NTIME"))</f>
        <v>0</v>
      </c>
      <c r="Y202" s="1" t="n">
        <f aca="false">IF(W202="",0,SUMIFS($I$7:$I$256,$D$7:$D$256,W202,$H$7:$H$256,"P6"))</f>
        <v>0</v>
      </c>
      <c r="Z202" s="1" t="n">
        <f aca="false">X202+Y202</f>
        <v>0</v>
      </c>
      <c r="AA202" s="1" t="n">
        <f aca="false">IF(Z202&gt;0,Z202+(201-196)/10^6,0)</f>
        <v>0</v>
      </c>
      <c r="AB202" s="1"/>
      <c r="AC202" s="1"/>
      <c r="AD202" s="1"/>
      <c r="AE202" s="1"/>
      <c r="AF202" s="1"/>
      <c r="AG202" s="1"/>
      <c r="AH202" s="1"/>
    </row>
    <row r="203" customFormat="false" ht="15" hidden="false" customHeight="false" outlineLevel="0" collapsed="false">
      <c r="A203" s="1"/>
      <c r="B203" s="10"/>
      <c r="C203" s="31" t="str">
        <f aca="false">IF(B203="","",TEXT(B203,"ddd"))</f>
        <v/>
      </c>
      <c r="D203" s="11"/>
      <c r="E203" s="8" t="str">
        <f aca="false">IF(D203="","",IFERROR(INDEX(ProjNumbers,MATCH(D203,ProjNames,0)),""))</f>
        <v/>
      </c>
      <c r="F203" s="8" t="str">
        <f aca="false">IF(D203="","",IFERROR(INDEX(ProjCodes,MATCH(D203,ProjNames,0)),""))</f>
        <v/>
      </c>
      <c r="G203" s="32"/>
      <c r="H203" s="11"/>
      <c r="I203" s="33"/>
      <c r="J203" s="8" t="str">
        <f aca="false">IF(COUNTA(B203,D203,G203,H203,I203)=0,"",IF(B203="","Enter date",IF(OR(B203&lt;$AC$2,B203&gt;$AC$3),"Date not in July",IF(D203="","Pick project",IF(ISNA(MATCH(D203,ProjNames,0)),"Project not in list",IF(G203="","Add task description",IF(H203="","Pick NTIME or P6",IF(N(I203)&lt;=0,"Enter hours",IF(AND(AllowOT&lt;&gt;"Yes",SUMIF($B$7:$B$256,B203,$I$7:$I$256)&gt;INDEX($O$58:$O$88,DAY(B203))),"Day over "&amp;INDEX($O$58:$O$88,DAY(B203))&amp;" h","✓")))))))))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tr">
        <f aca="false">IF(Projects!B201="","",Projects!B201)</f>
        <v/>
      </c>
      <c r="X203" s="1" t="n">
        <f aca="false">IF(W203="",0,SUMIFS($I$7:$I$256,$D$7:$D$256,W203,$H$7:$H$256,"NTIME"))</f>
        <v>0</v>
      </c>
      <c r="Y203" s="1" t="n">
        <f aca="false">IF(W203="",0,SUMIFS($I$7:$I$256,$D$7:$D$256,W203,$H$7:$H$256,"P6"))</f>
        <v>0</v>
      </c>
      <c r="Z203" s="1" t="n">
        <f aca="false">X203+Y203</f>
        <v>0</v>
      </c>
      <c r="AA203" s="1" t="n">
        <f aca="false">IF(Z203&gt;0,Z203+(201-197)/10^6,0)</f>
        <v>0</v>
      </c>
      <c r="AB203" s="1"/>
      <c r="AC203" s="1"/>
      <c r="AD203" s="1"/>
      <c r="AE203" s="1"/>
      <c r="AF203" s="1"/>
      <c r="AG203" s="1"/>
      <c r="AH203" s="1"/>
    </row>
    <row r="204" customFormat="false" ht="15" hidden="false" customHeight="false" outlineLevel="0" collapsed="false">
      <c r="A204" s="1"/>
      <c r="B204" s="10"/>
      <c r="C204" s="31" t="str">
        <f aca="false">IF(B204="","",TEXT(B204,"ddd"))</f>
        <v/>
      </c>
      <c r="D204" s="11"/>
      <c r="E204" s="8" t="str">
        <f aca="false">IF(D204="","",IFERROR(INDEX(ProjNumbers,MATCH(D204,ProjNames,0)),""))</f>
        <v/>
      </c>
      <c r="F204" s="8" t="str">
        <f aca="false">IF(D204="","",IFERROR(INDEX(ProjCodes,MATCH(D204,ProjNames,0)),""))</f>
        <v/>
      </c>
      <c r="G204" s="32"/>
      <c r="H204" s="11"/>
      <c r="I204" s="33"/>
      <c r="J204" s="8" t="str">
        <f aca="false">IF(COUNTA(B204,D204,G204,H204,I204)=0,"",IF(B204="","Enter date",IF(OR(B204&lt;$AC$2,B204&gt;$AC$3),"Date not in July",IF(D204="","Pick project",IF(ISNA(MATCH(D204,ProjNames,0)),"Project not in list",IF(G204="","Add task description",IF(H204="","Pick NTIME or P6",IF(N(I204)&lt;=0,"Enter hours",IF(AND(AllowOT&lt;&gt;"Yes",SUMIF($B$7:$B$256,B204,$I$7:$I$256)&gt;INDEX($O$58:$O$88,DAY(B204))),"Day over "&amp;INDEX($O$58:$O$88,DAY(B204))&amp;" h","✓")))))))))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tr">
        <f aca="false">IF(Projects!B202="","",Projects!B202)</f>
        <v/>
      </c>
      <c r="X204" s="1" t="n">
        <f aca="false">IF(W204="",0,SUMIFS($I$7:$I$256,$D$7:$D$256,W204,$H$7:$H$256,"NTIME"))</f>
        <v>0</v>
      </c>
      <c r="Y204" s="1" t="n">
        <f aca="false">IF(W204="",0,SUMIFS($I$7:$I$256,$D$7:$D$256,W204,$H$7:$H$256,"P6"))</f>
        <v>0</v>
      </c>
      <c r="Z204" s="1" t="n">
        <f aca="false">X204+Y204</f>
        <v>0</v>
      </c>
      <c r="AA204" s="1" t="n">
        <f aca="false">IF(Z204&gt;0,Z204+(201-198)/10^6,0)</f>
        <v>0</v>
      </c>
      <c r="AB204" s="1"/>
      <c r="AC204" s="1"/>
      <c r="AD204" s="1"/>
      <c r="AE204" s="1"/>
      <c r="AF204" s="1"/>
      <c r="AG204" s="1"/>
      <c r="AH204" s="1"/>
    </row>
    <row r="205" customFormat="false" ht="15" hidden="false" customHeight="false" outlineLevel="0" collapsed="false">
      <c r="A205" s="1"/>
      <c r="B205" s="10"/>
      <c r="C205" s="31" t="str">
        <f aca="false">IF(B205="","",TEXT(B205,"ddd"))</f>
        <v/>
      </c>
      <c r="D205" s="11"/>
      <c r="E205" s="8" t="str">
        <f aca="false">IF(D205="","",IFERROR(INDEX(ProjNumbers,MATCH(D205,ProjNames,0)),""))</f>
        <v/>
      </c>
      <c r="F205" s="8" t="str">
        <f aca="false">IF(D205="","",IFERROR(INDEX(ProjCodes,MATCH(D205,ProjNames,0)),""))</f>
        <v/>
      </c>
      <c r="G205" s="32"/>
      <c r="H205" s="11"/>
      <c r="I205" s="33"/>
      <c r="J205" s="8" t="str">
        <f aca="false">IF(COUNTA(B205,D205,G205,H205,I205)=0,"",IF(B205="","Enter date",IF(OR(B205&lt;$AC$2,B205&gt;$AC$3),"Date not in July",IF(D205="","Pick project",IF(ISNA(MATCH(D205,ProjNames,0)),"Project not in list",IF(G205="","Add task description",IF(H205="","Pick NTIME or P6",IF(N(I205)&lt;=0,"Enter hours",IF(AND(AllowOT&lt;&gt;"Yes",SUMIF($B$7:$B$256,B205,$I$7:$I$256)&gt;INDEX($O$58:$O$88,DAY(B205))),"Day over "&amp;INDEX($O$58:$O$88,DAY(B205))&amp;" h","✓")))))))))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tr">
        <f aca="false">IF(Projects!B203="","",Projects!B203)</f>
        <v/>
      </c>
      <c r="X205" s="1" t="n">
        <f aca="false">IF(W205="",0,SUMIFS($I$7:$I$256,$D$7:$D$256,W205,$H$7:$H$256,"NTIME"))</f>
        <v>0</v>
      </c>
      <c r="Y205" s="1" t="n">
        <f aca="false">IF(W205="",0,SUMIFS($I$7:$I$256,$D$7:$D$256,W205,$H$7:$H$256,"P6"))</f>
        <v>0</v>
      </c>
      <c r="Z205" s="1" t="n">
        <f aca="false">X205+Y205</f>
        <v>0</v>
      </c>
      <c r="AA205" s="1" t="n">
        <f aca="false">IF(Z205&gt;0,Z205+(201-199)/10^6,0)</f>
        <v>0</v>
      </c>
      <c r="AB205" s="1"/>
      <c r="AC205" s="1"/>
      <c r="AD205" s="1"/>
      <c r="AE205" s="1"/>
      <c r="AF205" s="1"/>
      <c r="AG205" s="1"/>
      <c r="AH205" s="1"/>
    </row>
    <row r="206" customFormat="false" ht="15" hidden="false" customHeight="false" outlineLevel="0" collapsed="false">
      <c r="A206" s="1"/>
      <c r="B206" s="10"/>
      <c r="C206" s="31" t="str">
        <f aca="false">IF(B206="","",TEXT(B206,"ddd"))</f>
        <v/>
      </c>
      <c r="D206" s="11"/>
      <c r="E206" s="8" t="str">
        <f aca="false">IF(D206="","",IFERROR(INDEX(ProjNumbers,MATCH(D206,ProjNames,0)),""))</f>
        <v/>
      </c>
      <c r="F206" s="8" t="str">
        <f aca="false">IF(D206="","",IFERROR(INDEX(ProjCodes,MATCH(D206,ProjNames,0)),""))</f>
        <v/>
      </c>
      <c r="G206" s="32"/>
      <c r="H206" s="11"/>
      <c r="I206" s="33"/>
      <c r="J206" s="8" t="str">
        <f aca="false">IF(COUNTA(B206,D206,G206,H206,I206)=0,"",IF(B206="","Enter date",IF(OR(B206&lt;$AC$2,B206&gt;$AC$3),"Date not in July",IF(D206="","Pick project",IF(ISNA(MATCH(D206,ProjNames,0)),"Project not in list",IF(G206="","Add task description",IF(H206="","Pick NTIME or P6",IF(N(I206)&lt;=0,"Enter hours",IF(AND(AllowOT&lt;&gt;"Yes",SUMIF($B$7:$B$256,B206,$I$7:$I$256)&gt;INDEX($O$58:$O$88,DAY(B206))),"Day over "&amp;INDEX($O$58:$O$88,DAY(B206))&amp;" h","✓")))))))))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tr">
        <f aca="false">IF(Projects!B204="","",Projects!B204)</f>
        <v/>
      </c>
      <c r="X206" s="1" t="n">
        <f aca="false">IF(W206="",0,SUMIFS($I$7:$I$256,$D$7:$D$256,W206,$H$7:$H$256,"NTIME"))</f>
        <v>0</v>
      </c>
      <c r="Y206" s="1" t="n">
        <f aca="false">IF(W206="",0,SUMIFS($I$7:$I$256,$D$7:$D$256,W206,$H$7:$H$256,"P6"))</f>
        <v>0</v>
      </c>
      <c r="Z206" s="1" t="n">
        <f aca="false">X206+Y206</f>
        <v>0</v>
      </c>
      <c r="AA206" s="1" t="n">
        <f aca="false">IF(Z206&gt;0,Z206+(201-200)/10^6,0)</f>
        <v>0</v>
      </c>
      <c r="AB206" s="1"/>
      <c r="AC206" s="1"/>
      <c r="AD206" s="1"/>
      <c r="AE206" s="1"/>
      <c r="AF206" s="1"/>
      <c r="AG206" s="1"/>
      <c r="AH206" s="1"/>
    </row>
    <row r="207" customFormat="false" ht="15" hidden="false" customHeight="false" outlineLevel="0" collapsed="false">
      <c r="A207" s="1"/>
      <c r="B207" s="10"/>
      <c r="C207" s="31" t="str">
        <f aca="false">IF(B207="","",TEXT(B207,"ddd"))</f>
        <v/>
      </c>
      <c r="D207" s="11"/>
      <c r="E207" s="8" t="str">
        <f aca="false">IF(D207="","",IFERROR(INDEX(ProjNumbers,MATCH(D207,ProjNames,0)),""))</f>
        <v/>
      </c>
      <c r="F207" s="8" t="str">
        <f aca="false">IF(D207="","",IFERROR(INDEX(ProjCodes,MATCH(D207,ProjNames,0)),""))</f>
        <v/>
      </c>
      <c r="G207" s="32"/>
      <c r="H207" s="11"/>
      <c r="I207" s="33"/>
      <c r="J207" s="8" t="str">
        <f aca="false">IF(COUNTA(B207,D207,G207,H207,I207)=0,"",IF(B207="","Enter date",IF(OR(B207&lt;$AC$2,B207&gt;$AC$3),"Date not in July",IF(D207="","Pick project",IF(ISNA(MATCH(D207,ProjNames,0)),"Project not in list",IF(G207="","Add task description",IF(H207="","Pick NTIME or P6",IF(N(I207)&lt;=0,"Enter hours",IF(AND(AllowOT&lt;&gt;"Yes",SUMIF($B$7:$B$256,B207,$I$7:$I$256)&gt;INDEX($O$58:$O$88,DAY(B207))),"Day over "&amp;INDEX($O$58:$O$88,DAY(B207))&amp;" h","✓")))))))))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5" hidden="false" customHeight="false" outlineLevel="0" collapsed="false">
      <c r="A208" s="1"/>
      <c r="B208" s="10"/>
      <c r="C208" s="31" t="str">
        <f aca="false">IF(B208="","",TEXT(B208,"ddd"))</f>
        <v/>
      </c>
      <c r="D208" s="11"/>
      <c r="E208" s="8" t="str">
        <f aca="false">IF(D208="","",IFERROR(INDEX(ProjNumbers,MATCH(D208,ProjNames,0)),""))</f>
        <v/>
      </c>
      <c r="F208" s="8" t="str">
        <f aca="false">IF(D208="","",IFERROR(INDEX(ProjCodes,MATCH(D208,ProjNames,0)),""))</f>
        <v/>
      </c>
      <c r="G208" s="32"/>
      <c r="H208" s="11"/>
      <c r="I208" s="33"/>
      <c r="J208" s="8" t="str">
        <f aca="false">IF(COUNTA(B208,D208,G208,H208,I208)=0,"",IF(B208="","Enter date",IF(OR(B208&lt;$AC$2,B208&gt;$AC$3),"Date not in July",IF(D208="","Pick project",IF(ISNA(MATCH(D208,ProjNames,0)),"Project not in list",IF(G208="","Add task description",IF(H208="","Pick NTIME or P6",IF(N(I208)&lt;=0,"Enter hours",IF(AND(AllowOT&lt;&gt;"Yes",SUMIF($B$7:$B$256,B208,$I$7:$I$256)&gt;INDEX($O$58:$O$88,DAY(B208))),"Day over "&amp;INDEX($O$58:$O$88,DAY(B208))&amp;" h","✓")))))))))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5" hidden="false" customHeight="false" outlineLevel="0" collapsed="false">
      <c r="A209" s="1"/>
      <c r="B209" s="10"/>
      <c r="C209" s="31" t="str">
        <f aca="false">IF(B209="","",TEXT(B209,"ddd"))</f>
        <v/>
      </c>
      <c r="D209" s="11"/>
      <c r="E209" s="8" t="str">
        <f aca="false">IF(D209="","",IFERROR(INDEX(ProjNumbers,MATCH(D209,ProjNames,0)),""))</f>
        <v/>
      </c>
      <c r="F209" s="8" t="str">
        <f aca="false">IF(D209="","",IFERROR(INDEX(ProjCodes,MATCH(D209,ProjNames,0)),""))</f>
        <v/>
      </c>
      <c r="G209" s="32"/>
      <c r="H209" s="11"/>
      <c r="I209" s="33"/>
      <c r="J209" s="8" t="str">
        <f aca="false">IF(COUNTA(B209,D209,G209,H209,I209)=0,"",IF(B209="","Enter date",IF(OR(B209&lt;$AC$2,B209&gt;$AC$3),"Date not in July",IF(D209="","Pick project",IF(ISNA(MATCH(D209,ProjNames,0)),"Project not in list",IF(G209="","Add task description",IF(H209="","Pick NTIME or P6",IF(N(I209)&lt;=0,"Enter hours",IF(AND(AllowOT&lt;&gt;"Yes",SUMIF($B$7:$B$256,B209,$I$7:$I$256)&gt;INDEX($O$58:$O$88,DAY(B209))),"Day over "&amp;INDEX($O$58:$O$88,DAY(B209))&amp;" h","✓")))))))))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5" hidden="false" customHeight="false" outlineLevel="0" collapsed="false">
      <c r="A210" s="1"/>
      <c r="B210" s="10"/>
      <c r="C210" s="31" t="str">
        <f aca="false">IF(B210="","",TEXT(B210,"ddd"))</f>
        <v/>
      </c>
      <c r="D210" s="11"/>
      <c r="E210" s="8" t="str">
        <f aca="false">IF(D210="","",IFERROR(INDEX(ProjNumbers,MATCH(D210,ProjNames,0)),""))</f>
        <v/>
      </c>
      <c r="F210" s="8" t="str">
        <f aca="false">IF(D210="","",IFERROR(INDEX(ProjCodes,MATCH(D210,ProjNames,0)),""))</f>
        <v/>
      </c>
      <c r="G210" s="32"/>
      <c r="H210" s="11"/>
      <c r="I210" s="33"/>
      <c r="J210" s="8" t="str">
        <f aca="false">IF(COUNTA(B210,D210,G210,H210,I210)=0,"",IF(B210="","Enter date",IF(OR(B210&lt;$AC$2,B210&gt;$AC$3),"Date not in July",IF(D210="","Pick project",IF(ISNA(MATCH(D210,ProjNames,0)),"Project not in list",IF(G210="","Add task description",IF(H210="","Pick NTIME or P6",IF(N(I210)&lt;=0,"Enter hours",IF(AND(AllowOT&lt;&gt;"Yes",SUMIF($B$7:$B$256,B210,$I$7:$I$256)&gt;INDEX($O$58:$O$88,DAY(B210))),"Day over "&amp;INDEX($O$58:$O$88,DAY(B210))&amp;" h","✓")))))))))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5" hidden="false" customHeight="false" outlineLevel="0" collapsed="false">
      <c r="A211" s="1"/>
      <c r="B211" s="10"/>
      <c r="C211" s="31" t="str">
        <f aca="false">IF(B211="","",TEXT(B211,"ddd"))</f>
        <v/>
      </c>
      <c r="D211" s="11"/>
      <c r="E211" s="8" t="str">
        <f aca="false">IF(D211="","",IFERROR(INDEX(ProjNumbers,MATCH(D211,ProjNames,0)),""))</f>
        <v/>
      </c>
      <c r="F211" s="8" t="str">
        <f aca="false">IF(D211="","",IFERROR(INDEX(ProjCodes,MATCH(D211,ProjNames,0)),""))</f>
        <v/>
      </c>
      <c r="G211" s="32"/>
      <c r="H211" s="11"/>
      <c r="I211" s="33"/>
      <c r="J211" s="8" t="str">
        <f aca="false">IF(COUNTA(B211,D211,G211,H211,I211)=0,"",IF(B211="","Enter date",IF(OR(B211&lt;$AC$2,B211&gt;$AC$3),"Date not in July",IF(D211="","Pick project",IF(ISNA(MATCH(D211,ProjNames,0)),"Project not in list",IF(G211="","Add task description",IF(H211="","Pick NTIME or P6",IF(N(I211)&lt;=0,"Enter hours",IF(AND(AllowOT&lt;&gt;"Yes",SUMIF($B$7:$B$256,B211,$I$7:$I$256)&gt;INDEX($O$58:$O$88,DAY(B211))),"Day over "&amp;INDEX($O$58:$O$88,DAY(B211))&amp;" h","✓")))))))))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5" hidden="false" customHeight="false" outlineLevel="0" collapsed="false">
      <c r="A212" s="1"/>
      <c r="B212" s="10"/>
      <c r="C212" s="31" t="str">
        <f aca="false">IF(B212="","",TEXT(B212,"ddd"))</f>
        <v/>
      </c>
      <c r="D212" s="11"/>
      <c r="E212" s="8" t="str">
        <f aca="false">IF(D212="","",IFERROR(INDEX(ProjNumbers,MATCH(D212,ProjNames,0)),""))</f>
        <v/>
      </c>
      <c r="F212" s="8" t="str">
        <f aca="false">IF(D212="","",IFERROR(INDEX(ProjCodes,MATCH(D212,ProjNames,0)),""))</f>
        <v/>
      </c>
      <c r="G212" s="32"/>
      <c r="H212" s="11"/>
      <c r="I212" s="33"/>
      <c r="J212" s="8" t="str">
        <f aca="false">IF(COUNTA(B212,D212,G212,H212,I212)=0,"",IF(B212="","Enter date",IF(OR(B212&lt;$AC$2,B212&gt;$AC$3),"Date not in July",IF(D212="","Pick project",IF(ISNA(MATCH(D212,ProjNames,0)),"Project not in list",IF(G212="","Add task description",IF(H212="","Pick NTIME or P6",IF(N(I212)&lt;=0,"Enter hours",IF(AND(AllowOT&lt;&gt;"Yes",SUMIF($B$7:$B$256,B212,$I$7:$I$256)&gt;INDEX($O$58:$O$88,DAY(B212))),"Day over "&amp;INDEX($O$58:$O$88,DAY(B212))&amp;" h","✓")))))))))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5" hidden="false" customHeight="false" outlineLevel="0" collapsed="false">
      <c r="A213" s="1"/>
      <c r="B213" s="10"/>
      <c r="C213" s="31" t="str">
        <f aca="false">IF(B213="","",TEXT(B213,"ddd"))</f>
        <v/>
      </c>
      <c r="D213" s="11"/>
      <c r="E213" s="8" t="str">
        <f aca="false">IF(D213="","",IFERROR(INDEX(ProjNumbers,MATCH(D213,ProjNames,0)),""))</f>
        <v/>
      </c>
      <c r="F213" s="8" t="str">
        <f aca="false">IF(D213="","",IFERROR(INDEX(ProjCodes,MATCH(D213,ProjNames,0)),""))</f>
        <v/>
      </c>
      <c r="G213" s="32"/>
      <c r="H213" s="11"/>
      <c r="I213" s="33"/>
      <c r="J213" s="8" t="str">
        <f aca="false">IF(COUNTA(B213,D213,G213,H213,I213)=0,"",IF(B213="","Enter date",IF(OR(B213&lt;$AC$2,B213&gt;$AC$3),"Date not in July",IF(D213="","Pick project",IF(ISNA(MATCH(D213,ProjNames,0)),"Project not in list",IF(G213="","Add task description",IF(H213="","Pick NTIME or P6",IF(N(I213)&lt;=0,"Enter hours",IF(AND(AllowOT&lt;&gt;"Yes",SUMIF($B$7:$B$256,B213,$I$7:$I$256)&gt;INDEX($O$58:$O$88,DAY(B213))),"Day over "&amp;INDEX($O$58:$O$88,DAY(B213))&amp;" h","✓")))))))))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5" hidden="false" customHeight="false" outlineLevel="0" collapsed="false">
      <c r="A214" s="1"/>
      <c r="B214" s="10"/>
      <c r="C214" s="31" t="str">
        <f aca="false">IF(B214="","",TEXT(B214,"ddd"))</f>
        <v/>
      </c>
      <c r="D214" s="11"/>
      <c r="E214" s="8" t="str">
        <f aca="false">IF(D214="","",IFERROR(INDEX(ProjNumbers,MATCH(D214,ProjNames,0)),""))</f>
        <v/>
      </c>
      <c r="F214" s="8" t="str">
        <f aca="false">IF(D214="","",IFERROR(INDEX(ProjCodes,MATCH(D214,ProjNames,0)),""))</f>
        <v/>
      </c>
      <c r="G214" s="32"/>
      <c r="H214" s="11"/>
      <c r="I214" s="33"/>
      <c r="J214" s="8" t="str">
        <f aca="false">IF(COUNTA(B214,D214,G214,H214,I214)=0,"",IF(B214="","Enter date",IF(OR(B214&lt;$AC$2,B214&gt;$AC$3),"Date not in July",IF(D214="","Pick project",IF(ISNA(MATCH(D214,ProjNames,0)),"Project not in list",IF(G214="","Add task description",IF(H214="","Pick NTIME or P6",IF(N(I214)&lt;=0,"Enter hours",IF(AND(AllowOT&lt;&gt;"Yes",SUMIF($B$7:$B$256,B214,$I$7:$I$256)&gt;INDEX($O$58:$O$88,DAY(B214))),"Day over "&amp;INDEX($O$58:$O$88,DAY(B214))&amp;" h","✓")))))))))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5" hidden="false" customHeight="false" outlineLevel="0" collapsed="false">
      <c r="A215" s="1"/>
      <c r="B215" s="10"/>
      <c r="C215" s="31" t="str">
        <f aca="false">IF(B215="","",TEXT(B215,"ddd"))</f>
        <v/>
      </c>
      <c r="D215" s="11"/>
      <c r="E215" s="8" t="str">
        <f aca="false">IF(D215="","",IFERROR(INDEX(ProjNumbers,MATCH(D215,ProjNames,0)),""))</f>
        <v/>
      </c>
      <c r="F215" s="8" t="str">
        <f aca="false">IF(D215="","",IFERROR(INDEX(ProjCodes,MATCH(D215,ProjNames,0)),""))</f>
        <v/>
      </c>
      <c r="G215" s="32"/>
      <c r="H215" s="11"/>
      <c r="I215" s="33"/>
      <c r="J215" s="8" t="str">
        <f aca="false">IF(COUNTA(B215,D215,G215,H215,I215)=0,"",IF(B215="","Enter date",IF(OR(B215&lt;$AC$2,B215&gt;$AC$3),"Date not in July",IF(D215="","Pick project",IF(ISNA(MATCH(D215,ProjNames,0)),"Project not in list",IF(G215="","Add task description",IF(H215="","Pick NTIME or P6",IF(N(I215)&lt;=0,"Enter hours",IF(AND(AllowOT&lt;&gt;"Yes",SUMIF($B$7:$B$256,B215,$I$7:$I$256)&gt;INDEX($O$58:$O$88,DAY(B215))),"Day over "&amp;INDEX($O$58:$O$88,DAY(B215))&amp;" h","✓")))))))))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5" hidden="false" customHeight="false" outlineLevel="0" collapsed="false">
      <c r="A216" s="1"/>
      <c r="B216" s="10"/>
      <c r="C216" s="31" t="str">
        <f aca="false">IF(B216="","",TEXT(B216,"ddd"))</f>
        <v/>
      </c>
      <c r="D216" s="11"/>
      <c r="E216" s="8" t="str">
        <f aca="false">IF(D216="","",IFERROR(INDEX(ProjNumbers,MATCH(D216,ProjNames,0)),""))</f>
        <v/>
      </c>
      <c r="F216" s="8" t="str">
        <f aca="false">IF(D216="","",IFERROR(INDEX(ProjCodes,MATCH(D216,ProjNames,0)),""))</f>
        <v/>
      </c>
      <c r="G216" s="32"/>
      <c r="H216" s="11"/>
      <c r="I216" s="33"/>
      <c r="J216" s="8" t="str">
        <f aca="false">IF(COUNTA(B216,D216,G216,H216,I216)=0,"",IF(B216="","Enter date",IF(OR(B216&lt;$AC$2,B216&gt;$AC$3),"Date not in July",IF(D216="","Pick project",IF(ISNA(MATCH(D216,ProjNames,0)),"Project not in list",IF(G216="","Add task description",IF(H216="","Pick NTIME or P6",IF(N(I216)&lt;=0,"Enter hours",IF(AND(AllowOT&lt;&gt;"Yes",SUMIF($B$7:$B$256,B216,$I$7:$I$256)&gt;INDEX($O$58:$O$88,DAY(B216))),"Day over "&amp;INDEX($O$58:$O$88,DAY(B216))&amp;" h","✓")))))))))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5" hidden="false" customHeight="false" outlineLevel="0" collapsed="false">
      <c r="A217" s="1"/>
      <c r="B217" s="10"/>
      <c r="C217" s="31" t="str">
        <f aca="false">IF(B217="","",TEXT(B217,"ddd"))</f>
        <v/>
      </c>
      <c r="D217" s="11"/>
      <c r="E217" s="8" t="str">
        <f aca="false">IF(D217="","",IFERROR(INDEX(ProjNumbers,MATCH(D217,ProjNames,0)),""))</f>
        <v/>
      </c>
      <c r="F217" s="8" t="str">
        <f aca="false">IF(D217="","",IFERROR(INDEX(ProjCodes,MATCH(D217,ProjNames,0)),""))</f>
        <v/>
      </c>
      <c r="G217" s="32"/>
      <c r="H217" s="11"/>
      <c r="I217" s="33"/>
      <c r="J217" s="8" t="str">
        <f aca="false">IF(COUNTA(B217,D217,G217,H217,I217)=0,"",IF(B217="","Enter date",IF(OR(B217&lt;$AC$2,B217&gt;$AC$3),"Date not in July",IF(D217="","Pick project",IF(ISNA(MATCH(D217,ProjNames,0)),"Project not in list",IF(G217="","Add task description",IF(H217="","Pick NTIME or P6",IF(N(I217)&lt;=0,"Enter hours",IF(AND(AllowOT&lt;&gt;"Yes",SUMIF($B$7:$B$256,B217,$I$7:$I$256)&gt;INDEX($O$58:$O$88,DAY(B217))),"Day over "&amp;INDEX($O$58:$O$88,DAY(B217))&amp;" h","✓")))))))))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5" hidden="false" customHeight="false" outlineLevel="0" collapsed="false">
      <c r="A218" s="1"/>
      <c r="B218" s="10"/>
      <c r="C218" s="31" t="str">
        <f aca="false">IF(B218="","",TEXT(B218,"ddd"))</f>
        <v/>
      </c>
      <c r="D218" s="11"/>
      <c r="E218" s="8" t="str">
        <f aca="false">IF(D218="","",IFERROR(INDEX(ProjNumbers,MATCH(D218,ProjNames,0)),""))</f>
        <v/>
      </c>
      <c r="F218" s="8" t="str">
        <f aca="false">IF(D218="","",IFERROR(INDEX(ProjCodes,MATCH(D218,ProjNames,0)),""))</f>
        <v/>
      </c>
      <c r="G218" s="32"/>
      <c r="H218" s="11"/>
      <c r="I218" s="33"/>
      <c r="J218" s="8" t="str">
        <f aca="false">IF(COUNTA(B218,D218,G218,H218,I218)=0,"",IF(B218="","Enter date",IF(OR(B218&lt;$AC$2,B218&gt;$AC$3),"Date not in July",IF(D218="","Pick project",IF(ISNA(MATCH(D218,ProjNames,0)),"Project not in list",IF(G218="","Add task description",IF(H218="","Pick NTIME or P6",IF(N(I218)&lt;=0,"Enter hours",IF(AND(AllowOT&lt;&gt;"Yes",SUMIF($B$7:$B$256,B218,$I$7:$I$256)&gt;INDEX($O$58:$O$88,DAY(B218))),"Day over "&amp;INDEX($O$58:$O$88,DAY(B218))&amp;" h","✓")))))))))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5" hidden="false" customHeight="false" outlineLevel="0" collapsed="false">
      <c r="A219" s="1"/>
      <c r="B219" s="10"/>
      <c r="C219" s="31" t="str">
        <f aca="false">IF(B219="","",TEXT(B219,"ddd"))</f>
        <v/>
      </c>
      <c r="D219" s="11"/>
      <c r="E219" s="8" t="str">
        <f aca="false">IF(D219="","",IFERROR(INDEX(ProjNumbers,MATCH(D219,ProjNames,0)),""))</f>
        <v/>
      </c>
      <c r="F219" s="8" t="str">
        <f aca="false">IF(D219="","",IFERROR(INDEX(ProjCodes,MATCH(D219,ProjNames,0)),""))</f>
        <v/>
      </c>
      <c r="G219" s="32"/>
      <c r="H219" s="11"/>
      <c r="I219" s="33"/>
      <c r="J219" s="8" t="str">
        <f aca="false">IF(COUNTA(B219,D219,G219,H219,I219)=0,"",IF(B219="","Enter date",IF(OR(B219&lt;$AC$2,B219&gt;$AC$3),"Date not in July",IF(D219="","Pick project",IF(ISNA(MATCH(D219,ProjNames,0)),"Project not in list",IF(G219="","Add task description",IF(H219="","Pick NTIME or P6",IF(N(I219)&lt;=0,"Enter hours",IF(AND(AllowOT&lt;&gt;"Yes",SUMIF($B$7:$B$256,B219,$I$7:$I$256)&gt;INDEX($O$58:$O$88,DAY(B219))),"Day over "&amp;INDEX($O$58:$O$88,DAY(B219))&amp;" h","✓")))))))))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5" hidden="false" customHeight="false" outlineLevel="0" collapsed="false">
      <c r="A220" s="1"/>
      <c r="B220" s="10"/>
      <c r="C220" s="31" t="str">
        <f aca="false">IF(B220="","",TEXT(B220,"ddd"))</f>
        <v/>
      </c>
      <c r="D220" s="11"/>
      <c r="E220" s="8" t="str">
        <f aca="false">IF(D220="","",IFERROR(INDEX(ProjNumbers,MATCH(D220,ProjNames,0)),""))</f>
        <v/>
      </c>
      <c r="F220" s="8" t="str">
        <f aca="false">IF(D220="","",IFERROR(INDEX(ProjCodes,MATCH(D220,ProjNames,0)),""))</f>
        <v/>
      </c>
      <c r="G220" s="32"/>
      <c r="H220" s="11"/>
      <c r="I220" s="33"/>
      <c r="J220" s="8" t="str">
        <f aca="false">IF(COUNTA(B220,D220,G220,H220,I220)=0,"",IF(B220="","Enter date",IF(OR(B220&lt;$AC$2,B220&gt;$AC$3),"Date not in July",IF(D220="","Pick project",IF(ISNA(MATCH(D220,ProjNames,0)),"Project not in list",IF(G220="","Add task description",IF(H220="","Pick NTIME or P6",IF(N(I220)&lt;=0,"Enter hours",IF(AND(AllowOT&lt;&gt;"Yes",SUMIF($B$7:$B$256,B220,$I$7:$I$256)&gt;INDEX($O$58:$O$88,DAY(B220))),"Day over "&amp;INDEX($O$58:$O$88,DAY(B220))&amp;" h","✓")))))))))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5" hidden="false" customHeight="false" outlineLevel="0" collapsed="false">
      <c r="A221" s="1"/>
      <c r="B221" s="10"/>
      <c r="C221" s="31" t="str">
        <f aca="false">IF(B221="","",TEXT(B221,"ddd"))</f>
        <v/>
      </c>
      <c r="D221" s="11"/>
      <c r="E221" s="8" t="str">
        <f aca="false">IF(D221="","",IFERROR(INDEX(ProjNumbers,MATCH(D221,ProjNames,0)),""))</f>
        <v/>
      </c>
      <c r="F221" s="8" t="str">
        <f aca="false">IF(D221="","",IFERROR(INDEX(ProjCodes,MATCH(D221,ProjNames,0)),""))</f>
        <v/>
      </c>
      <c r="G221" s="32"/>
      <c r="H221" s="11"/>
      <c r="I221" s="33"/>
      <c r="J221" s="8" t="str">
        <f aca="false">IF(COUNTA(B221,D221,G221,H221,I221)=0,"",IF(B221="","Enter date",IF(OR(B221&lt;$AC$2,B221&gt;$AC$3),"Date not in July",IF(D221="","Pick project",IF(ISNA(MATCH(D221,ProjNames,0)),"Project not in list",IF(G221="","Add task description",IF(H221="","Pick NTIME or P6",IF(N(I221)&lt;=0,"Enter hours",IF(AND(AllowOT&lt;&gt;"Yes",SUMIF($B$7:$B$256,B221,$I$7:$I$256)&gt;INDEX($O$58:$O$88,DAY(B221))),"Day over "&amp;INDEX($O$58:$O$88,DAY(B221))&amp;" h","✓")))))))))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5" hidden="false" customHeight="false" outlineLevel="0" collapsed="false">
      <c r="A222" s="1"/>
      <c r="B222" s="10"/>
      <c r="C222" s="31" t="str">
        <f aca="false">IF(B222="","",TEXT(B222,"ddd"))</f>
        <v/>
      </c>
      <c r="D222" s="11"/>
      <c r="E222" s="8" t="str">
        <f aca="false">IF(D222="","",IFERROR(INDEX(ProjNumbers,MATCH(D222,ProjNames,0)),""))</f>
        <v/>
      </c>
      <c r="F222" s="8" t="str">
        <f aca="false">IF(D222="","",IFERROR(INDEX(ProjCodes,MATCH(D222,ProjNames,0)),""))</f>
        <v/>
      </c>
      <c r="G222" s="32"/>
      <c r="H222" s="11"/>
      <c r="I222" s="33"/>
      <c r="J222" s="8" t="str">
        <f aca="false">IF(COUNTA(B222,D222,G222,H222,I222)=0,"",IF(B222="","Enter date",IF(OR(B222&lt;$AC$2,B222&gt;$AC$3),"Date not in July",IF(D222="","Pick project",IF(ISNA(MATCH(D222,ProjNames,0)),"Project not in list",IF(G222="","Add task description",IF(H222="","Pick NTIME or P6",IF(N(I222)&lt;=0,"Enter hours",IF(AND(AllowOT&lt;&gt;"Yes",SUMIF($B$7:$B$256,B222,$I$7:$I$256)&gt;INDEX($O$58:$O$88,DAY(B222))),"Day over "&amp;INDEX($O$58:$O$88,DAY(B222))&amp;" h","✓")))))))))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5" hidden="false" customHeight="false" outlineLevel="0" collapsed="false">
      <c r="A223" s="1"/>
      <c r="B223" s="10"/>
      <c r="C223" s="31" t="str">
        <f aca="false">IF(B223="","",TEXT(B223,"ddd"))</f>
        <v/>
      </c>
      <c r="D223" s="11"/>
      <c r="E223" s="8" t="str">
        <f aca="false">IF(D223="","",IFERROR(INDEX(ProjNumbers,MATCH(D223,ProjNames,0)),""))</f>
        <v/>
      </c>
      <c r="F223" s="8" t="str">
        <f aca="false">IF(D223="","",IFERROR(INDEX(ProjCodes,MATCH(D223,ProjNames,0)),""))</f>
        <v/>
      </c>
      <c r="G223" s="32"/>
      <c r="H223" s="11"/>
      <c r="I223" s="33"/>
      <c r="J223" s="8" t="str">
        <f aca="false">IF(COUNTA(B223,D223,G223,H223,I223)=0,"",IF(B223="","Enter date",IF(OR(B223&lt;$AC$2,B223&gt;$AC$3),"Date not in July",IF(D223="","Pick project",IF(ISNA(MATCH(D223,ProjNames,0)),"Project not in list",IF(G223="","Add task description",IF(H223="","Pick NTIME or P6",IF(N(I223)&lt;=0,"Enter hours",IF(AND(AllowOT&lt;&gt;"Yes",SUMIF($B$7:$B$256,B223,$I$7:$I$256)&gt;INDEX($O$58:$O$88,DAY(B223))),"Day over "&amp;INDEX($O$58:$O$88,DAY(B223))&amp;" h","✓")))))))))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5" hidden="false" customHeight="false" outlineLevel="0" collapsed="false">
      <c r="A224" s="1"/>
      <c r="B224" s="10"/>
      <c r="C224" s="31" t="str">
        <f aca="false">IF(B224="","",TEXT(B224,"ddd"))</f>
        <v/>
      </c>
      <c r="D224" s="11"/>
      <c r="E224" s="8" t="str">
        <f aca="false">IF(D224="","",IFERROR(INDEX(ProjNumbers,MATCH(D224,ProjNames,0)),""))</f>
        <v/>
      </c>
      <c r="F224" s="8" t="str">
        <f aca="false">IF(D224="","",IFERROR(INDEX(ProjCodes,MATCH(D224,ProjNames,0)),""))</f>
        <v/>
      </c>
      <c r="G224" s="32"/>
      <c r="H224" s="11"/>
      <c r="I224" s="33"/>
      <c r="J224" s="8" t="str">
        <f aca="false">IF(COUNTA(B224,D224,G224,H224,I224)=0,"",IF(B224="","Enter date",IF(OR(B224&lt;$AC$2,B224&gt;$AC$3),"Date not in July",IF(D224="","Pick project",IF(ISNA(MATCH(D224,ProjNames,0)),"Project not in list",IF(G224="","Add task description",IF(H224="","Pick NTIME or P6",IF(N(I224)&lt;=0,"Enter hours",IF(AND(AllowOT&lt;&gt;"Yes",SUMIF($B$7:$B$256,B224,$I$7:$I$256)&gt;INDEX($O$58:$O$88,DAY(B224))),"Day over "&amp;INDEX($O$58:$O$88,DAY(B224))&amp;" h","✓")))))))))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5" hidden="false" customHeight="false" outlineLevel="0" collapsed="false">
      <c r="A225" s="1"/>
      <c r="B225" s="10"/>
      <c r="C225" s="31" t="str">
        <f aca="false">IF(B225="","",TEXT(B225,"ddd"))</f>
        <v/>
      </c>
      <c r="D225" s="11"/>
      <c r="E225" s="8" t="str">
        <f aca="false">IF(D225="","",IFERROR(INDEX(ProjNumbers,MATCH(D225,ProjNames,0)),""))</f>
        <v/>
      </c>
      <c r="F225" s="8" t="str">
        <f aca="false">IF(D225="","",IFERROR(INDEX(ProjCodes,MATCH(D225,ProjNames,0)),""))</f>
        <v/>
      </c>
      <c r="G225" s="32"/>
      <c r="H225" s="11"/>
      <c r="I225" s="33"/>
      <c r="J225" s="8" t="str">
        <f aca="false">IF(COUNTA(B225,D225,G225,H225,I225)=0,"",IF(B225="","Enter date",IF(OR(B225&lt;$AC$2,B225&gt;$AC$3),"Date not in July",IF(D225="","Pick project",IF(ISNA(MATCH(D225,ProjNames,0)),"Project not in list",IF(G225="","Add task description",IF(H225="","Pick NTIME or P6",IF(N(I225)&lt;=0,"Enter hours",IF(AND(AllowOT&lt;&gt;"Yes",SUMIF($B$7:$B$256,B225,$I$7:$I$256)&gt;INDEX($O$58:$O$88,DAY(B225))),"Day over "&amp;INDEX($O$58:$O$88,DAY(B225))&amp;" h","✓")))))))))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5" hidden="false" customHeight="false" outlineLevel="0" collapsed="false">
      <c r="A226" s="1"/>
      <c r="B226" s="10"/>
      <c r="C226" s="31" t="str">
        <f aca="false">IF(B226="","",TEXT(B226,"ddd"))</f>
        <v/>
      </c>
      <c r="D226" s="11"/>
      <c r="E226" s="8" t="str">
        <f aca="false">IF(D226="","",IFERROR(INDEX(ProjNumbers,MATCH(D226,ProjNames,0)),""))</f>
        <v/>
      </c>
      <c r="F226" s="8" t="str">
        <f aca="false">IF(D226="","",IFERROR(INDEX(ProjCodes,MATCH(D226,ProjNames,0)),""))</f>
        <v/>
      </c>
      <c r="G226" s="32"/>
      <c r="H226" s="11"/>
      <c r="I226" s="33"/>
      <c r="J226" s="8" t="str">
        <f aca="false">IF(COUNTA(B226,D226,G226,H226,I226)=0,"",IF(B226="","Enter date",IF(OR(B226&lt;$AC$2,B226&gt;$AC$3),"Date not in July",IF(D226="","Pick project",IF(ISNA(MATCH(D226,ProjNames,0)),"Project not in list",IF(G226="","Add task description",IF(H226="","Pick NTIME or P6",IF(N(I226)&lt;=0,"Enter hours",IF(AND(AllowOT&lt;&gt;"Yes",SUMIF($B$7:$B$256,B226,$I$7:$I$256)&gt;INDEX($O$58:$O$88,DAY(B226))),"Day over "&amp;INDEX($O$58:$O$88,DAY(B226))&amp;" h","✓")))))))))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5" hidden="false" customHeight="false" outlineLevel="0" collapsed="false">
      <c r="A227" s="1"/>
      <c r="B227" s="10"/>
      <c r="C227" s="31" t="str">
        <f aca="false">IF(B227="","",TEXT(B227,"ddd"))</f>
        <v/>
      </c>
      <c r="D227" s="11"/>
      <c r="E227" s="8" t="str">
        <f aca="false">IF(D227="","",IFERROR(INDEX(ProjNumbers,MATCH(D227,ProjNames,0)),""))</f>
        <v/>
      </c>
      <c r="F227" s="8" t="str">
        <f aca="false">IF(D227="","",IFERROR(INDEX(ProjCodes,MATCH(D227,ProjNames,0)),""))</f>
        <v/>
      </c>
      <c r="G227" s="32"/>
      <c r="H227" s="11"/>
      <c r="I227" s="33"/>
      <c r="J227" s="8" t="str">
        <f aca="false">IF(COUNTA(B227,D227,G227,H227,I227)=0,"",IF(B227="","Enter date",IF(OR(B227&lt;$AC$2,B227&gt;$AC$3),"Date not in July",IF(D227="","Pick project",IF(ISNA(MATCH(D227,ProjNames,0)),"Project not in list",IF(G227="","Add task description",IF(H227="","Pick NTIME or P6",IF(N(I227)&lt;=0,"Enter hours",IF(AND(AllowOT&lt;&gt;"Yes",SUMIF($B$7:$B$256,B227,$I$7:$I$256)&gt;INDEX($O$58:$O$88,DAY(B227))),"Day over "&amp;INDEX($O$58:$O$88,DAY(B227))&amp;" h","✓")))))))))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5" hidden="false" customHeight="false" outlineLevel="0" collapsed="false">
      <c r="A228" s="1"/>
      <c r="B228" s="10"/>
      <c r="C228" s="31" t="str">
        <f aca="false">IF(B228="","",TEXT(B228,"ddd"))</f>
        <v/>
      </c>
      <c r="D228" s="11"/>
      <c r="E228" s="8" t="str">
        <f aca="false">IF(D228="","",IFERROR(INDEX(ProjNumbers,MATCH(D228,ProjNames,0)),""))</f>
        <v/>
      </c>
      <c r="F228" s="8" t="str">
        <f aca="false">IF(D228="","",IFERROR(INDEX(ProjCodes,MATCH(D228,ProjNames,0)),""))</f>
        <v/>
      </c>
      <c r="G228" s="32"/>
      <c r="H228" s="11"/>
      <c r="I228" s="33"/>
      <c r="J228" s="8" t="str">
        <f aca="false">IF(COUNTA(B228,D228,G228,H228,I228)=0,"",IF(B228="","Enter date",IF(OR(B228&lt;$AC$2,B228&gt;$AC$3),"Date not in July",IF(D228="","Pick project",IF(ISNA(MATCH(D228,ProjNames,0)),"Project not in list",IF(G228="","Add task description",IF(H228="","Pick NTIME or P6",IF(N(I228)&lt;=0,"Enter hours",IF(AND(AllowOT&lt;&gt;"Yes",SUMIF($B$7:$B$256,B228,$I$7:$I$256)&gt;INDEX($O$58:$O$88,DAY(B228))),"Day over "&amp;INDEX($O$58:$O$88,DAY(B228))&amp;" h","✓")))))))))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5" hidden="false" customHeight="false" outlineLevel="0" collapsed="false">
      <c r="A229" s="1"/>
      <c r="B229" s="10"/>
      <c r="C229" s="31" t="str">
        <f aca="false">IF(B229="","",TEXT(B229,"ddd"))</f>
        <v/>
      </c>
      <c r="D229" s="11"/>
      <c r="E229" s="8" t="str">
        <f aca="false">IF(D229="","",IFERROR(INDEX(ProjNumbers,MATCH(D229,ProjNames,0)),""))</f>
        <v/>
      </c>
      <c r="F229" s="8" t="str">
        <f aca="false">IF(D229="","",IFERROR(INDEX(ProjCodes,MATCH(D229,ProjNames,0)),""))</f>
        <v/>
      </c>
      <c r="G229" s="32"/>
      <c r="H229" s="11"/>
      <c r="I229" s="33"/>
      <c r="J229" s="8" t="str">
        <f aca="false">IF(COUNTA(B229,D229,G229,H229,I229)=0,"",IF(B229="","Enter date",IF(OR(B229&lt;$AC$2,B229&gt;$AC$3),"Date not in July",IF(D229="","Pick project",IF(ISNA(MATCH(D229,ProjNames,0)),"Project not in list",IF(G229="","Add task description",IF(H229="","Pick NTIME or P6",IF(N(I229)&lt;=0,"Enter hours",IF(AND(AllowOT&lt;&gt;"Yes",SUMIF($B$7:$B$256,B229,$I$7:$I$256)&gt;INDEX($O$58:$O$88,DAY(B229))),"Day over "&amp;INDEX($O$58:$O$88,DAY(B229))&amp;" h","✓")))))))))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5" hidden="false" customHeight="false" outlineLevel="0" collapsed="false">
      <c r="A230" s="1"/>
      <c r="B230" s="10"/>
      <c r="C230" s="31" t="str">
        <f aca="false">IF(B230="","",TEXT(B230,"ddd"))</f>
        <v/>
      </c>
      <c r="D230" s="11"/>
      <c r="E230" s="8" t="str">
        <f aca="false">IF(D230="","",IFERROR(INDEX(ProjNumbers,MATCH(D230,ProjNames,0)),""))</f>
        <v/>
      </c>
      <c r="F230" s="8" t="str">
        <f aca="false">IF(D230="","",IFERROR(INDEX(ProjCodes,MATCH(D230,ProjNames,0)),""))</f>
        <v/>
      </c>
      <c r="G230" s="32"/>
      <c r="H230" s="11"/>
      <c r="I230" s="33"/>
      <c r="J230" s="8" t="str">
        <f aca="false">IF(COUNTA(B230,D230,G230,H230,I230)=0,"",IF(B230="","Enter date",IF(OR(B230&lt;$AC$2,B230&gt;$AC$3),"Date not in July",IF(D230="","Pick project",IF(ISNA(MATCH(D230,ProjNames,0)),"Project not in list",IF(G230="","Add task description",IF(H230="","Pick NTIME or P6",IF(N(I230)&lt;=0,"Enter hours",IF(AND(AllowOT&lt;&gt;"Yes",SUMIF($B$7:$B$256,B230,$I$7:$I$256)&gt;INDEX($O$58:$O$88,DAY(B230))),"Day over "&amp;INDEX($O$58:$O$88,DAY(B230))&amp;" h","✓")))))))))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5" hidden="false" customHeight="false" outlineLevel="0" collapsed="false">
      <c r="A231" s="1"/>
      <c r="B231" s="10"/>
      <c r="C231" s="31" t="str">
        <f aca="false">IF(B231="","",TEXT(B231,"ddd"))</f>
        <v/>
      </c>
      <c r="D231" s="11"/>
      <c r="E231" s="8" t="str">
        <f aca="false">IF(D231="","",IFERROR(INDEX(ProjNumbers,MATCH(D231,ProjNames,0)),""))</f>
        <v/>
      </c>
      <c r="F231" s="8" t="str">
        <f aca="false">IF(D231="","",IFERROR(INDEX(ProjCodes,MATCH(D231,ProjNames,0)),""))</f>
        <v/>
      </c>
      <c r="G231" s="32"/>
      <c r="H231" s="11"/>
      <c r="I231" s="33"/>
      <c r="J231" s="8" t="str">
        <f aca="false">IF(COUNTA(B231,D231,G231,H231,I231)=0,"",IF(B231="","Enter date",IF(OR(B231&lt;$AC$2,B231&gt;$AC$3),"Date not in July",IF(D231="","Pick project",IF(ISNA(MATCH(D231,ProjNames,0)),"Project not in list",IF(G231="","Add task description",IF(H231="","Pick NTIME or P6",IF(N(I231)&lt;=0,"Enter hours",IF(AND(AllowOT&lt;&gt;"Yes",SUMIF($B$7:$B$256,B231,$I$7:$I$256)&gt;INDEX($O$58:$O$88,DAY(B231))),"Day over "&amp;INDEX($O$58:$O$88,DAY(B231))&amp;" h","✓")))))))))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5" hidden="false" customHeight="false" outlineLevel="0" collapsed="false">
      <c r="A232" s="1"/>
      <c r="B232" s="10"/>
      <c r="C232" s="31" t="str">
        <f aca="false">IF(B232="","",TEXT(B232,"ddd"))</f>
        <v/>
      </c>
      <c r="D232" s="11"/>
      <c r="E232" s="8" t="str">
        <f aca="false">IF(D232="","",IFERROR(INDEX(ProjNumbers,MATCH(D232,ProjNames,0)),""))</f>
        <v/>
      </c>
      <c r="F232" s="8" t="str">
        <f aca="false">IF(D232="","",IFERROR(INDEX(ProjCodes,MATCH(D232,ProjNames,0)),""))</f>
        <v/>
      </c>
      <c r="G232" s="32"/>
      <c r="H232" s="11"/>
      <c r="I232" s="33"/>
      <c r="J232" s="8" t="str">
        <f aca="false">IF(COUNTA(B232,D232,G232,H232,I232)=0,"",IF(B232="","Enter date",IF(OR(B232&lt;$AC$2,B232&gt;$AC$3),"Date not in July",IF(D232="","Pick project",IF(ISNA(MATCH(D232,ProjNames,0)),"Project not in list",IF(G232="","Add task description",IF(H232="","Pick NTIME or P6",IF(N(I232)&lt;=0,"Enter hours",IF(AND(AllowOT&lt;&gt;"Yes",SUMIF($B$7:$B$256,B232,$I$7:$I$256)&gt;INDEX($O$58:$O$88,DAY(B232))),"Day over "&amp;INDEX($O$58:$O$88,DAY(B232))&amp;" h","✓")))))))))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5" hidden="false" customHeight="false" outlineLevel="0" collapsed="false">
      <c r="A233" s="1"/>
      <c r="B233" s="10"/>
      <c r="C233" s="31" t="str">
        <f aca="false">IF(B233="","",TEXT(B233,"ddd"))</f>
        <v/>
      </c>
      <c r="D233" s="11"/>
      <c r="E233" s="8" t="str">
        <f aca="false">IF(D233="","",IFERROR(INDEX(ProjNumbers,MATCH(D233,ProjNames,0)),""))</f>
        <v/>
      </c>
      <c r="F233" s="8" t="str">
        <f aca="false">IF(D233="","",IFERROR(INDEX(ProjCodes,MATCH(D233,ProjNames,0)),""))</f>
        <v/>
      </c>
      <c r="G233" s="32"/>
      <c r="H233" s="11"/>
      <c r="I233" s="33"/>
      <c r="J233" s="8" t="str">
        <f aca="false">IF(COUNTA(B233,D233,G233,H233,I233)=0,"",IF(B233="","Enter date",IF(OR(B233&lt;$AC$2,B233&gt;$AC$3),"Date not in July",IF(D233="","Pick project",IF(ISNA(MATCH(D233,ProjNames,0)),"Project not in list",IF(G233="","Add task description",IF(H233="","Pick NTIME or P6",IF(N(I233)&lt;=0,"Enter hours",IF(AND(AllowOT&lt;&gt;"Yes",SUMIF($B$7:$B$256,B233,$I$7:$I$256)&gt;INDEX($O$58:$O$88,DAY(B233))),"Day over "&amp;INDEX($O$58:$O$88,DAY(B233))&amp;" h","✓")))))))))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5" hidden="false" customHeight="false" outlineLevel="0" collapsed="false">
      <c r="A234" s="1"/>
      <c r="B234" s="10"/>
      <c r="C234" s="31" t="str">
        <f aca="false">IF(B234="","",TEXT(B234,"ddd"))</f>
        <v/>
      </c>
      <c r="D234" s="11"/>
      <c r="E234" s="8" t="str">
        <f aca="false">IF(D234="","",IFERROR(INDEX(ProjNumbers,MATCH(D234,ProjNames,0)),""))</f>
        <v/>
      </c>
      <c r="F234" s="8" t="str">
        <f aca="false">IF(D234="","",IFERROR(INDEX(ProjCodes,MATCH(D234,ProjNames,0)),""))</f>
        <v/>
      </c>
      <c r="G234" s="32"/>
      <c r="H234" s="11"/>
      <c r="I234" s="33"/>
      <c r="J234" s="8" t="str">
        <f aca="false">IF(COUNTA(B234,D234,G234,H234,I234)=0,"",IF(B234="","Enter date",IF(OR(B234&lt;$AC$2,B234&gt;$AC$3),"Date not in July",IF(D234="","Pick project",IF(ISNA(MATCH(D234,ProjNames,0)),"Project not in list",IF(G234="","Add task description",IF(H234="","Pick NTIME or P6",IF(N(I234)&lt;=0,"Enter hours",IF(AND(AllowOT&lt;&gt;"Yes",SUMIF($B$7:$B$256,B234,$I$7:$I$256)&gt;INDEX($O$58:$O$88,DAY(B234))),"Day over "&amp;INDEX($O$58:$O$88,DAY(B234))&amp;" h","✓")))))))))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5" hidden="false" customHeight="false" outlineLevel="0" collapsed="false">
      <c r="A235" s="1"/>
      <c r="B235" s="10"/>
      <c r="C235" s="31" t="str">
        <f aca="false">IF(B235="","",TEXT(B235,"ddd"))</f>
        <v/>
      </c>
      <c r="D235" s="11"/>
      <c r="E235" s="8" t="str">
        <f aca="false">IF(D235="","",IFERROR(INDEX(ProjNumbers,MATCH(D235,ProjNames,0)),""))</f>
        <v/>
      </c>
      <c r="F235" s="8" t="str">
        <f aca="false">IF(D235="","",IFERROR(INDEX(ProjCodes,MATCH(D235,ProjNames,0)),""))</f>
        <v/>
      </c>
      <c r="G235" s="32"/>
      <c r="H235" s="11"/>
      <c r="I235" s="33"/>
      <c r="J235" s="8" t="str">
        <f aca="false">IF(COUNTA(B235,D235,G235,H235,I235)=0,"",IF(B235="","Enter date",IF(OR(B235&lt;$AC$2,B235&gt;$AC$3),"Date not in July",IF(D235="","Pick project",IF(ISNA(MATCH(D235,ProjNames,0)),"Project not in list",IF(G235="","Add task description",IF(H235="","Pick NTIME or P6",IF(N(I235)&lt;=0,"Enter hours",IF(AND(AllowOT&lt;&gt;"Yes",SUMIF($B$7:$B$256,B235,$I$7:$I$256)&gt;INDEX($O$58:$O$88,DAY(B235))),"Day over "&amp;INDEX($O$58:$O$88,DAY(B235))&amp;" h","✓")))))))))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5" hidden="false" customHeight="false" outlineLevel="0" collapsed="false">
      <c r="A236" s="1"/>
      <c r="B236" s="10"/>
      <c r="C236" s="31" t="str">
        <f aca="false">IF(B236="","",TEXT(B236,"ddd"))</f>
        <v/>
      </c>
      <c r="D236" s="11"/>
      <c r="E236" s="8" t="str">
        <f aca="false">IF(D236="","",IFERROR(INDEX(ProjNumbers,MATCH(D236,ProjNames,0)),""))</f>
        <v/>
      </c>
      <c r="F236" s="8" t="str">
        <f aca="false">IF(D236="","",IFERROR(INDEX(ProjCodes,MATCH(D236,ProjNames,0)),""))</f>
        <v/>
      </c>
      <c r="G236" s="32"/>
      <c r="H236" s="11"/>
      <c r="I236" s="33"/>
      <c r="J236" s="8" t="str">
        <f aca="false">IF(COUNTA(B236,D236,G236,H236,I236)=0,"",IF(B236="","Enter date",IF(OR(B236&lt;$AC$2,B236&gt;$AC$3),"Date not in July",IF(D236="","Pick project",IF(ISNA(MATCH(D236,ProjNames,0)),"Project not in list",IF(G236="","Add task description",IF(H236="","Pick NTIME or P6",IF(N(I236)&lt;=0,"Enter hours",IF(AND(AllowOT&lt;&gt;"Yes",SUMIF($B$7:$B$256,B236,$I$7:$I$256)&gt;INDEX($O$58:$O$88,DAY(B236))),"Day over "&amp;INDEX($O$58:$O$88,DAY(B236))&amp;" h","✓")))))))))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5" hidden="false" customHeight="false" outlineLevel="0" collapsed="false">
      <c r="A237" s="1"/>
      <c r="B237" s="10"/>
      <c r="C237" s="31" t="str">
        <f aca="false">IF(B237="","",TEXT(B237,"ddd"))</f>
        <v/>
      </c>
      <c r="D237" s="11"/>
      <c r="E237" s="8" t="str">
        <f aca="false">IF(D237="","",IFERROR(INDEX(ProjNumbers,MATCH(D237,ProjNames,0)),""))</f>
        <v/>
      </c>
      <c r="F237" s="8" t="str">
        <f aca="false">IF(D237="","",IFERROR(INDEX(ProjCodes,MATCH(D237,ProjNames,0)),""))</f>
        <v/>
      </c>
      <c r="G237" s="32"/>
      <c r="H237" s="11"/>
      <c r="I237" s="33"/>
      <c r="J237" s="8" t="str">
        <f aca="false">IF(COUNTA(B237,D237,G237,H237,I237)=0,"",IF(B237="","Enter date",IF(OR(B237&lt;$AC$2,B237&gt;$AC$3),"Date not in July",IF(D237="","Pick project",IF(ISNA(MATCH(D237,ProjNames,0)),"Project not in list",IF(G237="","Add task description",IF(H237="","Pick NTIME or P6",IF(N(I237)&lt;=0,"Enter hours",IF(AND(AllowOT&lt;&gt;"Yes",SUMIF($B$7:$B$256,B237,$I$7:$I$256)&gt;INDEX($O$58:$O$88,DAY(B237))),"Day over "&amp;INDEX($O$58:$O$88,DAY(B237))&amp;" h","✓")))))))))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5" hidden="false" customHeight="false" outlineLevel="0" collapsed="false">
      <c r="A238" s="1"/>
      <c r="B238" s="10"/>
      <c r="C238" s="31" t="str">
        <f aca="false">IF(B238="","",TEXT(B238,"ddd"))</f>
        <v/>
      </c>
      <c r="D238" s="11"/>
      <c r="E238" s="8" t="str">
        <f aca="false">IF(D238="","",IFERROR(INDEX(ProjNumbers,MATCH(D238,ProjNames,0)),""))</f>
        <v/>
      </c>
      <c r="F238" s="8" t="str">
        <f aca="false">IF(D238="","",IFERROR(INDEX(ProjCodes,MATCH(D238,ProjNames,0)),""))</f>
        <v/>
      </c>
      <c r="G238" s="32"/>
      <c r="H238" s="11"/>
      <c r="I238" s="33"/>
      <c r="J238" s="8" t="str">
        <f aca="false">IF(COUNTA(B238,D238,G238,H238,I238)=0,"",IF(B238="","Enter date",IF(OR(B238&lt;$AC$2,B238&gt;$AC$3),"Date not in July",IF(D238="","Pick project",IF(ISNA(MATCH(D238,ProjNames,0)),"Project not in list",IF(G238="","Add task description",IF(H238="","Pick NTIME or P6",IF(N(I238)&lt;=0,"Enter hours",IF(AND(AllowOT&lt;&gt;"Yes",SUMIF($B$7:$B$256,B238,$I$7:$I$256)&gt;INDEX($O$58:$O$88,DAY(B238))),"Day over "&amp;INDEX($O$58:$O$88,DAY(B238))&amp;" h","✓")))))))))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5" hidden="false" customHeight="false" outlineLevel="0" collapsed="false">
      <c r="A239" s="1"/>
      <c r="B239" s="10"/>
      <c r="C239" s="31" t="str">
        <f aca="false">IF(B239="","",TEXT(B239,"ddd"))</f>
        <v/>
      </c>
      <c r="D239" s="11"/>
      <c r="E239" s="8" t="str">
        <f aca="false">IF(D239="","",IFERROR(INDEX(ProjNumbers,MATCH(D239,ProjNames,0)),""))</f>
        <v/>
      </c>
      <c r="F239" s="8" t="str">
        <f aca="false">IF(D239="","",IFERROR(INDEX(ProjCodes,MATCH(D239,ProjNames,0)),""))</f>
        <v/>
      </c>
      <c r="G239" s="32"/>
      <c r="H239" s="11"/>
      <c r="I239" s="33"/>
      <c r="J239" s="8" t="str">
        <f aca="false">IF(COUNTA(B239,D239,G239,H239,I239)=0,"",IF(B239="","Enter date",IF(OR(B239&lt;$AC$2,B239&gt;$AC$3),"Date not in July",IF(D239="","Pick project",IF(ISNA(MATCH(D239,ProjNames,0)),"Project not in list",IF(G239="","Add task description",IF(H239="","Pick NTIME or P6",IF(N(I239)&lt;=0,"Enter hours",IF(AND(AllowOT&lt;&gt;"Yes",SUMIF($B$7:$B$256,B239,$I$7:$I$256)&gt;INDEX($O$58:$O$88,DAY(B239))),"Day over "&amp;INDEX($O$58:$O$88,DAY(B239))&amp;" h","✓")))))))))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5" hidden="false" customHeight="false" outlineLevel="0" collapsed="false">
      <c r="A240" s="1"/>
      <c r="B240" s="10"/>
      <c r="C240" s="31" t="str">
        <f aca="false">IF(B240="","",TEXT(B240,"ddd"))</f>
        <v/>
      </c>
      <c r="D240" s="11"/>
      <c r="E240" s="8" t="str">
        <f aca="false">IF(D240="","",IFERROR(INDEX(ProjNumbers,MATCH(D240,ProjNames,0)),""))</f>
        <v/>
      </c>
      <c r="F240" s="8" t="str">
        <f aca="false">IF(D240="","",IFERROR(INDEX(ProjCodes,MATCH(D240,ProjNames,0)),""))</f>
        <v/>
      </c>
      <c r="G240" s="32"/>
      <c r="H240" s="11"/>
      <c r="I240" s="33"/>
      <c r="J240" s="8" t="str">
        <f aca="false">IF(COUNTA(B240,D240,G240,H240,I240)=0,"",IF(B240="","Enter date",IF(OR(B240&lt;$AC$2,B240&gt;$AC$3),"Date not in July",IF(D240="","Pick project",IF(ISNA(MATCH(D240,ProjNames,0)),"Project not in list",IF(G240="","Add task description",IF(H240="","Pick NTIME or P6",IF(N(I240)&lt;=0,"Enter hours",IF(AND(AllowOT&lt;&gt;"Yes",SUMIF($B$7:$B$256,B240,$I$7:$I$256)&gt;INDEX($O$58:$O$88,DAY(B240))),"Day over "&amp;INDEX($O$58:$O$88,DAY(B240))&amp;" h","✓")))))))))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5" hidden="false" customHeight="false" outlineLevel="0" collapsed="false">
      <c r="A241" s="1"/>
      <c r="B241" s="10"/>
      <c r="C241" s="31" t="str">
        <f aca="false">IF(B241="","",TEXT(B241,"ddd"))</f>
        <v/>
      </c>
      <c r="D241" s="11"/>
      <c r="E241" s="8" t="str">
        <f aca="false">IF(D241="","",IFERROR(INDEX(ProjNumbers,MATCH(D241,ProjNames,0)),""))</f>
        <v/>
      </c>
      <c r="F241" s="8" t="str">
        <f aca="false">IF(D241="","",IFERROR(INDEX(ProjCodes,MATCH(D241,ProjNames,0)),""))</f>
        <v/>
      </c>
      <c r="G241" s="32"/>
      <c r="H241" s="11"/>
      <c r="I241" s="33"/>
      <c r="J241" s="8" t="str">
        <f aca="false">IF(COUNTA(B241,D241,G241,H241,I241)=0,"",IF(B241="","Enter date",IF(OR(B241&lt;$AC$2,B241&gt;$AC$3),"Date not in July",IF(D241="","Pick project",IF(ISNA(MATCH(D241,ProjNames,0)),"Project not in list",IF(G241="","Add task description",IF(H241="","Pick NTIME or P6",IF(N(I241)&lt;=0,"Enter hours",IF(AND(AllowOT&lt;&gt;"Yes",SUMIF($B$7:$B$256,B241,$I$7:$I$256)&gt;INDEX($O$58:$O$88,DAY(B241))),"Day over "&amp;INDEX($O$58:$O$88,DAY(B241))&amp;" h","✓")))))))))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5" hidden="false" customHeight="false" outlineLevel="0" collapsed="false">
      <c r="A242" s="1"/>
      <c r="B242" s="10"/>
      <c r="C242" s="31" t="str">
        <f aca="false">IF(B242="","",TEXT(B242,"ddd"))</f>
        <v/>
      </c>
      <c r="D242" s="11"/>
      <c r="E242" s="8" t="str">
        <f aca="false">IF(D242="","",IFERROR(INDEX(ProjNumbers,MATCH(D242,ProjNames,0)),""))</f>
        <v/>
      </c>
      <c r="F242" s="8" t="str">
        <f aca="false">IF(D242="","",IFERROR(INDEX(ProjCodes,MATCH(D242,ProjNames,0)),""))</f>
        <v/>
      </c>
      <c r="G242" s="32"/>
      <c r="H242" s="11"/>
      <c r="I242" s="33"/>
      <c r="J242" s="8" t="str">
        <f aca="false">IF(COUNTA(B242,D242,G242,H242,I242)=0,"",IF(B242="","Enter date",IF(OR(B242&lt;$AC$2,B242&gt;$AC$3),"Date not in July",IF(D242="","Pick project",IF(ISNA(MATCH(D242,ProjNames,0)),"Project not in list",IF(G242="","Add task description",IF(H242="","Pick NTIME or P6",IF(N(I242)&lt;=0,"Enter hours",IF(AND(AllowOT&lt;&gt;"Yes",SUMIF($B$7:$B$256,B242,$I$7:$I$256)&gt;INDEX($O$58:$O$88,DAY(B242))),"Day over "&amp;INDEX($O$58:$O$88,DAY(B242))&amp;" h","✓")))))))))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5" hidden="false" customHeight="false" outlineLevel="0" collapsed="false">
      <c r="A243" s="1"/>
      <c r="B243" s="10"/>
      <c r="C243" s="31" t="str">
        <f aca="false">IF(B243="","",TEXT(B243,"ddd"))</f>
        <v/>
      </c>
      <c r="D243" s="11"/>
      <c r="E243" s="8" t="str">
        <f aca="false">IF(D243="","",IFERROR(INDEX(ProjNumbers,MATCH(D243,ProjNames,0)),""))</f>
        <v/>
      </c>
      <c r="F243" s="8" t="str">
        <f aca="false">IF(D243="","",IFERROR(INDEX(ProjCodes,MATCH(D243,ProjNames,0)),""))</f>
        <v/>
      </c>
      <c r="G243" s="32"/>
      <c r="H243" s="11"/>
      <c r="I243" s="33"/>
      <c r="J243" s="8" t="str">
        <f aca="false">IF(COUNTA(B243,D243,G243,H243,I243)=0,"",IF(B243="","Enter date",IF(OR(B243&lt;$AC$2,B243&gt;$AC$3),"Date not in July",IF(D243="","Pick project",IF(ISNA(MATCH(D243,ProjNames,0)),"Project not in list",IF(G243="","Add task description",IF(H243="","Pick NTIME or P6",IF(N(I243)&lt;=0,"Enter hours",IF(AND(AllowOT&lt;&gt;"Yes",SUMIF($B$7:$B$256,B243,$I$7:$I$256)&gt;INDEX($O$58:$O$88,DAY(B243))),"Day over "&amp;INDEX($O$58:$O$88,DAY(B243))&amp;" h","✓")))))))))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5" hidden="false" customHeight="false" outlineLevel="0" collapsed="false">
      <c r="A244" s="1"/>
      <c r="B244" s="10"/>
      <c r="C244" s="31" t="str">
        <f aca="false">IF(B244="","",TEXT(B244,"ddd"))</f>
        <v/>
      </c>
      <c r="D244" s="11"/>
      <c r="E244" s="8" t="str">
        <f aca="false">IF(D244="","",IFERROR(INDEX(ProjNumbers,MATCH(D244,ProjNames,0)),""))</f>
        <v/>
      </c>
      <c r="F244" s="8" t="str">
        <f aca="false">IF(D244="","",IFERROR(INDEX(ProjCodes,MATCH(D244,ProjNames,0)),""))</f>
        <v/>
      </c>
      <c r="G244" s="32"/>
      <c r="H244" s="11"/>
      <c r="I244" s="33"/>
      <c r="J244" s="8" t="str">
        <f aca="false">IF(COUNTA(B244,D244,G244,H244,I244)=0,"",IF(B244="","Enter date",IF(OR(B244&lt;$AC$2,B244&gt;$AC$3),"Date not in July",IF(D244="","Pick project",IF(ISNA(MATCH(D244,ProjNames,0)),"Project not in list",IF(G244="","Add task description",IF(H244="","Pick NTIME or P6",IF(N(I244)&lt;=0,"Enter hours",IF(AND(AllowOT&lt;&gt;"Yes",SUMIF($B$7:$B$256,B244,$I$7:$I$256)&gt;INDEX($O$58:$O$88,DAY(B244))),"Day over "&amp;INDEX($O$58:$O$88,DAY(B244))&amp;" h","✓")))))))))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5" hidden="false" customHeight="false" outlineLevel="0" collapsed="false">
      <c r="A245" s="1"/>
      <c r="B245" s="10"/>
      <c r="C245" s="31" t="str">
        <f aca="false">IF(B245="","",TEXT(B245,"ddd"))</f>
        <v/>
      </c>
      <c r="D245" s="11"/>
      <c r="E245" s="8" t="str">
        <f aca="false">IF(D245="","",IFERROR(INDEX(ProjNumbers,MATCH(D245,ProjNames,0)),""))</f>
        <v/>
      </c>
      <c r="F245" s="8" t="str">
        <f aca="false">IF(D245="","",IFERROR(INDEX(ProjCodes,MATCH(D245,ProjNames,0)),""))</f>
        <v/>
      </c>
      <c r="G245" s="32"/>
      <c r="H245" s="11"/>
      <c r="I245" s="33"/>
      <c r="J245" s="8" t="str">
        <f aca="false">IF(COUNTA(B245,D245,G245,H245,I245)=0,"",IF(B245="","Enter date",IF(OR(B245&lt;$AC$2,B245&gt;$AC$3),"Date not in July",IF(D245="","Pick project",IF(ISNA(MATCH(D245,ProjNames,0)),"Project not in list",IF(G245="","Add task description",IF(H245="","Pick NTIME or P6",IF(N(I245)&lt;=0,"Enter hours",IF(AND(AllowOT&lt;&gt;"Yes",SUMIF($B$7:$B$256,B245,$I$7:$I$256)&gt;INDEX($O$58:$O$88,DAY(B245))),"Day over "&amp;INDEX($O$58:$O$88,DAY(B245))&amp;" h","✓")))))))))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5" hidden="false" customHeight="false" outlineLevel="0" collapsed="false">
      <c r="A246" s="1"/>
      <c r="B246" s="10"/>
      <c r="C246" s="31" t="str">
        <f aca="false">IF(B246="","",TEXT(B246,"ddd"))</f>
        <v/>
      </c>
      <c r="D246" s="11"/>
      <c r="E246" s="8" t="str">
        <f aca="false">IF(D246="","",IFERROR(INDEX(ProjNumbers,MATCH(D246,ProjNames,0)),""))</f>
        <v/>
      </c>
      <c r="F246" s="8" t="str">
        <f aca="false">IF(D246="","",IFERROR(INDEX(ProjCodes,MATCH(D246,ProjNames,0)),""))</f>
        <v/>
      </c>
      <c r="G246" s="32"/>
      <c r="H246" s="11"/>
      <c r="I246" s="33"/>
      <c r="J246" s="8" t="str">
        <f aca="false">IF(COUNTA(B246,D246,G246,H246,I246)=0,"",IF(B246="","Enter date",IF(OR(B246&lt;$AC$2,B246&gt;$AC$3),"Date not in July",IF(D246="","Pick project",IF(ISNA(MATCH(D246,ProjNames,0)),"Project not in list",IF(G246="","Add task description",IF(H246="","Pick NTIME or P6",IF(N(I246)&lt;=0,"Enter hours",IF(AND(AllowOT&lt;&gt;"Yes",SUMIF($B$7:$B$256,B246,$I$7:$I$256)&gt;INDEX($O$58:$O$88,DAY(B246))),"Day over "&amp;INDEX($O$58:$O$88,DAY(B246))&amp;" h","✓")))))))))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5" hidden="false" customHeight="false" outlineLevel="0" collapsed="false">
      <c r="A247" s="1"/>
      <c r="B247" s="10"/>
      <c r="C247" s="31" t="str">
        <f aca="false">IF(B247="","",TEXT(B247,"ddd"))</f>
        <v/>
      </c>
      <c r="D247" s="11"/>
      <c r="E247" s="8" t="str">
        <f aca="false">IF(D247="","",IFERROR(INDEX(ProjNumbers,MATCH(D247,ProjNames,0)),""))</f>
        <v/>
      </c>
      <c r="F247" s="8" t="str">
        <f aca="false">IF(D247="","",IFERROR(INDEX(ProjCodes,MATCH(D247,ProjNames,0)),""))</f>
        <v/>
      </c>
      <c r="G247" s="32"/>
      <c r="H247" s="11"/>
      <c r="I247" s="33"/>
      <c r="J247" s="8" t="str">
        <f aca="false">IF(COUNTA(B247,D247,G247,H247,I247)=0,"",IF(B247="","Enter date",IF(OR(B247&lt;$AC$2,B247&gt;$AC$3),"Date not in July",IF(D247="","Pick project",IF(ISNA(MATCH(D247,ProjNames,0)),"Project not in list",IF(G247="","Add task description",IF(H247="","Pick NTIME or P6",IF(N(I247)&lt;=0,"Enter hours",IF(AND(AllowOT&lt;&gt;"Yes",SUMIF($B$7:$B$256,B247,$I$7:$I$256)&gt;INDEX($O$58:$O$88,DAY(B247))),"Day over "&amp;INDEX($O$58:$O$88,DAY(B247))&amp;" h","✓")))))))))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5" hidden="false" customHeight="false" outlineLevel="0" collapsed="false">
      <c r="A248" s="1"/>
      <c r="B248" s="10"/>
      <c r="C248" s="31" t="str">
        <f aca="false">IF(B248="","",TEXT(B248,"ddd"))</f>
        <v/>
      </c>
      <c r="D248" s="11"/>
      <c r="E248" s="8" t="str">
        <f aca="false">IF(D248="","",IFERROR(INDEX(ProjNumbers,MATCH(D248,ProjNames,0)),""))</f>
        <v/>
      </c>
      <c r="F248" s="8" t="str">
        <f aca="false">IF(D248="","",IFERROR(INDEX(ProjCodes,MATCH(D248,ProjNames,0)),""))</f>
        <v/>
      </c>
      <c r="G248" s="32"/>
      <c r="H248" s="11"/>
      <c r="I248" s="33"/>
      <c r="J248" s="8" t="str">
        <f aca="false">IF(COUNTA(B248,D248,G248,H248,I248)=0,"",IF(B248="","Enter date",IF(OR(B248&lt;$AC$2,B248&gt;$AC$3),"Date not in July",IF(D248="","Pick project",IF(ISNA(MATCH(D248,ProjNames,0)),"Project not in list",IF(G248="","Add task description",IF(H248="","Pick NTIME or P6",IF(N(I248)&lt;=0,"Enter hours",IF(AND(AllowOT&lt;&gt;"Yes",SUMIF($B$7:$B$256,B248,$I$7:$I$256)&gt;INDEX($O$58:$O$88,DAY(B248))),"Day over "&amp;INDEX($O$58:$O$88,DAY(B248))&amp;" h","✓")))))))))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5" hidden="false" customHeight="false" outlineLevel="0" collapsed="false">
      <c r="A249" s="1"/>
      <c r="B249" s="10"/>
      <c r="C249" s="31" t="str">
        <f aca="false">IF(B249="","",TEXT(B249,"ddd"))</f>
        <v/>
      </c>
      <c r="D249" s="11"/>
      <c r="E249" s="8" t="str">
        <f aca="false">IF(D249="","",IFERROR(INDEX(ProjNumbers,MATCH(D249,ProjNames,0)),""))</f>
        <v/>
      </c>
      <c r="F249" s="8" t="str">
        <f aca="false">IF(D249="","",IFERROR(INDEX(ProjCodes,MATCH(D249,ProjNames,0)),""))</f>
        <v/>
      </c>
      <c r="G249" s="32"/>
      <c r="H249" s="11"/>
      <c r="I249" s="33"/>
      <c r="J249" s="8" t="str">
        <f aca="false">IF(COUNTA(B249,D249,G249,H249,I249)=0,"",IF(B249="","Enter date",IF(OR(B249&lt;$AC$2,B249&gt;$AC$3),"Date not in July",IF(D249="","Pick project",IF(ISNA(MATCH(D249,ProjNames,0)),"Project not in list",IF(G249="","Add task description",IF(H249="","Pick NTIME or P6",IF(N(I249)&lt;=0,"Enter hours",IF(AND(AllowOT&lt;&gt;"Yes",SUMIF($B$7:$B$256,B249,$I$7:$I$256)&gt;INDEX($O$58:$O$88,DAY(B249))),"Day over "&amp;INDEX($O$58:$O$88,DAY(B249))&amp;" h","✓")))))))))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5" hidden="false" customHeight="false" outlineLevel="0" collapsed="false">
      <c r="A250" s="1"/>
      <c r="B250" s="10"/>
      <c r="C250" s="31" t="str">
        <f aca="false">IF(B250="","",TEXT(B250,"ddd"))</f>
        <v/>
      </c>
      <c r="D250" s="11"/>
      <c r="E250" s="8" t="str">
        <f aca="false">IF(D250="","",IFERROR(INDEX(ProjNumbers,MATCH(D250,ProjNames,0)),""))</f>
        <v/>
      </c>
      <c r="F250" s="8" t="str">
        <f aca="false">IF(D250="","",IFERROR(INDEX(ProjCodes,MATCH(D250,ProjNames,0)),""))</f>
        <v/>
      </c>
      <c r="G250" s="32"/>
      <c r="H250" s="11"/>
      <c r="I250" s="33"/>
      <c r="J250" s="8" t="str">
        <f aca="false">IF(COUNTA(B250,D250,G250,H250,I250)=0,"",IF(B250="","Enter date",IF(OR(B250&lt;$AC$2,B250&gt;$AC$3),"Date not in July",IF(D250="","Pick project",IF(ISNA(MATCH(D250,ProjNames,0)),"Project not in list",IF(G250="","Add task description",IF(H250="","Pick NTIME or P6",IF(N(I250)&lt;=0,"Enter hours",IF(AND(AllowOT&lt;&gt;"Yes",SUMIF($B$7:$B$256,B250,$I$7:$I$256)&gt;INDEX($O$58:$O$88,DAY(B250))),"Day over "&amp;INDEX($O$58:$O$88,DAY(B250))&amp;" h","✓")))))))))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5" hidden="false" customHeight="false" outlineLevel="0" collapsed="false">
      <c r="A251" s="1"/>
      <c r="B251" s="10"/>
      <c r="C251" s="31" t="str">
        <f aca="false">IF(B251="","",TEXT(B251,"ddd"))</f>
        <v/>
      </c>
      <c r="D251" s="11"/>
      <c r="E251" s="8" t="str">
        <f aca="false">IF(D251="","",IFERROR(INDEX(ProjNumbers,MATCH(D251,ProjNames,0)),""))</f>
        <v/>
      </c>
      <c r="F251" s="8" t="str">
        <f aca="false">IF(D251="","",IFERROR(INDEX(ProjCodes,MATCH(D251,ProjNames,0)),""))</f>
        <v/>
      </c>
      <c r="G251" s="32"/>
      <c r="H251" s="11"/>
      <c r="I251" s="33"/>
      <c r="J251" s="8" t="str">
        <f aca="false">IF(COUNTA(B251,D251,G251,H251,I251)=0,"",IF(B251="","Enter date",IF(OR(B251&lt;$AC$2,B251&gt;$AC$3),"Date not in July",IF(D251="","Pick project",IF(ISNA(MATCH(D251,ProjNames,0)),"Project not in list",IF(G251="","Add task description",IF(H251="","Pick NTIME or P6",IF(N(I251)&lt;=0,"Enter hours",IF(AND(AllowOT&lt;&gt;"Yes",SUMIF($B$7:$B$256,B251,$I$7:$I$256)&gt;INDEX($O$58:$O$88,DAY(B251))),"Day over "&amp;INDEX($O$58:$O$88,DAY(B251))&amp;" h","✓")))))))))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5" hidden="false" customHeight="false" outlineLevel="0" collapsed="false">
      <c r="A252" s="1"/>
      <c r="B252" s="10"/>
      <c r="C252" s="31" t="str">
        <f aca="false">IF(B252="","",TEXT(B252,"ddd"))</f>
        <v/>
      </c>
      <c r="D252" s="11"/>
      <c r="E252" s="8" t="str">
        <f aca="false">IF(D252="","",IFERROR(INDEX(ProjNumbers,MATCH(D252,ProjNames,0)),""))</f>
        <v/>
      </c>
      <c r="F252" s="8" t="str">
        <f aca="false">IF(D252="","",IFERROR(INDEX(ProjCodes,MATCH(D252,ProjNames,0)),""))</f>
        <v/>
      </c>
      <c r="G252" s="32"/>
      <c r="H252" s="11"/>
      <c r="I252" s="33"/>
      <c r="J252" s="8" t="str">
        <f aca="false">IF(COUNTA(B252,D252,G252,H252,I252)=0,"",IF(B252="","Enter date",IF(OR(B252&lt;$AC$2,B252&gt;$AC$3),"Date not in July",IF(D252="","Pick project",IF(ISNA(MATCH(D252,ProjNames,0)),"Project not in list",IF(G252="","Add task description",IF(H252="","Pick NTIME or P6",IF(N(I252)&lt;=0,"Enter hours",IF(AND(AllowOT&lt;&gt;"Yes",SUMIF($B$7:$B$256,B252,$I$7:$I$256)&gt;INDEX($O$58:$O$88,DAY(B252))),"Day over "&amp;INDEX($O$58:$O$88,DAY(B252))&amp;" h","✓")))))))))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5" hidden="false" customHeight="false" outlineLevel="0" collapsed="false">
      <c r="A253" s="1"/>
      <c r="B253" s="10"/>
      <c r="C253" s="31" t="str">
        <f aca="false">IF(B253="","",TEXT(B253,"ddd"))</f>
        <v/>
      </c>
      <c r="D253" s="11"/>
      <c r="E253" s="8" t="str">
        <f aca="false">IF(D253="","",IFERROR(INDEX(ProjNumbers,MATCH(D253,ProjNames,0)),""))</f>
        <v/>
      </c>
      <c r="F253" s="8" t="str">
        <f aca="false">IF(D253="","",IFERROR(INDEX(ProjCodes,MATCH(D253,ProjNames,0)),""))</f>
        <v/>
      </c>
      <c r="G253" s="32"/>
      <c r="H253" s="11"/>
      <c r="I253" s="33"/>
      <c r="J253" s="8" t="str">
        <f aca="false">IF(COUNTA(B253,D253,G253,H253,I253)=0,"",IF(B253="","Enter date",IF(OR(B253&lt;$AC$2,B253&gt;$AC$3),"Date not in July",IF(D253="","Pick project",IF(ISNA(MATCH(D253,ProjNames,0)),"Project not in list",IF(G253="","Add task description",IF(H253="","Pick NTIME or P6",IF(N(I253)&lt;=0,"Enter hours",IF(AND(AllowOT&lt;&gt;"Yes",SUMIF($B$7:$B$256,B253,$I$7:$I$256)&gt;INDEX($O$58:$O$88,DAY(B253))),"Day over "&amp;INDEX($O$58:$O$88,DAY(B253))&amp;" h","✓")))))))))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5" hidden="false" customHeight="false" outlineLevel="0" collapsed="false">
      <c r="A254" s="1"/>
      <c r="B254" s="10"/>
      <c r="C254" s="31" t="str">
        <f aca="false">IF(B254="","",TEXT(B254,"ddd"))</f>
        <v/>
      </c>
      <c r="D254" s="11"/>
      <c r="E254" s="8" t="str">
        <f aca="false">IF(D254="","",IFERROR(INDEX(ProjNumbers,MATCH(D254,ProjNames,0)),""))</f>
        <v/>
      </c>
      <c r="F254" s="8" t="str">
        <f aca="false">IF(D254="","",IFERROR(INDEX(ProjCodes,MATCH(D254,ProjNames,0)),""))</f>
        <v/>
      </c>
      <c r="G254" s="32"/>
      <c r="H254" s="11"/>
      <c r="I254" s="33"/>
      <c r="J254" s="8" t="str">
        <f aca="false">IF(COUNTA(B254,D254,G254,H254,I254)=0,"",IF(B254="","Enter date",IF(OR(B254&lt;$AC$2,B254&gt;$AC$3),"Date not in July",IF(D254="","Pick project",IF(ISNA(MATCH(D254,ProjNames,0)),"Project not in list",IF(G254="","Add task description",IF(H254="","Pick NTIME or P6",IF(N(I254)&lt;=0,"Enter hours",IF(AND(AllowOT&lt;&gt;"Yes",SUMIF($B$7:$B$256,B254,$I$7:$I$256)&gt;INDEX($O$58:$O$88,DAY(B254))),"Day over "&amp;INDEX($O$58:$O$88,DAY(B254))&amp;" h","✓")))))))))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5" hidden="false" customHeight="false" outlineLevel="0" collapsed="false">
      <c r="A255" s="1"/>
      <c r="B255" s="10"/>
      <c r="C255" s="31" t="str">
        <f aca="false">IF(B255="","",TEXT(B255,"ddd"))</f>
        <v/>
      </c>
      <c r="D255" s="11"/>
      <c r="E255" s="8" t="str">
        <f aca="false">IF(D255="","",IFERROR(INDEX(ProjNumbers,MATCH(D255,ProjNames,0)),""))</f>
        <v/>
      </c>
      <c r="F255" s="8" t="str">
        <f aca="false">IF(D255="","",IFERROR(INDEX(ProjCodes,MATCH(D255,ProjNames,0)),""))</f>
        <v/>
      </c>
      <c r="G255" s="32"/>
      <c r="H255" s="11"/>
      <c r="I255" s="33"/>
      <c r="J255" s="8" t="str">
        <f aca="false">IF(COUNTA(B255,D255,G255,H255,I255)=0,"",IF(B255="","Enter date",IF(OR(B255&lt;$AC$2,B255&gt;$AC$3),"Date not in July",IF(D255="","Pick project",IF(ISNA(MATCH(D255,ProjNames,0)),"Project not in list",IF(G255="","Add task description",IF(H255="","Pick NTIME or P6",IF(N(I255)&lt;=0,"Enter hours",IF(AND(AllowOT&lt;&gt;"Yes",SUMIF($B$7:$B$256,B255,$I$7:$I$256)&gt;INDEX($O$58:$O$88,DAY(B255))),"Day over "&amp;INDEX($O$58:$O$88,DAY(B255))&amp;" h","✓")))))))))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5" hidden="false" customHeight="false" outlineLevel="0" collapsed="false">
      <c r="A256" s="1"/>
      <c r="B256" s="10"/>
      <c r="C256" s="31" t="str">
        <f aca="false">IF(B256="","",TEXT(B256,"ddd"))</f>
        <v/>
      </c>
      <c r="D256" s="11"/>
      <c r="E256" s="8" t="str">
        <f aca="false">IF(D256="","",IFERROR(INDEX(ProjNumbers,MATCH(D256,ProjNames,0)),""))</f>
        <v/>
      </c>
      <c r="F256" s="8" t="str">
        <f aca="false">IF(D256="","",IFERROR(INDEX(ProjCodes,MATCH(D256,ProjNames,0)),""))</f>
        <v/>
      </c>
      <c r="G256" s="32"/>
      <c r="H256" s="11"/>
      <c r="I256" s="33"/>
      <c r="J256" s="8" t="str">
        <f aca="false">IF(COUNTA(B256,D256,G256,H256,I256)=0,"",IF(B256="","Enter date",IF(OR(B256&lt;$AC$2,B256&gt;$AC$3),"Date not in July",IF(D256="","Pick project",IF(ISNA(MATCH(D256,ProjNames,0)),"Project not in list",IF(G256="","Add task description",IF(H256="","Pick NTIME or P6",IF(N(I256)&lt;=0,"Enter hours",IF(AND(AllowOT&lt;&gt;"Yes",SUMIF($B$7:$B$256,B256,$I$7:$I$256)&gt;INDEX($O$58:$O$88,DAY(B256))),"Day over "&amp;INDEX($O$58:$O$88,DAY(B256))&amp;" h","✓")))))))))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</sheetData>
  <conditionalFormatting sqref="J7:J256">
    <cfRule type="expression" priority="2" aboveAverage="0" equalAverage="0" bottom="0" percent="0" rank="0" text="" dxfId="0">
      <formula>AND(J7&lt;&gt;"",J7&lt;&gt;"✓")</formula>
    </cfRule>
  </conditionalFormatting>
  <conditionalFormatting sqref="H7:H256">
    <cfRule type="expression" priority="3" aboveAverage="0" equalAverage="0" bottom="0" percent="0" rank="0" text="" dxfId="1">
      <formula>H7="NTIME"</formula>
    </cfRule>
    <cfRule type="expression" priority="4" aboveAverage="0" equalAverage="0" bottom="0" percent="0" rank="0" text="" dxfId="2">
      <formula>H7="P6"</formula>
    </cfRule>
  </conditionalFormatting>
  <conditionalFormatting sqref="S5">
    <cfRule type="expression" priority="5" aboveAverage="0" equalAverage="0" bottom="0" percent="0" rank="0" text="" dxfId="3">
      <formula>S5&gt;0</formula>
    </cfRule>
  </conditionalFormatting>
  <conditionalFormatting sqref="L52:R52">
    <cfRule type="expression" priority="6" aboveAverage="0" equalAverage="0" bottom="0" percent="0" rank="0" text="" dxfId="4">
      <formula>$Q$52&gt;0</formula>
    </cfRule>
  </conditionalFormatting>
  <conditionalFormatting sqref="L58:U88">
    <cfRule type="expression" priority="7" aboveAverage="0" equalAverage="0" bottom="0" percent="0" rank="0" text="" dxfId="5">
      <formula>$L58=TODAY()</formula>
    </cfRule>
    <cfRule type="expression" priority="8" aboveAverage="0" equalAverage="0" bottom="0" percent="0" rank="0" text="" dxfId="6">
      <formula>OR($N58="Weekend",$N58="Leave",$N58="Public Holiday")</formula>
    </cfRule>
  </conditionalFormatting>
  <conditionalFormatting sqref="U58:U88">
    <cfRule type="expression" priority="9" aboveAverage="0" equalAverage="0" bottom="0" percent="0" rank="0" text="" dxfId="7">
      <formula>OR(U58="Not logged",LEFT(U58,5)="Over ",LEFT(U58,7)="Entries")</formula>
    </cfRule>
    <cfRule type="expression" priority="10" aboveAverage="0" equalAverage="0" bottom="0" percent="0" rank="0" text="" dxfId="8">
      <formula>LEFT(U58,1)="✓"</formula>
    </cfRule>
  </conditionalFormatting>
  <dataValidations count="7">
    <dataValidation allowBlank="false" error="Hours must be more than 0 and at most 24." errorStyle="stop" operator="between" showDropDown="false" showErrorMessage="true" showInputMessage="false" sqref="I7:I256" type="decimal">
      <formula1>0.01</formula1>
      <formula2>24</formula2>
    </dataValidation>
    <dataValidation allowBlank="false" error="Keep the task description to 200 characters." errorStyle="stop" operator="lessThanOrEqual" showDropDown="false" showErrorMessage="true" showInputMessage="false" sqref="G7:G256" type="textLength">
      <formula1>200</formula1>
      <formula2>0</formula2>
    </dataValidation>
    <dataValidation allowBlank="false" errorStyle="stop" operator="between" showDropDown="false" showErrorMessage="true" showInputMessage="false" sqref="O58:O88" type="decimal">
      <formula1>0</formula1>
      <formula2>24</formula2>
    </dataValidation>
    <dataValidation allowBlank="false" error="Enter a date in July 2026." errorStyle="stop" errorTitle="Date" operator="between" showDropDown="false" showErrorMessage="true" showInputMessage="false" sqref="B7:B256" type="date">
      <formula1>DATE(2026,7,1)</formula1>
      <formula2>DATE(2026,7,31)</formula2>
    </dataValidation>
    <dataValidation allowBlank="false" error="Pick a project from the list. Add new projects on the Projects sheet first." errorStyle="stop" errorTitle="Project" operator="between" showDropDown="false" showErrorMessage="true" showInputMessage="false" sqref="D7:D256" type="list">
      <formula1>ProjNames</formula1>
      <formula2>0</formula2>
    </dataValidation>
    <dataValidation allowBlank="false" errorStyle="stop" operator="between" showDropDown="false" showErrorMessage="true" showInputMessage="false" sqref="H7:H256" type="list">
      <formula1>"NTIME,P6"</formula1>
      <formula2>0</formula2>
    </dataValidation>
    <dataValidation allowBlank="false" errorStyle="stop" operator="between" showDropDown="false" showErrorMessage="true" showInputMessage="false" sqref="N58:N88" type="list">
      <formula1>"Working,Overhead only,Leave,Public Holiday,Weekend"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true"/>
  </sheetPr>
  <dimension ref="A1:AH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9" min="15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true" outlineLevel="0" max="34" min="23" style="0" width="13"/>
  </cols>
  <sheetData>
    <row r="1" customFormat="false" ht="22.05" hidden="false" customHeight="false" outlineLevel="0" collapsed="false">
      <c r="A1" s="1"/>
      <c r="B1" s="2" t="s">
        <v>101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75</v>
      </c>
      <c r="AD1" s="1"/>
      <c r="AE1" s="1"/>
      <c r="AF1" s="1"/>
      <c r="AG1" s="1"/>
      <c r="AH1" s="1"/>
    </row>
    <row r="2" customFormat="false" ht="15" hidden="false" customHeight="false" outlineLevel="0" collapsed="false">
      <c r="A2" s="1"/>
      <c r="B2" s="3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0" t="n">
        <v>46235</v>
      </c>
      <c r="AD2" s="1"/>
      <c r="AE2" s="1"/>
      <c r="AF2" s="1"/>
      <c r="AG2" s="1"/>
      <c r="AH2" s="1"/>
    </row>
    <row r="3" customFormat="false" ht="15" hidden="false" customHeight="false" outlineLevel="0" collapsed="false">
      <c r="A3" s="1"/>
      <c r="B3" s="4" t="s">
        <v>77</v>
      </c>
      <c r="C3" s="1"/>
      <c r="D3" s="1"/>
      <c r="E3" s="1"/>
      <c r="F3" s="1"/>
      <c r="G3" s="1"/>
      <c r="H3" s="1"/>
      <c r="I3" s="1"/>
      <c r="J3" s="1"/>
      <c r="K3" s="1"/>
      <c r="L3" s="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0" t="n">
        <v>46265</v>
      </c>
      <c r="AD3" s="1"/>
      <c r="AE3" s="1"/>
      <c r="AF3" s="1"/>
      <c r="AG3" s="1"/>
      <c r="AH3" s="1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3" t="s">
        <v>50</v>
      </c>
      <c r="M4" s="13" t="str">
        <f aca="false">IF(OHSystem="NTIME","NTIME (incl. overhead)","NTIME")</f>
        <v>NTIME</v>
      </c>
      <c r="N4" s="13" t="str">
        <f aca="false">IF(OHSystem="P6","P6 (incl. overhead)","P6")</f>
        <v>P6</v>
      </c>
      <c r="O4" s="13" t="s">
        <v>15</v>
      </c>
      <c r="P4" s="13" t="s">
        <v>24</v>
      </c>
      <c r="Q4" s="13" t="s">
        <v>51</v>
      </c>
      <c r="R4" s="13" t="s">
        <v>52</v>
      </c>
      <c r="S4" s="13" t="s">
        <v>53</v>
      </c>
      <c r="T4" s="1"/>
      <c r="U4" s="1"/>
      <c r="V4" s="1"/>
      <c r="W4" s="1"/>
      <c r="X4" s="1"/>
      <c r="Y4" s="1"/>
      <c r="Z4" s="1"/>
      <c r="AA4" s="1"/>
      <c r="AB4" s="1"/>
      <c r="AC4" s="30" t="n">
        <f aca="false">AC2-MOD(WEEKDAY(AC2,2)-WeekStartNum,7)</f>
        <v>46230</v>
      </c>
      <c r="AD4" s="1"/>
      <c r="AE4" s="1"/>
      <c r="AF4" s="1"/>
      <c r="AG4" s="1"/>
      <c r="AH4" s="1"/>
    </row>
    <row r="5" customFormat="false" ht="30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 t="n">
        <f aca="false">SUM($T$58:$T$88)</f>
        <v>0</v>
      </c>
      <c r="M5" s="15" t="n">
        <f aca="false">SUM($P$58:$P$88)+IF(OHSystem="NTIME",SUM($R$58:$R$88),0)</f>
        <v>0</v>
      </c>
      <c r="N5" s="16" t="n">
        <f aca="false">SUM($Q$58:$Q$88)+IF(OHSystem="P6",SUM($R$58:$R$88),0)</f>
        <v>0</v>
      </c>
      <c r="O5" s="17" t="n">
        <f aca="false">SUM($R$58:$R$88)</f>
        <v>0</v>
      </c>
      <c r="P5" s="14" t="n">
        <f aca="false">SUM($S$58:$S$88)</f>
        <v>0</v>
      </c>
      <c r="Q5" s="18" t="str">
        <f aca="false">IF(L5=0,"-",(SUM($P$58:$P$88)+SUM($Q$58:$Q$88))/L5)</f>
        <v>-</v>
      </c>
      <c r="R5" s="19" t="n">
        <f aca="false">SUMPRODUCT(($N$58:$N$88="Working")*(($P$58:$P$88+$Q$58:$Q$88)&gt;0))+COUNTIF($N$58:$N$88,"Overhead only")</f>
        <v>0</v>
      </c>
      <c r="S5" s="19" t="n">
        <f aca="false">COUNTIF($U$58:$U$88,"Not logged")</f>
        <v>21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5" hidden="false" customHeight="false" outlineLevel="0" collapsed="false">
      <c r="A6" s="1"/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5" hidden="false" customHeight="false" outlineLevel="0" collapsed="false">
      <c r="A7" s="1"/>
      <c r="B7" s="10"/>
      <c r="C7" s="31" t="str">
        <f aca="false">IF(B7="","",TEXT(B7,"ddd"))</f>
        <v/>
      </c>
      <c r="D7" s="11"/>
      <c r="E7" s="8" t="str">
        <f aca="false">IF(D7="","",IFERROR(INDEX(ProjNumbers,MATCH(D7,ProjNames,0)),""))</f>
        <v/>
      </c>
      <c r="F7" s="8" t="str">
        <f aca="false">IF(D7="","",IFERROR(INDEX(ProjCodes,MATCH(D7,ProjNames,0)),""))</f>
        <v/>
      </c>
      <c r="G7" s="32"/>
      <c r="H7" s="11"/>
      <c r="I7" s="33"/>
      <c r="J7" s="8" t="str">
        <f aca="false">IF(COUNTA(B7,D7,G7,H7,I7)=0,"",IF(B7="","Enter date",IF(OR(B7&lt;$AC$2,B7&gt;$AC$3),"Date not in August",IF(D7="","Pick project",IF(ISNA(MATCH(D7,ProjNames,0)),"Project not in list",IF(G7="","Add task description",IF(H7="","Pick NTIME or P6",IF(N(I7)&lt;=0,"Enter hours",IF(AND(AllowOT&lt;&gt;"Yes",SUMIF($B$7:$B$256,B7,$I$7:$I$256)&gt;INDEX($O$58:$O$88,DAY(B7))),"Day over "&amp;INDEX($O$58:$O$88,DAY(B7))&amp;" h","✓")))))))))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tr">
        <f aca="false">IF(Projects!B5="","",Projects!B5)</f>
        <v>Project A</v>
      </c>
      <c r="X7" s="1" t="n">
        <f aca="false">IF(W7="",0,SUMIFS($I$7:$I$256,$D$7:$D$256,W7,$H$7:$H$256,"NTIME"))</f>
        <v>0</v>
      </c>
      <c r="Y7" s="1" t="n">
        <f aca="false">IF(W7="",0,SUMIFS($I$7:$I$256,$D$7:$D$256,W7,$H$7:$H$256,"P6"))</f>
        <v>0</v>
      </c>
      <c r="Z7" s="1" t="n">
        <f aca="false">X7+Y7</f>
        <v>0</v>
      </c>
      <c r="AA7" s="1" t="n">
        <f aca="false">IF(Z7&gt;0,Z7+(201-1)/10^6,0)</f>
        <v>0</v>
      </c>
      <c r="AB7" s="1"/>
      <c r="AC7" s="1"/>
      <c r="AD7" s="1"/>
      <c r="AE7" s="1"/>
      <c r="AF7" s="1"/>
      <c r="AG7" s="1"/>
      <c r="AH7" s="1"/>
    </row>
    <row r="8" customFormat="false" ht="15" hidden="false" customHeight="false" outlineLevel="0" collapsed="false">
      <c r="A8" s="1"/>
      <c r="B8" s="10"/>
      <c r="C8" s="31" t="str">
        <f aca="false">IF(B8="","",TEXT(B8,"ddd"))</f>
        <v/>
      </c>
      <c r="D8" s="11"/>
      <c r="E8" s="8" t="str">
        <f aca="false">IF(D8="","",IFERROR(INDEX(ProjNumbers,MATCH(D8,ProjNames,0)),""))</f>
        <v/>
      </c>
      <c r="F8" s="8" t="str">
        <f aca="false">IF(D8="","",IFERROR(INDEX(ProjCodes,MATCH(D8,ProjNames,0)),""))</f>
        <v/>
      </c>
      <c r="G8" s="32"/>
      <c r="H8" s="11"/>
      <c r="I8" s="33"/>
      <c r="J8" s="8" t="str">
        <f aca="false">IF(COUNTA(B8,D8,G8,H8,I8)=0,"",IF(B8="","Enter date",IF(OR(B8&lt;$AC$2,B8&gt;$AC$3),"Date not in August",IF(D8="","Pick project",IF(ISNA(MATCH(D8,ProjNames,0)),"Project not in list",IF(G8="","Add task description",IF(H8="","Pick NTIME or P6",IF(N(I8)&lt;=0,"Enter hours",IF(AND(AllowOT&lt;&gt;"Yes",SUMIF($B$7:$B$256,B8,$I$7:$I$256)&gt;INDEX($O$58:$O$88,DAY(B8))),"Day over "&amp;INDEX($O$58:$O$88,DAY(B8))&amp;" h","✓")))))))))</f>
        <v/>
      </c>
      <c r="K8" s="1"/>
      <c r="L8" s="4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f aca="false">IF(Projects!B6="","",Projects!B6)</f>
        <v/>
      </c>
      <c r="X8" s="1" t="n">
        <f aca="false">IF(W8="",0,SUMIFS($I$7:$I$256,$D$7:$D$256,W8,$H$7:$H$256,"NTIME"))</f>
        <v>0</v>
      </c>
      <c r="Y8" s="1" t="n">
        <f aca="false">IF(W8="",0,SUMIFS($I$7:$I$256,$D$7:$D$256,W8,$H$7:$H$256,"P6"))</f>
        <v>0</v>
      </c>
      <c r="Z8" s="1" t="n">
        <f aca="false">X8+Y8</f>
        <v>0</v>
      </c>
      <c r="AA8" s="1" t="n">
        <f aca="false">IF(Z8&gt;0,Z8+(201-2)/10^6,0)</f>
        <v>0</v>
      </c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/>
      <c r="B9" s="10"/>
      <c r="C9" s="31" t="str">
        <f aca="false">IF(B9="","",TEXT(B9,"ddd"))</f>
        <v/>
      </c>
      <c r="D9" s="11"/>
      <c r="E9" s="8" t="str">
        <f aca="false">IF(D9="","",IFERROR(INDEX(ProjNumbers,MATCH(D9,ProjNames,0)),""))</f>
        <v/>
      </c>
      <c r="F9" s="8" t="str">
        <f aca="false">IF(D9="","",IFERROR(INDEX(ProjCodes,MATCH(D9,ProjNames,0)),""))</f>
        <v/>
      </c>
      <c r="G9" s="32"/>
      <c r="H9" s="11"/>
      <c r="I9" s="33"/>
      <c r="J9" s="8" t="str">
        <f aca="false">IF(COUNTA(B9,D9,G9,H9,I9)=0,"",IF(B9="","Enter date",IF(OR(B9&lt;$AC$2,B9&gt;$AC$3),"Date not in August",IF(D9="","Pick project",IF(ISNA(MATCH(D9,ProjNames,0)),"Project not in list",IF(G9="","Add task description",IF(H9="","Pick NTIME or P6",IF(N(I9)&lt;=0,"Enter hours",IF(AND(AllowOT&lt;&gt;"Yes",SUMIF($B$7:$B$256,B9,$I$7:$I$256)&gt;INDEX($O$58:$O$88,DAY(B9))),"Day over "&amp;INDEX($O$58:$O$88,DAY(B9))&amp;" h","✓")))))))))</f>
        <v/>
      </c>
      <c r="K9" s="1"/>
      <c r="L9" s="9" t="s">
        <v>81</v>
      </c>
      <c r="M9" s="9" t="s">
        <v>82</v>
      </c>
      <c r="N9" s="9" t="s">
        <v>83</v>
      </c>
      <c r="O9" s="20" t="s">
        <v>46</v>
      </c>
      <c r="P9" s="21" t="s">
        <v>56</v>
      </c>
      <c r="Q9" s="22" t="s">
        <v>15</v>
      </c>
      <c r="R9" s="9" t="s">
        <v>24</v>
      </c>
      <c r="S9" s="9" t="s">
        <v>57</v>
      </c>
      <c r="T9" s="1"/>
      <c r="U9" s="1"/>
      <c r="V9" s="1"/>
      <c r="W9" s="1" t="str">
        <f aca="false">IF(Projects!B7="","",Projects!B7)</f>
        <v/>
      </c>
      <c r="X9" s="1" t="n">
        <f aca="false">IF(W9="",0,SUMIFS($I$7:$I$256,$D$7:$D$256,W9,$H$7:$H$256,"NTIME"))</f>
        <v>0</v>
      </c>
      <c r="Y9" s="1" t="n">
        <f aca="false">IF(W9="",0,SUMIFS($I$7:$I$256,$D$7:$D$256,W9,$H$7:$H$256,"P6"))</f>
        <v>0</v>
      </c>
      <c r="Z9" s="1" t="n">
        <f aca="false">X9+Y9</f>
        <v>0</v>
      </c>
      <c r="AA9" s="1" t="n">
        <f aca="false">IF(Z9&gt;0,Z9+(201-3)/10^6,0)</f>
        <v>0</v>
      </c>
      <c r="AB9" s="1"/>
      <c r="AC9" s="1"/>
      <c r="AD9" s="1"/>
      <c r="AE9" s="1"/>
      <c r="AF9" s="1" t="s">
        <v>46</v>
      </c>
      <c r="AG9" s="1" t="s">
        <v>56</v>
      </c>
      <c r="AH9" s="1" t="s">
        <v>15</v>
      </c>
    </row>
    <row r="10" customFormat="false" ht="15" hidden="false" customHeight="false" outlineLevel="0" collapsed="false">
      <c r="A10" s="1"/>
      <c r="B10" s="10"/>
      <c r="C10" s="31" t="str">
        <f aca="false">IF(B10="","",TEXT(B10,"ddd"))</f>
        <v/>
      </c>
      <c r="D10" s="11"/>
      <c r="E10" s="8" t="str">
        <f aca="false">IF(D10="","",IFERROR(INDEX(ProjNumbers,MATCH(D10,ProjNames,0)),""))</f>
        <v/>
      </c>
      <c r="F10" s="8" t="str">
        <f aca="false">IF(D10="","",IFERROR(INDEX(ProjCodes,MATCH(D10,ProjNames,0)),""))</f>
        <v/>
      </c>
      <c r="G10" s="32"/>
      <c r="H10" s="11"/>
      <c r="I10" s="33"/>
      <c r="J10" s="8" t="str">
        <f aca="false">IF(COUNTA(B10,D10,G10,H10,I10)=0,"",IF(B10="","Enter date",IF(OR(B10&lt;$AC$2,B10&gt;$AC$3),"Date not in August",IF(D10="","Pick project",IF(ISNA(MATCH(D10,ProjNames,0)),"Project not in list",IF(G10="","Add task description",IF(H10="","Pick NTIME or P6",IF(N(I10)&lt;=0,"Enter hours",IF(AND(AllowOT&lt;&gt;"Yes",SUMIF($B$7:$B$256,B10,$I$7:$I$256)&gt;INDEX($O$58:$O$88,DAY(B10))),"Day over "&amp;INDEX($O$58:$O$88,DAY(B10))&amp;" h","✓")))))))))</f>
        <v/>
      </c>
      <c r="K10" s="1"/>
      <c r="L10" s="24" t="str">
        <f aca="false">"Week 1"&amp;IF(M10="",""," ("&amp;DAY(M10)&amp;"–"&amp;DAY(N10)&amp;")")</f>
        <v>Week 1 (1–2)</v>
      </c>
      <c r="M10" s="34" t="n">
        <f aca="false">IF($AC$4+7*0&gt;$AC$3,"",MAX($AC$2,$AC$4+7*0))</f>
        <v>46235</v>
      </c>
      <c r="N10" s="34" t="n">
        <f aca="false">IF(M10="","",MIN($AC$3,$AC$4+7*1-1))</f>
        <v>46236</v>
      </c>
      <c r="O10" s="24" t="n">
        <f aca="false">IF($M10="","",AF10+IF(OHSystem="NTIME",AH10,0))</f>
        <v>0</v>
      </c>
      <c r="P10" s="24" t="n">
        <f aca="false">IF($M10="","",AG10+IF(OHSystem="P6",AH10,0))</f>
        <v>0</v>
      </c>
      <c r="Q10" s="24" t="n">
        <f aca="false">IF($M10="","",AH10)</f>
        <v>0</v>
      </c>
      <c r="R10" s="24" t="n">
        <f aca="false">IF($M10="","",SUMIFS($S$58:$S$88,$L$58:$L$88,"&gt;="&amp;$M10,$L$58:$L$88,"&lt;="&amp;$N10))</f>
        <v>0</v>
      </c>
      <c r="S10" s="24" t="n">
        <f aca="false">IF($M10="","",SUMIFS($T$58:$T$88,$L$58:$L$88,"&gt;="&amp;$M10,$L$58:$L$88,"&lt;="&amp;$N10))</f>
        <v>0</v>
      </c>
      <c r="T10" s="1"/>
      <c r="U10" s="1"/>
      <c r="V10" s="1"/>
      <c r="W10" s="1" t="str">
        <f aca="false">IF(Projects!B8="","",Projects!B8)</f>
        <v/>
      </c>
      <c r="X10" s="1" t="n">
        <f aca="false">IF(W10="",0,SUMIFS($I$7:$I$256,$D$7:$D$256,W10,$H$7:$H$256,"NTIME"))</f>
        <v>0</v>
      </c>
      <c r="Y10" s="1" t="n">
        <f aca="false">IF(W10="",0,SUMIFS($I$7:$I$256,$D$7:$D$256,W10,$H$7:$H$256,"P6"))</f>
        <v>0</v>
      </c>
      <c r="Z10" s="1" t="n">
        <f aca="false">X10+Y10</f>
        <v>0</v>
      </c>
      <c r="AA10" s="1" t="n">
        <f aca="false">IF(Z10&gt;0,Z10+(201-4)/10^6,0)</f>
        <v>0</v>
      </c>
      <c r="AB10" s="1"/>
      <c r="AC10" s="1"/>
      <c r="AD10" s="1"/>
      <c r="AE10" s="1"/>
      <c r="AF10" s="1" t="n">
        <f aca="false">IF($M10="",0,SUMIFS($P$58:$P$88,$L$58:$L$88,"&gt;="&amp;$M10,$L$58:$L$88,"&lt;="&amp;$N10))</f>
        <v>0</v>
      </c>
      <c r="AG10" s="1" t="n">
        <f aca="false">IF($M10="",0,SUMIFS($Q$58:$Q$88,$L$58:$L$88,"&gt;="&amp;$M10,$L$58:$L$88,"&lt;="&amp;$N10))</f>
        <v>0</v>
      </c>
      <c r="AH10" s="1" t="n">
        <f aca="false">IF($M10="",0,SUMIFS($R$58:$R$88,$L$58:$L$88,"&gt;="&amp;$M10,$L$58:$L$88,"&lt;="&amp;$N10))</f>
        <v>0</v>
      </c>
    </row>
    <row r="11" customFormat="false" ht="15" hidden="false" customHeight="false" outlineLevel="0" collapsed="false">
      <c r="A11" s="1"/>
      <c r="B11" s="10"/>
      <c r="C11" s="31" t="str">
        <f aca="false">IF(B11="","",TEXT(B11,"ddd"))</f>
        <v/>
      </c>
      <c r="D11" s="11"/>
      <c r="E11" s="8" t="str">
        <f aca="false">IF(D11="","",IFERROR(INDEX(ProjNumbers,MATCH(D11,ProjNames,0)),""))</f>
        <v/>
      </c>
      <c r="F11" s="8" t="str">
        <f aca="false">IF(D11="","",IFERROR(INDEX(ProjCodes,MATCH(D11,ProjNames,0)),""))</f>
        <v/>
      </c>
      <c r="G11" s="32"/>
      <c r="H11" s="11"/>
      <c r="I11" s="33"/>
      <c r="J11" s="8" t="str">
        <f aca="false">IF(COUNTA(B11,D11,G11,H11,I11)=0,"",IF(B11="","Enter date",IF(OR(B11&lt;$AC$2,B11&gt;$AC$3),"Date not in August",IF(D11="","Pick project",IF(ISNA(MATCH(D11,ProjNames,0)),"Project not in list",IF(G11="","Add task description",IF(H11="","Pick NTIME or P6",IF(N(I11)&lt;=0,"Enter hours",IF(AND(AllowOT&lt;&gt;"Yes",SUMIF($B$7:$B$256,B11,$I$7:$I$256)&gt;INDEX($O$58:$O$88,DAY(B11))),"Day over "&amp;INDEX($O$58:$O$88,DAY(B11))&amp;" h","✓")))))))))</f>
        <v/>
      </c>
      <c r="K11" s="1"/>
      <c r="L11" s="24" t="str">
        <f aca="false">"Week 2"&amp;IF(M11="",""," ("&amp;DAY(M11)&amp;"–"&amp;DAY(N11)&amp;")")</f>
        <v>Week 2 (3–9)</v>
      </c>
      <c r="M11" s="34" t="n">
        <f aca="false">IF($AC$4+7*1&gt;$AC$3,"",MAX($AC$2,$AC$4+7*1))</f>
        <v>46237</v>
      </c>
      <c r="N11" s="34" t="n">
        <f aca="false">IF(M11="","",MIN($AC$3,$AC$4+7*2-1))</f>
        <v>46243</v>
      </c>
      <c r="O11" s="24" t="n">
        <f aca="false">IF($M11="","",AF11+IF(OHSystem="NTIME",AH11,0))</f>
        <v>0</v>
      </c>
      <c r="P11" s="24" t="n">
        <f aca="false">IF($M11="","",AG11+IF(OHSystem="P6",AH11,0))</f>
        <v>0</v>
      </c>
      <c r="Q11" s="24" t="n">
        <f aca="false">IF($M11="","",AH11)</f>
        <v>0</v>
      </c>
      <c r="R11" s="24" t="n">
        <f aca="false">IF($M11="","",SUMIFS($S$58:$S$88,$L$58:$L$88,"&gt;="&amp;$M11,$L$58:$L$88,"&lt;="&amp;$N11))</f>
        <v>0</v>
      </c>
      <c r="S11" s="24" t="n">
        <f aca="false">IF($M11="","",SUMIFS($T$58:$T$88,$L$58:$L$88,"&gt;="&amp;$M11,$L$58:$L$88,"&lt;="&amp;$N11))</f>
        <v>0</v>
      </c>
      <c r="T11" s="1"/>
      <c r="U11" s="1"/>
      <c r="V11" s="1"/>
      <c r="W11" s="1" t="str">
        <f aca="false">IF(Projects!B9="","",Projects!B9)</f>
        <v/>
      </c>
      <c r="X11" s="1" t="n">
        <f aca="false">IF(W11="",0,SUMIFS($I$7:$I$256,$D$7:$D$256,W11,$H$7:$H$256,"NTIME"))</f>
        <v>0</v>
      </c>
      <c r="Y11" s="1" t="n">
        <f aca="false">IF(W11="",0,SUMIFS($I$7:$I$256,$D$7:$D$256,W11,$H$7:$H$256,"P6"))</f>
        <v>0</v>
      </c>
      <c r="Z11" s="1" t="n">
        <f aca="false">X11+Y11</f>
        <v>0</v>
      </c>
      <c r="AA11" s="1" t="n">
        <f aca="false">IF(Z11&gt;0,Z11+(201-5)/10^6,0)</f>
        <v>0</v>
      </c>
      <c r="AB11" s="1"/>
      <c r="AC11" s="1"/>
      <c r="AD11" s="1"/>
      <c r="AE11" s="1"/>
      <c r="AF11" s="1" t="n">
        <f aca="false">IF($M11="",0,SUMIFS($P$58:$P$88,$L$58:$L$88,"&gt;="&amp;$M11,$L$58:$L$88,"&lt;="&amp;$N11))</f>
        <v>0</v>
      </c>
      <c r="AG11" s="1" t="n">
        <f aca="false">IF($M11="",0,SUMIFS($Q$58:$Q$88,$L$58:$L$88,"&gt;="&amp;$M11,$L$58:$L$88,"&lt;="&amp;$N11))</f>
        <v>0</v>
      </c>
      <c r="AH11" s="1" t="n">
        <f aca="false">IF($M11="",0,SUMIFS($R$58:$R$88,$L$58:$L$88,"&gt;="&amp;$M11,$L$58:$L$88,"&lt;="&amp;$N11))</f>
        <v>0</v>
      </c>
    </row>
    <row r="12" customFormat="false" ht="15" hidden="false" customHeight="false" outlineLevel="0" collapsed="false">
      <c r="A12" s="1"/>
      <c r="B12" s="10"/>
      <c r="C12" s="31" t="str">
        <f aca="false">IF(B12="","",TEXT(B12,"ddd"))</f>
        <v/>
      </c>
      <c r="D12" s="11"/>
      <c r="E12" s="8" t="str">
        <f aca="false">IF(D12="","",IFERROR(INDEX(ProjNumbers,MATCH(D12,ProjNames,0)),""))</f>
        <v/>
      </c>
      <c r="F12" s="8" t="str">
        <f aca="false">IF(D12="","",IFERROR(INDEX(ProjCodes,MATCH(D12,ProjNames,0)),""))</f>
        <v/>
      </c>
      <c r="G12" s="32"/>
      <c r="H12" s="11"/>
      <c r="I12" s="33"/>
      <c r="J12" s="8" t="str">
        <f aca="false">IF(COUNTA(B12,D12,G12,H12,I12)=0,"",IF(B12="","Enter date",IF(OR(B12&lt;$AC$2,B12&gt;$AC$3),"Date not in August",IF(D12="","Pick project",IF(ISNA(MATCH(D12,ProjNames,0)),"Project not in list",IF(G12="","Add task description",IF(H12="","Pick NTIME or P6",IF(N(I12)&lt;=0,"Enter hours",IF(AND(AllowOT&lt;&gt;"Yes",SUMIF($B$7:$B$256,B12,$I$7:$I$256)&gt;INDEX($O$58:$O$88,DAY(B12))),"Day over "&amp;INDEX($O$58:$O$88,DAY(B12))&amp;" h","✓")))))))))</f>
        <v/>
      </c>
      <c r="K12" s="1"/>
      <c r="L12" s="24" t="str">
        <f aca="false">"Week 3"&amp;IF(M12="",""," ("&amp;DAY(M12)&amp;"–"&amp;DAY(N12)&amp;")")</f>
        <v>Week 3 (10–16)</v>
      </c>
      <c r="M12" s="34" t="n">
        <f aca="false">IF($AC$4+7*2&gt;$AC$3,"",MAX($AC$2,$AC$4+7*2))</f>
        <v>46244</v>
      </c>
      <c r="N12" s="34" t="n">
        <f aca="false">IF(M12="","",MIN($AC$3,$AC$4+7*3-1))</f>
        <v>46250</v>
      </c>
      <c r="O12" s="24" t="n">
        <f aca="false">IF($M12="","",AF12+IF(OHSystem="NTIME",AH12,0))</f>
        <v>0</v>
      </c>
      <c r="P12" s="24" t="n">
        <f aca="false">IF($M12="","",AG12+IF(OHSystem="P6",AH12,0))</f>
        <v>0</v>
      </c>
      <c r="Q12" s="24" t="n">
        <f aca="false">IF($M12="","",AH12)</f>
        <v>0</v>
      </c>
      <c r="R12" s="24" t="n">
        <f aca="false">IF($M12="","",SUMIFS($S$58:$S$88,$L$58:$L$88,"&gt;="&amp;$M12,$L$58:$L$88,"&lt;="&amp;$N12))</f>
        <v>0</v>
      </c>
      <c r="S12" s="24" t="n">
        <f aca="false">IF($M12="","",SUMIFS($T$58:$T$88,$L$58:$L$88,"&gt;="&amp;$M12,$L$58:$L$88,"&lt;="&amp;$N12))</f>
        <v>0</v>
      </c>
      <c r="T12" s="1"/>
      <c r="U12" s="1"/>
      <c r="V12" s="1"/>
      <c r="W12" s="1" t="str">
        <f aca="false">IF(Projects!B10="","",Projects!B10)</f>
        <v/>
      </c>
      <c r="X12" s="1" t="n">
        <f aca="false">IF(W12="",0,SUMIFS($I$7:$I$256,$D$7:$D$256,W12,$H$7:$H$256,"NTIME"))</f>
        <v>0</v>
      </c>
      <c r="Y12" s="1" t="n">
        <f aca="false">IF(W12="",0,SUMIFS($I$7:$I$256,$D$7:$D$256,W12,$H$7:$H$256,"P6"))</f>
        <v>0</v>
      </c>
      <c r="Z12" s="1" t="n">
        <f aca="false">X12+Y12</f>
        <v>0</v>
      </c>
      <c r="AA12" s="1" t="n">
        <f aca="false">IF(Z12&gt;0,Z12+(201-6)/10^6,0)</f>
        <v>0</v>
      </c>
      <c r="AB12" s="1"/>
      <c r="AC12" s="1"/>
      <c r="AD12" s="1"/>
      <c r="AE12" s="1"/>
      <c r="AF12" s="1" t="n">
        <f aca="false">IF($M12="",0,SUMIFS($P$58:$P$88,$L$58:$L$88,"&gt;="&amp;$M12,$L$58:$L$88,"&lt;="&amp;$N12))</f>
        <v>0</v>
      </c>
      <c r="AG12" s="1" t="n">
        <f aca="false">IF($M12="",0,SUMIFS($Q$58:$Q$88,$L$58:$L$88,"&gt;="&amp;$M12,$L$58:$L$88,"&lt;="&amp;$N12))</f>
        <v>0</v>
      </c>
      <c r="AH12" s="1" t="n">
        <f aca="false">IF($M12="",0,SUMIFS($R$58:$R$88,$L$58:$L$88,"&gt;="&amp;$M12,$L$58:$L$88,"&lt;="&amp;$N12))</f>
        <v>0</v>
      </c>
    </row>
    <row r="13" customFormat="false" ht="15" hidden="false" customHeight="false" outlineLevel="0" collapsed="false">
      <c r="A13" s="1"/>
      <c r="B13" s="10"/>
      <c r="C13" s="31" t="str">
        <f aca="false">IF(B13="","",TEXT(B13,"ddd"))</f>
        <v/>
      </c>
      <c r="D13" s="11"/>
      <c r="E13" s="8" t="str">
        <f aca="false">IF(D13="","",IFERROR(INDEX(ProjNumbers,MATCH(D13,ProjNames,0)),""))</f>
        <v/>
      </c>
      <c r="F13" s="8" t="str">
        <f aca="false">IF(D13="","",IFERROR(INDEX(ProjCodes,MATCH(D13,ProjNames,0)),""))</f>
        <v/>
      </c>
      <c r="G13" s="32"/>
      <c r="H13" s="11"/>
      <c r="I13" s="33"/>
      <c r="J13" s="8" t="str">
        <f aca="false">IF(COUNTA(B13,D13,G13,H13,I13)=0,"",IF(B13="","Enter date",IF(OR(B13&lt;$AC$2,B13&gt;$AC$3),"Date not in August",IF(D13="","Pick project",IF(ISNA(MATCH(D13,ProjNames,0)),"Project not in list",IF(G13="","Add task description",IF(H13="","Pick NTIME or P6",IF(N(I13)&lt;=0,"Enter hours",IF(AND(AllowOT&lt;&gt;"Yes",SUMIF($B$7:$B$256,B13,$I$7:$I$256)&gt;INDEX($O$58:$O$88,DAY(B13))),"Day over "&amp;INDEX($O$58:$O$88,DAY(B13))&amp;" h","✓")))))))))</f>
        <v/>
      </c>
      <c r="K13" s="1"/>
      <c r="L13" s="24" t="str">
        <f aca="false">"Week 4"&amp;IF(M13="",""," ("&amp;DAY(M13)&amp;"–"&amp;DAY(N13)&amp;")")</f>
        <v>Week 4 (17–23)</v>
      </c>
      <c r="M13" s="34" t="n">
        <f aca="false">IF($AC$4+7*3&gt;$AC$3,"",MAX($AC$2,$AC$4+7*3))</f>
        <v>46251</v>
      </c>
      <c r="N13" s="34" t="n">
        <f aca="false">IF(M13="","",MIN($AC$3,$AC$4+7*4-1))</f>
        <v>46257</v>
      </c>
      <c r="O13" s="24" t="n">
        <f aca="false">IF($M13="","",AF13+IF(OHSystem="NTIME",AH13,0))</f>
        <v>0</v>
      </c>
      <c r="P13" s="24" t="n">
        <f aca="false">IF($M13="","",AG13+IF(OHSystem="P6",AH13,0))</f>
        <v>0</v>
      </c>
      <c r="Q13" s="24" t="n">
        <f aca="false">IF($M13="","",AH13)</f>
        <v>0</v>
      </c>
      <c r="R13" s="24" t="n">
        <f aca="false">IF($M13="","",SUMIFS($S$58:$S$88,$L$58:$L$88,"&gt;="&amp;$M13,$L$58:$L$88,"&lt;="&amp;$N13))</f>
        <v>0</v>
      </c>
      <c r="S13" s="24" t="n">
        <f aca="false">IF($M13="","",SUMIFS($T$58:$T$88,$L$58:$L$88,"&gt;="&amp;$M13,$L$58:$L$88,"&lt;="&amp;$N13))</f>
        <v>0</v>
      </c>
      <c r="T13" s="1"/>
      <c r="U13" s="1"/>
      <c r="V13" s="1"/>
      <c r="W13" s="1" t="str">
        <f aca="false">IF(Projects!B11="","",Projects!B11)</f>
        <v/>
      </c>
      <c r="X13" s="1" t="n">
        <f aca="false">IF(W13="",0,SUMIFS($I$7:$I$256,$D$7:$D$256,W13,$H$7:$H$256,"NTIME"))</f>
        <v>0</v>
      </c>
      <c r="Y13" s="1" t="n">
        <f aca="false">IF(W13="",0,SUMIFS($I$7:$I$256,$D$7:$D$256,W13,$H$7:$H$256,"P6"))</f>
        <v>0</v>
      </c>
      <c r="Z13" s="1" t="n">
        <f aca="false">X13+Y13</f>
        <v>0</v>
      </c>
      <c r="AA13" s="1" t="n">
        <f aca="false">IF(Z13&gt;0,Z13+(201-7)/10^6,0)</f>
        <v>0</v>
      </c>
      <c r="AB13" s="1"/>
      <c r="AC13" s="1"/>
      <c r="AD13" s="1"/>
      <c r="AE13" s="1"/>
      <c r="AF13" s="1" t="n">
        <f aca="false">IF($M13="",0,SUMIFS($P$58:$P$88,$L$58:$L$88,"&gt;="&amp;$M13,$L$58:$L$88,"&lt;="&amp;$N13))</f>
        <v>0</v>
      </c>
      <c r="AG13" s="1" t="n">
        <f aca="false">IF($M13="",0,SUMIFS($Q$58:$Q$88,$L$58:$L$88,"&gt;="&amp;$M13,$L$58:$L$88,"&lt;="&amp;$N13))</f>
        <v>0</v>
      </c>
      <c r="AH13" s="1" t="n">
        <f aca="false">IF($M13="",0,SUMIFS($R$58:$R$88,$L$58:$L$88,"&gt;="&amp;$M13,$L$58:$L$88,"&lt;="&amp;$N13))</f>
        <v>0</v>
      </c>
    </row>
    <row r="14" customFormat="false" ht="15" hidden="false" customHeight="false" outlineLevel="0" collapsed="false">
      <c r="A14" s="1"/>
      <c r="B14" s="10"/>
      <c r="C14" s="31" t="str">
        <f aca="false">IF(B14="","",TEXT(B14,"ddd"))</f>
        <v/>
      </c>
      <c r="D14" s="11"/>
      <c r="E14" s="8" t="str">
        <f aca="false">IF(D14="","",IFERROR(INDEX(ProjNumbers,MATCH(D14,ProjNames,0)),""))</f>
        <v/>
      </c>
      <c r="F14" s="8" t="str">
        <f aca="false">IF(D14="","",IFERROR(INDEX(ProjCodes,MATCH(D14,ProjNames,0)),""))</f>
        <v/>
      </c>
      <c r="G14" s="32"/>
      <c r="H14" s="11"/>
      <c r="I14" s="33"/>
      <c r="J14" s="8" t="str">
        <f aca="false">IF(COUNTA(B14,D14,G14,H14,I14)=0,"",IF(B14="","Enter date",IF(OR(B14&lt;$AC$2,B14&gt;$AC$3),"Date not in August",IF(D14="","Pick project",IF(ISNA(MATCH(D14,ProjNames,0)),"Project not in list",IF(G14="","Add task description",IF(H14="","Pick NTIME or P6",IF(N(I14)&lt;=0,"Enter hours",IF(AND(AllowOT&lt;&gt;"Yes",SUMIF($B$7:$B$256,B14,$I$7:$I$256)&gt;INDEX($O$58:$O$88,DAY(B14))),"Day over "&amp;INDEX($O$58:$O$88,DAY(B14))&amp;" h","✓")))))))))</f>
        <v/>
      </c>
      <c r="K14" s="1"/>
      <c r="L14" s="24" t="str">
        <f aca="false">"Week 5"&amp;IF(M14="",""," ("&amp;DAY(M14)&amp;"–"&amp;DAY(N14)&amp;")")</f>
        <v>Week 5 (24–30)</v>
      </c>
      <c r="M14" s="34" t="n">
        <f aca="false">IF($AC$4+7*4&gt;$AC$3,"",MAX($AC$2,$AC$4+7*4))</f>
        <v>46258</v>
      </c>
      <c r="N14" s="34" t="n">
        <f aca="false">IF(M14="","",MIN($AC$3,$AC$4+7*5-1))</f>
        <v>46264</v>
      </c>
      <c r="O14" s="24" t="n">
        <f aca="false">IF($M14="","",AF14+IF(OHSystem="NTIME",AH14,0))</f>
        <v>0</v>
      </c>
      <c r="P14" s="24" t="n">
        <f aca="false">IF($M14="","",AG14+IF(OHSystem="P6",AH14,0))</f>
        <v>0</v>
      </c>
      <c r="Q14" s="24" t="n">
        <f aca="false">IF($M14="","",AH14)</f>
        <v>0</v>
      </c>
      <c r="R14" s="24" t="n">
        <f aca="false">IF($M14="","",SUMIFS($S$58:$S$88,$L$58:$L$88,"&gt;="&amp;$M14,$L$58:$L$88,"&lt;="&amp;$N14))</f>
        <v>0</v>
      </c>
      <c r="S14" s="24" t="n">
        <f aca="false">IF($M14="","",SUMIFS($T$58:$T$88,$L$58:$L$88,"&gt;="&amp;$M14,$L$58:$L$88,"&lt;="&amp;$N14))</f>
        <v>0</v>
      </c>
      <c r="T14" s="1"/>
      <c r="U14" s="1"/>
      <c r="V14" s="1"/>
      <c r="W14" s="1" t="str">
        <f aca="false">IF(Projects!B12="","",Projects!B12)</f>
        <v/>
      </c>
      <c r="X14" s="1" t="n">
        <f aca="false">IF(W14="",0,SUMIFS($I$7:$I$256,$D$7:$D$256,W14,$H$7:$H$256,"NTIME"))</f>
        <v>0</v>
      </c>
      <c r="Y14" s="1" t="n">
        <f aca="false">IF(W14="",0,SUMIFS($I$7:$I$256,$D$7:$D$256,W14,$H$7:$H$256,"P6"))</f>
        <v>0</v>
      </c>
      <c r="Z14" s="1" t="n">
        <f aca="false">X14+Y14</f>
        <v>0</v>
      </c>
      <c r="AA14" s="1" t="n">
        <f aca="false">IF(Z14&gt;0,Z14+(201-8)/10^6,0)</f>
        <v>0</v>
      </c>
      <c r="AB14" s="1"/>
      <c r="AC14" s="1"/>
      <c r="AD14" s="1"/>
      <c r="AE14" s="1"/>
      <c r="AF14" s="1" t="n">
        <f aca="false">IF($M14="",0,SUMIFS($P$58:$P$88,$L$58:$L$88,"&gt;="&amp;$M14,$L$58:$L$88,"&lt;="&amp;$N14))</f>
        <v>0</v>
      </c>
      <c r="AG14" s="1" t="n">
        <f aca="false">IF($M14="",0,SUMIFS($Q$58:$Q$88,$L$58:$L$88,"&gt;="&amp;$M14,$L$58:$L$88,"&lt;="&amp;$N14))</f>
        <v>0</v>
      </c>
      <c r="AH14" s="1" t="n">
        <f aca="false">IF($M14="",0,SUMIFS($R$58:$R$88,$L$58:$L$88,"&gt;="&amp;$M14,$L$58:$L$88,"&lt;="&amp;$N14))</f>
        <v>0</v>
      </c>
    </row>
    <row r="15" customFormat="false" ht="15" hidden="false" customHeight="false" outlineLevel="0" collapsed="false">
      <c r="A15" s="1"/>
      <c r="B15" s="10"/>
      <c r="C15" s="31" t="str">
        <f aca="false">IF(B15="","",TEXT(B15,"ddd"))</f>
        <v/>
      </c>
      <c r="D15" s="11"/>
      <c r="E15" s="8" t="str">
        <f aca="false">IF(D15="","",IFERROR(INDEX(ProjNumbers,MATCH(D15,ProjNames,0)),""))</f>
        <v/>
      </c>
      <c r="F15" s="8" t="str">
        <f aca="false">IF(D15="","",IFERROR(INDEX(ProjCodes,MATCH(D15,ProjNames,0)),""))</f>
        <v/>
      </c>
      <c r="G15" s="32"/>
      <c r="H15" s="11"/>
      <c r="I15" s="33"/>
      <c r="J15" s="8" t="str">
        <f aca="false">IF(COUNTA(B15,D15,G15,H15,I15)=0,"",IF(B15="","Enter date",IF(OR(B15&lt;$AC$2,B15&gt;$AC$3),"Date not in August",IF(D15="","Pick project",IF(ISNA(MATCH(D15,ProjNames,0)),"Project not in list",IF(G15="","Add task description",IF(H15="","Pick NTIME or P6",IF(N(I15)&lt;=0,"Enter hours",IF(AND(AllowOT&lt;&gt;"Yes",SUMIF($B$7:$B$256,B15,$I$7:$I$256)&gt;INDEX($O$58:$O$88,DAY(B15))),"Day over "&amp;INDEX($O$58:$O$88,DAY(B15))&amp;" h","✓")))))))))</f>
        <v/>
      </c>
      <c r="K15" s="1"/>
      <c r="L15" s="24" t="str">
        <f aca="false">"Week 6"&amp;IF(M15="",""," ("&amp;DAY(M15)&amp;"–"&amp;DAY(N15)&amp;")")</f>
        <v>Week 6 (31–31)</v>
      </c>
      <c r="M15" s="34" t="n">
        <f aca="false">IF($AC$4+7*5&gt;$AC$3,"",MAX($AC$2,$AC$4+7*5))</f>
        <v>46265</v>
      </c>
      <c r="N15" s="34" t="n">
        <f aca="false">IF(M15="","",MIN($AC$3,$AC$4+7*6-1))</f>
        <v>46265</v>
      </c>
      <c r="O15" s="24" t="n">
        <f aca="false">IF($M15="","",AF15+IF(OHSystem="NTIME",AH15,0))</f>
        <v>0</v>
      </c>
      <c r="P15" s="24" t="n">
        <f aca="false">IF($M15="","",AG15+IF(OHSystem="P6",AH15,0))</f>
        <v>0</v>
      </c>
      <c r="Q15" s="24" t="n">
        <f aca="false">IF($M15="","",AH15)</f>
        <v>0</v>
      </c>
      <c r="R15" s="24" t="n">
        <f aca="false">IF($M15="","",SUMIFS($S$58:$S$88,$L$58:$L$88,"&gt;="&amp;$M15,$L$58:$L$88,"&lt;="&amp;$N15))</f>
        <v>0</v>
      </c>
      <c r="S15" s="24" t="n">
        <f aca="false">IF($M15="","",SUMIFS($T$58:$T$88,$L$58:$L$88,"&gt;="&amp;$M15,$L$58:$L$88,"&lt;="&amp;$N15))</f>
        <v>0</v>
      </c>
      <c r="T15" s="1"/>
      <c r="U15" s="1"/>
      <c r="V15" s="1"/>
      <c r="W15" s="1" t="str">
        <f aca="false">IF(Projects!B13="","",Projects!B13)</f>
        <v/>
      </c>
      <c r="X15" s="1" t="n">
        <f aca="false">IF(W15="",0,SUMIFS($I$7:$I$256,$D$7:$D$256,W15,$H$7:$H$256,"NTIME"))</f>
        <v>0</v>
      </c>
      <c r="Y15" s="1" t="n">
        <f aca="false">IF(W15="",0,SUMIFS($I$7:$I$256,$D$7:$D$256,W15,$H$7:$H$256,"P6"))</f>
        <v>0</v>
      </c>
      <c r="Z15" s="1" t="n">
        <f aca="false">X15+Y15</f>
        <v>0</v>
      </c>
      <c r="AA15" s="1" t="n">
        <f aca="false">IF(Z15&gt;0,Z15+(201-9)/10^6,0)</f>
        <v>0</v>
      </c>
      <c r="AB15" s="1"/>
      <c r="AC15" s="1"/>
      <c r="AD15" s="1"/>
      <c r="AE15" s="1"/>
      <c r="AF15" s="1" t="n">
        <f aca="false">IF($M15="",0,SUMIFS($P$58:$P$88,$L$58:$L$88,"&gt;="&amp;$M15,$L$58:$L$88,"&lt;="&amp;$N15))</f>
        <v>0</v>
      </c>
      <c r="AG15" s="1" t="n">
        <f aca="false">IF($M15="",0,SUMIFS($Q$58:$Q$88,$L$58:$L$88,"&gt;="&amp;$M15,$L$58:$L$88,"&lt;="&amp;$N15))</f>
        <v>0</v>
      </c>
      <c r="AH15" s="1" t="n">
        <f aca="false">IF($M15="",0,SUMIFS($R$58:$R$88,$L$58:$L$88,"&gt;="&amp;$M15,$L$58:$L$88,"&lt;="&amp;$N15))</f>
        <v>0</v>
      </c>
    </row>
    <row r="16" customFormat="false" ht="15" hidden="false" customHeight="false" outlineLevel="0" collapsed="false">
      <c r="A16" s="1"/>
      <c r="B16" s="10"/>
      <c r="C16" s="31" t="str">
        <f aca="false">IF(B16="","",TEXT(B16,"ddd"))</f>
        <v/>
      </c>
      <c r="D16" s="11"/>
      <c r="E16" s="8" t="str">
        <f aca="false">IF(D16="","",IFERROR(INDEX(ProjNumbers,MATCH(D16,ProjNames,0)),""))</f>
        <v/>
      </c>
      <c r="F16" s="8" t="str">
        <f aca="false">IF(D16="","",IFERROR(INDEX(ProjCodes,MATCH(D16,ProjNames,0)),""))</f>
        <v/>
      </c>
      <c r="G16" s="32"/>
      <c r="H16" s="11"/>
      <c r="I16" s="33"/>
      <c r="J16" s="8" t="str">
        <f aca="false">IF(COUNTA(B16,D16,G16,H16,I16)=0,"",IF(B16="","Enter date",IF(OR(B16&lt;$AC$2,B16&gt;$AC$3),"Date not in August",IF(D16="","Pick project",IF(ISNA(MATCH(D16,ProjNames,0)),"Project not in list",IF(G16="","Add task description",IF(H16="","Pick NTIME or P6",IF(N(I16)&lt;=0,"Enter hours",IF(AND(AllowOT&lt;&gt;"Yes",SUMIF($B$7:$B$256,B16,$I$7:$I$256)&gt;INDEX($O$58:$O$88,DAY(B16))),"Day over "&amp;INDEX($O$58:$O$88,DAY(B16))&amp;" h","✓")))))))))</f>
        <v/>
      </c>
      <c r="K16" s="1"/>
      <c r="L16" s="27" t="s">
        <v>84</v>
      </c>
      <c r="M16" s="27"/>
      <c r="N16" s="27"/>
      <c r="O16" s="27" t="n">
        <f aca="false">SUM(O10:O15)</f>
        <v>0</v>
      </c>
      <c r="P16" s="27" t="n">
        <f aca="false">SUM(P10:P15)</f>
        <v>0</v>
      </c>
      <c r="Q16" s="27" t="n">
        <f aca="false">SUM(Q10:Q15)</f>
        <v>0</v>
      </c>
      <c r="R16" s="27" t="n">
        <f aca="false">SUM(R10:R15)</f>
        <v>0</v>
      </c>
      <c r="S16" s="27" t="n">
        <f aca="false">SUM(S10:S15)</f>
        <v>0</v>
      </c>
      <c r="T16" s="1"/>
      <c r="U16" s="1"/>
      <c r="V16" s="1"/>
      <c r="W16" s="1" t="str">
        <f aca="false">IF(Projects!B14="","",Projects!B14)</f>
        <v/>
      </c>
      <c r="X16" s="1" t="n">
        <f aca="false">IF(W16="",0,SUMIFS($I$7:$I$256,$D$7:$D$256,W16,$H$7:$H$256,"NTIME"))</f>
        <v>0</v>
      </c>
      <c r="Y16" s="1" t="n">
        <f aca="false">IF(W16="",0,SUMIFS($I$7:$I$256,$D$7:$D$256,W16,$H$7:$H$256,"P6"))</f>
        <v>0</v>
      </c>
      <c r="Z16" s="1" t="n">
        <f aca="false">X16+Y16</f>
        <v>0</v>
      </c>
      <c r="AA16" s="1" t="n">
        <f aca="false">IF(Z16&gt;0,Z16+(201-10)/10^6,0)</f>
        <v>0</v>
      </c>
      <c r="AB16" s="1"/>
      <c r="AC16" s="1"/>
      <c r="AD16" s="1"/>
      <c r="AE16" s="1"/>
      <c r="AF16" s="1" t="n">
        <f aca="false">SUM(AF10:AF15)</f>
        <v>0</v>
      </c>
      <c r="AG16" s="1" t="n">
        <f aca="false">SUM(AG10:AG15)</f>
        <v>0</v>
      </c>
      <c r="AH16" s="1" t="n">
        <f aca="false">SUM(AH10:AH15)</f>
        <v>0</v>
      </c>
    </row>
    <row r="17" customFormat="false" ht="15" hidden="false" customHeight="false" outlineLevel="0" collapsed="false">
      <c r="A17" s="1"/>
      <c r="B17" s="10"/>
      <c r="C17" s="31" t="str">
        <f aca="false">IF(B17="","",TEXT(B17,"ddd"))</f>
        <v/>
      </c>
      <c r="D17" s="11"/>
      <c r="E17" s="8" t="str">
        <f aca="false">IF(D17="","",IFERROR(INDEX(ProjNumbers,MATCH(D17,ProjNames,0)),""))</f>
        <v/>
      </c>
      <c r="F17" s="8" t="str">
        <f aca="false">IF(D17="","",IFERROR(INDEX(ProjCodes,MATCH(D17,ProjNames,0)),""))</f>
        <v/>
      </c>
      <c r="G17" s="32"/>
      <c r="H17" s="11"/>
      <c r="I17" s="33"/>
      <c r="J17" s="8" t="str">
        <f aca="false">IF(COUNTA(B17,D17,G17,H17,I17)=0,"",IF(B17="","Enter date",IF(OR(B17&lt;$AC$2,B17&gt;$AC$3),"Date not in August",IF(D17="","Pick project",IF(ISNA(MATCH(D17,ProjNames,0)),"Project not in list",IF(G17="","Add task description",IF(H17="","Pick NTIME or P6",IF(N(I17)&lt;=0,"Enter hours",IF(AND(AllowOT&lt;&gt;"Yes",SUMIF($B$7:$B$256,B17,$I$7:$I$256)&gt;INDEX($O$58:$O$88,DAY(B17))),"Day over "&amp;INDEX($O$58:$O$88,DAY(B17))&amp;" h","✓")))))))))</f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tr">
        <f aca="false">IF(Projects!B15="","",Projects!B15)</f>
        <v/>
      </c>
      <c r="X17" s="1" t="n">
        <f aca="false">IF(W17="",0,SUMIFS($I$7:$I$256,$D$7:$D$256,W17,$H$7:$H$256,"NTIME"))</f>
        <v>0</v>
      </c>
      <c r="Y17" s="1" t="n">
        <f aca="false">IF(W17="",0,SUMIFS($I$7:$I$256,$D$7:$D$256,W17,$H$7:$H$256,"P6"))</f>
        <v>0</v>
      </c>
      <c r="Z17" s="1" t="n">
        <f aca="false">X17+Y17</f>
        <v>0</v>
      </c>
      <c r="AA17" s="1" t="n">
        <f aca="false">IF(Z17&gt;0,Z17+(201-11)/10^6,0)</f>
        <v>0</v>
      </c>
      <c r="AB17" s="1"/>
      <c r="AC17" s="1"/>
      <c r="AD17" s="1"/>
      <c r="AE17" s="1"/>
      <c r="AF17" s="1"/>
      <c r="AG17" s="1"/>
      <c r="AH17" s="1"/>
    </row>
    <row r="18" customFormat="false" ht="15" hidden="false" customHeight="false" outlineLevel="0" collapsed="false">
      <c r="A18" s="1"/>
      <c r="B18" s="10"/>
      <c r="C18" s="31" t="str">
        <f aca="false">IF(B18="","",TEXT(B18,"ddd"))</f>
        <v/>
      </c>
      <c r="D18" s="11"/>
      <c r="E18" s="8" t="str">
        <f aca="false">IF(D18="","",IFERROR(INDEX(ProjNumbers,MATCH(D18,ProjNames,0)),""))</f>
        <v/>
      </c>
      <c r="F18" s="8" t="str">
        <f aca="false">IF(D18="","",IFERROR(INDEX(ProjCodes,MATCH(D18,ProjNames,0)),""))</f>
        <v/>
      </c>
      <c r="G18" s="32"/>
      <c r="H18" s="11"/>
      <c r="I18" s="33"/>
      <c r="J18" s="8" t="str">
        <f aca="false">IF(COUNTA(B18,D18,G18,H18,I18)=0,"",IF(B18="","Enter date",IF(OR(B18&lt;$AC$2,B18&gt;$AC$3),"Date not in August",IF(D18="","Pick project",IF(ISNA(MATCH(D18,ProjNames,0)),"Project not in list",IF(G18="","Add task description",IF(H18="","Pick NTIME or P6",IF(N(I18)&lt;=0,"Enter hours",IF(AND(AllowOT&lt;&gt;"Yes",SUMIF($B$7:$B$256,B18,$I$7:$I$256)&gt;INDEX($O$58:$O$88,DAY(B18))),"Day over "&amp;INDEX($O$58:$O$88,DAY(B18))&amp;" h","✓")))))))))</f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 aca="false">IF(Projects!B16="","",Projects!B16)</f>
        <v/>
      </c>
      <c r="X18" s="1" t="n">
        <f aca="false">IF(W18="",0,SUMIFS($I$7:$I$256,$D$7:$D$256,W18,$H$7:$H$256,"NTIME"))</f>
        <v>0</v>
      </c>
      <c r="Y18" s="1" t="n">
        <f aca="false">IF(W18="",0,SUMIFS($I$7:$I$256,$D$7:$D$256,W18,$H$7:$H$256,"P6"))</f>
        <v>0</v>
      </c>
      <c r="Z18" s="1" t="n">
        <f aca="false">X18+Y18</f>
        <v>0</v>
      </c>
      <c r="AA18" s="1" t="n">
        <f aca="false">IF(Z18&gt;0,Z18+(201-12)/10^6,0)</f>
        <v>0</v>
      </c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/>
      <c r="B19" s="10"/>
      <c r="C19" s="31" t="str">
        <f aca="false">IF(B19="","",TEXT(B19,"ddd"))</f>
        <v/>
      </c>
      <c r="D19" s="11"/>
      <c r="E19" s="8" t="str">
        <f aca="false">IF(D19="","",IFERROR(INDEX(ProjNumbers,MATCH(D19,ProjNames,0)),""))</f>
        <v/>
      </c>
      <c r="F19" s="8" t="str">
        <f aca="false">IF(D19="","",IFERROR(INDEX(ProjCodes,MATCH(D19,ProjNames,0)),""))</f>
        <v/>
      </c>
      <c r="G19" s="32"/>
      <c r="H19" s="11"/>
      <c r="I19" s="33"/>
      <c r="J19" s="8" t="str">
        <f aca="false">IF(COUNTA(B19,D19,G19,H19,I19)=0,"",IF(B19="","Enter date",IF(OR(B19&lt;$AC$2,B19&gt;$AC$3),"Date not in August",IF(D19="","Pick project",IF(ISNA(MATCH(D19,ProjNames,0)),"Project not in list",IF(G19="","Add task description",IF(H19="","Pick NTIME or P6",IF(N(I19)&lt;=0,"Enter hours",IF(AND(AllowOT&lt;&gt;"Yes",SUMIF($B$7:$B$256,B19,$I$7:$I$256)&gt;INDEX($O$58:$O$88,DAY(B19))),"Day over "&amp;INDEX($O$58:$O$88,DAY(B19))&amp;" h","✓")))))))))</f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tr">
        <f aca="false">IF(Projects!B17="","",Projects!B17)</f>
        <v/>
      </c>
      <c r="X19" s="1" t="n">
        <f aca="false">IF(W19="",0,SUMIFS($I$7:$I$256,$D$7:$D$256,W19,$H$7:$H$256,"NTIME"))</f>
        <v>0</v>
      </c>
      <c r="Y19" s="1" t="n">
        <f aca="false">IF(W19="",0,SUMIFS($I$7:$I$256,$D$7:$D$256,W19,$H$7:$H$256,"P6"))</f>
        <v>0</v>
      </c>
      <c r="Z19" s="1" t="n">
        <f aca="false">X19+Y19</f>
        <v>0</v>
      </c>
      <c r="AA19" s="1" t="n">
        <f aca="false">IF(Z19&gt;0,Z19+(201-13)/10^6,0)</f>
        <v>0</v>
      </c>
      <c r="AB19" s="1"/>
      <c r="AC19" s="1"/>
      <c r="AD19" s="1"/>
      <c r="AE19" s="1"/>
      <c r="AF19" s="1"/>
      <c r="AG19" s="1"/>
      <c r="AH19" s="1"/>
    </row>
    <row r="20" customFormat="false" ht="15" hidden="false" customHeight="false" outlineLevel="0" collapsed="false">
      <c r="A20" s="1"/>
      <c r="B20" s="10"/>
      <c r="C20" s="31" t="str">
        <f aca="false">IF(B20="","",TEXT(B20,"ddd"))</f>
        <v/>
      </c>
      <c r="D20" s="11"/>
      <c r="E20" s="8" t="str">
        <f aca="false">IF(D20="","",IFERROR(INDEX(ProjNumbers,MATCH(D20,ProjNames,0)),""))</f>
        <v/>
      </c>
      <c r="F20" s="8" t="str">
        <f aca="false">IF(D20="","",IFERROR(INDEX(ProjCodes,MATCH(D20,ProjNames,0)),""))</f>
        <v/>
      </c>
      <c r="G20" s="32"/>
      <c r="H20" s="11"/>
      <c r="I20" s="33"/>
      <c r="J20" s="8" t="str">
        <f aca="false">IF(COUNTA(B20,D20,G20,H20,I20)=0,"",IF(B20="","Enter date",IF(OR(B20&lt;$AC$2,B20&gt;$AC$3),"Date not in August",IF(D20="","Pick project",IF(ISNA(MATCH(D20,ProjNames,0)),"Project not in list",IF(G20="","Add task description",IF(H20="","Pick NTIME or P6",IF(N(I20)&lt;=0,"Enter hours",IF(AND(AllowOT&lt;&gt;"Yes",SUMIF($B$7:$B$256,B20,$I$7:$I$256)&gt;INDEX($O$58:$O$88,DAY(B20))),"Day over "&amp;INDEX($O$58:$O$88,DAY(B20))&amp;" h","✓")))))))))</f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tr">
        <f aca="false">IF(Projects!B18="","",Projects!B18)</f>
        <v/>
      </c>
      <c r="X20" s="1" t="n">
        <f aca="false">IF(W20="",0,SUMIFS($I$7:$I$256,$D$7:$D$256,W20,$H$7:$H$256,"NTIME"))</f>
        <v>0</v>
      </c>
      <c r="Y20" s="1" t="n">
        <f aca="false">IF(W20="",0,SUMIFS($I$7:$I$256,$D$7:$D$256,W20,$H$7:$H$256,"P6"))</f>
        <v>0</v>
      </c>
      <c r="Z20" s="1" t="n">
        <f aca="false">X20+Y20</f>
        <v>0</v>
      </c>
      <c r="AA20" s="1" t="n">
        <f aca="false">IF(Z20&gt;0,Z20+(201-14)/10^6,0)</f>
        <v>0</v>
      </c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/>
      <c r="B21" s="10"/>
      <c r="C21" s="31" t="str">
        <f aca="false">IF(B21="","",TEXT(B21,"ddd"))</f>
        <v/>
      </c>
      <c r="D21" s="11"/>
      <c r="E21" s="8" t="str">
        <f aca="false">IF(D21="","",IFERROR(INDEX(ProjNumbers,MATCH(D21,ProjNames,0)),""))</f>
        <v/>
      </c>
      <c r="F21" s="8" t="str">
        <f aca="false">IF(D21="","",IFERROR(INDEX(ProjCodes,MATCH(D21,ProjNames,0)),""))</f>
        <v/>
      </c>
      <c r="G21" s="32"/>
      <c r="H21" s="11"/>
      <c r="I21" s="33"/>
      <c r="J21" s="8" t="str">
        <f aca="false">IF(COUNTA(B21,D21,G21,H21,I21)=0,"",IF(B21="","Enter date",IF(OR(B21&lt;$AC$2,B21&gt;$AC$3),"Date not in August",IF(D21="","Pick project",IF(ISNA(MATCH(D21,ProjNames,0)),"Project not in list",IF(G21="","Add task description",IF(H21="","Pick NTIME or P6",IF(N(I21)&lt;=0,"Enter hours",IF(AND(AllowOT&lt;&gt;"Yes",SUMIF($B$7:$B$256,B21,$I$7:$I$256)&gt;INDEX($O$58:$O$88,DAY(B21))),"Day over "&amp;INDEX($O$58:$O$88,DAY(B21))&amp;" h","✓")))))))))</f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tr">
        <f aca="false">IF(Projects!B19="","",Projects!B19)</f>
        <v/>
      </c>
      <c r="X21" s="1" t="n">
        <f aca="false">IF(W21="",0,SUMIFS($I$7:$I$256,$D$7:$D$256,W21,$H$7:$H$256,"NTIME"))</f>
        <v>0</v>
      </c>
      <c r="Y21" s="1" t="n">
        <f aca="false">IF(W21="",0,SUMIFS($I$7:$I$256,$D$7:$D$256,W21,$H$7:$H$256,"P6"))</f>
        <v>0</v>
      </c>
      <c r="Z21" s="1" t="n">
        <f aca="false">X21+Y21</f>
        <v>0</v>
      </c>
      <c r="AA21" s="1" t="n">
        <f aca="false">IF(Z21&gt;0,Z21+(201-15)/10^6,0)</f>
        <v>0</v>
      </c>
      <c r="AB21" s="1"/>
      <c r="AC21" s="1"/>
      <c r="AD21" s="1"/>
      <c r="AE21" s="1"/>
      <c r="AF21" s="1"/>
      <c r="AG21" s="1"/>
      <c r="AH21" s="1"/>
    </row>
    <row r="22" customFormat="false" ht="15" hidden="false" customHeight="false" outlineLevel="0" collapsed="false">
      <c r="A22" s="1"/>
      <c r="B22" s="10"/>
      <c r="C22" s="31" t="str">
        <f aca="false">IF(B22="","",TEXT(B22,"ddd"))</f>
        <v/>
      </c>
      <c r="D22" s="11"/>
      <c r="E22" s="8" t="str">
        <f aca="false">IF(D22="","",IFERROR(INDEX(ProjNumbers,MATCH(D22,ProjNames,0)),""))</f>
        <v/>
      </c>
      <c r="F22" s="8" t="str">
        <f aca="false">IF(D22="","",IFERROR(INDEX(ProjCodes,MATCH(D22,ProjNames,0)),""))</f>
        <v/>
      </c>
      <c r="G22" s="32"/>
      <c r="H22" s="11"/>
      <c r="I22" s="33"/>
      <c r="J22" s="8" t="str">
        <f aca="false">IF(COUNTA(B22,D22,G22,H22,I22)=0,"",IF(B22="","Enter date",IF(OR(B22&lt;$AC$2,B22&gt;$AC$3),"Date not in August",IF(D22="","Pick project",IF(ISNA(MATCH(D22,ProjNames,0)),"Project not in list",IF(G22="","Add task description",IF(H22="","Pick NTIME or P6",IF(N(I22)&lt;=0,"Enter hours",IF(AND(AllowOT&lt;&gt;"Yes",SUMIF($B$7:$B$256,B22,$I$7:$I$256)&gt;INDEX($O$58:$O$88,DAY(B22))),"Day over "&amp;INDEX($O$58:$O$88,DAY(B22))&amp;" h","✓")))))))))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tr">
        <f aca="false">IF(Projects!B20="","",Projects!B20)</f>
        <v/>
      </c>
      <c r="X22" s="1" t="n">
        <f aca="false">IF(W22="",0,SUMIFS($I$7:$I$256,$D$7:$D$256,W22,$H$7:$H$256,"NTIME"))</f>
        <v>0</v>
      </c>
      <c r="Y22" s="1" t="n">
        <f aca="false">IF(W22="",0,SUMIFS($I$7:$I$256,$D$7:$D$256,W22,$H$7:$H$256,"P6"))</f>
        <v>0</v>
      </c>
      <c r="Z22" s="1" t="n">
        <f aca="false">X22+Y22</f>
        <v>0</v>
      </c>
      <c r="AA22" s="1" t="n">
        <f aca="false">IF(Z22&gt;0,Z22+(201-16)/10^6,0)</f>
        <v>0</v>
      </c>
      <c r="AB22" s="1"/>
      <c r="AC22" s="1"/>
      <c r="AD22" s="1"/>
      <c r="AE22" s="1"/>
      <c r="AF22" s="1"/>
      <c r="AG22" s="1"/>
      <c r="AH22" s="1"/>
    </row>
    <row r="23" customFormat="false" ht="15" hidden="false" customHeight="false" outlineLevel="0" collapsed="false">
      <c r="A23" s="1"/>
      <c r="B23" s="10"/>
      <c r="C23" s="31" t="str">
        <f aca="false">IF(B23="","",TEXT(B23,"ddd"))</f>
        <v/>
      </c>
      <c r="D23" s="11"/>
      <c r="E23" s="8" t="str">
        <f aca="false">IF(D23="","",IFERROR(INDEX(ProjNumbers,MATCH(D23,ProjNames,0)),""))</f>
        <v/>
      </c>
      <c r="F23" s="8" t="str">
        <f aca="false">IF(D23="","",IFERROR(INDEX(ProjCodes,MATCH(D23,ProjNames,0)),""))</f>
        <v/>
      </c>
      <c r="G23" s="32"/>
      <c r="H23" s="11"/>
      <c r="I23" s="33"/>
      <c r="J23" s="8" t="str">
        <f aca="false">IF(COUNTA(B23,D23,G23,H23,I23)=0,"",IF(B23="","Enter date",IF(OR(B23&lt;$AC$2,B23&gt;$AC$3),"Date not in August",IF(D23="","Pick project",IF(ISNA(MATCH(D23,ProjNames,0)),"Project not in list",IF(G23="","Add task description",IF(H23="","Pick NTIME or P6",IF(N(I23)&lt;=0,"Enter hours",IF(AND(AllowOT&lt;&gt;"Yes",SUMIF($B$7:$B$256,B23,$I$7:$I$256)&gt;INDEX($O$58:$O$88,DAY(B23))),"Day over "&amp;INDEX($O$58:$O$88,DAY(B23))&amp;" h","✓")))))))))</f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tr">
        <f aca="false">IF(Projects!B21="","",Projects!B21)</f>
        <v/>
      </c>
      <c r="X23" s="1" t="n">
        <f aca="false">IF(W23="",0,SUMIFS($I$7:$I$256,$D$7:$D$256,W23,$H$7:$H$256,"NTIME"))</f>
        <v>0</v>
      </c>
      <c r="Y23" s="1" t="n">
        <f aca="false">IF(W23="",0,SUMIFS($I$7:$I$256,$D$7:$D$256,W23,$H$7:$H$256,"P6"))</f>
        <v>0</v>
      </c>
      <c r="Z23" s="1" t="n">
        <f aca="false">X23+Y23</f>
        <v>0</v>
      </c>
      <c r="AA23" s="1" t="n">
        <f aca="false">IF(Z23&gt;0,Z23+(201-17)/10^6,0)</f>
        <v>0</v>
      </c>
      <c r="AB23" s="1"/>
      <c r="AC23" s="1"/>
      <c r="AD23" s="1"/>
      <c r="AE23" s="1"/>
      <c r="AF23" s="1"/>
      <c r="AG23" s="1"/>
      <c r="AH23" s="1"/>
    </row>
    <row r="24" customFormat="false" ht="15" hidden="false" customHeight="false" outlineLevel="0" collapsed="false">
      <c r="A24" s="1"/>
      <c r="B24" s="10"/>
      <c r="C24" s="31" t="str">
        <f aca="false">IF(B24="","",TEXT(B24,"ddd"))</f>
        <v/>
      </c>
      <c r="D24" s="11"/>
      <c r="E24" s="8" t="str">
        <f aca="false">IF(D24="","",IFERROR(INDEX(ProjNumbers,MATCH(D24,ProjNames,0)),""))</f>
        <v/>
      </c>
      <c r="F24" s="8" t="str">
        <f aca="false">IF(D24="","",IFERROR(INDEX(ProjCodes,MATCH(D24,ProjNames,0)),""))</f>
        <v/>
      </c>
      <c r="G24" s="32"/>
      <c r="H24" s="11"/>
      <c r="I24" s="33"/>
      <c r="J24" s="8" t="str">
        <f aca="false">IF(COUNTA(B24,D24,G24,H24,I24)=0,"",IF(B24="","Enter date",IF(OR(B24&lt;$AC$2,B24&gt;$AC$3),"Date not in August",IF(D24="","Pick project",IF(ISNA(MATCH(D24,ProjNames,0)),"Project not in list",IF(G24="","Add task description",IF(H24="","Pick NTIME or P6",IF(N(I24)&lt;=0,"Enter hours",IF(AND(AllowOT&lt;&gt;"Yes",SUMIF($B$7:$B$256,B24,$I$7:$I$256)&gt;INDEX($O$58:$O$88,DAY(B24))),"Day over "&amp;INDEX($O$58:$O$88,DAY(B24))&amp;" h","✓")))))))))</f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tr">
        <f aca="false">IF(Projects!B22="","",Projects!B22)</f>
        <v/>
      </c>
      <c r="X24" s="1" t="n">
        <f aca="false">IF(W24="",0,SUMIFS($I$7:$I$256,$D$7:$D$256,W24,$H$7:$H$256,"NTIME"))</f>
        <v>0</v>
      </c>
      <c r="Y24" s="1" t="n">
        <f aca="false">IF(W24="",0,SUMIFS($I$7:$I$256,$D$7:$D$256,W24,$H$7:$H$256,"P6"))</f>
        <v>0</v>
      </c>
      <c r="Z24" s="1" t="n">
        <f aca="false">X24+Y24</f>
        <v>0</v>
      </c>
      <c r="AA24" s="1" t="n">
        <f aca="false">IF(Z24&gt;0,Z24+(201-18)/10^6,0)</f>
        <v>0</v>
      </c>
      <c r="AB24" s="1"/>
      <c r="AC24" s="1"/>
      <c r="AD24" s="1"/>
      <c r="AE24" s="1"/>
      <c r="AF24" s="1"/>
      <c r="AG24" s="1"/>
      <c r="AH24" s="1"/>
    </row>
    <row r="25" customFormat="false" ht="15" hidden="false" customHeight="false" outlineLevel="0" collapsed="false">
      <c r="A25" s="1"/>
      <c r="B25" s="10"/>
      <c r="C25" s="31" t="str">
        <f aca="false">IF(B25="","",TEXT(B25,"ddd"))</f>
        <v/>
      </c>
      <c r="D25" s="11"/>
      <c r="E25" s="8" t="str">
        <f aca="false">IF(D25="","",IFERROR(INDEX(ProjNumbers,MATCH(D25,ProjNames,0)),""))</f>
        <v/>
      </c>
      <c r="F25" s="8" t="str">
        <f aca="false">IF(D25="","",IFERROR(INDEX(ProjCodes,MATCH(D25,ProjNames,0)),""))</f>
        <v/>
      </c>
      <c r="G25" s="32"/>
      <c r="H25" s="11"/>
      <c r="I25" s="33"/>
      <c r="J25" s="8" t="str">
        <f aca="false">IF(COUNTA(B25,D25,G25,H25,I25)=0,"",IF(B25="","Enter date",IF(OR(B25&lt;$AC$2,B25&gt;$AC$3),"Date not in August",IF(D25="","Pick project",IF(ISNA(MATCH(D25,ProjNames,0)),"Project not in list",IF(G25="","Add task description",IF(H25="","Pick NTIME or P6",IF(N(I25)&lt;=0,"Enter hours",IF(AND(AllowOT&lt;&gt;"Yes",SUMIF($B$7:$B$256,B25,$I$7:$I$256)&gt;INDEX($O$58:$O$88,DAY(B25))),"Day over "&amp;INDEX($O$58:$O$88,DAY(B25))&amp;" h","✓")))))))))</f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tr">
        <f aca="false">IF(Projects!B23="","",Projects!B23)</f>
        <v/>
      </c>
      <c r="X25" s="1" t="n">
        <f aca="false">IF(W25="",0,SUMIFS($I$7:$I$256,$D$7:$D$256,W25,$H$7:$H$256,"NTIME"))</f>
        <v>0</v>
      </c>
      <c r="Y25" s="1" t="n">
        <f aca="false">IF(W25="",0,SUMIFS($I$7:$I$256,$D$7:$D$256,W25,$H$7:$H$256,"P6"))</f>
        <v>0</v>
      </c>
      <c r="Z25" s="1" t="n">
        <f aca="false">X25+Y25</f>
        <v>0</v>
      </c>
      <c r="AA25" s="1" t="n">
        <f aca="false">IF(Z25&gt;0,Z25+(201-19)/10^6,0)</f>
        <v>0</v>
      </c>
      <c r="AB25" s="1"/>
      <c r="AC25" s="1"/>
      <c r="AD25" s="1"/>
      <c r="AE25" s="1"/>
      <c r="AF25" s="1"/>
      <c r="AG25" s="1"/>
      <c r="AH25" s="1"/>
    </row>
    <row r="26" customFormat="false" ht="15" hidden="false" customHeight="false" outlineLevel="0" collapsed="false">
      <c r="A26" s="1"/>
      <c r="B26" s="10"/>
      <c r="C26" s="31" t="str">
        <f aca="false">IF(B26="","",TEXT(B26,"ddd"))</f>
        <v/>
      </c>
      <c r="D26" s="11"/>
      <c r="E26" s="8" t="str">
        <f aca="false">IF(D26="","",IFERROR(INDEX(ProjNumbers,MATCH(D26,ProjNames,0)),""))</f>
        <v/>
      </c>
      <c r="F26" s="8" t="str">
        <f aca="false">IF(D26="","",IFERROR(INDEX(ProjCodes,MATCH(D26,ProjNames,0)),""))</f>
        <v/>
      </c>
      <c r="G26" s="32"/>
      <c r="H26" s="11"/>
      <c r="I26" s="33"/>
      <c r="J26" s="8" t="str">
        <f aca="false">IF(COUNTA(B26,D26,G26,H26,I26)=0,"",IF(B26="","Enter date",IF(OR(B26&lt;$AC$2,B26&gt;$AC$3),"Date not in August",IF(D26="","Pick project",IF(ISNA(MATCH(D26,ProjNames,0)),"Project not in list",IF(G26="","Add task description",IF(H26="","Pick NTIME or P6",IF(N(I26)&lt;=0,"Enter hours",IF(AND(AllowOT&lt;&gt;"Yes",SUMIF($B$7:$B$256,B26,$I$7:$I$256)&gt;INDEX($O$58:$O$88,DAY(B26))),"Day over "&amp;INDEX($O$58:$O$88,DAY(B26))&amp;" h","✓")))))))))</f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tr">
        <f aca="false">IF(Projects!B24="","",Projects!B24)</f>
        <v/>
      </c>
      <c r="X26" s="1" t="n">
        <f aca="false">IF(W26="",0,SUMIFS($I$7:$I$256,$D$7:$D$256,W26,$H$7:$H$256,"NTIME"))</f>
        <v>0</v>
      </c>
      <c r="Y26" s="1" t="n">
        <f aca="false">IF(W26="",0,SUMIFS($I$7:$I$256,$D$7:$D$256,W26,$H$7:$H$256,"P6"))</f>
        <v>0</v>
      </c>
      <c r="Z26" s="1" t="n">
        <f aca="false">X26+Y26</f>
        <v>0</v>
      </c>
      <c r="AA26" s="1" t="n">
        <f aca="false">IF(Z26&gt;0,Z26+(201-20)/10^6,0)</f>
        <v>0</v>
      </c>
      <c r="AB26" s="1"/>
      <c r="AC26" s="1"/>
      <c r="AD26" s="1"/>
      <c r="AE26" s="1"/>
      <c r="AF26" s="1"/>
      <c r="AG26" s="1"/>
      <c r="AH26" s="1"/>
    </row>
    <row r="27" customFormat="false" ht="15" hidden="false" customHeight="false" outlineLevel="0" collapsed="false">
      <c r="A27" s="1"/>
      <c r="B27" s="10"/>
      <c r="C27" s="31" t="str">
        <f aca="false">IF(B27="","",TEXT(B27,"ddd"))</f>
        <v/>
      </c>
      <c r="D27" s="11"/>
      <c r="E27" s="8" t="str">
        <f aca="false">IF(D27="","",IFERROR(INDEX(ProjNumbers,MATCH(D27,ProjNames,0)),""))</f>
        <v/>
      </c>
      <c r="F27" s="8" t="str">
        <f aca="false">IF(D27="","",IFERROR(INDEX(ProjCodes,MATCH(D27,ProjNames,0)),""))</f>
        <v/>
      </c>
      <c r="G27" s="32"/>
      <c r="H27" s="11"/>
      <c r="I27" s="33"/>
      <c r="J27" s="8" t="str">
        <f aca="false">IF(COUNTA(B27,D27,G27,H27,I27)=0,"",IF(B27="","Enter date",IF(OR(B27&lt;$AC$2,B27&gt;$AC$3),"Date not in August",IF(D27="","Pick project",IF(ISNA(MATCH(D27,ProjNames,0)),"Project not in list",IF(G27="","Add task description",IF(H27="","Pick NTIME or P6",IF(N(I27)&lt;=0,"Enter hours",IF(AND(AllowOT&lt;&gt;"Yes",SUMIF($B$7:$B$256,B27,$I$7:$I$256)&gt;INDEX($O$58:$O$88,DAY(B27))),"Day over "&amp;INDEX($O$58:$O$88,DAY(B27))&amp;" h","✓")))))))))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aca="false">IF(Projects!B25="","",Projects!B25)</f>
        <v/>
      </c>
      <c r="X27" s="1" t="n">
        <f aca="false">IF(W27="",0,SUMIFS($I$7:$I$256,$D$7:$D$256,W27,$H$7:$H$256,"NTIME"))</f>
        <v>0</v>
      </c>
      <c r="Y27" s="1" t="n">
        <f aca="false">IF(W27="",0,SUMIFS($I$7:$I$256,$D$7:$D$256,W27,$H$7:$H$256,"P6"))</f>
        <v>0</v>
      </c>
      <c r="Z27" s="1" t="n">
        <f aca="false">X27+Y27</f>
        <v>0</v>
      </c>
      <c r="AA27" s="1" t="n">
        <f aca="false">IF(Z27&gt;0,Z27+(201-21)/10^6,0)</f>
        <v>0</v>
      </c>
      <c r="AB27" s="1"/>
      <c r="AC27" s="1"/>
      <c r="AD27" s="1"/>
      <c r="AE27" s="1"/>
      <c r="AF27" s="1"/>
      <c r="AG27" s="1"/>
      <c r="AH27" s="1"/>
    </row>
    <row r="28" customFormat="false" ht="15" hidden="false" customHeight="false" outlineLevel="0" collapsed="false">
      <c r="A28" s="1"/>
      <c r="B28" s="10"/>
      <c r="C28" s="31" t="str">
        <f aca="false">IF(B28="","",TEXT(B28,"ddd"))</f>
        <v/>
      </c>
      <c r="D28" s="11"/>
      <c r="E28" s="8" t="str">
        <f aca="false">IF(D28="","",IFERROR(INDEX(ProjNumbers,MATCH(D28,ProjNames,0)),""))</f>
        <v/>
      </c>
      <c r="F28" s="8" t="str">
        <f aca="false">IF(D28="","",IFERROR(INDEX(ProjCodes,MATCH(D28,ProjNames,0)),""))</f>
        <v/>
      </c>
      <c r="G28" s="32"/>
      <c r="H28" s="11"/>
      <c r="I28" s="33"/>
      <c r="J28" s="8" t="str">
        <f aca="false">IF(COUNTA(B28,D28,G28,H28,I28)=0,"",IF(B28="","Enter date",IF(OR(B28&lt;$AC$2,B28&gt;$AC$3),"Date not in August",IF(D28="","Pick project",IF(ISNA(MATCH(D28,ProjNames,0)),"Project not in list",IF(G28="","Add task description",IF(H28="","Pick NTIME or P6",IF(N(I28)&lt;=0,"Enter hours",IF(AND(AllowOT&lt;&gt;"Yes",SUMIF($B$7:$B$256,B28,$I$7:$I$256)&gt;INDEX($O$58:$O$88,DAY(B28))),"Day over "&amp;INDEX($O$58:$O$88,DAY(B28))&amp;" h","✓")))))))))</f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tr">
        <f aca="false">IF(Projects!B26="","",Projects!B26)</f>
        <v/>
      </c>
      <c r="X28" s="1" t="n">
        <f aca="false">IF(W28="",0,SUMIFS($I$7:$I$256,$D$7:$D$256,W28,$H$7:$H$256,"NTIME"))</f>
        <v>0</v>
      </c>
      <c r="Y28" s="1" t="n">
        <f aca="false">IF(W28="",0,SUMIFS($I$7:$I$256,$D$7:$D$256,W28,$H$7:$H$256,"P6"))</f>
        <v>0</v>
      </c>
      <c r="Z28" s="1" t="n">
        <f aca="false">X28+Y28</f>
        <v>0</v>
      </c>
      <c r="AA28" s="1" t="n">
        <f aca="false">IF(Z28&gt;0,Z28+(201-22)/10^6,0)</f>
        <v>0</v>
      </c>
      <c r="AB28" s="1"/>
      <c r="AC28" s="1"/>
      <c r="AD28" s="1"/>
      <c r="AE28" s="1"/>
      <c r="AF28" s="1"/>
      <c r="AG28" s="1"/>
      <c r="AH28" s="1"/>
    </row>
    <row r="29" customFormat="false" ht="15" hidden="false" customHeight="false" outlineLevel="0" collapsed="false">
      <c r="A29" s="1"/>
      <c r="B29" s="10"/>
      <c r="C29" s="31" t="str">
        <f aca="false">IF(B29="","",TEXT(B29,"ddd"))</f>
        <v/>
      </c>
      <c r="D29" s="11"/>
      <c r="E29" s="8" t="str">
        <f aca="false">IF(D29="","",IFERROR(INDEX(ProjNumbers,MATCH(D29,ProjNames,0)),""))</f>
        <v/>
      </c>
      <c r="F29" s="8" t="str">
        <f aca="false">IF(D29="","",IFERROR(INDEX(ProjCodes,MATCH(D29,ProjNames,0)),""))</f>
        <v/>
      </c>
      <c r="G29" s="32"/>
      <c r="H29" s="11"/>
      <c r="I29" s="33"/>
      <c r="J29" s="8" t="str">
        <f aca="false">IF(COUNTA(B29,D29,G29,H29,I29)=0,"",IF(B29="","Enter date",IF(OR(B29&lt;$AC$2,B29&gt;$AC$3),"Date not in August",IF(D29="","Pick project",IF(ISNA(MATCH(D29,ProjNames,0)),"Project not in list",IF(G29="","Add task description",IF(H29="","Pick NTIME or P6",IF(N(I29)&lt;=0,"Enter hours",IF(AND(AllowOT&lt;&gt;"Yes",SUMIF($B$7:$B$256,B29,$I$7:$I$256)&gt;INDEX($O$58:$O$88,DAY(B29))),"Day over "&amp;INDEX($O$58:$O$88,DAY(B29))&amp;" h","✓")))))))))</f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tr">
        <f aca="false">IF(Projects!B27="","",Projects!B27)</f>
        <v/>
      </c>
      <c r="X29" s="1" t="n">
        <f aca="false">IF(W29="",0,SUMIFS($I$7:$I$256,$D$7:$D$256,W29,$H$7:$H$256,"NTIME"))</f>
        <v>0</v>
      </c>
      <c r="Y29" s="1" t="n">
        <f aca="false">IF(W29="",0,SUMIFS($I$7:$I$256,$D$7:$D$256,W29,$H$7:$H$256,"P6"))</f>
        <v>0</v>
      </c>
      <c r="Z29" s="1" t="n">
        <f aca="false">X29+Y29</f>
        <v>0</v>
      </c>
      <c r="AA29" s="1" t="n">
        <f aca="false">IF(Z29&gt;0,Z29+(201-23)/10^6,0)</f>
        <v>0</v>
      </c>
      <c r="AB29" s="1"/>
      <c r="AC29" s="1"/>
      <c r="AD29" s="1"/>
      <c r="AE29" s="1"/>
      <c r="AF29" s="1"/>
      <c r="AG29" s="1"/>
      <c r="AH29" s="1"/>
    </row>
    <row r="30" customFormat="false" ht="15" hidden="false" customHeight="false" outlineLevel="0" collapsed="false">
      <c r="A30" s="1"/>
      <c r="B30" s="10"/>
      <c r="C30" s="31" t="str">
        <f aca="false">IF(B30="","",TEXT(B30,"ddd"))</f>
        <v/>
      </c>
      <c r="D30" s="11"/>
      <c r="E30" s="8" t="str">
        <f aca="false">IF(D30="","",IFERROR(INDEX(ProjNumbers,MATCH(D30,ProjNames,0)),""))</f>
        <v/>
      </c>
      <c r="F30" s="8" t="str">
        <f aca="false">IF(D30="","",IFERROR(INDEX(ProjCodes,MATCH(D30,ProjNames,0)),""))</f>
        <v/>
      </c>
      <c r="G30" s="32"/>
      <c r="H30" s="11"/>
      <c r="I30" s="33"/>
      <c r="J30" s="8" t="str">
        <f aca="false">IF(COUNTA(B30,D30,G30,H30,I30)=0,"",IF(B30="","Enter date",IF(OR(B30&lt;$AC$2,B30&gt;$AC$3),"Date not in August",IF(D30="","Pick project",IF(ISNA(MATCH(D30,ProjNames,0)),"Project not in list",IF(G30="","Add task description",IF(H30="","Pick NTIME or P6",IF(N(I30)&lt;=0,"Enter hours",IF(AND(AllowOT&lt;&gt;"Yes",SUMIF($B$7:$B$256,B30,$I$7:$I$256)&gt;INDEX($O$58:$O$88,DAY(B30))),"Day over "&amp;INDEX($O$58:$O$88,DAY(B30))&amp;" h","✓")))))))))</f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tr">
        <f aca="false">IF(Projects!B28="","",Projects!B28)</f>
        <v/>
      </c>
      <c r="X30" s="1" t="n">
        <f aca="false">IF(W30="",0,SUMIFS($I$7:$I$256,$D$7:$D$256,W30,$H$7:$H$256,"NTIME"))</f>
        <v>0</v>
      </c>
      <c r="Y30" s="1" t="n">
        <f aca="false">IF(W30="",0,SUMIFS($I$7:$I$256,$D$7:$D$256,W30,$H$7:$H$256,"P6"))</f>
        <v>0</v>
      </c>
      <c r="Z30" s="1" t="n">
        <f aca="false">X30+Y30</f>
        <v>0</v>
      </c>
      <c r="AA30" s="1" t="n">
        <f aca="false">IF(Z30&gt;0,Z30+(201-24)/10^6,0)</f>
        <v>0</v>
      </c>
      <c r="AB30" s="1"/>
      <c r="AC30" s="1"/>
      <c r="AD30" s="1"/>
      <c r="AE30" s="1"/>
      <c r="AF30" s="1"/>
      <c r="AG30" s="1"/>
      <c r="AH30" s="1"/>
    </row>
    <row r="31" customFormat="false" ht="15" hidden="false" customHeight="false" outlineLevel="0" collapsed="false">
      <c r="A31" s="1"/>
      <c r="B31" s="10"/>
      <c r="C31" s="31" t="str">
        <f aca="false">IF(B31="","",TEXT(B31,"ddd"))</f>
        <v/>
      </c>
      <c r="D31" s="11"/>
      <c r="E31" s="8" t="str">
        <f aca="false">IF(D31="","",IFERROR(INDEX(ProjNumbers,MATCH(D31,ProjNames,0)),""))</f>
        <v/>
      </c>
      <c r="F31" s="8" t="str">
        <f aca="false">IF(D31="","",IFERROR(INDEX(ProjCodes,MATCH(D31,ProjNames,0)),""))</f>
        <v/>
      </c>
      <c r="G31" s="32"/>
      <c r="H31" s="11"/>
      <c r="I31" s="33"/>
      <c r="J31" s="8" t="str">
        <f aca="false">IF(COUNTA(B31,D31,G31,H31,I31)=0,"",IF(B31="","Enter date",IF(OR(B31&lt;$AC$2,B31&gt;$AC$3),"Date not in August",IF(D31="","Pick project",IF(ISNA(MATCH(D31,ProjNames,0)),"Project not in list",IF(G31="","Add task description",IF(H31="","Pick NTIME or P6",IF(N(I31)&lt;=0,"Enter hours",IF(AND(AllowOT&lt;&gt;"Yes",SUMIF($B$7:$B$256,B31,$I$7:$I$256)&gt;INDEX($O$58:$O$88,DAY(B31))),"Day over "&amp;INDEX($O$58:$O$88,DAY(B31))&amp;" h","✓")))))))))</f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tr">
        <f aca="false">IF(Projects!B29="","",Projects!B29)</f>
        <v/>
      </c>
      <c r="X31" s="1" t="n">
        <f aca="false">IF(W31="",0,SUMIFS($I$7:$I$256,$D$7:$D$256,W31,$H$7:$H$256,"NTIME"))</f>
        <v>0</v>
      </c>
      <c r="Y31" s="1" t="n">
        <f aca="false">IF(W31="",0,SUMIFS($I$7:$I$256,$D$7:$D$256,W31,$H$7:$H$256,"P6"))</f>
        <v>0</v>
      </c>
      <c r="Z31" s="1" t="n">
        <f aca="false">X31+Y31</f>
        <v>0</v>
      </c>
      <c r="AA31" s="1" t="n">
        <f aca="false">IF(Z31&gt;0,Z31+(201-25)/10^6,0)</f>
        <v>0</v>
      </c>
      <c r="AB31" s="1"/>
      <c r="AC31" s="1"/>
      <c r="AD31" s="1"/>
      <c r="AE31" s="1"/>
      <c r="AF31" s="1"/>
      <c r="AG31" s="1"/>
      <c r="AH31" s="1"/>
    </row>
    <row r="32" customFormat="false" ht="15" hidden="false" customHeight="false" outlineLevel="0" collapsed="false">
      <c r="A32" s="1"/>
      <c r="B32" s="10"/>
      <c r="C32" s="31" t="str">
        <f aca="false">IF(B32="","",TEXT(B32,"ddd"))</f>
        <v/>
      </c>
      <c r="D32" s="11"/>
      <c r="E32" s="8" t="str">
        <f aca="false">IF(D32="","",IFERROR(INDEX(ProjNumbers,MATCH(D32,ProjNames,0)),""))</f>
        <v/>
      </c>
      <c r="F32" s="8" t="str">
        <f aca="false">IF(D32="","",IFERROR(INDEX(ProjCodes,MATCH(D32,ProjNames,0)),""))</f>
        <v/>
      </c>
      <c r="G32" s="32"/>
      <c r="H32" s="11"/>
      <c r="I32" s="33"/>
      <c r="J32" s="8" t="str">
        <f aca="false">IF(COUNTA(B32,D32,G32,H32,I32)=0,"",IF(B32="","Enter date",IF(OR(B32&lt;$AC$2,B32&gt;$AC$3),"Date not in August",IF(D32="","Pick project",IF(ISNA(MATCH(D32,ProjNames,0)),"Project not in list",IF(G32="","Add task description",IF(H32="","Pick NTIME or P6",IF(N(I32)&lt;=0,"Enter hours",IF(AND(AllowOT&lt;&gt;"Yes",SUMIF($B$7:$B$256,B32,$I$7:$I$256)&gt;INDEX($O$58:$O$88,DAY(B32))),"Day over "&amp;INDEX($O$58:$O$88,DAY(B32))&amp;" h","✓")))))))))</f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tr">
        <f aca="false">IF(Projects!B30="","",Projects!B30)</f>
        <v/>
      </c>
      <c r="X32" s="1" t="n">
        <f aca="false">IF(W32="",0,SUMIFS($I$7:$I$256,$D$7:$D$256,W32,$H$7:$H$256,"NTIME"))</f>
        <v>0</v>
      </c>
      <c r="Y32" s="1" t="n">
        <f aca="false">IF(W32="",0,SUMIFS($I$7:$I$256,$D$7:$D$256,W32,$H$7:$H$256,"P6"))</f>
        <v>0</v>
      </c>
      <c r="Z32" s="1" t="n">
        <f aca="false">X32+Y32</f>
        <v>0</v>
      </c>
      <c r="AA32" s="1" t="n">
        <f aca="false">IF(Z32&gt;0,Z32+(201-26)/10^6,0)</f>
        <v>0</v>
      </c>
      <c r="AB32" s="1"/>
      <c r="AC32" s="1"/>
      <c r="AD32" s="1"/>
      <c r="AE32" s="1"/>
      <c r="AF32" s="1"/>
      <c r="AG32" s="1"/>
      <c r="AH32" s="1"/>
    </row>
    <row r="33" customFormat="false" ht="15" hidden="false" customHeight="false" outlineLevel="0" collapsed="false">
      <c r="A33" s="1"/>
      <c r="B33" s="10"/>
      <c r="C33" s="31" t="str">
        <f aca="false">IF(B33="","",TEXT(B33,"ddd"))</f>
        <v/>
      </c>
      <c r="D33" s="11"/>
      <c r="E33" s="8" t="str">
        <f aca="false">IF(D33="","",IFERROR(INDEX(ProjNumbers,MATCH(D33,ProjNames,0)),""))</f>
        <v/>
      </c>
      <c r="F33" s="8" t="str">
        <f aca="false">IF(D33="","",IFERROR(INDEX(ProjCodes,MATCH(D33,ProjNames,0)),""))</f>
        <v/>
      </c>
      <c r="G33" s="32"/>
      <c r="H33" s="11"/>
      <c r="I33" s="33"/>
      <c r="J33" s="8" t="str">
        <f aca="false">IF(COUNTA(B33,D33,G33,H33,I33)=0,"",IF(B33="","Enter date",IF(OR(B33&lt;$AC$2,B33&gt;$AC$3),"Date not in August",IF(D33="","Pick project",IF(ISNA(MATCH(D33,ProjNames,0)),"Project not in list",IF(G33="","Add task description",IF(H33="","Pick NTIME or P6",IF(N(I33)&lt;=0,"Enter hours",IF(AND(AllowOT&lt;&gt;"Yes",SUMIF($B$7:$B$256,B33,$I$7:$I$256)&gt;INDEX($O$58:$O$88,DAY(B33))),"Day over "&amp;INDEX($O$58:$O$88,DAY(B33))&amp;" h","✓")))))))))</f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tr">
        <f aca="false">IF(Projects!B31="","",Projects!B31)</f>
        <v/>
      </c>
      <c r="X33" s="1" t="n">
        <f aca="false">IF(W33="",0,SUMIFS($I$7:$I$256,$D$7:$D$256,W33,$H$7:$H$256,"NTIME"))</f>
        <v>0</v>
      </c>
      <c r="Y33" s="1" t="n">
        <f aca="false">IF(W33="",0,SUMIFS($I$7:$I$256,$D$7:$D$256,W33,$H$7:$H$256,"P6"))</f>
        <v>0</v>
      </c>
      <c r="Z33" s="1" t="n">
        <f aca="false">X33+Y33</f>
        <v>0</v>
      </c>
      <c r="AA33" s="1" t="n">
        <f aca="false">IF(Z33&gt;0,Z33+(201-27)/10^6,0)</f>
        <v>0</v>
      </c>
      <c r="AB33" s="1"/>
      <c r="AC33" s="1"/>
      <c r="AD33" s="1"/>
      <c r="AE33" s="1"/>
      <c r="AF33" s="1"/>
      <c r="AG33" s="1"/>
      <c r="AH33" s="1"/>
    </row>
    <row r="34" customFormat="false" ht="15" hidden="false" customHeight="false" outlineLevel="0" collapsed="false">
      <c r="A34" s="1"/>
      <c r="B34" s="10"/>
      <c r="C34" s="31" t="str">
        <f aca="false">IF(B34="","",TEXT(B34,"ddd"))</f>
        <v/>
      </c>
      <c r="D34" s="11"/>
      <c r="E34" s="8" t="str">
        <f aca="false">IF(D34="","",IFERROR(INDEX(ProjNumbers,MATCH(D34,ProjNames,0)),""))</f>
        <v/>
      </c>
      <c r="F34" s="8" t="str">
        <f aca="false">IF(D34="","",IFERROR(INDEX(ProjCodes,MATCH(D34,ProjNames,0)),""))</f>
        <v/>
      </c>
      <c r="G34" s="32"/>
      <c r="H34" s="11"/>
      <c r="I34" s="33"/>
      <c r="J34" s="8" t="str">
        <f aca="false">IF(COUNTA(B34,D34,G34,H34,I34)=0,"",IF(B34="","Enter date",IF(OR(B34&lt;$AC$2,B34&gt;$AC$3),"Date not in August",IF(D34="","Pick project",IF(ISNA(MATCH(D34,ProjNames,0)),"Project not in list",IF(G34="","Add task description",IF(H34="","Pick NTIME or P6",IF(N(I34)&lt;=0,"Enter hours",IF(AND(AllowOT&lt;&gt;"Yes",SUMIF($B$7:$B$256,B34,$I$7:$I$256)&gt;INDEX($O$58:$O$88,DAY(B34))),"Day over "&amp;INDEX($O$58:$O$88,DAY(B34))&amp;" h","✓")))))))))</f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tr">
        <f aca="false">IF(Projects!B32="","",Projects!B32)</f>
        <v/>
      </c>
      <c r="X34" s="1" t="n">
        <f aca="false">IF(W34="",0,SUMIFS($I$7:$I$256,$D$7:$D$256,W34,$H$7:$H$256,"NTIME"))</f>
        <v>0</v>
      </c>
      <c r="Y34" s="1" t="n">
        <f aca="false">IF(W34="",0,SUMIFS($I$7:$I$256,$D$7:$D$256,W34,$H$7:$H$256,"P6"))</f>
        <v>0</v>
      </c>
      <c r="Z34" s="1" t="n">
        <f aca="false">X34+Y34</f>
        <v>0</v>
      </c>
      <c r="AA34" s="1" t="n">
        <f aca="false">IF(Z34&gt;0,Z34+(201-28)/10^6,0)</f>
        <v>0</v>
      </c>
      <c r="AB34" s="1"/>
      <c r="AC34" s="1"/>
      <c r="AD34" s="1"/>
      <c r="AE34" s="1"/>
      <c r="AF34" s="1"/>
      <c r="AG34" s="1"/>
      <c r="AH34" s="1"/>
    </row>
    <row r="35" customFormat="false" ht="15" hidden="false" customHeight="false" outlineLevel="0" collapsed="false">
      <c r="A35" s="1"/>
      <c r="B35" s="10"/>
      <c r="C35" s="31" t="str">
        <f aca="false">IF(B35="","",TEXT(B35,"ddd"))</f>
        <v/>
      </c>
      <c r="D35" s="11"/>
      <c r="E35" s="8" t="str">
        <f aca="false">IF(D35="","",IFERROR(INDEX(ProjNumbers,MATCH(D35,ProjNames,0)),""))</f>
        <v/>
      </c>
      <c r="F35" s="8" t="str">
        <f aca="false">IF(D35="","",IFERROR(INDEX(ProjCodes,MATCH(D35,ProjNames,0)),""))</f>
        <v/>
      </c>
      <c r="G35" s="32"/>
      <c r="H35" s="11"/>
      <c r="I35" s="33"/>
      <c r="J35" s="8" t="str">
        <f aca="false">IF(COUNTA(B35,D35,G35,H35,I35)=0,"",IF(B35="","Enter date",IF(OR(B35&lt;$AC$2,B35&gt;$AC$3),"Date not in August",IF(D35="","Pick project",IF(ISNA(MATCH(D35,ProjNames,0)),"Project not in list",IF(G35="","Add task description",IF(H35="","Pick NTIME or P6",IF(N(I35)&lt;=0,"Enter hours",IF(AND(AllowOT&lt;&gt;"Yes",SUMIF($B$7:$B$256,B35,$I$7:$I$256)&gt;INDEX($O$58:$O$88,DAY(B35))),"Day over "&amp;INDEX($O$58:$O$88,DAY(B35))&amp;" h","✓")))))))))</f>
        <v/>
      </c>
      <c r="K35" s="1"/>
      <c r="L35" s="4" t="s">
        <v>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 t="str">
        <f aca="false">IF(Projects!B33="","",Projects!B33)</f>
        <v/>
      </c>
      <c r="X35" s="1" t="n">
        <f aca="false">IF(W35="",0,SUMIFS($I$7:$I$256,$D$7:$D$256,W35,$H$7:$H$256,"NTIME"))</f>
        <v>0</v>
      </c>
      <c r="Y35" s="1" t="n">
        <f aca="false">IF(W35="",0,SUMIFS($I$7:$I$256,$D$7:$D$256,W35,$H$7:$H$256,"P6"))</f>
        <v>0</v>
      </c>
      <c r="Z35" s="1" t="n">
        <f aca="false">X35+Y35</f>
        <v>0</v>
      </c>
      <c r="AA35" s="1" t="n">
        <f aca="false">IF(Z35&gt;0,Z35+(201-29)/10^6,0)</f>
        <v>0</v>
      </c>
      <c r="AB35" s="1"/>
      <c r="AC35" s="1"/>
      <c r="AD35" s="1"/>
      <c r="AE35" s="1"/>
      <c r="AF35" s="1"/>
      <c r="AG35" s="1"/>
      <c r="AH35" s="1"/>
    </row>
    <row r="36" customFormat="false" ht="23.85" hidden="false" customHeight="false" outlineLevel="0" collapsed="false">
      <c r="A36" s="1"/>
      <c r="B36" s="10"/>
      <c r="C36" s="31" t="str">
        <f aca="false">IF(B36="","",TEXT(B36,"ddd"))</f>
        <v/>
      </c>
      <c r="D36" s="11"/>
      <c r="E36" s="8" t="str">
        <f aca="false">IF(D36="","",IFERROR(INDEX(ProjNumbers,MATCH(D36,ProjNames,0)),""))</f>
        <v/>
      </c>
      <c r="F36" s="8" t="str">
        <f aca="false">IF(D36="","",IFERROR(INDEX(ProjCodes,MATCH(D36,ProjNames,0)),""))</f>
        <v/>
      </c>
      <c r="G36" s="32"/>
      <c r="H36" s="11"/>
      <c r="I36" s="33"/>
      <c r="J36" s="8" t="str">
        <f aca="false">IF(COUNTA(B36,D36,G36,H36,I36)=0,"",IF(B36="","Enter date",IF(OR(B36&lt;$AC$2,B36&gt;$AC$3),"Date not in August",IF(D36="","Pick project",IF(ISNA(MATCH(D36,ProjNames,0)),"Project not in list",IF(G36="","Add task description",IF(H36="","Pick NTIME or P6",IF(N(I36)&lt;=0,"Enter hours",IF(AND(AllowOT&lt;&gt;"Yes",SUMIF($B$7:$B$256,B36,$I$7:$I$256)&gt;INDEX($O$58:$O$88,DAY(B36))),"Day over "&amp;INDEX($O$58:$O$88,DAY(B36))&amp;" h","✓")))))))))</f>
        <v/>
      </c>
      <c r="K36" s="1"/>
      <c r="L36" s="9" t="s">
        <v>72</v>
      </c>
      <c r="M36" s="9" t="s">
        <v>36</v>
      </c>
      <c r="N36" s="9" t="s">
        <v>37</v>
      </c>
      <c r="O36" s="20" t="s">
        <v>46</v>
      </c>
      <c r="P36" s="21" t="s">
        <v>56</v>
      </c>
      <c r="Q36" s="9" t="s">
        <v>57</v>
      </c>
      <c r="R36" s="9" t="s">
        <v>86</v>
      </c>
      <c r="S36" s="1"/>
      <c r="T36" s="1"/>
      <c r="U36" s="1"/>
      <c r="V36" s="1"/>
      <c r="W36" s="1" t="str">
        <f aca="false">IF(Projects!B34="","",Projects!B34)</f>
        <v/>
      </c>
      <c r="X36" s="1" t="n">
        <f aca="false">IF(W36="",0,SUMIFS($I$7:$I$256,$D$7:$D$256,W36,$H$7:$H$256,"NTIME"))</f>
        <v>0</v>
      </c>
      <c r="Y36" s="1" t="n">
        <f aca="false">IF(W36="",0,SUMIFS($I$7:$I$256,$D$7:$D$256,W36,$H$7:$H$256,"P6"))</f>
        <v>0</v>
      </c>
      <c r="Z36" s="1" t="n">
        <f aca="false">X36+Y36</f>
        <v>0</v>
      </c>
      <c r="AA36" s="1" t="n">
        <f aca="false">IF(Z36&gt;0,Z36+(201-30)/10^6,0)</f>
        <v>0</v>
      </c>
      <c r="AB36" s="1"/>
      <c r="AC36" s="1"/>
      <c r="AD36" s="1"/>
      <c r="AE36" s="1"/>
      <c r="AF36" s="1"/>
      <c r="AG36" s="1"/>
      <c r="AH36" s="1"/>
    </row>
    <row r="37" customFormat="false" ht="15" hidden="false" customHeight="false" outlineLevel="0" collapsed="false">
      <c r="A37" s="1"/>
      <c r="B37" s="10"/>
      <c r="C37" s="31" t="str">
        <f aca="false">IF(B37="","",TEXT(B37,"ddd"))</f>
        <v/>
      </c>
      <c r="D37" s="11"/>
      <c r="E37" s="8" t="str">
        <f aca="false">IF(D37="","",IFERROR(INDEX(ProjNumbers,MATCH(D37,ProjNames,0)),""))</f>
        <v/>
      </c>
      <c r="F37" s="8" t="str">
        <f aca="false">IF(D37="","",IFERROR(INDEX(ProjCodes,MATCH(D37,ProjNames,0)),""))</f>
        <v/>
      </c>
      <c r="G37" s="32"/>
      <c r="H37" s="11"/>
      <c r="I37" s="33"/>
      <c r="J37" s="8" t="str">
        <f aca="false">IF(COUNTA(B37,D37,G37,H37,I37)=0,"",IF(B37="","Enter date",IF(OR(B37&lt;$AC$2,B37&gt;$AC$3),"Date not in August",IF(D37="","Pick project",IF(ISNA(MATCH(D37,ProjNames,0)),"Project not in list",IF(G37="","Add task description",IF(H37="","Pick NTIME or P6",IF(N(I37)&lt;=0,"Enter hours",IF(AND(AllowOT&lt;&gt;"Yes",SUMIF($B$7:$B$256,B37,$I$7:$I$256)&gt;INDEX($O$58:$O$88,DAY(B37))),"Day over "&amp;INDEX($O$58:$O$88,DAY(B37))&amp;" h","✓")))))))))</f>
        <v/>
      </c>
      <c r="K37" s="1"/>
      <c r="L37" s="24" t="str">
        <f aca="false">IF($AD37=0,"",INDEX($W$7:$W$206,$AD37))</f>
        <v/>
      </c>
      <c r="M37" s="24" t="str">
        <f aca="false">IF($AD37=0,"",INDEX(ProjNumbers,$AD37))</f>
        <v/>
      </c>
      <c r="N37" s="24" t="str">
        <f aca="false">IF($AD37=0,"",INDEX(ProjCodes,$AD37))</f>
        <v/>
      </c>
      <c r="O37" s="24" t="str">
        <f aca="false">IF($AD37=0,"",INDEX($X$7:$X$206,$AD37))</f>
        <v/>
      </c>
      <c r="P37" s="24" t="str">
        <f aca="false">IF($AD37=0,"",INDEX($Y$7:$Y$206,$AD37))</f>
        <v/>
      </c>
      <c r="Q37" s="24" t="str">
        <f aca="false">IF($AD37=0,"",INDEX($Z$7:$Z$206,$AD37))</f>
        <v/>
      </c>
      <c r="R37" s="25" t="str">
        <f aca="false">IF(OR($AD37=0,$L$5=0),"",Q37/$L$5)</f>
        <v/>
      </c>
      <c r="S37" s="1"/>
      <c r="T37" s="1"/>
      <c r="U37" s="1"/>
      <c r="V37" s="1"/>
      <c r="W37" s="1" t="str">
        <f aca="false">IF(Projects!B35="","",Projects!B35)</f>
        <v/>
      </c>
      <c r="X37" s="1" t="n">
        <f aca="false">IF(W37="",0,SUMIFS($I$7:$I$256,$D$7:$D$256,W37,$H$7:$H$256,"NTIME"))</f>
        <v>0</v>
      </c>
      <c r="Y37" s="1" t="n">
        <f aca="false">IF(W37="",0,SUMIFS($I$7:$I$256,$D$7:$D$256,W37,$H$7:$H$256,"P6"))</f>
        <v>0</v>
      </c>
      <c r="Z37" s="1" t="n">
        <f aca="false">X37+Y37</f>
        <v>0</v>
      </c>
      <c r="AA37" s="1" t="n">
        <f aca="false">IF(Z37&gt;0,Z37+(201-31)/10^6,0)</f>
        <v>0</v>
      </c>
      <c r="AB37" s="1"/>
      <c r="AC37" s="1"/>
      <c r="AD37" s="1" t="n">
        <f aca="false">IF(LARGE($AA$7:$AA$206,1)&lt;=0,0,MATCH(LARGE($AA$7:$AA$206,1),$AA$7:$AA$206,0))</f>
        <v>0</v>
      </c>
      <c r="AE37" s="1"/>
      <c r="AF37" s="1"/>
      <c r="AG37" s="1"/>
      <c r="AH37" s="1"/>
    </row>
    <row r="38" customFormat="false" ht="15" hidden="false" customHeight="false" outlineLevel="0" collapsed="false">
      <c r="A38" s="1"/>
      <c r="B38" s="10"/>
      <c r="C38" s="31" t="str">
        <f aca="false">IF(B38="","",TEXT(B38,"ddd"))</f>
        <v/>
      </c>
      <c r="D38" s="11"/>
      <c r="E38" s="8" t="str">
        <f aca="false">IF(D38="","",IFERROR(INDEX(ProjNumbers,MATCH(D38,ProjNames,0)),""))</f>
        <v/>
      </c>
      <c r="F38" s="8" t="str">
        <f aca="false">IF(D38="","",IFERROR(INDEX(ProjCodes,MATCH(D38,ProjNames,0)),""))</f>
        <v/>
      </c>
      <c r="G38" s="32"/>
      <c r="H38" s="11"/>
      <c r="I38" s="33"/>
      <c r="J38" s="8" t="str">
        <f aca="false">IF(COUNTA(B38,D38,G38,H38,I38)=0,"",IF(B38="","Enter date",IF(OR(B38&lt;$AC$2,B38&gt;$AC$3),"Date not in August",IF(D38="","Pick project",IF(ISNA(MATCH(D38,ProjNames,0)),"Project not in list",IF(G38="","Add task description",IF(H38="","Pick NTIME or P6",IF(N(I38)&lt;=0,"Enter hours",IF(AND(AllowOT&lt;&gt;"Yes",SUMIF($B$7:$B$256,B38,$I$7:$I$256)&gt;INDEX($O$58:$O$88,DAY(B38))),"Day over "&amp;INDEX($O$58:$O$88,DAY(B38))&amp;" h","✓")))))))))</f>
        <v/>
      </c>
      <c r="K38" s="1"/>
      <c r="L38" s="24" t="str">
        <f aca="false">IF($AD38=0,"",INDEX($W$7:$W$206,$AD38))</f>
        <v/>
      </c>
      <c r="M38" s="24" t="str">
        <f aca="false">IF($AD38=0,"",INDEX(ProjNumbers,$AD38))</f>
        <v/>
      </c>
      <c r="N38" s="24" t="str">
        <f aca="false">IF($AD38=0,"",INDEX(ProjCodes,$AD38))</f>
        <v/>
      </c>
      <c r="O38" s="24" t="str">
        <f aca="false">IF($AD38=0,"",INDEX($X$7:$X$206,$AD38))</f>
        <v/>
      </c>
      <c r="P38" s="24" t="str">
        <f aca="false">IF($AD38=0,"",INDEX($Y$7:$Y$206,$AD38))</f>
        <v/>
      </c>
      <c r="Q38" s="24" t="str">
        <f aca="false">IF($AD38=0,"",INDEX($Z$7:$Z$206,$AD38))</f>
        <v/>
      </c>
      <c r="R38" s="25" t="str">
        <f aca="false">IF(OR($AD38=0,$L$5=0),"",Q38/$L$5)</f>
        <v/>
      </c>
      <c r="S38" s="1"/>
      <c r="T38" s="1"/>
      <c r="U38" s="1"/>
      <c r="V38" s="1"/>
      <c r="W38" s="1" t="str">
        <f aca="false">IF(Projects!B36="","",Projects!B36)</f>
        <v/>
      </c>
      <c r="X38" s="1" t="n">
        <f aca="false">IF(W38="",0,SUMIFS($I$7:$I$256,$D$7:$D$256,W38,$H$7:$H$256,"NTIME"))</f>
        <v>0</v>
      </c>
      <c r="Y38" s="1" t="n">
        <f aca="false">IF(W38="",0,SUMIFS($I$7:$I$256,$D$7:$D$256,W38,$H$7:$H$256,"P6"))</f>
        <v>0</v>
      </c>
      <c r="Z38" s="1" t="n">
        <f aca="false">X38+Y38</f>
        <v>0</v>
      </c>
      <c r="AA38" s="1" t="n">
        <f aca="false">IF(Z38&gt;0,Z38+(201-32)/10^6,0)</f>
        <v>0</v>
      </c>
      <c r="AB38" s="1"/>
      <c r="AC38" s="1"/>
      <c r="AD38" s="1" t="n">
        <f aca="false">IF(LARGE($AA$7:$AA$206,2)&lt;=0,0,MATCH(LARGE($AA$7:$AA$206,2),$AA$7:$AA$206,0))</f>
        <v>0</v>
      </c>
      <c r="AE38" s="1"/>
      <c r="AF38" s="1"/>
      <c r="AG38" s="1"/>
      <c r="AH38" s="1"/>
    </row>
    <row r="39" customFormat="false" ht="15" hidden="false" customHeight="false" outlineLevel="0" collapsed="false">
      <c r="A39" s="1"/>
      <c r="B39" s="10"/>
      <c r="C39" s="31" t="str">
        <f aca="false">IF(B39="","",TEXT(B39,"ddd"))</f>
        <v/>
      </c>
      <c r="D39" s="11"/>
      <c r="E39" s="8" t="str">
        <f aca="false">IF(D39="","",IFERROR(INDEX(ProjNumbers,MATCH(D39,ProjNames,0)),""))</f>
        <v/>
      </c>
      <c r="F39" s="8" t="str">
        <f aca="false">IF(D39="","",IFERROR(INDEX(ProjCodes,MATCH(D39,ProjNames,0)),""))</f>
        <v/>
      </c>
      <c r="G39" s="32"/>
      <c r="H39" s="11"/>
      <c r="I39" s="33"/>
      <c r="J39" s="8" t="str">
        <f aca="false">IF(COUNTA(B39,D39,G39,H39,I39)=0,"",IF(B39="","Enter date",IF(OR(B39&lt;$AC$2,B39&gt;$AC$3),"Date not in August",IF(D39="","Pick project",IF(ISNA(MATCH(D39,ProjNames,0)),"Project not in list",IF(G39="","Add task description",IF(H39="","Pick NTIME or P6",IF(N(I39)&lt;=0,"Enter hours",IF(AND(AllowOT&lt;&gt;"Yes",SUMIF($B$7:$B$256,B39,$I$7:$I$256)&gt;INDEX($O$58:$O$88,DAY(B39))),"Day over "&amp;INDEX($O$58:$O$88,DAY(B39))&amp;" h","✓")))))))))</f>
        <v/>
      </c>
      <c r="K39" s="1"/>
      <c r="L39" s="24" t="str">
        <f aca="false">IF($AD39=0,"",INDEX($W$7:$W$206,$AD39))</f>
        <v/>
      </c>
      <c r="M39" s="24" t="str">
        <f aca="false">IF($AD39=0,"",INDEX(ProjNumbers,$AD39))</f>
        <v/>
      </c>
      <c r="N39" s="24" t="str">
        <f aca="false">IF($AD39=0,"",INDEX(ProjCodes,$AD39))</f>
        <v/>
      </c>
      <c r="O39" s="24" t="str">
        <f aca="false">IF($AD39=0,"",INDEX($X$7:$X$206,$AD39))</f>
        <v/>
      </c>
      <c r="P39" s="24" t="str">
        <f aca="false">IF($AD39=0,"",INDEX($Y$7:$Y$206,$AD39))</f>
        <v/>
      </c>
      <c r="Q39" s="24" t="str">
        <f aca="false">IF($AD39=0,"",INDEX($Z$7:$Z$206,$AD39))</f>
        <v/>
      </c>
      <c r="R39" s="25" t="str">
        <f aca="false">IF(OR($AD39=0,$L$5=0),"",Q39/$L$5)</f>
        <v/>
      </c>
      <c r="S39" s="1"/>
      <c r="T39" s="1"/>
      <c r="U39" s="1"/>
      <c r="V39" s="1"/>
      <c r="W39" s="1" t="str">
        <f aca="false">IF(Projects!B37="","",Projects!B37)</f>
        <v/>
      </c>
      <c r="X39" s="1" t="n">
        <f aca="false">IF(W39="",0,SUMIFS($I$7:$I$256,$D$7:$D$256,W39,$H$7:$H$256,"NTIME"))</f>
        <v>0</v>
      </c>
      <c r="Y39" s="1" t="n">
        <f aca="false">IF(W39="",0,SUMIFS($I$7:$I$256,$D$7:$D$256,W39,$H$7:$H$256,"P6"))</f>
        <v>0</v>
      </c>
      <c r="Z39" s="1" t="n">
        <f aca="false">X39+Y39</f>
        <v>0</v>
      </c>
      <c r="AA39" s="1" t="n">
        <f aca="false">IF(Z39&gt;0,Z39+(201-33)/10^6,0)</f>
        <v>0</v>
      </c>
      <c r="AB39" s="1"/>
      <c r="AC39" s="1"/>
      <c r="AD39" s="1" t="n">
        <f aca="false">IF(LARGE($AA$7:$AA$206,3)&lt;=0,0,MATCH(LARGE($AA$7:$AA$206,3),$AA$7:$AA$206,0))</f>
        <v>0</v>
      </c>
      <c r="AE39" s="1"/>
      <c r="AF39" s="1"/>
      <c r="AG39" s="1"/>
      <c r="AH39" s="1"/>
    </row>
    <row r="40" customFormat="false" ht="15" hidden="false" customHeight="false" outlineLevel="0" collapsed="false">
      <c r="A40" s="1"/>
      <c r="B40" s="10"/>
      <c r="C40" s="31" t="str">
        <f aca="false">IF(B40="","",TEXT(B40,"ddd"))</f>
        <v/>
      </c>
      <c r="D40" s="11"/>
      <c r="E40" s="8" t="str">
        <f aca="false">IF(D40="","",IFERROR(INDEX(ProjNumbers,MATCH(D40,ProjNames,0)),""))</f>
        <v/>
      </c>
      <c r="F40" s="8" t="str">
        <f aca="false">IF(D40="","",IFERROR(INDEX(ProjCodes,MATCH(D40,ProjNames,0)),""))</f>
        <v/>
      </c>
      <c r="G40" s="32"/>
      <c r="H40" s="11"/>
      <c r="I40" s="33"/>
      <c r="J40" s="8" t="str">
        <f aca="false">IF(COUNTA(B40,D40,G40,H40,I40)=0,"",IF(B40="","Enter date",IF(OR(B40&lt;$AC$2,B40&gt;$AC$3),"Date not in August",IF(D40="","Pick project",IF(ISNA(MATCH(D40,ProjNames,0)),"Project not in list",IF(G40="","Add task description",IF(H40="","Pick NTIME or P6",IF(N(I40)&lt;=0,"Enter hours",IF(AND(AllowOT&lt;&gt;"Yes",SUMIF($B$7:$B$256,B40,$I$7:$I$256)&gt;INDEX($O$58:$O$88,DAY(B40))),"Day over "&amp;INDEX($O$58:$O$88,DAY(B40))&amp;" h","✓")))))))))</f>
        <v/>
      </c>
      <c r="K40" s="1"/>
      <c r="L40" s="24" t="str">
        <f aca="false">IF($AD40=0,"",INDEX($W$7:$W$206,$AD40))</f>
        <v/>
      </c>
      <c r="M40" s="24" t="str">
        <f aca="false">IF($AD40=0,"",INDEX(ProjNumbers,$AD40))</f>
        <v/>
      </c>
      <c r="N40" s="24" t="str">
        <f aca="false">IF($AD40=0,"",INDEX(ProjCodes,$AD40))</f>
        <v/>
      </c>
      <c r="O40" s="24" t="str">
        <f aca="false">IF($AD40=0,"",INDEX($X$7:$X$206,$AD40))</f>
        <v/>
      </c>
      <c r="P40" s="24" t="str">
        <f aca="false">IF($AD40=0,"",INDEX($Y$7:$Y$206,$AD40))</f>
        <v/>
      </c>
      <c r="Q40" s="24" t="str">
        <f aca="false">IF($AD40=0,"",INDEX($Z$7:$Z$206,$AD40))</f>
        <v/>
      </c>
      <c r="R40" s="25" t="str">
        <f aca="false">IF(OR($AD40=0,$L$5=0),"",Q40/$L$5)</f>
        <v/>
      </c>
      <c r="S40" s="1"/>
      <c r="T40" s="1"/>
      <c r="U40" s="1"/>
      <c r="V40" s="1"/>
      <c r="W40" s="1" t="str">
        <f aca="false">IF(Projects!B38="","",Projects!B38)</f>
        <v/>
      </c>
      <c r="X40" s="1" t="n">
        <f aca="false">IF(W40="",0,SUMIFS($I$7:$I$256,$D$7:$D$256,W40,$H$7:$H$256,"NTIME"))</f>
        <v>0</v>
      </c>
      <c r="Y40" s="1" t="n">
        <f aca="false">IF(W40="",0,SUMIFS($I$7:$I$256,$D$7:$D$256,W40,$H$7:$H$256,"P6"))</f>
        <v>0</v>
      </c>
      <c r="Z40" s="1" t="n">
        <f aca="false">X40+Y40</f>
        <v>0</v>
      </c>
      <c r="AA40" s="1" t="n">
        <f aca="false">IF(Z40&gt;0,Z40+(201-34)/10^6,0)</f>
        <v>0</v>
      </c>
      <c r="AB40" s="1"/>
      <c r="AC40" s="1"/>
      <c r="AD40" s="1" t="n">
        <f aca="false">IF(LARGE($AA$7:$AA$206,4)&lt;=0,0,MATCH(LARGE($AA$7:$AA$206,4),$AA$7:$AA$206,0))</f>
        <v>0</v>
      </c>
      <c r="AE40" s="1"/>
      <c r="AF40" s="1"/>
      <c r="AG40" s="1"/>
      <c r="AH40" s="1"/>
    </row>
    <row r="41" customFormat="false" ht="15" hidden="false" customHeight="false" outlineLevel="0" collapsed="false">
      <c r="A41" s="1"/>
      <c r="B41" s="10"/>
      <c r="C41" s="31" t="str">
        <f aca="false">IF(B41="","",TEXT(B41,"ddd"))</f>
        <v/>
      </c>
      <c r="D41" s="11"/>
      <c r="E41" s="8" t="str">
        <f aca="false">IF(D41="","",IFERROR(INDEX(ProjNumbers,MATCH(D41,ProjNames,0)),""))</f>
        <v/>
      </c>
      <c r="F41" s="8" t="str">
        <f aca="false">IF(D41="","",IFERROR(INDEX(ProjCodes,MATCH(D41,ProjNames,0)),""))</f>
        <v/>
      </c>
      <c r="G41" s="32"/>
      <c r="H41" s="11"/>
      <c r="I41" s="33"/>
      <c r="J41" s="8" t="str">
        <f aca="false">IF(COUNTA(B41,D41,G41,H41,I41)=0,"",IF(B41="","Enter date",IF(OR(B41&lt;$AC$2,B41&gt;$AC$3),"Date not in August",IF(D41="","Pick project",IF(ISNA(MATCH(D41,ProjNames,0)),"Project not in list",IF(G41="","Add task description",IF(H41="","Pick NTIME or P6",IF(N(I41)&lt;=0,"Enter hours",IF(AND(AllowOT&lt;&gt;"Yes",SUMIF($B$7:$B$256,B41,$I$7:$I$256)&gt;INDEX($O$58:$O$88,DAY(B41))),"Day over "&amp;INDEX($O$58:$O$88,DAY(B41))&amp;" h","✓")))))))))</f>
        <v/>
      </c>
      <c r="K41" s="1"/>
      <c r="L41" s="24" t="str">
        <f aca="false">IF($AD41=0,"",INDEX($W$7:$W$206,$AD41))</f>
        <v/>
      </c>
      <c r="M41" s="24" t="str">
        <f aca="false">IF($AD41=0,"",INDEX(ProjNumbers,$AD41))</f>
        <v/>
      </c>
      <c r="N41" s="24" t="str">
        <f aca="false">IF($AD41=0,"",INDEX(ProjCodes,$AD41))</f>
        <v/>
      </c>
      <c r="O41" s="24" t="str">
        <f aca="false">IF($AD41=0,"",INDEX($X$7:$X$206,$AD41))</f>
        <v/>
      </c>
      <c r="P41" s="24" t="str">
        <f aca="false">IF($AD41=0,"",INDEX($Y$7:$Y$206,$AD41))</f>
        <v/>
      </c>
      <c r="Q41" s="24" t="str">
        <f aca="false">IF($AD41=0,"",INDEX($Z$7:$Z$206,$AD41))</f>
        <v/>
      </c>
      <c r="R41" s="25" t="str">
        <f aca="false">IF(OR($AD41=0,$L$5=0),"",Q41/$L$5)</f>
        <v/>
      </c>
      <c r="S41" s="1"/>
      <c r="T41" s="1"/>
      <c r="U41" s="1"/>
      <c r="V41" s="1"/>
      <c r="W41" s="1" t="str">
        <f aca="false">IF(Projects!B39="","",Projects!B39)</f>
        <v/>
      </c>
      <c r="X41" s="1" t="n">
        <f aca="false">IF(W41="",0,SUMIFS($I$7:$I$256,$D$7:$D$256,W41,$H$7:$H$256,"NTIME"))</f>
        <v>0</v>
      </c>
      <c r="Y41" s="1" t="n">
        <f aca="false">IF(W41="",0,SUMIFS($I$7:$I$256,$D$7:$D$256,W41,$H$7:$H$256,"P6"))</f>
        <v>0</v>
      </c>
      <c r="Z41" s="1" t="n">
        <f aca="false">X41+Y41</f>
        <v>0</v>
      </c>
      <c r="AA41" s="1" t="n">
        <f aca="false">IF(Z41&gt;0,Z41+(201-35)/10^6,0)</f>
        <v>0</v>
      </c>
      <c r="AB41" s="1"/>
      <c r="AC41" s="1"/>
      <c r="AD41" s="1" t="n">
        <f aca="false">IF(LARGE($AA$7:$AA$206,5)&lt;=0,0,MATCH(LARGE($AA$7:$AA$206,5),$AA$7:$AA$206,0))</f>
        <v>0</v>
      </c>
      <c r="AE41" s="1"/>
      <c r="AF41" s="1"/>
      <c r="AG41" s="1"/>
      <c r="AH41" s="1"/>
    </row>
    <row r="42" customFormat="false" ht="15" hidden="false" customHeight="false" outlineLevel="0" collapsed="false">
      <c r="A42" s="1"/>
      <c r="B42" s="10"/>
      <c r="C42" s="31" t="str">
        <f aca="false">IF(B42="","",TEXT(B42,"ddd"))</f>
        <v/>
      </c>
      <c r="D42" s="11"/>
      <c r="E42" s="8" t="str">
        <f aca="false">IF(D42="","",IFERROR(INDEX(ProjNumbers,MATCH(D42,ProjNames,0)),""))</f>
        <v/>
      </c>
      <c r="F42" s="8" t="str">
        <f aca="false">IF(D42="","",IFERROR(INDEX(ProjCodes,MATCH(D42,ProjNames,0)),""))</f>
        <v/>
      </c>
      <c r="G42" s="32"/>
      <c r="H42" s="11"/>
      <c r="I42" s="33"/>
      <c r="J42" s="8" t="str">
        <f aca="false">IF(COUNTA(B42,D42,G42,H42,I42)=0,"",IF(B42="","Enter date",IF(OR(B42&lt;$AC$2,B42&gt;$AC$3),"Date not in August",IF(D42="","Pick project",IF(ISNA(MATCH(D42,ProjNames,0)),"Project not in list",IF(G42="","Add task description",IF(H42="","Pick NTIME or P6",IF(N(I42)&lt;=0,"Enter hours",IF(AND(AllowOT&lt;&gt;"Yes",SUMIF($B$7:$B$256,B42,$I$7:$I$256)&gt;INDEX($O$58:$O$88,DAY(B42))),"Day over "&amp;INDEX($O$58:$O$88,DAY(B42))&amp;" h","✓")))))))))</f>
        <v/>
      </c>
      <c r="K42" s="1"/>
      <c r="L42" s="24" t="str">
        <f aca="false">IF($AD42=0,"",INDEX($W$7:$W$206,$AD42))</f>
        <v/>
      </c>
      <c r="M42" s="24" t="str">
        <f aca="false">IF($AD42=0,"",INDEX(ProjNumbers,$AD42))</f>
        <v/>
      </c>
      <c r="N42" s="24" t="str">
        <f aca="false">IF($AD42=0,"",INDEX(ProjCodes,$AD42))</f>
        <v/>
      </c>
      <c r="O42" s="24" t="str">
        <f aca="false">IF($AD42=0,"",INDEX($X$7:$X$206,$AD42))</f>
        <v/>
      </c>
      <c r="P42" s="24" t="str">
        <f aca="false">IF($AD42=0,"",INDEX($Y$7:$Y$206,$AD42))</f>
        <v/>
      </c>
      <c r="Q42" s="24" t="str">
        <f aca="false">IF($AD42=0,"",INDEX($Z$7:$Z$206,$AD42))</f>
        <v/>
      </c>
      <c r="R42" s="25" t="str">
        <f aca="false">IF(OR($AD42=0,$L$5=0),"",Q42/$L$5)</f>
        <v/>
      </c>
      <c r="S42" s="1"/>
      <c r="T42" s="1"/>
      <c r="U42" s="1"/>
      <c r="V42" s="1"/>
      <c r="W42" s="1" t="str">
        <f aca="false">IF(Projects!B40="","",Projects!B40)</f>
        <v/>
      </c>
      <c r="X42" s="1" t="n">
        <f aca="false">IF(W42="",0,SUMIFS($I$7:$I$256,$D$7:$D$256,W42,$H$7:$H$256,"NTIME"))</f>
        <v>0</v>
      </c>
      <c r="Y42" s="1" t="n">
        <f aca="false">IF(W42="",0,SUMIFS($I$7:$I$256,$D$7:$D$256,W42,$H$7:$H$256,"P6"))</f>
        <v>0</v>
      </c>
      <c r="Z42" s="1" t="n">
        <f aca="false">X42+Y42</f>
        <v>0</v>
      </c>
      <c r="AA42" s="1" t="n">
        <f aca="false">IF(Z42&gt;0,Z42+(201-36)/10^6,0)</f>
        <v>0</v>
      </c>
      <c r="AB42" s="1"/>
      <c r="AC42" s="1"/>
      <c r="AD42" s="1" t="n">
        <f aca="false">IF(LARGE($AA$7:$AA$206,6)&lt;=0,0,MATCH(LARGE($AA$7:$AA$206,6),$AA$7:$AA$206,0))</f>
        <v>0</v>
      </c>
      <c r="AE42" s="1"/>
      <c r="AF42" s="1"/>
      <c r="AG42" s="1"/>
      <c r="AH42" s="1"/>
    </row>
    <row r="43" customFormat="false" ht="15" hidden="false" customHeight="false" outlineLevel="0" collapsed="false">
      <c r="A43" s="1"/>
      <c r="B43" s="10"/>
      <c r="C43" s="31" t="str">
        <f aca="false">IF(B43="","",TEXT(B43,"ddd"))</f>
        <v/>
      </c>
      <c r="D43" s="11"/>
      <c r="E43" s="8" t="str">
        <f aca="false">IF(D43="","",IFERROR(INDEX(ProjNumbers,MATCH(D43,ProjNames,0)),""))</f>
        <v/>
      </c>
      <c r="F43" s="8" t="str">
        <f aca="false">IF(D43="","",IFERROR(INDEX(ProjCodes,MATCH(D43,ProjNames,0)),""))</f>
        <v/>
      </c>
      <c r="G43" s="32"/>
      <c r="H43" s="11"/>
      <c r="I43" s="33"/>
      <c r="J43" s="8" t="str">
        <f aca="false">IF(COUNTA(B43,D43,G43,H43,I43)=0,"",IF(B43="","Enter date",IF(OR(B43&lt;$AC$2,B43&gt;$AC$3),"Date not in August",IF(D43="","Pick project",IF(ISNA(MATCH(D43,ProjNames,0)),"Project not in list",IF(G43="","Add task description",IF(H43="","Pick NTIME or P6",IF(N(I43)&lt;=0,"Enter hours",IF(AND(AllowOT&lt;&gt;"Yes",SUMIF($B$7:$B$256,B43,$I$7:$I$256)&gt;INDEX($O$58:$O$88,DAY(B43))),"Day over "&amp;INDEX($O$58:$O$88,DAY(B43))&amp;" h","✓")))))))))</f>
        <v/>
      </c>
      <c r="K43" s="1"/>
      <c r="L43" s="24" t="str">
        <f aca="false">IF($AD43=0,"",INDEX($W$7:$W$206,$AD43))</f>
        <v/>
      </c>
      <c r="M43" s="24" t="str">
        <f aca="false">IF($AD43=0,"",INDEX(ProjNumbers,$AD43))</f>
        <v/>
      </c>
      <c r="N43" s="24" t="str">
        <f aca="false">IF($AD43=0,"",INDEX(ProjCodes,$AD43))</f>
        <v/>
      </c>
      <c r="O43" s="24" t="str">
        <f aca="false">IF($AD43=0,"",INDEX($X$7:$X$206,$AD43))</f>
        <v/>
      </c>
      <c r="P43" s="24" t="str">
        <f aca="false">IF($AD43=0,"",INDEX($Y$7:$Y$206,$AD43))</f>
        <v/>
      </c>
      <c r="Q43" s="24" t="str">
        <f aca="false">IF($AD43=0,"",INDEX($Z$7:$Z$206,$AD43))</f>
        <v/>
      </c>
      <c r="R43" s="25" t="str">
        <f aca="false">IF(OR($AD43=0,$L$5=0),"",Q43/$L$5)</f>
        <v/>
      </c>
      <c r="S43" s="1"/>
      <c r="T43" s="1"/>
      <c r="U43" s="1"/>
      <c r="V43" s="1"/>
      <c r="W43" s="1" t="str">
        <f aca="false">IF(Projects!B41="","",Projects!B41)</f>
        <v/>
      </c>
      <c r="X43" s="1" t="n">
        <f aca="false">IF(W43="",0,SUMIFS($I$7:$I$256,$D$7:$D$256,W43,$H$7:$H$256,"NTIME"))</f>
        <v>0</v>
      </c>
      <c r="Y43" s="1" t="n">
        <f aca="false">IF(W43="",0,SUMIFS($I$7:$I$256,$D$7:$D$256,W43,$H$7:$H$256,"P6"))</f>
        <v>0</v>
      </c>
      <c r="Z43" s="1" t="n">
        <f aca="false">X43+Y43</f>
        <v>0</v>
      </c>
      <c r="AA43" s="1" t="n">
        <f aca="false">IF(Z43&gt;0,Z43+(201-37)/10^6,0)</f>
        <v>0</v>
      </c>
      <c r="AB43" s="1"/>
      <c r="AC43" s="1"/>
      <c r="AD43" s="1" t="n">
        <f aca="false">IF(LARGE($AA$7:$AA$206,7)&lt;=0,0,MATCH(LARGE($AA$7:$AA$206,7),$AA$7:$AA$206,0))</f>
        <v>0</v>
      </c>
      <c r="AE43" s="1"/>
      <c r="AF43" s="1"/>
      <c r="AG43" s="1"/>
      <c r="AH43" s="1"/>
    </row>
    <row r="44" customFormat="false" ht="15" hidden="false" customHeight="false" outlineLevel="0" collapsed="false">
      <c r="A44" s="1"/>
      <c r="B44" s="10"/>
      <c r="C44" s="31" t="str">
        <f aca="false">IF(B44="","",TEXT(B44,"ddd"))</f>
        <v/>
      </c>
      <c r="D44" s="11"/>
      <c r="E44" s="8" t="str">
        <f aca="false">IF(D44="","",IFERROR(INDEX(ProjNumbers,MATCH(D44,ProjNames,0)),""))</f>
        <v/>
      </c>
      <c r="F44" s="8" t="str">
        <f aca="false">IF(D44="","",IFERROR(INDEX(ProjCodes,MATCH(D44,ProjNames,0)),""))</f>
        <v/>
      </c>
      <c r="G44" s="32"/>
      <c r="H44" s="11"/>
      <c r="I44" s="33"/>
      <c r="J44" s="8" t="str">
        <f aca="false">IF(COUNTA(B44,D44,G44,H44,I44)=0,"",IF(B44="","Enter date",IF(OR(B44&lt;$AC$2,B44&gt;$AC$3),"Date not in August",IF(D44="","Pick project",IF(ISNA(MATCH(D44,ProjNames,0)),"Project not in list",IF(G44="","Add task description",IF(H44="","Pick NTIME or P6",IF(N(I44)&lt;=0,"Enter hours",IF(AND(AllowOT&lt;&gt;"Yes",SUMIF($B$7:$B$256,B44,$I$7:$I$256)&gt;INDEX($O$58:$O$88,DAY(B44))),"Day over "&amp;INDEX($O$58:$O$88,DAY(B44))&amp;" h","✓")))))))))</f>
        <v/>
      </c>
      <c r="K44" s="1"/>
      <c r="L44" s="24" t="str">
        <f aca="false">IF($AD44=0,"",INDEX($W$7:$W$206,$AD44))</f>
        <v/>
      </c>
      <c r="M44" s="24" t="str">
        <f aca="false">IF($AD44=0,"",INDEX(ProjNumbers,$AD44))</f>
        <v/>
      </c>
      <c r="N44" s="24" t="str">
        <f aca="false">IF($AD44=0,"",INDEX(ProjCodes,$AD44))</f>
        <v/>
      </c>
      <c r="O44" s="24" t="str">
        <f aca="false">IF($AD44=0,"",INDEX($X$7:$X$206,$AD44))</f>
        <v/>
      </c>
      <c r="P44" s="24" t="str">
        <f aca="false">IF($AD44=0,"",INDEX($Y$7:$Y$206,$AD44))</f>
        <v/>
      </c>
      <c r="Q44" s="24" t="str">
        <f aca="false">IF($AD44=0,"",INDEX($Z$7:$Z$206,$AD44))</f>
        <v/>
      </c>
      <c r="R44" s="25" t="str">
        <f aca="false">IF(OR($AD44=0,$L$5=0),"",Q44/$L$5)</f>
        <v/>
      </c>
      <c r="S44" s="1"/>
      <c r="T44" s="1"/>
      <c r="U44" s="1"/>
      <c r="V44" s="1"/>
      <c r="W44" s="1" t="str">
        <f aca="false">IF(Projects!B42="","",Projects!B42)</f>
        <v/>
      </c>
      <c r="X44" s="1" t="n">
        <f aca="false">IF(W44="",0,SUMIFS($I$7:$I$256,$D$7:$D$256,W44,$H$7:$H$256,"NTIME"))</f>
        <v>0</v>
      </c>
      <c r="Y44" s="1" t="n">
        <f aca="false">IF(W44="",0,SUMIFS($I$7:$I$256,$D$7:$D$256,W44,$H$7:$H$256,"P6"))</f>
        <v>0</v>
      </c>
      <c r="Z44" s="1" t="n">
        <f aca="false">X44+Y44</f>
        <v>0</v>
      </c>
      <c r="AA44" s="1" t="n">
        <f aca="false">IF(Z44&gt;0,Z44+(201-38)/10^6,0)</f>
        <v>0</v>
      </c>
      <c r="AB44" s="1"/>
      <c r="AC44" s="1"/>
      <c r="AD44" s="1" t="n">
        <f aca="false">IF(LARGE($AA$7:$AA$206,8)&lt;=0,0,MATCH(LARGE($AA$7:$AA$206,8),$AA$7:$AA$206,0))</f>
        <v>0</v>
      </c>
      <c r="AE44" s="1"/>
      <c r="AF44" s="1"/>
      <c r="AG44" s="1"/>
      <c r="AH44" s="1"/>
    </row>
    <row r="45" customFormat="false" ht="15" hidden="false" customHeight="false" outlineLevel="0" collapsed="false">
      <c r="A45" s="1"/>
      <c r="B45" s="10"/>
      <c r="C45" s="31" t="str">
        <f aca="false">IF(B45="","",TEXT(B45,"ddd"))</f>
        <v/>
      </c>
      <c r="D45" s="11"/>
      <c r="E45" s="8" t="str">
        <f aca="false">IF(D45="","",IFERROR(INDEX(ProjNumbers,MATCH(D45,ProjNames,0)),""))</f>
        <v/>
      </c>
      <c r="F45" s="8" t="str">
        <f aca="false">IF(D45="","",IFERROR(INDEX(ProjCodes,MATCH(D45,ProjNames,0)),""))</f>
        <v/>
      </c>
      <c r="G45" s="32"/>
      <c r="H45" s="11"/>
      <c r="I45" s="33"/>
      <c r="J45" s="8" t="str">
        <f aca="false">IF(COUNTA(B45,D45,G45,H45,I45)=0,"",IF(B45="","Enter date",IF(OR(B45&lt;$AC$2,B45&gt;$AC$3),"Date not in August",IF(D45="","Pick project",IF(ISNA(MATCH(D45,ProjNames,0)),"Project not in list",IF(G45="","Add task description",IF(H45="","Pick NTIME or P6",IF(N(I45)&lt;=0,"Enter hours",IF(AND(AllowOT&lt;&gt;"Yes",SUMIF($B$7:$B$256,B45,$I$7:$I$256)&gt;INDEX($O$58:$O$88,DAY(B45))),"Day over "&amp;INDEX($O$58:$O$88,DAY(B45))&amp;" h","✓")))))))))</f>
        <v/>
      </c>
      <c r="K45" s="1"/>
      <c r="L45" s="24" t="str">
        <f aca="false">IF($AD45=0,"",INDEX($W$7:$W$206,$AD45))</f>
        <v/>
      </c>
      <c r="M45" s="24" t="str">
        <f aca="false">IF($AD45=0,"",INDEX(ProjNumbers,$AD45))</f>
        <v/>
      </c>
      <c r="N45" s="24" t="str">
        <f aca="false">IF($AD45=0,"",INDEX(ProjCodes,$AD45))</f>
        <v/>
      </c>
      <c r="O45" s="24" t="str">
        <f aca="false">IF($AD45=0,"",INDEX($X$7:$X$206,$AD45))</f>
        <v/>
      </c>
      <c r="P45" s="24" t="str">
        <f aca="false">IF($AD45=0,"",INDEX($Y$7:$Y$206,$AD45))</f>
        <v/>
      </c>
      <c r="Q45" s="24" t="str">
        <f aca="false">IF($AD45=0,"",INDEX($Z$7:$Z$206,$AD45))</f>
        <v/>
      </c>
      <c r="R45" s="25" t="str">
        <f aca="false">IF(OR($AD45=0,$L$5=0),"",Q45/$L$5)</f>
        <v/>
      </c>
      <c r="S45" s="1"/>
      <c r="T45" s="1"/>
      <c r="U45" s="1"/>
      <c r="V45" s="1"/>
      <c r="W45" s="1" t="str">
        <f aca="false">IF(Projects!B43="","",Projects!B43)</f>
        <v/>
      </c>
      <c r="X45" s="1" t="n">
        <f aca="false">IF(W45="",0,SUMIFS($I$7:$I$256,$D$7:$D$256,W45,$H$7:$H$256,"NTIME"))</f>
        <v>0</v>
      </c>
      <c r="Y45" s="1" t="n">
        <f aca="false">IF(W45="",0,SUMIFS($I$7:$I$256,$D$7:$D$256,W45,$H$7:$H$256,"P6"))</f>
        <v>0</v>
      </c>
      <c r="Z45" s="1" t="n">
        <f aca="false">X45+Y45</f>
        <v>0</v>
      </c>
      <c r="AA45" s="1" t="n">
        <f aca="false">IF(Z45&gt;0,Z45+(201-39)/10^6,0)</f>
        <v>0</v>
      </c>
      <c r="AB45" s="1"/>
      <c r="AC45" s="1"/>
      <c r="AD45" s="1" t="n">
        <f aca="false">IF(LARGE($AA$7:$AA$206,9)&lt;=0,0,MATCH(LARGE($AA$7:$AA$206,9),$AA$7:$AA$206,0))</f>
        <v>0</v>
      </c>
      <c r="AE45" s="1"/>
      <c r="AF45" s="1"/>
      <c r="AG45" s="1"/>
      <c r="AH45" s="1"/>
    </row>
    <row r="46" customFormat="false" ht="15" hidden="false" customHeight="false" outlineLevel="0" collapsed="false">
      <c r="A46" s="1"/>
      <c r="B46" s="10"/>
      <c r="C46" s="31" t="str">
        <f aca="false">IF(B46="","",TEXT(B46,"ddd"))</f>
        <v/>
      </c>
      <c r="D46" s="11"/>
      <c r="E46" s="8" t="str">
        <f aca="false">IF(D46="","",IFERROR(INDEX(ProjNumbers,MATCH(D46,ProjNames,0)),""))</f>
        <v/>
      </c>
      <c r="F46" s="8" t="str">
        <f aca="false">IF(D46="","",IFERROR(INDEX(ProjCodes,MATCH(D46,ProjNames,0)),""))</f>
        <v/>
      </c>
      <c r="G46" s="32"/>
      <c r="H46" s="11"/>
      <c r="I46" s="33"/>
      <c r="J46" s="8" t="str">
        <f aca="false">IF(COUNTA(B46,D46,G46,H46,I46)=0,"",IF(B46="","Enter date",IF(OR(B46&lt;$AC$2,B46&gt;$AC$3),"Date not in August",IF(D46="","Pick project",IF(ISNA(MATCH(D46,ProjNames,0)),"Project not in list",IF(G46="","Add task description",IF(H46="","Pick NTIME or P6",IF(N(I46)&lt;=0,"Enter hours",IF(AND(AllowOT&lt;&gt;"Yes",SUMIF($B$7:$B$256,B46,$I$7:$I$256)&gt;INDEX($O$58:$O$88,DAY(B46))),"Day over "&amp;INDEX($O$58:$O$88,DAY(B46))&amp;" h","✓")))))))))</f>
        <v/>
      </c>
      <c r="K46" s="1"/>
      <c r="L46" s="24" t="str">
        <f aca="false">IF($AD46=0,"",INDEX($W$7:$W$206,$AD46))</f>
        <v/>
      </c>
      <c r="M46" s="24" t="str">
        <f aca="false">IF($AD46=0,"",INDEX(ProjNumbers,$AD46))</f>
        <v/>
      </c>
      <c r="N46" s="24" t="str">
        <f aca="false">IF($AD46=0,"",INDEX(ProjCodes,$AD46))</f>
        <v/>
      </c>
      <c r="O46" s="24" t="str">
        <f aca="false">IF($AD46=0,"",INDEX($X$7:$X$206,$AD46))</f>
        <v/>
      </c>
      <c r="P46" s="24" t="str">
        <f aca="false">IF($AD46=0,"",INDEX($Y$7:$Y$206,$AD46))</f>
        <v/>
      </c>
      <c r="Q46" s="24" t="str">
        <f aca="false">IF($AD46=0,"",INDEX($Z$7:$Z$206,$AD46))</f>
        <v/>
      </c>
      <c r="R46" s="25" t="str">
        <f aca="false">IF(OR($AD46=0,$L$5=0),"",Q46/$L$5)</f>
        <v/>
      </c>
      <c r="S46" s="1"/>
      <c r="T46" s="1"/>
      <c r="U46" s="1"/>
      <c r="V46" s="1"/>
      <c r="W46" s="1" t="str">
        <f aca="false">IF(Projects!B44="","",Projects!B44)</f>
        <v/>
      </c>
      <c r="X46" s="1" t="n">
        <f aca="false">IF(W46="",0,SUMIFS($I$7:$I$256,$D$7:$D$256,W46,$H$7:$H$256,"NTIME"))</f>
        <v>0</v>
      </c>
      <c r="Y46" s="1" t="n">
        <f aca="false">IF(W46="",0,SUMIFS($I$7:$I$256,$D$7:$D$256,W46,$H$7:$H$256,"P6"))</f>
        <v>0</v>
      </c>
      <c r="Z46" s="1" t="n">
        <f aca="false">X46+Y46</f>
        <v>0</v>
      </c>
      <c r="AA46" s="1" t="n">
        <f aca="false">IF(Z46&gt;0,Z46+(201-40)/10^6,0)</f>
        <v>0</v>
      </c>
      <c r="AB46" s="1"/>
      <c r="AC46" s="1"/>
      <c r="AD46" s="1" t="n">
        <f aca="false">IF(LARGE($AA$7:$AA$206,10)&lt;=0,0,MATCH(LARGE($AA$7:$AA$206,10),$AA$7:$AA$206,0))</f>
        <v>0</v>
      </c>
      <c r="AE46" s="1"/>
      <c r="AF46" s="1"/>
      <c r="AG46" s="1"/>
      <c r="AH46" s="1"/>
    </row>
    <row r="47" customFormat="false" ht="15" hidden="false" customHeight="false" outlineLevel="0" collapsed="false">
      <c r="A47" s="1"/>
      <c r="B47" s="10"/>
      <c r="C47" s="31" t="str">
        <f aca="false">IF(B47="","",TEXT(B47,"ddd"))</f>
        <v/>
      </c>
      <c r="D47" s="11"/>
      <c r="E47" s="8" t="str">
        <f aca="false">IF(D47="","",IFERROR(INDEX(ProjNumbers,MATCH(D47,ProjNames,0)),""))</f>
        <v/>
      </c>
      <c r="F47" s="8" t="str">
        <f aca="false">IF(D47="","",IFERROR(INDEX(ProjCodes,MATCH(D47,ProjNames,0)),""))</f>
        <v/>
      </c>
      <c r="G47" s="32"/>
      <c r="H47" s="11"/>
      <c r="I47" s="33"/>
      <c r="J47" s="8" t="str">
        <f aca="false">IF(COUNTA(B47,D47,G47,H47,I47)=0,"",IF(B47="","Enter date",IF(OR(B47&lt;$AC$2,B47&gt;$AC$3),"Date not in August",IF(D47="","Pick project",IF(ISNA(MATCH(D47,ProjNames,0)),"Project not in list",IF(G47="","Add task description",IF(H47="","Pick NTIME or P6",IF(N(I47)&lt;=0,"Enter hours",IF(AND(AllowOT&lt;&gt;"Yes",SUMIF($B$7:$B$256,B47,$I$7:$I$256)&gt;INDEX($O$58:$O$88,DAY(B47))),"Day over "&amp;INDEX($O$58:$O$88,DAY(B47))&amp;" h","✓")))))))))</f>
        <v/>
      </c>
      <c r="K47" s="1"/>
      <c r="L47" s="24" t="str">
        <f aca="false">IF($AD47=0,"",INDEX($W$7:$W$206,$AD47))</f>
        <v/>
      </c>
      <c r="M47" s="24" t="str">
        <f aca="false">IF($AD47=0,"",INDEX(ProjNumbers,$AD47))</f>
        <v/>
      </c>
      <c r="N47" s="24" t="str">
        <f aca="false">IF($AD47=0,"",INDEX(ProjCodes,$AD47))</f>
        <v/>
      </c>
      <c r="O47" s="24" t="str">
        <f aca="false">IF($AD47=0,"",INDEX($X$7:$X$206,$AD47))</f>
        <v/>
      </c>
      <c r="P47" s="24" t="str">
        <f aca="false">IF($AD47=0,"",INDEX($Y$7:$Y$206,$AD47))</f>
        <v/>
      </c>
      <c r="Q47" s="24" t="str">
        <f aca="false">IF($AD47=0,"",INDEX($Z$7:$Z$206,$AD47))</f>
        <v/>
      </c>
      <c r="R47" s="25" t="str">
        <f aca="false">IF(OR($AD47=0,$L$5=0),"",Q47/$L$5)</f>
        <v/>
      </c>
      <c r="S47" s="1"/>
      <c r="T47" s="1"/>
      <c r="U47" s="1"/>
      <c r="V47" s="1"/>
      <c r="W47" s="1" t="str">
        <f aca="false">IF(Projects!B45="","",Projects!B45)</f>
        <v/>
      </c>
      <c r="X47" s="1" t="n">
        <f aca="false">IF(W47="",0,SUMIFS($I$7:$I$256,$D$7:$D$256,W47,$H$7:$H$256,"NTIME"))</f>
        <v>0</v>
      </c>
      <c r="Y47" s="1" t="n">
        <f aca="false">IF(W47="",0,SUMIFS($I$7:$I$256,$D$7:$D$256,W47,$H$7:$H$256,"P6"))</f>
        <v>0</v>
      </c>
      <c r="Z47" s="1" t="n">
        <f aca="false">X47+Y47</f>
        <v>0</v>
      </c>
      <c r="AA47" s="1" t="n">
        <f aca="false">IF(Z47&gt;0,Z47+(201-41)/10^6,0)</f>
        <v>0</v>
      </c>
      <c r="AB47" s="1"/>
      <c r="AC47" s="1"/>
      <c r="AD47" s="1" t="n">
        <f aca="false">IF(LARGE($AA$7:$AA$206,11)&lt;=0,0,MATCH(LARGE($AA$7:$AA$206,11),$AA$7:$AA$206,0))</f>
        <v>0</v>
      </c>
      <c r="AE47" s="1"/>
      <c r="AF47" s="1"/>
      <c r="AG47" s="1"/>
      <c r="AH47" s="1"/>
    </row>
    <row r="48" customFormat="false" ht="15" hidden="false" customHeight="false" outlineLevel="0" collapsed="false">
      <c r="A48" s="1"/>
      <c r="B48" s="10"/>
      <c r="C48" s="31" t="str">
        <f aca="false">IF(B48="","",TEXT(B48,"ddd"))</f>
        <v/>
      </c>
      <c r="D48" s="11"/>
      <c r="E48" s="8" t="str">
        <f aca="false">IF(D48="","",IFERROR(INDEX(ProjNumbers,MATCH(D48,ProjNames,0)),""))</f>
        <v/>
      </c>
      <c r="F48" s="8" t="str">
        <f aca="false">IF(D48="","",IFERROR(INDEX(ProjCodes,MATCH(D48,ProjNames,0)),""))</f>
        <v/>
      </c>
      <c r="G48" s="32"/>
      <c r="H48" s="11"/>
      <c r="I48" s="33"/>
      <c r="J48" s="8" t="str">
        <f aca="false">IF(COUNTA(B48,D48,G48,H48,I48)=0,"",IF(B48="","Enter date",IF(OR(B48&lt;$AC$2,B48&gt;$AC$3),"Date not in August",IF(D48="","Pick project",IF(ISNA(MATCH(D48,ProjNames,0)),"Project not in list",IF(G48="","Add task description",IF(H48="","Pick NTIME or P6",IF(N(I48)&lt;=0,"Enter hours",IF(AND(AllowOT&lt;&gt;"Yes",SUMIF($B$7:$B$256,B48,$I$7:$I$256)&gt;INDEX($O$58:$O$88,DAY(B48))),"Day over "&amp;INDEX($O$58:$O$88,DAY(B48))&amp;" h","✓")))))))))</f>
        <v/>
      </c>
      <c r="K48" s="1"/>
      <c r="L48" s="24" t="str">
        <f aca="false">IF($AD48=0,"",INDEX($W$7:$W$206,$AD48))</f>
        <v/>
      </c>
      <c r="M48" s="24" t="str">
        <f aca="false">IF($AD48=0,"",INDEX(ProjNumbers,$AD48))</f>
        <v/>
      </c>
      <c r="N48" s="24" t="str">
        <f aca="false">IF($AD48=0,"",INDEX(ProjCodes,$AD48))</f>
        <v/>
      </c>
      <c r="O48" s="24" t="str">
        <f aca="false">IF($AD48=0,"",INDEX($X$7:$X$206,$AD48))</f>
        <v/>
      </c>
      <c r="P48" s="24" t="str">
        <f aca="false">IF($AD48=0,"",INDEX($Y$7:$Y$206,$AD48))</f>
        <v/>
      </c>
      <c r="Q48" s="24" t="str">
        <f aca="false">IF($AD48=0,"",INDEX($Z$7:$Z$206,$AD48))</f>
        <v/>
      </c>
      <c r="R48" s="25" t="str">
        <f aca="false">IF(OR($AD48=0,$L$5=0),"",Q48/$L$5)</f>
        <v/>
      </c>
      <c r="S48" s="1"/>
      <c r="T48" s="1"/>
      <c r="U48" s="1"/>
      <c r="V48" s="1"/>
      <c r="W48" s="1" t="str">
        <f aca="false">IF(Projects!B46="","",Projects!B46)</f>
        <v/>
      </c>
      <c r="X48" s="1" t="n">
        <f aca="false">IF(W48="",0,SUMIFS($I$7:$I$256,$D$7:$D$256,W48,$H$7:$H$256,"NTIME"))</f>
        <v>0</v>
      </c>
      <c r="Y48" s="1" t="n">
        <f aca="false">IF(W48="",0,SUMIFS($I$7:$I$256,$D$7:$D$256,W48,$H$7:$H$256,"P6"))</f>
        <v>0</v>
      </c>
      <c r="Z48" s="1" t="n">
        <f aca="false">X48+Y48</f>
        <v>0</v>
      </c>
      <c r="AA48" s="1" t="n">
        <f aca="false">IF(Z48&gt;0,Z48+(201-42)/10^6,0)</f>
        <v>0</v>
      </c>
      <c r="AB48" s="1"/>
      <c r="AC48" s="1"/>
      <c r="AD48" s="1" t="n">
        <f aca="false">IF(LARGE($AA$7:$AA$206,12)&lt;=0,0,MATCH(LARGE($AA$7:$AA$206,12),$AA$7:$AA$206,0))</f>
        <v>0</v>
      </c>
      <c r="AE48" s="1"/>
      <c r="AF48" s="1"/>
      <c r="AG48" s="1"/>
      <c r="AH48" s="1"/>
    </row>
    <row r="49" customFormat="false" ht="15" hidden="false" customHeight="false" outlineLevel="0" collapsed="false">
      <c r="A49" s="1"/>
      <c r="B49" s="10"/>
      <c r="C49" s="31" t="str">
        <f aca="false">IF(B49="","",TEXT(B49,"ddd"))</f>
        <v/>
      </c>
      <c r="D49" s="11"/>
      <c r="E49" s="8" t="str">
        <f aca="false">IF(D49="","",IFERROR(INDEX(ProjNumbers,MATCH(D49,ProjNames,0)),""))</f>
        <v/>
      </c>
      <c r="F49" s="8" t="str">
        <f aca="false">IF(D49="","",IFERROR(INDEX(ProjCodes,MATCH(D49,ProjNames,0)),""))</f>
        <v/>
      </c>
      <c r="G49" s="32"/>
      <c r="H49" s="11"/>
      <c r="I49" s="33"/>
      <c r="J49" s="8" t="str">
        <f aca="false">IF(COUNTA(B49,D49,G49,H49,I49)=0,"",IF(B49="","Enter date",IF(OR(B49&lt;$AC$2,B49&gt;$AC$3),"Date not in August",IF(D49="","Pick project",IF(ISNA(MATCH(D49,ProjNames,0)),"Project not in list",IF(G49="","Add task description",IF(H49="","Pick NTIME or P6",IF(N(I49)&lt;=0,"Enter hours",IF(AND(AllowOT&lt;&gt;"Yes",SUMIF($B$7:$B$256,B49,$I$7:$I$256)&gt;INDEX($O$58:$O$88,DAY(B49))),"Day over "&amp;INDEX($O$58:$O$88,DAY(B49))&amp;" h","✓")))))))))</f>
        <v/>
      </c>
      <c r="K49" s="1"/>
      <c r="L49" s="24" t="str">
        <f aca="false">IF($AD49=0,"",INDEX($W$7:$W$206,$AD49))</f>
        <v/>
      </c>
      <c r="M49" s="24" t="str">
        <f aca="false">IF($AD49=0,"",INDEX(ProjNumbers,$AD49))</f>
        <v/>
      </c>
      <c r="N49" s="24" t="str">
        <f aca="false">IF($AD49=0,"",INDEX(ProjCodes,$AD49))</f>
        <v/>
      </c>
      <c r="O49" s="24" t="str">
        <f aca="false">IF($AD49=0,"",INDEX($X$7:$X$206,$AD49))</f>
        <v/>
      </c>
      <c r="P49" s="24" t="str">
        <f aca="false">IF($AD49=0,"",INDEX($Y$7:$Y$206,$AD49))</f>
        <v/>
      </c>
      <c r="Q49" s="24" t="str">
        <f aca="false">IF($AD49=0,"",INDEX($Z$7:$Z$206,$AD49))</f>
        <v/>
      </c>
      <c r="R49" s="25" t="str">
        <f aca="false">IF(OR($AD49=0,$L$5=0),"",Q49/$L$5)</f>
        <v/>
      </c>
      <c r="S49" s="1"/>
      <c r="T49" s="1"/>
      <c r="U49" s="1"/>
      <c r="V49" s="1"/>
      <c r="W49" s="1" t="str">
        <f aca="false">IF(Projects!B47="","",Projects!B47)</f>
        <v/>
      </c>
      <c r="X49" s="1" t="n">
        <f aca="false">IF(W49="",0,SUMIFS($I$7:$I$256,$D$7:$D$256,W49,$H$7:$H$256,"NTIME"))</f>
        <v>0</v>
      </c>
      <c r="Y49" s="1" t="n">
        <f aca="false">IF(W49="",0,SUMIFS($I$7:$I$256,$D$7:$D$256,W49,$H$7:$H$256,"P6"))</f>
        <v>0</v>
      </c>
      <c r="Z49" s="1" t="n">
        <f aca="false">X49+Y49</f>
        <v>0</v>
      </c>
      <c r="AA49" s="1" t="n">
        <f aca="false">IF(Z49&gt;0,Z49+(201-43)/10^6,0)</f>
        <v>0</v>
      </c>
      <c r="AB49" s="1"/>
      <c r="AC49" s="1"/>
      <c r="AD49" s="1" t="n">
        <f aca="false">IF(LARGE($AA$7:$AA$206,13)&lt;=0,0,MATCH(LARGE($AA$7:$AA$206,13),$AA$7:$AA$206,0))</f>
        <v>0</v>
      </c>
      <c r="AE49" s="1"/>
      <c r="AF49" s="1"/>
      <c r="AG49" s="1"/>
      <c r="AH49" s="1"/>
    </row>
    <row r="50" customFormat="false" ht="15" hidden="false" customHeight="false" outlineLevel="0" collapsed="false">
      <c r="A50" s="1"/>
      <c r="B50" s="10"/>
      <c r="C50" s="31" t="str">
        <f aca="false">IF(B50="","",TEXT(B50,"ddd"))</f>
        <v/>
      </c>
      <c r="D50" s="11"/>
      <c r="E50" s="8" t="str">
        <f aca="false">IF(D50="","",IFERROR(INDEX(ProjNumbers,MATCH(D50,ProjNames,0)),""))</f>
        <v/>
      </c>
      <c r="F50" s="8" t="str">
        <f aca="false">IF(D50="","",IFERROR(INDEX(ProjCodes,MATCH(D50,ProjNames,0)),""))</f>
        <v/>
      </c>
      <c r="G50" s="32"/>
      <c r="H50" s="11"/>
      <c r="I50" s="33"/>
      <c r="J50" s="8" t="str">
        <f aca="false">IF(COUNTA(B50,D50,G50,H50,I50)=0,"",IF(B50="","Enter date",IF(OR(B50&lt;$AC$2,B50&gt;$AC$3),"Date not in August",IF(D50="","Pick project",IF(ISNA(MATCH(D50,ProjNames,0)),"Project not in list",IF(G50="","Add task description",IF(H50="","Pick NTIME or P6",IF(N(I50)&lt;=0,"Enter hours",IF(AND(AllowOT&lt;&gt;"Yes",SUMIF($B$7:$B$256,B50,$I$7:$I$256)&gt;INDEX($O$58:$O$88,DAY(B50))),"Day over "&amp;INDEX($O$58:$O$88,DAY(B50))&amp;" h","✓")))))))))</f>
        <v/>
      </c>
      <c r="K50" s="1"/>
      <c r="L50" s="24" t="str">
        <f aca="false">IF($AD50=0,"",INDEX($W$7:$W$206,$AD50))</f>
        <v/>
      </c>
      <c r="M50" s="24" t="str">
        <f aca="false">IF($AD50=0,"",INDEX(ProjNumbers,$AD50))</f>
        <v/>
      </c>
      <c r="N50" s="24" t="str">
        <f aca="false">IF($AD50=0,"",INDEX(ProjCodes,$AD50))</f>
        <v/>
      </c>
      <c r="O50" s="24" t="str">
        <f aca="false">IF($AD50=0,"",INDEX($X$7:$X$206,$AD50))</f>
        <v/>
      </c>
      <c r="P50" s="24" t="str">
        <f aca="false">IF($AD50=0,"",INDEX($Y$7:$Y$206,$AD50))</f>
        <v/>
      </c>
      <c r="Q50" s="24" t="str">
        <f aca="false">IF($AD50=0,"",INDEX($Z$7:$Z$206,$AD50))</f>
        <v/>
      </c>
      <c r="R50" s="25" t="str">
        <f aca="false">IF(OR($AD50=0,$L$5=0),"",Q50/$L$5)</f>
        <v/>
      </c>
      <c r="S50" s="1"/>
      <c r="T50" s="1"/>
      <c r="U50" s="1"/>
      <c r="V50" s="1"/>
      <c r="W50" s="1" t="str">
        <f aca="false">IF(Projects!B48="","",Projects!B48)</f>
        <v/>
      </c>
      <c r="X50" s="1" t="n">
        <f aca="false">IF(W50="",0,SUMIFS($I$7:$I$256,$D$7:$D$256,W50,$H$7:$H$256,"NTIME"))</f>
        <v>0</v>
      </c>
      <c r="Y50" s="1" t="n">
        <f aca="false">IF(W50="",0,SUMIFS($I$7:$I$256,$D$7:$D$256,W50,$H$7:$H$256,"P6"))</f>
        <v>0</v>
      </c>
      <c r="Z50" s="1" t="n">
        <f aca="false">X50+Y50</f>
        <v>0</v>
      </c>
      <c r="AA50" s="1" t="n">
        <f aca="false">IF(Z50&gt;0,Z50+(201-44)/10^6,0)</f>
        <v>0</v>
      </c>
      <c r="AB50" s="1"/>
      <c r="AC50" s="1"/>
      <c r="AD50" s="1" t="n">
        <f aca="false">IF(LARGE($AA$7:$AA$206,14)&lt;=0,0,MATCH(LARGE($AA$7:$AA$206,14),$AA$7:$AA$206,0))</f>
        <v>0</v>
      </c>
      <c r="AE50" s="1"/>
      <c r="AF50" s="1"/>
      <c r="AG50" s="1"/>
      <c r="AH50" s="1"/>
    </row>
    <row r="51" customFormat="false" ht="15" hidden="false" customHeight="false" outlineLevel="0" collapsed="false">
      <c r="A51" s="1"/>
      <c r="B51" s="10"/>
      <c r="C51" s="31" t="str">
        <f aca="false">IF(B51="","",TEXT(B51,"ddd"))</f>
        <v/>
      </c>
      <c r="D51" s="11"/>
      <c r="E51" s="8" t="str">
        <f aca="false">IF(D51="","",IFERROR(INDEX(ProjNumbers,MATCH(D51,ProjNames,0)),""))</f>
        <v/>
      </c>
      <c r="F51" s="8" t="str">
        <f aca="false">IF(D51="","",IFERROR(INDEX(ProjCodes,MATCH(D51,ProjNames,0)),""))</f>
        <v/>
      </c>
      <c r="G51" s="32"/>
      <c r="H51" s="11"/>
      <c r="I51" s="33"/>
      <c r="J51" s="8" t="str">
        <f aca="false">IF(COUNTA(B51,D51,G51,H51,I51)=0,"",IF(B51="","Enter date",IF(OR(B51&lt;$AC$2,B51&gt;$AC$3),"Date not in August",IF(D51="","Pick project",IF(ISNA(MATCH(D51,ProjNames,0)),"Project not in list",IF(G51="","Add task description",IF(H51="","Pick NTIME or P6",IF(N(I51)&lt;=0,"Enter hours",IF(AND(AllowOT&lt;&gt;"Yes",SUMIF($B$7:$B$256,B51,$I$7:$I$256)&gt;INDEX($O$58:$O$88,DAY(B51))),"Day over "&amp;INDEX($O$58:$O$88,DAY(B51))&amp;" h","✓")))))))))</f>
        <v/>
      </c>
      <c r="K51" s="1"/>
      <c r="L51" s="24" t="str">
        <f aca="false">IF($AD51=0,"",INDEX($W$7:$W$206,$AD51))</f>
        <v/>
      </c>
      <c r="M51" s="24" t="str">
        <f aca="false">IF($AD51=0,"",INDEX(ProjNumbers,$AD51))</f>
        <v/>
      </c>
      <c r="N51" s="24" t="str">
        <f aca="false">IF($AD51=0,"",INDEX(ProjCodes,$AD51))</f>
        <v/>
      </c>
      <c r="O51" s="24" t="str">
        <f aca="false">IF($AD51=0,"",INDEX($X$7:$X$206,$AD51))</f>
        <v/>
      </c>
      <c r="P51" s="24" t="str">
        <f aca="false">IF($AD51=0,"",INDEX($Y$7:$Y$206,$AD51))</f>
        <v/>
      </c>
      <c r="Q51" s="24" t="str">
        <f aca="false">IF($AD51=0,"",INDEX($Z$7:$Z$206,$AD51))</f>
        <v/>
      </c>
      <c r="R51" s="25" t="str">
        <f aca="false">IF(OR($AD51=0,$L$5=0),"",Q51/$L$5)</f>
        <v/>
      </c>
      <c r="S51" s="1"/>
      <c r="T51" s="1"/>
      <c r="U51" s="1"/>
      <c r="V51" s="1"/>
      <c r="W51" s="1" t="str">
        <f aca="false">IF(Projects!B49="","",Projects!B49)</f>
        <v/>
      </c>
      <c r="X51" s="1" t="n">
        <f aca="false">IF(W51="",0,SUMIFS($I$7:$I$256,$D$7:$D$256,W51,$H$7:$H$256,"NTIME"))</f>
        <v>0</v>
      </c>
      <c r="Y51" s="1" t="n">
        <f aca="false">IF(W51="",0,SUMIFS($I$7:$I$256,$D$7:$D$256,W51,$H$7:$H$256,"P6"))</f>
        <v>0</v>
      </c>
      <c r="Z51" s="1" t="n">
        <f aca="false">X51+Y51</f>
        <v>0</v>
      </c>
      <c r="AA51" s="1" t="n">
        <f aca="false">IF(Z51&gt;0,Z51+(201-45)/10^6,0)</f>
        <v>0</v>
      </c>
      <c r="AB51" s="1"/>
      <c r="AC51" s="1"/>
      <c r="AD51" s="1" t="n">
        <f aca="false">IF(LARGE($AA$7:$AA$206,15)&lt;=0,0,MATCH(LARGE($AA$7:$AA$206,15),$AA$7:$AA$206,0))</f>
        <v>0</v>
      </c>
      <c r="AE51" s="1"/>
      <c r="AF51" s="1"/>
      <c r="AG51" s="1"/>
      <c r="AH51" s="1"/>
    </row>
    <row r="52" customFormat="false" ht="15" hidden="false" customHeight="false" outlineLevel="0" collapsed="false">
      <c r="A52" s="1"/>
      <c r="B52" s="10"/>
      <c r="C52" s="31" t="str">
        <f aca="false">IF(B52="","",TEXT(B52,"ddd"))</f>
        <v/>
      </c>
      <c r="D52" s="11"/>
      <c r="E52" s="8" t="str">
        <f aca="false">IF(D52="","",IFERROR(INDEX(ProjNumbers,MATCH(D52,ProjNames,0)),""))</f>
        <v/>
      </c>
      <c r="F52" s="8" t="str">
        <f aca="false">IF(D52="","",IFERROR(INDEX(ProjCodes,MATCH(D52,ProjNames,0)),""))</f>
        <v/>
      </c>
      <c r="G52" s="32"/>
      <c r="H52" s="11"/>
      <c r="I52" s="33"/>
      <c r="J52" s="8" t="str">
        <f aca="false">IF(COUNTA(B52,D52,G52,H52,I52)=0,"",IF(B52="","Enter date",IF(OR(B52&lt;$AC$2,B52&gt;$AC$3),"Date not in August",IF(D52="","Pick project",IF(ISNA(MATCH(D52,ProjNames,0)),"Project not in list",IF(G52="","Add task description",IF(H52="","Pick NTIME or P6",IF(N(I52)&lt;=0,"Enter hours",IF(AND(AllowOT&lt;&gt;"Yes",SUMIF($B$7:$B$256,B52,$I$7:$I$256)&gt;INDEX($O$58:$O$88,DAY(B52))),"Day over "&amp;INDEX($O$58:$O$88,DAY(B52))&amp;" h","✓")))))))))</f>
        <v/>
      </c>
      <c r="K52" s="1"/>
      <c r="L52" s="24" t="s">
        <v>87</v>
      </c>
      <c r="M52" s="24"/>
      <c r="N52" s="24"/>
      <c r="O52" s="24" t="n">
        <f aca="false">SUM($P$58:$P$88)-SUM($X$7:$X$206)</f>
        <v>0</v>
      </c>
      <c r="P52" s="24" t="n">
        <f aca="false">SUM($Q$58:$Q$88)-SUM($Y$7:$Y$206)</f>
        <v>0</v>
      </c>
      <c r="Q52" s="24" t="n">
        <f aca="false">O52+P52</f>
        <v>0</v>
      </c>
      <c r="R52" s="25" t="str">
        <f aca="false">IF($L$5=0,"",Q52/$L$5)</f>
        <v/>
      </c>
      <c r="S52" s="1"/>
      <c r="T52" s="1"/>
      <c r="U52" s="1"/>
      <c r="V52" s="1"/>
      <c r="W52" s="1" t="str">
        <f aca="false">IF(Projects!B50="","",Projects!B50)</f>
        <v/>
      </c>
      <c r="X52" s="1" t="n">
        <f aca="false">IF(W52="",0,SUMIFS($I$7:$I$256,$D$7:$D$256,W52,$H$7:$H$256,"NTIME"))</f>
        <v>0</v>
      </c>
      <c r="Y52" s="1" t="n">
        <f aca="false">IF(W52="",0,SUMIFS($I$7:$I$256,$D$7:$D$256,W52,$H$7:$H$256,"P6"))</f>
        <v>0</v>
      </c>
      <c r="Z52" s="1" t="n">
        <f aca="false">X52+Y52</f>
        <v>0</v>
      </c>
      <c r="AA52" s="1" t="n">
        <f aca="false">IF(Z52&gt;0,Z52+(201-46)/10^6,0)</f>
        <v>0</v>
      </c>
      <c r="AB52" s="1"/>
      <c r="AC52" s="1"/>
      <c r="AD52" s="1"/>
      <c r="AE52" s="1"/>
      <c r="AF52" s="1"/>
      <c r="AG52" s="1"/>
      <c r="AH52" s="1"/>
    </row>
    <row r="53" customFormat="false" ht="15" hidden="false" customHeight="false" outlineLevel="0" collapsed="false">
      <c r="A53" s="1"/>
      <c r="B53" s="10"/>
      <c r="C53" s="31" t="str">
        <f aca="false">IF(B53="","",TEXT(B53,"ddd"))</f>
        <v/>
      </c>
      <c r="D53" s="11"/>
      <c r="E53" s="8" t="str">
        <f aca="false">IF(D53="","",IFERROR(INDEX(ProjNumbers,MATCH(D53,ProjNames,0)),""))</f>
        <v/>
      </c>
      <c r="F53" s="8" t="str">
        <f aca="false">IF(D53="","",IFERROR(INDEX(ProjCodes,MATCH(D53,ProjNames,0)),""))</f>
        <v/>
      </c>
      <c r="G53" s="32"/>
      <c r="H53" s="11"/>
      <c r="I53" s="33"/>
      <c r="J53" s="8" t="str">
        <f aca="false">IF(COUNTA(B53,D53,G53,H53,I53)=0,"",IF(B53="","Enter date",IF(OR(B53&lt;$AC$2,B53&gt;$AC$3),"Date not in August",IF(D53="","Pick project",IF(ISNA(MATCH(D53,ProjNames,0)),"Project not in list",IF(G53="","Add task description",IF(H53="","Pick NTIME or P6",IF(N(I53)&lt;=0,"Enter hours",IF(AND(AllowOT&lt;&gt;"Yes",SUMIF($B$7:$B$256,B53,$I$7:$I$256)&gt;INDEX($O$58:$O$88,DAY(B53))),"Day over "&amp;INDEX($O$58:$O$88,DAY(B53))&amp;" h","✓")))))))))</f>
        <v/>
      </c>
      <c r="K53" s="1"/>
      <c r="L53" s="24" t="s">
        <v>15</v>
      </c>
      <c r="M53" s="24" t="s">
        <v>88</v>
      </c>
      <c r="N53" s="24"/>
      <c r="O53" s="24" t="str">
        <f aca="false">IF(OHSystem="NTIME",O5,"")</f>
        <v/>
      </c>
      <c r="P53" s="24" t="str">
        <f aca="false">IF(OHSystem="P6",O5,"")</f>
        <v/>
      </c>
      <c r="Q53" s="24" t="n">
        <f aca="false">O5</f>
        <v>0</v>
      </c>
      <c r="R53" s="25" t="str">
        <f aca="false">IF($L$5=0,"",Q53/$L$5)</f>
        <v/>
      </c>
      <c r="S53" s="1"/>
      <c r="T53" s="1"/>
      <c r="U53" s="1"/>
      <c r="V53" s="1"/>
      <c r="W53" s="1" t="str">
        <f aca="false">IF(Projects!B51="","",Projects!B51)</f>
        <v/>
      </c>
      <c r="X53" s="1" t="n">
        <f aca="false">IF(W53="",0,SUMIFS($I$7:$I$256,$D$7:$D$256,W53,$H$7:$H$256,"NTIME"))</f>
        <v>0</v>
      </c>
      <c r="Y53" s="1" t="n">
        <f aca="false">IF(W53="",0,SUMIFS($I$7:$I$256,$D$7:$D$256,W53,$H$7:$H$256,"P6"))</f>
        <v>0</v>
      </c>
      <c r="Z53" s="1" t="n">
        <f aca="false">X53+Y53</f>
        <v>0</v>
      </c>
      <c r="AA53" s="1" t="n">
        <f aca="false">IF(Z53&gt;0,Z53+(201-47)/10^6,0)</f>
        <v>0</v>
      </c>
      <c r="AB53" s="1"/>
      <c r="AC53" s="1"/>
      <c r="AD53" s="1"/>
      <c r="AE53" s="1"/>
      <c r="AF53" s="1"/>
      <c r="AG53" s="1"/>
      <c r="AH53" s="1"/>
    </row>
    <row r="54" customFormat="false" ht="15" hidden="false" customHeight="false" outlineLevel="0" collapsed="false">
      <c r="A54" s="1"/>
      <c r="B54" s="10"/>
      <c r="C54" s="31" t="str">
        <f aca="false">IF(B54="","",TEXT(B54,"ddd"))</f>
        <v/>
      </c>
      <c r="D54" s="11"/>
      <c r="E54" s="8" t="str">
        <f aca="false">IF(D54="","",IFERROR(INDEX(ProjNumbers,MATCH(D54,ProjNames,0)),""))</f>
        <v/>
      </c>
      <c r="F54" s="8" t="str">
        <f aca="false">IF(D54="","",IFERROR(INDEX(ProjCodes,MATCH(D54,ProjNames,0)),""))</f>
        <v/>
      </c>
      <c r="G54" s="32"/>
      <c r="H54" s="11"/>
      <c r="I54" s="33"/>
      <c r="J54" s="8" t="str">
        <f aca="false">IF(COUNTA(B54,D54,G54,H54,I54)=0,"",IF(B54="","Enter date",IF(OR(B54&lt;$AC$2,B54&gt;$AC$3),"Date not in August",IF(D54="","Pick project",IF(ISNA(MATCH(D54,ProjNames,0)),"Project not in list",IF(G54="","Add task description",IF(H54="","Pick NTIME or P6",IF(N(I54)&lt;=0,"Enter hours",IF(AND(AllowOT&lt;&gt;"Yes",SUMIF($B$7:$B$256,B54,$I$7:$I$256)&gt;INDEX($O$58:$O$88,DAY(B54))),"Day over "&amp;INDEX($O$58:$O$88,DAY(B54))&amp;" h","✓")))))))))</f>
        <v/>
      </c>
      <c r="K54" s="1"/>
      <c r="L54" s="27" t="s">
        <v>57</v>
      </c>
      <c r="M54" s="27"/>
      <c r="N54" s="27"/>
      <c r="O54" s="27" t="n">
        <f aca="false">M5</f>
        <v>0</v>
      </c>
      <c r="P54" s="27" t="n">
        <f aca="false">N5</f>
        <v>0</v>
      </c>
      <c r="Q54" s="27" t="n">
        <f aca="false">L5</f>
        <v>0</v>
      </c>
      <c r="R54" s="27"/>
      <c r="S54" s="1"/>
      <c r="T54" s="1"/>
      <c r="U54" s="1"/>
      <c r="V54" s="1"/>
      <c r="W54" s="1" t="str">
        <f aca="false">IF(Projects!B52="","",Projects!B52)</f>
        <v/>
      </c>
      <c r="X54" s="1" t="n">
        <f aca="false">IF(W54="",0,SUMIFS($I$7:$I$256,$D$7:$D$256,W54,$H$7:$H$256,"NTIME"))</f>
        <v>0</v>
      </c>
      <c r="Y54" s="1" t="n">
        <f aca="false">IF(W54="",0,SUMIFS($I$7:$I$256,$D$7:$D$256,W54,$H$7:$H$256,"P6"))</f>
        <v>0</v>
      </c>
      <c r="Z54" s="1" t="n">
        <f aca="false">X54+Y54</f>
        <v>0</v>
      </c>
      <c r="AA54" s="1" t="n">
        <f aca="false">IF(Z54&gt;0,Z54+(201-48)/10^6,0)</f>
        <v>0</v>
      </c>
      <c r="AB54" s="1"/>
      <c r="AC54" s="1"/>
      <c r="AD54" s="1"/>
      <c r="AE54" s="1"/>
      <c r="AF54" s="1"/>
      <c r="AG54" s="1"/>
      <c r="AH54" s="1"/>
    </row>
    <row r="55" customFormat="false" ht="15" hidden="false" customHeight="false" outlineLevel="0" collapsed="false">
      <c r="A55" s="1"/>
      <c r="B55" s="10"/>
      <c r="C55" s="31" t="str">
        <f aca="false">IF(B55="","",TEXT(B55,"ddd"))</f>
        <v/>
      </c>
      <c r="D55" s="11"/>
      <c r="E55" s="8" t="str">
        <f aca="false">IF(D55="","",IFERROR(INDEX(ProjNumbers,MATCH(D55,ProjNames,0)),""))</f>
        <v/>
      </c>
      <c r="F55" s="8" t="str">
        <f aca="false">IF(D55="","",IFERROR(INDEX(ProjCodes,MATCH(D55,ProjNames,0)),""))</f>
        <v/>
      </c>
      <c r="G55" s="32"/>
      <c r="H55" s="11"/>
      <c r="I55" s="33"/>
      <c r="J55" s="8" t="str">
        <f aca="false">IF(COUNTA(B55,D55,G55,H55,I55)=0,"",IF(B55="","Enter date",IF(OR(B55&lt;$AC$2,B55&gt;$AC$3),"Date not in August",IF(D55="","Pick project",IF(ISNA(MATCH(D55,ProjNames,0)),"Project not in list",IF(G55="","Add task description",IF(H55="","Pick NTIME or P6",IF(N(I55)&lt;=0,"Enter hours",IF(AND(AllowOT&lt;&gt;"Yes",SUMIF($B$7:$B$256,B55,$I$7:$I$256)&gt;INDEX($O$58:$O$88,DAY(B55))),"Day over "&amp;INDEX($O$58:$O$88,DAY(B55))&amp;" h","✓")))))))))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tr">
        <f aca="false">IF(Projects!B53="","",Projects!B53)</f>
        <v/>
      </c>
      <c r="X55" s="1" t="n">
        <f aca="false">IF(W55="",0,SUMIFS($I$7:$I$256,$D$7:$D$256,W55,$H$7:$H$256,"NTIME"))</f>
        <v>0</v>
      </c>
      <c r="Y55" s="1" t="n">
        <f aca="false">IF(W55="",0,SUMIFS($I$7:$I$256,$D$7:$D$256,W55,$H$7:$H$256,"P6"))</f>
        <v>0</v>
      </c>
      <c r="Z55" s="1" t="n">
        <f aca="false">X55+Y55</f>
        <v>0</v>
      </c>
      <c r="AA55" s="1" t="n">
        <f aca="false">IF(Z55&gt;0,Z55+(201-49)/10^6,0)</f>
        <v>0</v>
      </c>
      <c r="AB55" s="1"/>
      <c r="AC55" s="1"/>
      <c r="AD55" s="1"/>
      <c r="AE55" s="1"/>
      <c r="AF55" s="1"/>
      <c r="AG55" s="1"/>
      <c r="AH55" s="1"/>
    </row>
    <row r="56" customFormat="false" ht="15" hidden="false" customHeight="false" outlineLevel="0" collapsed="false">
      <c r="A56" s="1"/>
      <c r="B56" s="10"/>
      <c r="C56" s="31" t="str">
        <f aca="false">IF(B56="","",TEXT(B56,"ddd"))</f>
        <v/>
      </c>
      <c r="D56" s="11"/>
      <c r="E56" s="8" t="str">
        <f aca="false">IF(D56="","",IFERROR(INDEX(ProjNumbers,MATCH(D56,ProjNames,0)),""))</f>
        <v/>
      </c>
      <c r="F56" s="8" t="str">
        <f aca="false">IF(D56="","",IFERROR(INDEX(ProjCodes,MATCH(D56,ProjNames,0)),""))</f>
        <v/>
      </c>
      <c r="G56" s="32"/>
      <c r="H56" s="11"/>
      <c r="I56" s="33"/>
      <c r="J56" s="8" t="str">
        <f aca="false">IF(COUNTA(B56,D56,G56,H56,I56)=0,"",IF(B56="","Enter date",IF(OR(B56&lt;$AC$2,B56&gt;$AC$3),"Date not in August",IF(D56="","Pick project",IF(ISNA(MATCH(D56,ProjNames,0)),"Project not in list",IF(G56="","Add task description",IF(H56="","Pick NTIME or P6",IF(N(I56)&lt;=0,"Enter hours",IF(AND(AllowOT&lt;&gt;"Yes",SUMIF($B$7:$B$256,B56,$I$7:$I$256)&gt;INDEX($O$58:$O$88,DAY(B56))),"Day over "&amp;INDEX($O$58:$O$88,DAY(B56))&amp;" h","✓")))))))))</f>
        <v/>
      </c>
      <c r="K56" s="1"/>
      <c r="L56" s="4" t="s">
        <v>89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 aca="false">IF(Projects!B54="","",Projects!B54)</f>
        <v/>
      </c>
      <c r="X56" s="1" t="n">
        <f aca="false">IF(W56="",0,SUMIFS($I$7:$I$256,$D$7:$D$256,W56,$H$7:$H$256,"NTIME"))</f>
        <v>0</v>
      </c>
      <c r="Y56" s="1" t="n">
        <f aca="false">IF(W56="",0,SUMIFS($I$7:$I$256,$D$7:$D$256,W56,$H$7:$H$256,"P6"))</f>
        <v>0</v>
      </c>
      <c r="Z56" s="1" t="n">
        <f aca="false">X56+Y56</f>
        <v>0</v>
      </c>
      <c r="AA56" s="1" t="n">
        <f aca="false">IF(Z56&gt;0,Z56+(201-50)/10^6,0)</f>
        <v>0</v>
      </c>
      <c r="AB56" s="1"/>
      <c r="AC56" s="1"/>
      <c r="AD56" s="1"/>
      <c r="AE56" s="1"/>
      <c r="AF56" s="1"/>
      <c r="AG56" s="1"/>
      <c r="AH56" s="1"/>
    </row>
    <row r="57" customFormat="false" ht="15" hidden="false" customHeight="false" outlineLevel="0" collapsed="false">
      <c r="A57" s="1"/>
      <c r="B57" s="10"/>
      <c r="C57" s="31" t="str">
        <f aca="false">IF(B57="","",TEXT(B57,"ddd"))</f>
        <v/>
      </c>
      <c r="D57" s="11"/>
      <c r="E57" s="8" t="str">
        <f aca="false">IF(D57="","",IFERROR(INDEX(ProjNumbers,MATCH(D57,ProjNames,0)),""))</f>
        <v/>
      </c>
      <c r="F57" s="8" t="str">
        <f aca="false">IF(D57="","",IFERROR(INDEX(ProjCodes,MATCH(D57,ProjNames,0)),""))</f>
        <v/>
      </c>
      <c r="G57" s="32"/>
      <c r="H57" s="11"/>
      <c r="I57" s="33"/>
      <c r="J57" s="8" t="str">
        <f aca="false">IF(COUNTA(B57,D57,G57,H57,I57)=0,"",IF(B57="","Enter date",IF(OR(B57&lt;$AC$2,B57&gt;$AC$3),"Date not in August",IF(D57="","Pick project",IF(ISNA(MATCH(D57,ProjNames,0)),"Project not in list",IF(G57="","Add task description",IF(H57="","Pick NTIME or P6",IF(N(I57)&lt;=0,"Enter hours",IF(AND(AllowOT&lt;&gt;"Yes",SUMIF($B$7:$B$256,B57,$I$7:$I$256)&gt;INDEX($O$58:$O$88,DAY(B57))),"Day over "&amp;INDEX($O$58:$O$88,DAY(B57))&amp;" h","✓")))))))))</f>
        <v/>
      </c>
      <c r="K57" s="1"/>
      <c r="L57" s="9" t="s">
        <v>33</v>
      </c>
      <c r="M57" s="9" t="s">
        <v>34</v>
      </c>
      <c r="N57" s="9" t="s">
        <v>90</v>
      </c>
      <c r="O57" s="9" t="s">
        <v>91</v>
      </c>
      <c r="P57" s="20" t="s">
        <v>46</v>
      </c>
      <c r="Q57" s="21" t="s">
        <v>56</v>
      </c>
      <c r="R57" s="22" t="s">
        <v>15</v>
      </c>
      <c r="S57" s="9" t="s">
        <v>24</v>
      </c>
      <c r="T57" s="9" t="s">
        <v>57</v>
      </c>
      <c r="U57" s="9" t="s">
        <v>92</v>
      </c>
      <c r="V57" s="1"/>
      <c r="W57" s="1" t="str">
        <f aca="false">IF(Projects!B55="","",Projects!B55)</f>
        <v/>
      </c>
      <c r="X57" s="1" t="n">
        <f aca="false">IF(W57="",0,SUMIFS($I$7:$I$256,$D$7:$D$256,W57,$H$7:$H$256,"NTIME"))</f>
        <v>0</v>
      </c>
      <c r="Y57" s="1" t="n">
        <f aca="false">IF(W57="",0,SUMIFS($I$7:$I$256,$D$7:$D$256,W57,$H$7:$H$256,"P6"))</f>
        <v>0</v>
      </c>
      <c r="Z57" s="1" t="n">
        <f aca="false">X57+Y57</f>
        <v>0</v>
      </c>
      <c r="AA57" s="1" t="n">
        <f aca="false">IF(Z57&gt;0,Z57+(201-51)/10^6,0)</f>
        <v>0</v>
      </c>
      <c r="AB57" s="1"/>
      <c r="AC57" s="1"/>
      <c r="AD57" s="1"/>
      <c r="AE57" s="1"/>
      <c r="AF57" s="1"/>
      <c r="AG57" s="1"/>
      <c r="AH57" s="1"/>
    </row>
    <row r="58" customFormat="false" ht="15" hidden="false" customHeight="false" outlineLevel="0" collapsed="false">
      <c r="A58" s="1"/>
      <c r="B58" s="10"/>
      <c r="C58" s="31" t="str">
        <f aca="false">IF(B58="","",TEXT(B58,"ddd"))</f>
        <v/>
      </c>
      <c r="D58" s="11"/>
      <c r="E58" s="8" t="str">
        <f aca="false">IF(D58="","",IFERROR(INDEX(ProjNumbers,MATCH(D58,ProjNames,0)),""))</f>
        <v/>
      </c>
      <c r="F58" s="8" t="str">
        <f aca="false">IF(D58="","",IFERROR(INDEX(ProjCodes,MATCH(D58,ProjNames,0)),""))</f>
        <v/>
      </c>
      <c r="G58" s="32"/>
      <c r="H58" s="11"/>
      <c r="I58" s="33"/>
      <c r="J58" s="8" t="str">
        <f aca="false">IF(COUNTA(B58,D58,G58,H58,I58)=0,"",IF(B58="","Enter date",IF(OR(B58&lt;$AC$2,B58&gt;$AC$3),"Date not in August",IF(D58="","Pick project",IF(ISNA(MATCH(D58,ProjNames,0)),"Project not in list",IF(G58="","Add task description",IF(H58="","Pick NTIME or P6",IF(N(I58)&lt;=0,"Enter hours",IF(AND(AllowOT&lt;&gt;"Yes",SUMIF($B$7:$B$256,B58,$I$7:$I$256)&gt;INDEX($O$58:$O$88,DAY(B58))),"Day over "&amp;INDEX($O$58:$O$88,DAY(B58))&amp;" h","✓")))))))))</f>
        <v/>
      </c>
      <c r="K58" s="1"/>
      <c r="L58" s="35" t="n">
        <v>46235</v>
      </c>
      <c r="M58" s="36" t="str">
        <f aca="false">TEXT(L58,"ddd")</f>
        <v>Sat</v>
      </c>
      <c r="N58" s="37" t="s">
        <v>94</v>
      </c>
      <c r="O58" s="37" t="n">
        <f aca="false">AvailHours</f>
        <v>8</v>
      </c>
      <c r="P58" s="24" t="n">
        <f aca="false">SUMIFS($I$7:$I$256,$B$7:$B$256,L58,$H$7:$H$256,"NTIME")</f>
        <v>0</v>
      </c>
      <c r="Q58" s="24" t="n">
        <f aca="false">SUMIFS($I$7:$I$256,$B$7:$B$256,L58,$H$7:$H$256,"P6")</f>
        <v>0</v>
      </c>
      <c r="R58" s="24" t="n">
        <f aca="false">IF(N58="Overhead only",O58,IF(AND(N58="Working",P58+Q58&gt;0),MAX(0,O58-P58-Q58),0))</f>
        <v>0</v>
      </c>
      <c r="S58" s="24" t="n">
        <f aca="false">IF(OR(N58="Working",N58="Overhead only"),MAX(0,P58+Q58-O58),0)</f>
        <v>0</v>
      </c>
      <c r="T58" s="24" t="n">
        <f aca="false">P58+Q58+R58</f>
        <v>0</v>
      </c>
      <c r="U58" s="24" t="str">
        <f aca="true">IF(N58="Working",IF(P58+Q58=0,IF(L58&lt;=TODAY(),"Not logged",""),IF(P58+Q58&gt;O58,IF(AllowOT="Yes","Overtime","Over "&amp;O58&amp;" h!"),"✓")),IF(N58="Overhead only","✓ Overhead day",IF(P58+Q58&gt;0,"Entries on "&amp;LOWER(N58)&amp;" day",N58)))</f>
        <v>Weekend</v>
      </c>
      <c r="V58" s="1"/>
      <c r="W58" s="1" t="str">
        <f aca="false">IF(Projects!B56="","",Projects!B56)</f>
        <v/>
      </c>
      <c r="X58" s="1" t="n">
        <f aca="false">IF(W58="",0,SUMIFS($I$7:$I$256,$D$7:$D$256,W58,$H$7:$H$256,"NTIME"))</f>
        <v>0</v>
      </c>
      <c r="Y58" s="1" t="n">
        <f aca="false">IF(W58="",0,SUMIFS($I$7:$I$256,$D$7:$D$256,W58,$H$7:$H$256,"P6"))</f>
        <v>0</v>
      </c>
      <c r="Z58" s="1" t="n">
        <f aca="false">X58+Y58</f>
        <v>0</v>
      </c>
      <c r="AA58" s="1" t="n">
        <f aca="false">IF(Z58&gt;0,Z58+(201-52)/10^6,0)</f>
        <v>0</v>
      </c>
      <c r="AB58" s="1"/>
      <c r="AC58" s="1"/>
      <c r="AD58" s="1"/>
      <c r="AE58" s="1"/>
      <c r="AF58" s="1"/>
      <c r="AG58" s="1"/>
      <c r="AH58" s="1"/>
    </row>
    <row r="59" customFormat="false" ht="15" hidden="false" customHeight="false" outlineLevel="0" collapsed="false">
      <c r="A59" s="1"/>
      <c r="B59" s="10"/>
      <c r="C59" s="31" t="str">
        <f aca="false">IF(B59="","",TEXT(B59,"ddd"))</f>
        <v/>
      </c>
      <c r="D59" s="11"/>
      <c r="E59" s="8" t="str">
        <f aca="false">IF(D59="","",IFERROR(INDEX(ProjNumbers,MATCH(D59,ProjNames,0)),""))</f>
        <v/>
      </c>
      <c r="F59" s="8" t="str">
        <f aca="false">IF(D59="","",IFERROR(INDEX(ProjCodes,MATCH(D59,ProjNames,0)),""))</f>
        <v/>
      </c>
      <c r="G59" s="32"/>
      <c r="H59" s="11"/>
      <c r="I59" s="33"/>
      <c r="J59" s="8" t="str">
        <f aca="false">IF(COUNTA(B59,D59,G59,H59,I59)=0,"",IF(B59="","Enter date",IF(OR(B59&lt;$AC$2,B59&gt;$AC$3),"Date not in August",IF(D59="","Pick project",IF(ISNA(MATCH(D59,ProjNames,0)),"Project not in list",IF(G59="","Add task description",IF(H59="","Pick NTIME or P6",IF(N(I59)&lt;=0,"Enter hours",IF(AND(AllowOT&lt;&gt;"Yes",SUMIF($B$7:$B$256,B59,$I$7:$I$256)&gt;INDEX($O$58:$O$88,DAY(B59))),"Day over "&amp;INDEX($O$58:$O$88,DAY(B59))&amp;" h","✓")))))))))</f>
        <v/>
      </c>
      <c r="K59" s="1"/>
      <c r="L59" s="35" t="n">
        <v>46236</v>
      </c>
      <c r="M59" s="36" t="str">
        <f aca="false">TEXT(L59,"ddd")</f>
        <v>Sun</v>
      </c>
      <c r="N59" s="37" t="s">
        <v>94</v>
      </c>
      <c r="O59" s="37" t="n">
        <f aca="false">AvailHours</f>
        <v>8</v>
      </c>
      <c r="P59" s="24" t="n">
        <f aca="false">SUMIFS($I$7:$I$256,$B$7:$B$256,L59,$H$7:$H$256,"NTIME")</f>
        <v>0</v>
      </c>
      <c r="Q59" s="24" t="n">
        <f aca="false">SUMIFS($I$7:$I$256,$B$7:$B$256,L59,$H$7:$H$256,"P6")</f>
        <v>0</v>
      </c>
      <c r="R59" s="24" t="n">
        <f aca="false">IF(N59="Overhead only",O59,IF(AND(N59="Working",P59+Q59&gt;0),MAX(0,O59-P59-Q59),0))</f>
        <v>0</v>
      </c>
      <c r="S59" s="24" t="n">
        <f aca="false">IF(OR(N59="Working",N59="Overhead only"),MAX(0,P59+Q59-O59),0)</f>
        <v>0</v>
      </c>
      <c r="T59" s="24" t="n">
        <f aca="false">P59+Q59+R59</f>
        <v>0</v>
      </c>
      <c r="U59" s="24" t="str">
        <f aca="true">IF(N59="Working",IF(P59+Q59=0,IF(L59&lt;=TODAY(),"Not logged",""),IF(P59+Q59&gt;O59,IF(AllowOT="Yes","Overtime","Over "&amp;O59&amp;" h!"),"✓")),IF(N59="Overhead only","✓ Overhead day",IF(P59+Q59&gt;0,"Entries on "&amp;LOWER(N59)&amp;" day",N59)))</f>
        <v>Weekend</v>
      </c>
      <c r="V59" s="1"/>
      <c r="W59" s="1" t="str">
        <f aca="false">IF(Projects!B57="","",Projects!B57)</f>
        <v/>
      </c>
      <c r="X59" s="1" t="n">
        <f aca="false">IF(W59="",0,SUMIFS($I$7:$I$256,$D$7:$D$256,W59,$H$7:$H$256,"NTIME"))</f>
        <v>0</v>
      </c>
      <c r="Y59" s="1" t="n">
        <f aca="false">IF(W59="",0,SUMIFS($I$7:$I$256,$D$7:$D$256,W59,$H$7:$H$256,"P6"))</f>
        <v>0</v>
      </c>
      <c r="Z59" s="1" t="n">
        <f aca="false">X59+Y59</f>
        <v>0</v>
      </c>
      <c r="AA59" s="1" t="n">
        <f aca="false">IF(Z59&gt;0,Z59+(201-53)/10^6,0)</f>
        <v>0</v>
      </c>
      <c r="AB59" s="1"/>
      <c r="AC59" s="1"/>
      <c r="AD59" s="1"/>
      <c r="AE59" s="1"/>
      <c r="AF59" s="1"/>
      <c r="AG59" s="1"/>
      <c r="AH59" s="1"/>
    </row>
    <row r="60" customFormat="false" ht="15" hidden="false" customHeight="false" outlineLevel="0" collapsed="false">
      <c r="A60" s="1"/>
      <c r="B60" s="10"/>
      <c r="C60" s="31" t="str">
        <f aca="false">IF(B60="","",TEXT(B60,"ddd"))</f>
        <v/>
      </c>
      <c r="D60" s="11"/>
      <c r="E60" s="8" t="str">
        <f aca="false">IF(D60="","",IFERROR(INDEX(ProjNumbers,MATCH(D60,ProjNames,0)),""))</f>
        <v/>
      </c>
      <c r="F60" s="8" t="str">
        <f aca="false">IF(D60="","",IFERROR(INDEX(ProjCodes,MATCH(D60,ProjNames,0)),""))</f>
        <v/>
      </c>
      <c r="G60" s="32"/>
      <c r="H60" s="11"/>
      <c r="I60" s="33"/>
      <c r="J60" s="8" t="str">
        <f aca="false">IF(COUNTA(B60,D60,G60,H60,I60)=0,"",IF(B60="","Enter date",IF(OR(B60&lt;$AC$2,B60&gt;$AC$3),"Date not in August",IF(D60="","Pick project",IF(ISNA(MATCH(D60,ProjNames,0)),"Project not in list",IF(G60="","Add task description",IF(H60="","Pick NTIME or P6",IF(N(I60)&lt;=0,"Enter hours",IF(AND(AllowOT&lt;&gt;"Yes",SUMIF($B$7:$B$256,B60,$I$7:$I$256)&gt;INDEX($O$58:$O$88,DAY(B60))),"Day over "&amp;INDEX($O$58:$O$88,DAY(B60))&amp;" h","✓")))))))))</f>
        <v/>
      </c>
      <c r="K60" s="1"/>
      <c r="L60" s="35" t="n">
        <v>46237</v>
      </c>
      <c r="M60" s="36" t="str">
        <f aca="false">TEXT(L60,"ddd")</f>
        <v>Mon</v>
      </c>
      <c r="N60" s="37" t="s">
        <v>93</v>
      </c>
      <c r="O60" s="37" t="n">
        <f aca="false">AvailHours</f>
        <v>8</v>
      </c>
      <c r="P60" s="24" t="n">
        <f aca="false">SUMIFS($I$7:$I$256,$B$7:$B$256,L60,$H$7:$H$256,"NTIME")</f>
        <v>0</v>
      </c>
      <c r="Q60" s="24" t="n">
        <f aca="false">SUMIFS($I$7:$I$256,$B$7:$B$256,L60,$H$7:$H$256,"P6")</f>
        <v>0</v>
      </c>
      <c r="R60" s="24" t="n">
        <f aca="false">IF(N60="Overhead only",O60,IF(AND(N60="Working",P60+Q60&gt;0),MAX(0,O60-P60-Q60),0))</f>
        <v>0</v>
      </c>
      <c r="S60" s="24" t="n">
        <f aca="false">IF(OR(N60="Working",N60="Overhead only"),MAX(0,P60+Q60-O60),0)</f>
        <v>0</v>
      </c>
      <c r="T60" s="24" t="n">
        <f aca="false">P60+Q60+R60</f>
        <v>0</v>
      </c>
      <c r="U60" s="24" t="str">
        <f aca="true">IF(N60="Working",IF(P60+Q60=0,IF(L60&lt;=TODAY(),"Not logged",""),IF(P60+Q60&gt;O60,IF(AllowOT="Yes","Overtime","Over "&amp;O60&amp;" h!"),"✓")),IF(N60="Overhead only","✓ Overhead day",IF(P60+Q60&gt;0,"Entries on "&amp;LOWER(N60)&amp;" day",N60)))</f>
        <v>Not logged</v>
      </c>
      <c r="V60" s="1"/>
      <c r="W60" s="1" t="str">
        <f aca="false">IF(Projects!B58="","",Projects!B58)</f>
        <v/>
      </c>
      <c r="X60" s="1" t="n">
        <f aca="false">IF(W60="",0,SUMIFS($I$7:$I$256,$D$7:$D$256,W60,$H$7:$H$256,"NTIME"))</f>
        <v>0</v>
      </c>
      <c r="Y60" s="1" t="n">
        <f aca="false">IF(W60="",0,SUMIFS($I$7:$I$256,$D$7:$D$256,W60,$H$7:$H$256,"P6"))</f>
        <v>0</v>
      </c>
      <c r="Z60" s="1" t="n">
        <f aca="false">X60+Y60</f>
        <v>0</v>
      </c>
      <c r="AA60" s="1" t="n">
        <f aca="false">IF(Z60&gt;0,Z60+(201-54)/10^6,0)</f>
        <v>0</v>
      </c>
      <c r="AB60" s="1"/>
      <c r="AC60" s="1"/>
      <c r="AD60" s="1"/>
      <c r="AE60" s="1"/>
      <c r="AF60" s="1"/>
      <c r="AG60" s="1"/>
      <c r="AH60" s="1"/>
    </row>
    <row r="61" customFormat="false" ht="15" hidden="false" customHeight="false" outlineLevel="0" collapsed="false">
      <c r="A61" s="1"/>
      <c r="B61" s="10"/>
      <c r="C61" s="31" t="str">
        <f aca="false">IF(B61="","",TEXT(B61,"ddd"))</f>
        <v/>
      </c>
      <c r="D61" s="11"/>
      <c r="E61" s="8" t="str">
        <f aca="false">IF(D61="","",IFERROR(INDEX(ProjNumbers,MATCH(D61,ProjNames,0)),""))</f>
        <v/>
      </c>
      <c r="F61" s="8" t="str">
        <f aca="false">IF(D61="","",IFERROR(INDEX(ProjCodes,MATCH(D61,ProjNames,0)),""))</f>
        <v/>
      </c>
      <c r="G61" s="32"/>
      <c r="H61" s="11"/>
      <c r="I61" s="33"/>
      <c r="J61" s="8" t="str">
        <f aca="false">IF(COUNTA(B61,D61,G61,H61,I61)=0,"",IF(B61="","Enter date",IF(OR(B61&lt;$AC$2,B61&gt;$AC$3),"Date not in August",IF(D61="","Pick project",IF(ISNA(MATCH(D61,ProjNames,0)),"Project not in list",IF(G61="","Add task description",IF(H61="","Pick NTIME or P6",IF(N(I61)&lt;=0,"Enter hours",IF(AND(AllowOT&lt;&gt;"Yes",SUMIF($B$7:$B$256,B61,$I$7:$I$256)&gt;INDEX($O$58:$O$88,DAY(B61))),"Day over "&amp;INDEX($O$58:$O$88,DAY(B61))&amp;" h","✓")))))))))</f>
        <v/>
      </c>
      <c r="K61" s="1"/>
      <c r="L61" s="35" t="n">
        <v>46238</v>
      </c>
      <c r="M61" s="36" t="str">
        <f aca="false">TEXT(L61,"ddd")</f>
        <v>Tue</v>
      </c>
      <c r="N61" s="37" t="s">
        <v>93</v>
      </c>
      <c r="O61" s="37" t="n">
        <f aca="false">AvailHours</f>
        <v>8</v>
      </c>
      <c r="P61" s="24" t="n">
        <f aca="false">SUMIFS($I$7:$I$256,$B$7:$B$256,L61,$H$7:$H$256,"NTIME")</f>
        <v>0</v>
      </c>
      <c r="Q61" s="24" t="n">
        <f aca="false">SUMIFS($I$7:$I$256,$B$7:$B$256,L61,$H$7:$H$256,"P6")</f>
        <v>0</v>
      </c>
      <c r="R61" s="24" t="n">
        <f aca="false">IF(N61="Overhead only",O61,IF(AND(N61="Working",P61+Q61&gt;0),MAX(0,O61-P61-Q61),0))</f>
        <v>0</v>
      </c>
      <c r="S61" s="24" t="n">
        <f aca="false">IF(OR(N61="Working",N61="Overhead only"),MAX(0,P61+Q61-O61),0)</f>
        <v>0</v>
      </c>
      <c r="T61" s="24" t="n">
        <f aca="false">P61+Q61+R61</f>
        <v>0</v>
      </c>
      <c r="U61" s="24" t="str">
        <f aca="true">IF(N61="Working",IF(P61+Q61=0,IF(L61&lt;=TODAY(),"Not logged",""),IF(P61+Q61&gt;O61,IF(AllowOT="Yes","Overtime","Over "&amp;O61&amp;" h!"),"✓")),IF(N61="Overhead only","✓ Overhead day",IF(P61+Q61&gt;0,"Entries on "&amp;LOWER(N61)&amp;" day",N61)))</f>
        <v>Not logged</v>
      </c>
      <c r="V61" s="1"/>
      <c r="W61" s="1" t="str">
        <f aca="false">IF(Projects!B59="","",Projects!B59)</f>
        <v/>
      </c>
      <c r="X61" s="1" t="n">
        <f aca="false">IF(W61="",0,SUMIFS($I$7:$I$256,$D$7:$D$256,W61,$H$7:$H$256,"NTIME"))</f>
        <v>0</v>
      </c>
      <c r="Y61" s="1" t="n">
        <f aca="false">IF(W61="",0,SUMIFS($I$7:$I$256,$D$7:$D$256,W61,$H$7:$H$256,"P6"))</f>
        <v>0</v>
      </c>
      <c r="Z61" s="1" t="n">
        <f aca="false">X61+Y61</f>
        <v>0</v>
      </c>
      <c r="AA61" s="1" t="n">
        <f aca="false">IF(Z61&gt;0,Z61+(201-55)/10^6,0)</f>
        <v>0</v>
      </c>
      <c r="AB61" s="1"/>
      <c r="AC61" s="1"/>
      <c r="AD61" s="1"/>
      <c r="AE61" s="1"/>
      <c r="AF61" s="1"/>
      <c r="AG61" s="1"/>
      <c r="AH61" s="1"/>
    </row>
    <row r="62" customFormat="false" ht="15" hidden="false" customHeight="false" outlineLevel="0" collapsed="false">
      <c r="A62" s="1"/>
      <c r="B62" s="10"/>
      <c r="C62" s="31" t="str">
        <f aca="false">IF(B62="","",TEXT(B62,"ddd"))</f>
        <v/>
      </c>
      <c r="D62" s="11"/>
      <c r="E62" s="8" t="str">
        <f aca="false">IF(D62="","",IFERROR(INDEX(ProjNumbers,MATCH(D62,ProjNames,0)),""))</f>
        <v/>
      </c>
      <c r="F62" s="8" t="str">
        <f aca="false">IF(D62="","",IFERROR(INDEX(ProjCodes,MATCH(D62,ProjNames,0)),""))</f>
        <v/>
      </c>
      <c r="G62" s="32"/>
      <c r="H62" s="11"/>
      <c r="I62" s="33"/>
      <c r="J62" s="8" t="str">
        <f aca="false">IF(COUNTA(B62,D62,G62,H62,I62)=0,"",IF(B62="","Enter date",IF(OR(B62&lt;$AC$2,B62&gt;$AC$3),"Date not in August",IF(D62="","Pick project",IF(ISNA(MATCH(D62,ProjNames,0)),"Project not in list",IF(G62="","Add task description",IF(H62="","Pick NTIME or P6",IF(N(I62)&lt;=0,"Enter hours",IF(AND(AllowOT&lt;&gt;"Yes",SUMIF($B$7:$B$256,B62,$I$7:$I$256)&gt;INDEX($O$58:$O$88,DAY(B62))),"Day over "&amp;INDEX($O$58:$O$88,DAY(B62))&amp;" h","✓")))))))))</f>
        <v/>
      </c>
      <c r="K62" s="1"/>
      <c r="L62" s="35" t="n">
        <v>46239</v>
      </c>
      <c r="M62" s="36" t="str">
        <f aca="false">TEXT(L62,"ddd")</f>
        <v>Wed</v>
      </c>
      <c r="N62" s="37" t="s">
        <v>93</v>
      </c>
      <c r="O62" s="37" t="n">
        <f aca="false">AvailHours</f>
        <v>8</v>
      </c>
      <c r="P62" s="24" t="n">
        <f aca="false">SUMIFS($I$7:$I$256,$B$7:$B$256,L62,$H$7:$H$256,"NTIME")</f>
        <v>0</v>
      </c>
      <c r="Q62" s="24" t="n">
        <f aca="false">SUMIFS($I$7:$I$256,$B$7:$B$256,L62,$H$7:$H$256,"P6")</f>
        <v>0</v>
      </c>
      <c r="R62" s="24" t="n">
        <f aca="false">IF(N62="Overhead only",O62,IF(AND(N62="Working",P62+Q62&gt;0),MAX(0,O62-P62-Q62),0))</f>
        <v>0</v>
      </c>
      <c r="S62" s="24" t="n">
        <f aca="false">IF(OR(N62="Working",N62="Overhead only"),MAX(0,P62+Q62-O62),0)</f>
        <v>0</v>
      </c>
      <c r="T62" s="24" t="n">
        <f aca="false">P62+Q62+R62</f>
        <v>0</v>
      </c>
      <c r="U62" s="24" t="str">
        <f aca="true">IF(N62="Working",IF(P62+Q62=0,IF(L62&lt;=TODAY(),"Not logged",""),IF(P62+Q62&gt;O62,IF(AllowOT="Yes","Overtime","Over "&amp;O62&amp;" h!"),"✓")),IF(N62="Overhead only","✓ Overhead day",IF(P62+Q62&gt;0,"Entries on "&amp;LOWER(N62)&amp;" day",N62)))</f>
        <v>Not logged</v>
      </c>
      <c r="V62" s="1"/>
      <c r="W62" s="1" t="str">
        <f aca="false">IF(Projects!B60="","",Projects!B60)</f>
        <v/>
      </c>
      <c r="X62" s="1" t="n">
        <f aca="false">IF(W62="",0,SUMIFS($I$7:$I$256,$D$7:$D$256,W62,$H$7:$H$256,"NTIME"))</f>
        <v>0</v>
      </c>
      <c r="Y62" s="1" t="n">
        <f aca="false">IF(W62="",0,SUMIFS($I$7:$I$256,$D$7:$D$256,W62,$H$7:$H$256,"P6"))</f>
        <v>0</v>
      </c>
      <c r="Z62" s="1" t="n">
        <f aca="false">X62+Y62</f>
        <v>0</v>
      </c>
      <c r="AA62" s="1" t="n">
        <f aca="false">IF(Z62&gt;0,Z62+(201-56)/10^6,0)</f>
        <v>0</v>
      </c>
      <c r="AB62" s="1"/>
      <c r="AC62" s="1"/>
      <c r="AD62" s="1"/>
      <c r="AE62" s="1"/>
      <c r="AF62" s="1"/>
      <c r="AG62" s="1"/>
      <c r="AH62" s="1"/>
    </row>
    <row r="63" customFormat="false" ht="15" hidden="false" customHeight="false" outlineLevel="0" collapsed="false">
      <c r="A63" s="1"/>
      <c r="B63" s="10"/>
      <c r="C63" s="31" t="str">
        <f aca="false">IF(B63="","",TEXT(B63,"ddd"))</f>
        <v/>
      </c>
      <c r="D63" s="11"/>
      <c r="E63" s="8" t="str">
        <f aca="false">IF(D63="","",IFERROR(INDEX(ProjNumbers,MATCH(D63,ProjNames,0)),""))</f>
        <v/>
      </c>
      <c r="F63" s="8" t="str">
        <f aca="false">IF(D63="","",IFERROR(INDEX(ProjCodes,MATCH(D63,ProjNames,0)),""))</f>
        <v/>
      </c>
      <c r="G63" s="32"/>
      <c r="H63" s="11"/>
      <c r="I63" s="33"/>
      <c r="J63" s="8" t="str">
        <f aca="false">IF(COUNTA(B63,D63,G63,H63,I63)=0,"",IF(B63="","Enter date",IF(OR(B63&lt;$AC$2,B63&gt;$AC$3),"Date not in August",IF(D63="","Pick project",IF(ISNA(MATCH(D63,ProjNames,0)),"Project not in list",IF(G63="","Add task description",IF(H63="","Pick NTIME or P6",IF(N(I63)&lt;=0,"Enter hours",IF(AND(AllowOT&lt;&gt;"Yes",SUMIF($B$7:$B$256,B63,$I$7:$I$256)&gt;INDEX($O$58:$O$88,DAY(B63))),"Day over "&amp;INDEX($O$58:$O$88,DAY(B63))&amp;" h","✓")))))))))</f>
        <v/>
      </c>
      <c r="K63" s="1"/>
      <c r="L63" s="35" t="n">
        <v>46240</v>
      </c>
      <c r="M63" s="36" t="str">
        <f aca="false">TEXT(L63,"ddd")</f>
        <v>Thu</v>
      </c>
      <c r="N63" s="37" t="s">
        <v>93</v>
      </c>
      <c r="O63" s="37" t="n">
        <f aca="false">AvailHours</f>
        <v>8</v>
      </c>
      <c r="P63" s="24" t="n">
        <f aca="false">SUMIFS($I$7:$I$256,$B$7:$B$256,L63,$H$7:$H$256,"NTIME")</f>
        <v>0</v>
      </c>
      <c r="Q63" s="24" t="n">
        <f aca="false">SUMIFS($I$7:$I$256,$B$7:$B$256,L63,$H$7:$H$256,"P6")</f>
        <v>0</v>
      </c>
      <c r="R63" s="24" t="n">
        <f aca="false">IF(N63="Overhead only",O63,IF(AND(N63="Working",P63+Q63&gt;0),MAX(0,O63-P63-Q63),0))</f>
        <v>0</v>
      </c>
      <c r="S63" s="24" t="n">
        <f aca="false">IF(OR(N63="Working",N63="Overhead only"),MAX(0,P63+Q63-O63),0)</f>
        <v>0</v>
      </c>
      <c r="T63" s="24" t="n">
        <f aca="false">P63+Q63+R63</f>
        <v>0</v>
      </c>
      <c r="U63" s="24" t="str">
        <f aca="true">IF(N63="Working",IF(P63+Q63=0,IF(L63&lt;=TODAY(),"Not logged",""),IF(P63+Q63&gt;O63,IF(AllowOT="Yes","Overtime","Over "&amp;O63&amp;" h!"),"✓")),IF(N63="Overhead only","✓ Overhead day",IF(P63+Q63&gt;0,"Entries on "&amp;LOWER(N63)&amp;" day",N63)))</f>
        <v>Not logged</v>
      </c>
      <c r="V63" s="1"/>
      <c r="W63" s="1" t="str">
        <f aca="false">IF(Projects!B61="","",Projects!B61)</f>
        <v/>
      </c>
      <c r="X63" s="1" t="n">
        <f aca="false">IF(W63="",0,SUMIFS($I$7:$I$256,$D$7:$D$256,W63,$H$7:$H$256,"NTIME"))</f>
        <v>0</v>
      </c>
      <c r="Y63" s="1" t="n">
        <f aca="false">IF(W63="",0,SUMIFS($I$7:$I$256,$D$7:$D$256,W63,$H$7:$H$256,"P6"))</f>
        <v>0</v>
      </c>
      <c r="Z63" s="1" t="n">
        <f aca="false">X63+Y63</f>
        <v>0</v>
      </c>
      <c r="AA63" s="1" t="n">
        <f aca="false">IF(Z63&gt;0,Z63+(201-57)/10^6,0)</f>
        <v>0</v>
      </c>
      <c r="AB63" s="1"/>
      <c r="AC63" s="1"/>
      <c r="AD63" s="1"/>
      <c r="AE63" s="1"/>
      <c r="AF63" s="1"/>
      <c r="AG63" s="1"/>
      <c r="AH63" s="1"/>
    </row>
    <row r="64" customFormat="false" ht="15" hidden="false" customHeight="false" outlineLevel="0" collapsed="false">
      <c r="A64" s="1"/>
      <c r="B64" s="10"/>
      <c r="C64" s="31" t="str">
        <f aca="false">IF(B64="","",TEXT(B64,"ddd"))</f>
        <v/>
      </c>
      <c r="D64" s="11"/>
      <c r="E64" s="8" t="str">
        <f aca="false">IF(D64="","",IFERROR(INDEX(ProjNumbers,MATCH(D64,ProjNames,0)),""))</f>
        <v/>
      </c>
      <c r="F64" s="8" t="str">
        <f aca="false">IF(D64="","",IFERROR(INDEX(ProjCodes,MATCH(D64,ProjNames,0)),""))</f>
        <v/>
      </c>
      <c r="G64" s="32"/>
      <c r="H64" s="11"/>
      <c r="I64" s="33"/>
      <c r="J64" s="8" t="str">
        <f aca="false">IF(COUNTA(B64,D64,G64,H64,I64)=0,"",IF(B64="","Enter date",IF(OR(B64&lt;$AC$2,B64&gt;$AC$3),"Date not in August",IF(D64="","Pick project",IF(ISNA(MATCH(D64,ProjNames,0)),"Project not in list",IF(G64="","Add task description",IF(H64="","Pick NTIME or P6",IF(N(I64)&lt;=0,"Enter hours",IF(AND(AllowOT&lt;&gt;"Yes",SUMIF($B$7:$B$256,B64,$I$7:$I$256)&gt;INDEX($O$58:$O$88,DAY(B64))),"Day over "&amp;INDEX($O$58:$O$88,DAY(B64))&amp;" h","✓")))))))))</f>
        <v/>
      </c>
      <c r="K64" s="1"/>
      <c r="L64" s="35" t="n">
        <v>46241</v>
      </c>
      <c r="M64" s="36" t="str">
        <f aca="false">TEXT(L64,"ddd")</f>
        <v>Fri</v>
      </c>
      <c r="N64" s="37" t="s">
        <v>93</v>
      </c>
      <c r="O64" s="37" t="n">
        <f aca="false">AvailHours</f>
        <v>8</v>
      </c>
      <c r="P64" s="24" t="n">
        <f aca="false">SUMIFS($I$7:$I$256,$B$7:$B$256,L64,$H$7:$H$256,"NTIME")</f>
        <v>0</v>
      </c>
      <c r="Q64" s="24" t="n">
        <f aca="false">SUMIFS($I$7:$I$256,$B$7:$B$256,L64,$H$7:$H$256,"P6")</f>
        <v>0</v>
      </c>
      <c r="R64" s="24" t="n">
        <f aca="false">IF(N64="Overhead only",O64,IF(AND(N64="Working",P64+Q64&gt;0),MAX(0,O64-P64-Q64),0))</f>
        <v>0</v>
      </c>
      <c r="S64" s="24" t="n">
        <f aca="false">IF(OR(N64="Working",N64="Overhead only"),MAX(0,P64+Q64-O64),0)</f>
        <v>0</v>
      </c>
      <c r="T64" s="24" t="n">
        <f aca="false">P64+Q64+R64</f>
        <v>0</v>
      </c>
      <c r="U64" s="24" t="str">
        <f aca="true">IF(N64="Working",IF(P64+Q64=0,IF(L64&lt;=TODAY(),"Not logged",""),IF(P64+Q64&gt;O64,IF(AllowOT="Yes","Overtime","Over "&amp;O64&amp;" h!"),"✓")),IF(N64="Overhead only","✓ Overhead day",IF(P64+Q64&gt;0,"Entries on "&amp;LOWER(N64)&amp;" day",N64)))</f>
        <v>Not logged</v>
      </c>
      <c r="V64" s="1"/>
      <c r="W64" s="1" t="str">
        <f aca="false">IF(Projects!B62="","",Projects!B62)</f>
        <v/>
      </c>
      <c r="X64" s="1" t="n">
        <f aca="false">IF(W64="",0,SUMIFS($I$7:$I$256,$D$7:$D$256,W64,$H$7:$H$256,"NTIME"))</f>
        <v>0</v>
      </c>
      <c r="Y64" s="1" t="n">
        <f aca="false">IF(W64="",0,SUMIFS($I$7:$I$256,$D$7:$D$256,W64,$H$7:$H$256,"P6"))</f>
        <v>0</v>
      </c>
      <c r="Z64" s="1" t="n">
        <f aca="false">X64+Y64</f>
        <v>0</v>
      </c>
      <c r="AA64" s="1" t="n">
        <f aca="false">IF(Z64&gt;0,Z64+(201-58)/10^6,0)</f>
        <v>0</v>
      </c>
      <c r="AB64" s="1"/>
      <c r="AC64" s="1"/>
      <c r="AD64" s="1"/>
      <c r="AE64" s="1"/>
      <c r="AF64" s="1"/>
      <c r="AG64" s="1"/>
      <c r="AH64" s="1"/>
    </row>
    <row r="65" customFormat="false" ht="15" hidden="false" customHeight="false" outlineLevel="0" collapsed="false">
      <c r="A65" s="1"/>
      <c r="B65" s="10"/>
      <c r="C65" s="31" t="str">
        <f aca="false">IF(B65="","",TEXT(B65,"ddd"))</f>
        <v/>
      </c>
      <c r="D65" s="11"/>
      <c r="E65" s="8" t="str">
        <f aca="false">IF(D65="","",IFERROR(INDEX(ProjNumbers,MATCH(D65,ProjNames,0)),""))</f>
        <v/>
      </c>
      <c r="F65" s="8" t="str">
        <f aca="false">IF(D65="","",IFERROR(INDEX(ProjCodes,MATCH(D65,ProjNames,0)),""))</f>
        <v/>
      </c>
      <c r="G65" s="32"/>
      <c r="H65" s="11"/>
      <c r="I65" s="33"/>
      <c r="J65" s="8" t="str">
        <f aca="false">IF(COUNTA(B65,D65,G65,H65,I65)=0,"",IF(B65="","Enter date",IF(OR(B65&lt;$AC$2,B65&gt;$AC$3),"Date not in August",IF(D65="","Pick project",IF(ISNA(MATCH(D65,ProjNames,0)),"Project not in list",IF(G65="","Add task description",IF(H65="","Pick NTIME or P6",IF(N(I65)&lt;=0,"Enter hours",IF(AND(AllowOT&lt;&gt;"Yes",SUMIF($B$7:$B$256,B65,$I$7:$I$256)&gt;INDEX($O$58:$O$88,DAY(B65))),"Day over "&amp;INDEX($O$58:$O$88,DAY(B65))&amp;" h","✓")))))))))</f>
        <v/>
      </c>
      <c r="K65" s="1"/>
      <c r="L65" s="35" t="n">
        <v>46242</v>
      </c>
      <c r="M65" s="36" t="str">
        <f aca="false">TEXT(L65,"ddd")</f>
        <v>Sat</v>
      </c>
      <c r="N65" s="37" t="s">
        <v>94</v>
      </c>
      <c r="O65" s="37" t="n">
        <f aca="false">AvailHours</f>
        <v>8</v>
      </c>
      <c r="P65" s="24" t="n">
        <f aca="false">SUMIFS($I$7:$I$256,$B$7:$B$256,L65,$H$7:$H$256,"NTIME")</f>
        <v>0</v>
      </c>
      <c r="Q65" s="24" t="n">
        <f aca="false">SUMIFS($I$7:$I$256,$B$7:$B$256,L65,$H$7:$H$256,"P6")</f>
        <v>0</v>
      </c>
      <c r="R65" s="24" t="n">
        <f aca="false">IF(N65="Overhead only",O65,IF(AND(N65="Working",P65+Q65&gt;0),MAX(0,O65-P65-Q65),0))</f>
        <v>0</v>
      </c>
      <c r="S65" s="24" t="n">
        <f aca="false">IF(OR(N65="Working",N65="Overhead only"),MAX(0,P65+Q65-O65),0)</f>
        <v>0</v>
      </c>
      <c r="T65" s="24" t="n">
        <f aca="false">P65+Q65+R65</f>
        <v>0</v>
      </c>
      <c r="U65" s="24" t="str">
        <f aca="true">IF(N65="Working",IF(P65+Q65=0,IF(L65&lt;=TODAY(),"Not logged",""),IF(P65+Q65&gt;O65,IF(AllowOT="Yes","Overtime","Over "&amp;O65&amp;" h!"),"✓")),IF(N65="Overhead only","✓ Overhead day",IF(P65+Q65&gt;0,"Entries on "&amp;LOWER(N65)&amp;" day",N65)))</f>
        <v>Weekend</v>
      </c>
      <c r="V65" s="1"/>
      <c r="W65" s="1" t="str">
        <f aca="false">IF(Projects!B63="","",Projects!B63)</f>
        <v/>
      </c>
      <c r="X65" s="1" t="n">
        <f aca="false">IF(W65="",0,SUMIFS($I$7:$I$256,$D$7:$D$256,W65,$H$7:$H$256,"NTIME"))</f>
        <v>0</v>
      </c>
      <c r="Y65" s="1" t="n">
        <f aca="false">IF(W65="",0,SUMIFS($I$7:$I$256,$D$7:$D$256,W65,$H$7:$H$256,"P6"))</f>
        <v>0</v>
      </c>
      <c r="Z65" s="1" t="n">
        <f aca="false">X65+Y65</f>
        <v>0</v>
      </c>
      <c r="AA65" s="1" t="n">
        <f aca="false">IF(Z65&gt;0,Z65+(201-59)/10^6,0)</f>
        <v>0</v>
      </c>
      <c r="AB65" s="1"/>
      <c r="AC65" s="1"/>
      <c r="AD65" s="1"/>
      <c r="AE65" s="1"/>
      <c r="AF65" s="1"/>
      <c r="AG65" s="1"/>
      <c r="AH65" s="1"/>
    </row>
    <row r="66" customFormat="false" ht="15" hidden="false" customHeight="false" outlineLevel="0" collapsed="false">
      <c r="A66" s="1"/>
      <c r="B66" s="10"/>
      <c r="C66" s="31" t="str">
        <f aca="false">IF(B66="","",TEXT(B66,"ddd"))</f>
        <v/>
      </c>
      <c r="D66" s="11"/>
      <c r="E66" s="8" t="str">
        <f aca="false">IF(D66="","",IFERROR(INDEX(ProjNumbers,MATCH(D66,ProjNames,0)),""))</f>
        <v/>
      </c>
      <c r="F66" s="8" t="str">
        <f aca="false">IF(D66="","",IFERROR(INDEX(ProjCodes,MATCH(D66,ProjNames,0)),""))</f>
        <v/>
      </c>
      <c r="G66" s="32"/>
      <c r="H66" s="11"/>
      <c r="I66" s="33"/>
      <c r="J66" s="8" t="str">
        <f aca="false">IF(COUNTA(B66,D66,G66,H66,I66)=0,"",IF(B66="","Enter date",IF(OR(B66&lt;$AC$2,B66&gt;$AC$3),"Date not in August",IF(D66="","Pick project",IF(ISNA(MATCH(D66,ProjNames,0)),"Project not in list",IF(G66="","Add task description",IF(H66="","Pick NTIME or P6",IF(N(I66)&lt;=0,"Enter hours",IF(AND(AllowOT&lt;&gt;"Yes",SUMIF($B$7:$B$256,B66,$I$7:$I$256)&gt;INDEX($O$58:$O$88,DAY(B66))),"Day over "&amp;INDEX($O$58:$O$88,DAY(B66))&amp;" h","✓")))))))))</f>
        <v/>
      </c>
      <c r="K66" s="1"/>
      <c r="L66" s="35" t="n">
        <v>46243</v>
      </c>
      <c r="M66" s="36" t="str">
        <f aca="false">TEXT(L66,"ddd")</f>
        <v>Sun</v>
      </c>
      <c r="N66" s="37" t="s">
        <v>94</v>
      </c>
      <c r="O66" s="37" t="n">
        <f aca="false">AvailHours</f>
        <v>8</v>
      </c>
      <c r="P66" s="24" t="n">
        <f aca="false">SUMIFS($I$7:$I$256,$B$7:$B$256,L66,$H$7:$H$256,"NTIME")</f>
        <v>0</v>
      </c>
      <c r="Q66" s="24" t="n">
        <f aca="false">SUMIFS($I$7:$I$256,$B$7:$B$256,L66,$H$7:$H$256,"P6")</f>
        <v>0</v>
      </c>
      <c r="R66" s="24" t="n">
        <f aca="false">IF(N66="Overhead only",O66,IF(AND(N66="Working",P66+Q66&gt;0),MAX(0,O66-P66-Q66),0))</f>
        <v>0</v>
      </c>
      <c r="S66" s="24" t="n">
        <f aca="false">IF(OR(N66="Working",N66="Overhead only"),MAX(0,P66+Q66-O66),0)</f>
        <v>0</v>
      </c>
      <c r="T66" s="24" t="n">
        <f aca="false">P66+Q66+R66</f>
        <v>0</v>
      </c>
      <c r="U66" s="24" t="str">
        <f aca="true">IF(N66="Working",IF(P66+Q66=0,IF(L66&lt;=TODAY(),"Not logged",""),IF(P66+Q66&gt;O66,IF(AllowOT="Yes","Overtime","Over "&amp;O66&amp;" h!"),"✓")),IF(N66="Overhead only","✓ Overhead day",IF(P66+Q66&gt;0,"Entries on "&amp;LOWER(N66)&amp;" day",N66)))</f>
        <v>Weekend</v>
      </c>
      <c r="V66" s="1"/>
      <c r="W66" s="1" t="str">
        <f aca="false">IF(Projects!B64="","",Projects!B64)</f>
        <v/>
      </c>
      <c r="X66" s="1" t="n">
        <f aca="false">IF(W66="",0,SUMIFS($I$7:$I$256,$D$7:$D$256,W66,$H$7:$H$256,"NTIME"))</f>
        <v>0</v>
      </c>
      <c r="Y66" s="1" t="n">
        <f aca="false">IF(W66="",0,SUMIFS($I$7:$I$256,$D$7:$D$256,W66,$H$7:$H$256,"P6"))</f>
        <v>0</v>
      </c>
      <c r="Z66" s="1" t="n">
        <f aca="false">X66+Y66</f>
        <v>0</v>
      </c>
      <c r="AA66" s="1" t="n">
        <f aca="false">IF(Z66&gt;0,Z66+(201-60)/10^6,0)</f>
        <v>0</v>
      </c>
      <c r="AB66" s="1"/>
      <c r="AC66" s="1"/>
      <c r="AD66" s="1"/>
      <c r="AE66" s="1"/>
      <c r="AF66" s="1"/>
      <c r="AG66" s="1"/>
      <c r="AH66" s="1"/>
    </row>
    <row r="67" customFormat="false" ht="15" hidden="false" customHeight="false" outlineLevel="0" collapsed="false">
      <c r="A67" s="1"/>
      <c r="B67" s="10"/>
      <c r="C67" s="31" t="str">
        <f aca="false">IF(B67="","",TEXT(B67,"ddd"))</f>
        <v/>
      </c>
      <c r="D67" s="11"/>
      <c r="E67" s="8" t="str">
        <f aca="false">IF(D67="","",IFERROR(INDEX(ProjNumbers,MATCH(D67,ProjNames,0)),""))</f>
        <v/>
      </c>
      <c r="F67" s="8" t="str">
        <f aca="false">IF(D67="","",IFERROR(INDEX(ProjCodes,MATCH(D67,ProjNames,0)),""))</f>
        <v/>
      </c>
      <c r="G67" s="32"/>
      <c r="H67" s="11"/>
      <c r="I67" s="33"/>
      <c r="J67" s="8" t="str">
        <f aca="false">IF(COUNTA(B67,D67,G67,H67,I67)=0,"",IF(B67="","Enter date",IF(OR(B67&lt;$AC$2,B67&gt;$AC$3),"Date not in August",IF(D67="","Pick project",IF(ISNA(MATCH(D67,ProjNames,0)),"Project not in list",IF(G67="","Add task description",IF(H67="","Pick NTIME or P6",IF(N(I67)&lt;=0,"Enter hours",IF(AND(AllowOT&lt;&gt;"Yes",SUMIF($B$7:$B$256,B67,$I$7:$I$256)&gt;INDEX($O$58:$O$88,DAY(B67))),"Day over "&amp;INDEX($O$58:$O$88,DAY(B67))&amp;" h","✓")))))))))</f>
        <v/>
      </c>
      <c r="K67" s="1"/>
      <c r="L67" s="35" t="n">
        <v>46244</v>
      </c>
      <c r="M67" s="36" t="str">
        <f aca="false">TEXT(L67,"ddd")</f>
        <v>Mon</v>
      </c>
      <c r="N67" s="37" t="s">
        <v>93</v>
      </c>
      <c r="O67" s="37" t="n">
        <f aca="false">AvailHours</f>
        <v>8</v>
      </c>
      <c r="P67" s="24" t="n">
        <f aca="false">SUMIFS($I$7:$I$256,$B$7:$B$256,L67,$H$7:$H$256,"NTIME")</f>
        <v>0</v>
      </c>
      <c r="Q67" s="24" t="n">
        <f aca="false">SUMIFS($I$7:$I$256,$B$7:$B$256,L67,$H$7:$H$256,"P6")</f>
        <v>0</v>
      </c>
      <c r="R67" s="24" t="n">
        <f aca="false">IF(N67="Overhead only",O67,IF(AND(N67="Working",P67+Q67&gt;0),MAX(0,O67-P67-Q67),0))</f>
        <v>0</v>
      </c>
      <c r="S67" s="24" t="n">
        <f aca="false">IF(OR(N67="Working",N67="Overhead only"),MAX(0,P67+Q67-O67),0)</f>
        <v>0</v>
      </c>
      <c r="T67" s="24" t="n">
        <f aca="false">P67+Q67+R67</f>
        <v>0</v>
      </c>
      <c r="U67" s="24" t="str">
        <f aca="true">IF(N67="Working",IF(P67+Q67=0,IF(L67&lt;=TODAY(),"Not logged",""),IF(P67+Q67&gt;O67,IF(AllowOT="Yes","Overtime","Over "&amp;O67&amp;" h!"),"✓")),IF(N67="Overhead only","✓ Overhead day",IF(P67+Q67&gt;0,"Entries on "&amp;LOWER(N67)&amp;" day",N67)))</f>
        <v>Not logged</v>
      </c>
      <c r="V67" s="1"/>
      <c r="W67" s="1" t="str">
        <f aca="false">IF(Projects!B65="","",Projects!B65)</f>
        <v/>
      </c>
      <c r="X67" s="1" t="n">
        <f aca="false">IF(W67="",0,SUMIFS($I$7:$I$256,$D$7:$D$256,W67,$H$7:$H$256,"NTIME"))</f>
        <v>0</v>
      </c>
      <c r="Y67" s="1" t="n">
        <f aca="false">IF(W67="",0,SUMIFS($I$7:$I$256,$D$7:$D$256,W67,$H$7:$H$256,"P6"))</f>
        <v>0</v>
      </c>
      <c r="Z67" s="1" t="n">
        <f aca="false">X67+Y67</f>
        <v>0</v>
      </c>
      <c r="AA67" s="1" t="n">
        <f aca="false">IF(Z67&gt;0,Z67+(201-61)/10^6,0)</f>
        <v>0</v>
      </c>
      <c r="AB67" s="1"/>
      <c r="AC67" s="1"/>
      <c r="AD67" s="1"/>
      <c r="AE67" s="1"/>
      <c r="AF67" s="1"/>
      <c r="AG67" s="1"/>
      <c r="AH67" s="1"/>
    </row>
    <row r="68" customFormat="false" ht="15" hidden="false" customHeight="false" outlineLevel="0" collapsed="false">
      <c r="A68" s="1"/>
      <c r="B68" s="10"/>
      <c r="C68" s="31" t="str">
        <f aca="false">IF(B68="","",TEXT(B68,"ddd"))</f>
        <v/>
      </c>
      <c r="D68" s="11"/>
      <c r="E68" s="8" t="str">
        <f aca="false">IF(D68="","",IFERROR(INDEX(ProjNumbers,MATCH(D68,ProjNames,0)),""))</f>
        <v/>
      </c>
      <c r="F68" s="8" t="str">
        <f aca="false">IF(D68="","",IFERROR(INDEX(ProjCodes,MATCH(D68,ProjNames,0)),""))</f>
        <v/>
      </c>
      <c r="G68" s="32"/>
      <c r="H68" s="11"/>
      <c r="I68" s="33"/>
      <c r="J68" s="8" t="str">
        <f aca="false">IF(COUNTA(B68,D68,G68,H68,I68)=0,"",IF(B68="","Enter date",IF(OR(B68&lt;$AC$2,B68&gt;$AC$3),"Date not in August",IF(D68="","Pick project",IF(ISNA(MATCH(D68,ProjNames,0)),"Project not in list",IF(G68="","Add task description",IF(H68="","Pick NTIME or P6",IF(N(I68)&lt;=0,"Enter hours",IF(AND(AllowOT&lt;&gt;"Yes",SUMIF($B$7:$B$256,B68,$I$7:$I$256)&gt;INDEX($O$58:$O$88,DAY(B68))),"Day over "&amp;INDEX($O$58:$O$88,DAY(B68))&amp;" h","✓")))))))))</f>
        <v/>
      </c>
      <c r="K68" s="1"/>
      <c r="L68" s="35" t="n">
        <v>46245</v>
      </c>
      <c r="M68" s="36" t="str">
        <f aca="false">TEXT(L68,"ddd")</f>
        <v>Tue</v>
      </c>
      <c r="N68" s="37" t="s">
        <v>93</v>
      </c>
      <c r="O68" s="37" t="n">
        <f aca="false">AvailHours</f>
        <v>8</v>
      </c>
      <c r="P68" s="24" t="n">
        <f aca="false">SUMIFS($I$7:$I$256,$B$7:$B$256,L68,$H$7:$H$256,"NTIME")</f>
        <v>0</v>
      </c>
      <c r="Q68" s="24" t="n">
        <f aca="false">SUMIFS($I$7:$I$256,$B$7:$B$256,L68,$H$7:$H$256,"P6")</f>
        <v>0</v>
      </c>
      <c r="R68" s="24" t="n">
        <f aca="false">IF(N68="Overhead only",O68,IF(AND(N68="Working",P68+Q68&gt;0),MAX(0,O68-P68-Q68),0))</f>
        <v>0</v>
      </c>
      <c r="S68" s="24" t="n">
        <f aca="false">IF(OR(N68="Working",N68="Overhead only"),MAX(0,P68+Q68-O68),0)</f>
        <v>0</v>
      </c>
      <c r="T68" s="24" t="n">
        <f aca="false">P68+Q68+R68</f>
        <v>0</v>
      </c>
      <c r="U68" s="24" t="str">
        <f aca="true">IF(N68="Working",IF(P68+Q68=0,IF(L68&lt;=TODAY(),"Not logged",""),IF(P68+Q68&gt;O68,IF(AllowOT="Yes","Overtime","Over "&amp;O68&amp;" h!"),"✓")),IF(N68="Overhead only","✓ Overhead day",IF(P68+Q68&gt;0,"Entries on "&amp;LOWER(N68)&amp;" day",N68)))</f>
        <v>Not logged</v>
      </c>
      <c r="V68" s="1"/>
      <c r="W68" s="1" t="str">
        <f aca="false">IF(Projects!B66="","",Projects!B66)</f>
        <v/>
      </c>
      <c r="X68" s="1" t="n">
        <f aca="false">IF(W68="",0,SUMIFS($I$7:$I$256,$D$7:$D$256,W68,$H$7:$H$256,"NTIME"))</f>
        <v>0</v>
      </c>
      <c r="Y68" s="1" t="n">
        <f aca="false">IF(W68="",0,SUMIFS($I$7:$I$256,$D$7:$D$256,W68,$H$7:$H$256,"P6"))</f>
        <v>0</v>
      </c>
      <c r="Z68" s="1" t="n">
        <f aca="false">X68+Y68</f>
        <v>0</v>
      </c>
      <c r="AA68" s="1" t="n">
        <f aca="false">IF(Z68&gt;0,Z68+(201-62)/10^6,0)</f>
        <v>0</v>
      </c>
      <c r="AB68" s="1"/>
      <c r="AC68" s="1"/>
      <c r="AD68" s="1"/>
      <c r="AE68" s="1"/>
      <c r="AF68" s="1"/>
      <c r="AG68" s="1"/>
      <c r="AH68" s="1"/>
    </row>
    <row r="69" customFormat="false" ht="15" hidden="false" customHeight="false" outlineLevel="0" collapsed="false">
      <c r="A69" s="1"/>
      <c r="B69" s="10"/>
      <c r="C69" s="31" t="str">
        <f aca="false">IF(B69="","",TEXT(B69,"ddd"))</f>
        <v/>
      </c>
      <c r="D69" s="11"/>
      <c r="E69" s="8" t="str">
        <f aca="false">IF(D69="","",IFERROR(INDEX(ProjNumbers,MATCH(D69,ProjNames,0)),""))</f>
        <v/>
      </c>
      <c r="F69" s="8" t="str">
        <f aca="false">IF(D69="","",IFERROR(INDEX(ProjCodes,MATCH(D69,ProjNames,0)),""))</f>
        <v/>
      </c>
      <c r="G69" s="32"/>
      <c r="H69" s="11"/>
      <c r="I69" s="33"/>
      <c r="J69" s="8" t="str">
        <f aca="false">IF(COUNTA(B69,D69,G69,H69,I69)=0,"",IF(B69="","Enter date",IF(OR(B69&lt;$AC$2,B69&gt;$AC$3),"Date not in August",IF(D69="","Pick project",IF(ISNA(MATCH(D69,ProjNames,0)),"Project not in list",IF(G69="","Add task description",IF(H69="","Pick NTIME or P6",IF(N(I69)&lt;=0,"Enter hours",IF(AND(AllowOT&lt;&gt;"Yes",SUMIF($B$7:$B$256,B69,$I$7:$I$256)&gt;INDEX($O$58:$O$88,DAY(B69))),"Day over "&amp;INDEX($O$58:$O$88,DAY(B69))&amp;" h","✓")))))))))</f>
        <v/>
      </c>
      <c r="K69" s="1"/>
      <c r="L69" s="35" t="n">
        <v>46246</v>
      </c>
      <c r="M69" s="36" t="str">
        <f aca="false">TEXT(L69,"ddd")</f>
        <v>Wed</v>
      </c>
      <c r="N69" s="37" t="s">
        <v>93</v>
      </c>
      <c r="O69" s="37" t="n">
        <f aca="false">AvailHours</f>
        <v>8</v>
      </c>
      <c r="P69" s="24" t="n">
        <f aca="false">SUMIFS($I$7:$I$256,$B$7:$B$256,L69,$H$7:$H$256,"NTIME")</f>
        <v>0</v>
      </c>
      <c r="Q69" s="24" t="n">
        <f aca="false">SUMIFS($I$7:$I$256,$B$7:$B$256,L69,$H$7:$H$256,"P6")</f>
        <v>0</v>
      </c>
      <c r="R69" s="24" t="n">
        <f aca="false">IF(N69="Overhead only",O69,IF(AND(N69="Working",P69+Q69&gt;0),MAX(0,O69-P69-Q69),0))</f>
        <v>0</v>
      </c>
      <c r="S69" s="24" t="n">
        <f aca="false">IF(OR(N69="Working",N69="Overhead only"),MAX(0,P69+Q69-O69),0)</f>
        <v>0</v>
      </c>
      <c r="T69" s="24" t="n">
        <f aca="false">P69+Q69+R69</f>
        <v>0</v>
      </c>
      <c r="U69" s="24" t="str">
        <f aca="true">IF(N69="Working",IF(P69+Q69=0,IF(L69&lt;=TODAY(),"Not logged",""),IF(P69+Q69&gt;O69,IF(AllowOT="Yes","Overtime","Over "&amp;O69&amp;" h!"),"✓")),IF(N69="Overhead only","✓ Overhead day",IF(P69+Q69&gt;0,"Entries on "&amp;LOWER(N69)&amp;" day",N69)))</f>
        <v>Not logged</v>
      </c>
      <c r="V69" s="1"/>
      <c r="W69" s="1" t="str">
        <f aca="false">IF(Projects!B67="","",Projects!B67)</f>
        <v/>
      </c>
      <c r="X69" s="1" t="n">
        <f aca="false">IF(W69="",0,SUMIFS($I$7:$I$256,$D$7:$D$256,W69,$H$7:$H$256,"NTIME"))</f>
        <v>0</v>
      </c>
      <c r="Y69" s="1" t="n">
        <f aca="false">IF(W69="",0,SUMIFS($I$7:$I$256,$D$7:$D$256,W69,$H$7:$H$256,"P6"))</f>
        <v>0</v>
      </c>
      <c r="Z69" s="1" t="n">
        <f aca="false">X69+Y69</f>
        <v>0</v>
      </c>
      <c r="AA69" s="1" t="n">
        <f aca="false">IF(Z69&gt;0,Z69+(201-63)/10^6,0)</f>
        <v>0</v>
      </c>
      <c r="AB69" s="1"/>
      <c r="AC69" s="1"/>
      <c r="AD69" s="1"/>
      <c r="AE69" s="1"/>
      <c r="AF69" s="1"/>
      <c r="AG69" s="1"/>
      <c r="AH69" s="1"/>
    </row>
    <row r="70" customFormat="false" ht="15" hidden="false" customHeight="false" outlineLevel="0" collapsed="false">
      <c r="A70" s="1"/>
      <c r="B70" s="10"/>
      <c r="C70" s="31" t="str">
        <f aca="false">IF(B70="","",TEXT(B70,"ddd"))</f>
        <v/>
      </c>
      <c r="D70" s="11"/>
      <c r="E70" s="8" t="str">
        <f aca="false">IF(D70="","",IFERROR(INDEX(ProjNumbers,MATCH(D70,ProjNames,0)),""))</f>
        <v/>
      </c>
      <c r="F70" s="8" t="str">
        <f aca="false">IF(D70="","",IFERROR(INDEX(ProjCodes,MATCH(D70,ProjNames,0)),""))</f>
        <v/>
      </c>
      <c r="G70" s="32"/>
      <c r="H70" s="11"/>
      <c r="I70" s="33"/>
      <c r="J70" s="8" t="str">
        <f aca="false">IF(COUNTA(B70,D70,G70,H70,I70)=0,"",IF(B70="","Enter date",IF(OR(B70&lt;$AC$2,B70&gt;$AC$3),"Date not in August",IF(D70="","Pick project",IF(ISNA(MATCH(D70,ProjNames,0)),"Project not in list",IF(G70="","Add task description",IF(H70="","Pick NTIME or P6",IF(N(I70)&lt;=0,"Enter hours",IF(AND(AllowOT&lt;&gt;"Yes",SUMIF($B$7:$B$256,B70,$I$7:$I$256)&gt;INDEX($O$58:$O$88,DAY(B70))),"Day over "&amp;INDEX($O$58:$O$88,DAY(B70))&amp;" h","✓")))))))))</f>
        <v/>
      </c>
      <c r="K70" s="1"/>
      <c r="L70" s="35" t="n">
        <v>46247</v>
      </c>
      <c r="M70" s="36" t="str">
        <f aca="false">TEXT(L70,"ddd")</f>
        <v>Thu</v>
      </c>
      <c r="N70" s="37" t="s">
        <v>93</v>
      </c>
      <c r="O70" s="37" t="n">
        <f aca="false">AvailHours</f>
        <v>8</v>
      </c>
      <c r="P70" s="24" t="n">
        <f aca="false">SUMIFS($I$7:$I$256,$B$7:$B$256,L70,$H$7:$H$256,"NTIME")</f>
        <v>0</v>
      </c>
      <c r="Q70" s="24" t="n">
        <f aca="false">SUMIFS($I$7:$I$256,$B$7:$B$256,L70,$H$7:$H$256,"P6")</f>
        <v>0</v>
      </c>
      <c r="R70" s="24" t="n">
        <f aca="false">IF(N70="Overhead only",O70,IF(AND(N70="Working",P70+Q70&gt;0),MAX(0,O70-P70-Q70),0))</f>
        <v>0</v>
      </c>
      <c r="S70" s="24" t="n">
        <f aca="false">IF(OR(N70="Working",N70="Overhead only"),MAX(0,P70+Q70-O70),0)</f>
        <v>0</v>
      </c>
      <c r="T70" s="24" t="n">
        <f aca="false">P70+Q70+R70</f>
        <v>0</v>
      </c>
      <c r="U70" s="24" t="str">
        <f aca="true">IF(N70="Working",IF(P70+Q70=0,IF(L70&lt;=TODAY(),"Not logged",""),IF(P70+Q70&gt;O70,IF(AllowOT="Yes","Overtime","Over "&amp;O70&amp;" h!"),"✓")),IF(N70="Overhead only","✓ Overhead day",IF(P70+Q70&gt;0,"Entries on "&amp;LOWER(N70)&amp;" day",N70)))</f>
        <v>Not logged</v>
      </c>
      <c r="V70" s="1"/>
      <c r="W70" s="1" t="str">
        <f aca="false">IF(Projects!B68="","",Projects!B68)</f>
        <v/>
      </c>
      <c r="X70" s="1" t="n">
        <f aca="false">IF(W70="",0,SUMIFS($I$7:$I$256,$D$7:$D$256,W70,$H$7:$H$256,"NTIME"))</f>
        <v>0</v>
      </c>
      <c r="Y70" s="1" t="n">
        <f aca="false">IF(W70="",0,SUMIFS($I$7:$I$256,$D$7:$D$256,W70,$H$7:$H$256,"P6"))</f>
        <v>0</v>
      </c>
      <c r="Z70" s="1" t="n">
        <f aca="false">X70+Y70</f>
        <v>0</v>
      </c>
      <c r="AA70" s="1" t="n">
        <f aca="false">IF(Z70&gt;0,Z70+(201-64)/10^6,0)</f>
        <v>0</v>
      </c>
      <c r="AB70" s="1"/>
      <c r="AC70" s="1"/>
      <c r="AD70" s="1"/>
      <c r="AE70" s="1"/>
      <c r="AF70" s="1"/>
      <c r="AG70" s="1"/>
      <c r="AH70" s="1"/>
    </row>
    <row r="71" customFormat="false" ht="15" hidden="false" customHeight="false" outlineLevel="0" collapsed="false">
      <c r="A71" s="1"/>
      <c r="B71" s="10"/>
      <c r="C71" s="31" t="str">
        <f aca="false">IF(B71="","",TEXT(B71,"ddd"))</f>
        <v/>
      </c>
      <c r="D71" s="11"/>
      <c r="E71" s="8" t="str">
        <f aca="false">IF(D71="","",IFERROR(INDEX(ProjNumbers,MATCH(D71,ProjNames,0)),""))</f>
        <v/>
      </c>
      <c r="F71" s="8" t="str">
        <f aca="false">IF(D71="","",IFERROR(INDEX(ProjCodes,MATCH(D71,ProjNames,0)),""))</f>
        <v/>
      </c>
      <c r="G71" s="32"/>
      <c r="H71" s="11"/>
      <c r="I71" s="33"/>
      <c r="J71" s="8" t="str">
        <f aca="false">IF(COUNTA(B71,D71,G71,H71,I71)=0,"",IF(B71="","Enter date",IF(OR(B71&lt;$AC$2,B71&gt;$AC$3),"Date not in August",IF(D71="","Pick project",IF(ISNA(MATCH(D71,ProjNames,0)),"Project not in list",IF(G71="","Add task description",IF(H71="","Pick NTIME or P6",IF(N(I71)&lt;=0,"Enter hours",IF(AND(AllowOT&lt;&gt;"Yes",SUMIF($B$7:$B$256,B71,$I$7:$I$256)&gt;INDEX($O$58:$O$88,DAY(B71))),"Day over "&amp;INDEX($O$58:$O$88,DAY(B71))&amp;" h","✓")))))))))</f>
        <v/>
      </c>
      <c r="K71" s="1"/>
      <c r="L71" s="35" t="n">
        <v>46248</v>
      </c>
      <c r="M71" s="36" t="str">
        <f aca="false">TEXT(L71,"ddd")</f>
        <v>Fri</v>
      </c>
      <c r="N71" s="37" t="s">
        <v>93</v>
      </c>
      <c r="O71" s="37" t="n">
        <f aca="false">AvailHours</f>
        <v>8</v>
      </c>
      <c r="P71" s="24" t="n">
        <f aca="false">SUMIFS($I$7:$I$256,$B$7:$B$256,L71,$H$7:$H$256,"NTIME")</f>
        <v>0</v>
      </c>
      <c r="Q71" s="24" t="n">
        <f aca="false">SUMIFS($I$7:$I$256,$B$7:$B$256,L71,$H$7:$H$256,"P6")</f>
        <v>0</v>
      </c>
      <c r="R71" s="24" t="n">
        <f aca="false">IF(N71="Overhead only",O71,IF(AND(N71="Working",P71+Q71&gt;0),MAX(0,O71-P71-Q71),0))</f>
        <v>0</v>
      </c>
      <c r="S71" s="24" t="n">
        <f aca="false">IF(OR(N71="Working",N71="Overhead only"),MAX(0,P71+Q71-O71),0)</f>
        <v>0</v>
      </c>
      <c r="T71" s="24" t="n">
        <f aca="false">P71+Q71+R71</f>
        <v>0</v>
      </c>
      <c r="U71" s="24" t="str">
        <f aca="true">IF(N71="Working",IF(P71+Q71=0,IF(L71&lt;=TODAY(),"Not logged",""),IF(P71+Q71&gt;O71,IF(AllowOT="Yes","Overtime","Over "&amp;O71&amp;" h!"),"✓")),IF(N71="Overhead only","✓ Overhead day",IF(P71+Q71&gt;0,"Entries on "&amp;LOWER(N71)&amp;" day",N71)))</f>
        <v>Not logged</v>
      </c>
      <c r="V71" s="1"/>
      <c r="W71" s="1" t="str">
        <f aca="false">IF(Projects!B69="","",Projects!B69)</f>
        <v/>
      </c>
      <c r="X71" s="1" t="n">
        <f aca="false">IF(W71="",0,SUMIFS($I$7:$I$256,$D$7:$D$256,W71,$H$7:$H$256,"NTIME"))</f>
        <v>0</v>
      </c>
      <c r="Y71" s="1" t="n">
        <f aca="false">IF(W71="",0,SUMIFS($I$7:$I$256,$D$7:$D$256,W71,$H$7:$H$256,"P6"))</f>
        <v>0</v>
      </c>
      <c r="Z71" s="1" t="n">
        <f aca="false">X71+Y71</f>
        <v>0</v>
      </c>
      <c r="AA71" s="1" t="n">
        <f aca="false">IF(Z71&gt;0,Z71+(201-65)/10^6,0)</f>
        <v>0</v>
      </c>
      <c r="AB71" s="1"/>
      <c r="AC71" s="1"/>
      <c r="AD71" s="1"/>
      <c r="AE71" s="1"/>
      <c r="AF71" s="1"/>
      <c r="AG71" s="1"/>
      <c r="AH71" s="1"/>
    </row>
    <row r="72" customFormat="false" ht="15" hidden="false" customHeight="false" outlineLevel="0" collapsed="false">
      <c r="A72" s="1"/>
      <c r="B72" s="10"/>
      <c r="C72" s="31" t="str">
        <f aca="false">IF(B72="","",TEXT(B72,"ddd"))</f>
        <v/>
      </c>
      <c r="D72" s="11"/>
      <c r="E72" s="8" t="str">
        <f aca="false">IF(D72="","",IFERROR(INDEX(ProjNumbers,MATCH(D72,ProjNames,0)),""))</f>
        <v/>
      </c>
      <c r="F72" s="8" t="str">
        <f aca="false">IF(D72="","",IFERROR(INDEX(ProjCodes,MATCH(D72,ProjNames,0)),""))</f>
        <v/>
      </c>
      <c r="G72" s="32"/>
      <c r="H72" s="11"/>
      <c r="I72" s="33"/>
      <c r="J72" s="8" t="str">
        <f aca="false">IF(COUNTA(B72,D72,G72,H72,I72)=0,"",IF(B72="","Enter date",IF(OR(B72&lt;$AC$2,B72&gt;$AC$3),"Date not in August",IF(D72="","Pick project",IF(ISNA(MATCH(D72,ProjNames,0)),"Project not in list",IF(G72="","Add task description",IF(H72="","Pick NTIME or P6",IF(N(I72)&lt;=0,"Enter hours",IF(AND(AllowOT&lt;&gt;"Yes",SUMIF($B$7:$B$256,B72,$I$7:$I$256)&gt;INDEX($O$58:$O$88,DAY(B72))),"Day over "&amp;INDEX($O$58:$O$88,DAY(B72))&amp;" h","✓")))))))))</f>
        <v/>
      </c>
      <c r="K72" s="1"/>
      <c r="L72" s="35" t="n">
        <v>46249</v>
      </c>
      <c r="M72" s="36" t="str">
        <f aca="false">TEXT(L72,"ddd")</f>
        <v>Sat</v>
      </c>
      <c r="N72" s="37" t="s">
        <v>94</v>
      </c>
      <c r="O72" s="37" t="n">
        <f aca="false">AvailHours</f>
        <v>8</v>
      </c>
      <c r="P72" s="24" t="n">
        <f aca="false">SUMIFS($I$7:$I$256,$B$7:$B$256,L72,$H$7:$H$256,"NTIME")</f>
        <v>0</v>
      </c>
      <c r="Q72" s="24" t="n">
        <f aca="false">SUMIFS($I$7:$I$256,$B$7:$B$256,L72,$H$7:$H$256,"P6")</f>
        <v>0</v>
      </c>
      <c r="R72" s="24" t="n">
        <f aca="false">IF(N72="Overhead only",O72,IF(AND(N72="Working",P72+Q72&gt;0),MAX(0,O72-P72-Q72),0))</f>
        <v>0</v>
      </c>
      <c r="S72" s="24" t="n">
        <f aca="false">IF(OR(N72="Working",N72="Overhead only"),MAX(0,P72+Q72-O72),0)</f>
        <v>0</v>
      </c>
      <c r="T72" s="24" t="n">
        <f aca="false">P72+Q72+R72</f>
        <v>0</v>
      </c>
      <c r="U72" s="24" t="str">
        <f aca="true">IF(N72="Working",IF(P72+Q72=0,IF(L72&lt;=TODAY(),"Not logged",""),IF(P72+Q72&gt;O72,IF(AllowOT="Yes","Overtime","Over "&amp;O72&amp;" h!"),"✓")),IF(N72="Overhead only","✓ Overhead day",IF(P72+Q72&gt;0,"Entries on "&amp;LOWER(N72)&amp;" day",N72)))</f>
        <v>Weekend</v>
      </c>
      <c r="V72" s="1"/>
      <c r="W72" s="1" t="str">
        <f aca="false">IF(Projects!B70="","",Projects!B70)</f>
        <v/>
      </c>
      <c r="X72" s="1" t="n">
        <f aca="false">IF(W72="",0,SUMIFS($I$7:$I$256,$D$7:$D$256,W72,$H$7:$H$256,"NTIME"))</f>
        <v>0</v>
      </c>
      <c r="Y72" s="1" t="n">
        <f aca="false">IF(W72="",0,SUMIFS($I$7:$I$256,$D$7:$D$256,W72,$H$7:$H$256,"P6"))</f>
        <v>0</v>
      </c>
      <c r="Z72" s="1" t="n">
        <f aca="false">X72+Y72</f>
        <v>0</v>
      </c>
      <c r="AA72" s="1" t="n">
        <f aca="false">IF(Z72&gt;0,Z72+(201-66)/10^6,0)</f>
        <v>0</v>
      </c>
      <c r="AB72" s="1"/>
      <c r="AC72" s="1"/>
      <c r="AD72" s="1"/>
      <c r="AE72" s="1"/>
      <c r="AF72" s="1"/>
      <c r="AG72" s="1"/>
      <c r="AH72" s="1"/>
    </row>
    <row r="73" customFormat="false" ht="15" hidden="false" customHeight="false" outlineLevel="0" collapsed="false">
      <c r="A73" s="1"/>
      <c r="B73" s="10"/>
      <c r="C73" s="31" t="str">
        <f aca="false">IF(B73="","",TEXT(B73,"ddd"))</f>
        <v/>
      </c>
      <c r="D73" s="11"/>
      <c r="E73" s="8" t="str">
        <f aca="false">IF(D73="","",IFERROR(INDEX(ProjNumbers,MATCH(D73,ProjNames,0)),""))</f>
        <v/>
      </c>
      <c r="F73" s="8" t="str">
        <f aca="false">IF(D73="","",IFERROR(INDEX(ProjCodes,MATCH(D73,ProjNames,0)),""))</f>
        <v/>
      </c>
      <c r="G73" s="32"/>
      <c r="H73" s="11"/>
      <c r="I73" s="33"/>
      <c r="J73" s="8" t="str">
        <f aca="false">IF(COUNTA(B73,D73,G73,H73,I73)=0,"",IF(B73="","Enter date",IF(OR(B73&lt;$AC$2,B73&gt;$AC$3),"Date not in August",IF(D73="","Pick project",IF(ISNA(MATCH(D73,ProjNames,0)),"Project not in list",IF(G73="","Add task description",IF(H73="","Pick NTIME or P6",IF(N(I73)&lt;=0,"Enter hours",IF(AND(AllowOT&lt;&gt;"Yes",SUMIF($B$7:$B$256,B73,$I$7:$I$256)&gt;INDEX($O$58:$O$88,DAY(B73))),"Day over "&amp;INDEX($O$58:$O$88,DAY(B73))&amp;" h","✓")))))))))</f>
        <v/>
      </c>
      <c r="K73" s="1"/>
      <c r="L73" s="35" t="n">
        <v>46250</v>
      </c>
      <c r="M73" s="36" t="str">
        <f aca="false">TEXT(L73,"ddd")</f>
        <v>Sun</v>
      </c>
      <c r="N73" s="37" t="s">
        <v>94</v>
      </c>
      <c r="O73" s="37" t="n">
        <f aca="false">AvailHours</f>
        <v>8</v>
      </c>
      <c r="P73" s="24" t="n">
        <f aca="false">SUMIFS($I$7:$I$256,$B$7:$B$256,L73,$H$7:$H$256,"NTIME")</f>
        <v>0</v>
      </c>
      <c r="Q73" s="24" t="n">
        <f aca="false">SUMIFS($I$7:$I$256,$B$7:$B$256,L73,$H$7:$H$256,"P6")</f>
        <v>0</v>
      </c>
      <c r="R73" s="24" t="n">
        <f aca="false">IF(N73="Overhead only",O73,IF(AND(N73="Working",P73+Q73&gt;0),MAX(0,O73-P73-Q73),0))</f>
        <v>0</v>
      </c>
      <c r="S73" s="24" t="n">
        <f aca="false">IF(OR(N73="Working",N73="Overhead only"),MAX(0,P73+Q73-O73),0)</f>
        <v>0</v>
      </c>
      <c r="T73" s="24" t="n">
        <f aca="false">P73+Q73+R73</f>
        <v>0</v>
      </c>
      <c r="U73" s="24" t="str">
        <f aca="true">IF(N73="Working",IF(P73+Q73=0,IF(L73&lt;=TODAY(),"Not logged",""),IF(P73+Q73&gt;O73,IF(AllowOT="Yes","Overtime","Over "&amp;O73&amp;" h!"),"✓")),IF(N73="Overhead only","✓ Overhead day",IF(P73+Q73&gt;0,"Entries on "&amp;LOWER(N73)&amp;" day",N73)))</f>
        <v>Weekend</v>
      </c>
      <c r="V73" s="1"/>
      <c r="W73" s="1" t="str">
        <f aca="false">IF(Projects!B71="","",Projects!B71)</f>
        <v/>
      </c>
      <c r="X73" s="1" t="n">
        <f aca="false">IF(W73="",0,SUMIFS($I$7:$I$256,$D$7:$D$256,W73,$H$7:$H$256,"NTIME"))</f>
        <v>0</v>
      </c>
      <c r="Y73" s="1" t="n">
        <f aca="false">IF(W73="",0,SUMIFS($I$7:$I$256,$D$7:$D$256,W73,$H$7:$H$256,"P6"))</f>
        <v>0</v>
      </c>
      <c r="Z73" s="1" t="n">
        <f aca="false">X73+Y73</f>
        <v>0</v>
      </c>
      <c r="AA73" s="1" t="n">
        <f aca="false">IF(Z73&gt;0,Z73+(201-67)/10^6,0)</f>
        <v>0</v>
      </c>
      <c r="AB73" s="1"/>
      <c r="AC73" s="1"/>
      <c r="AD73" s="1"/>
      <c r="AE73" s="1"/>
      <c r="AF73" s="1"/>
      <c r="AG73" s="1"/>
      <c r="AH73" s="1"/>
    </row>
    <row r="74" customFormat="false" ht="15" hidden="false" customHeight="false" outlineLevel="0" collapsed="false">
      <c r="A74" s="1"/>
      <c r="B74" s="10"/>
      <c r="C74" s="31" t="str">
        <f aca="false">IF(B74="","",TEXT(B74,"ddd"))</f>
        <v/>
      </c>
      <c r="D74" s="11"/>
      <c r="E74" s="8" t="str">
        <f aca="false">IF(D74="","",IFERROR(INDEX(ProjNumbers,MATCH(D74,ProjNames,0)),""))</f>
        <v/>
      </c>
      <c r="F74" s="8" t="str">
        <f aca="false">IF(D74="","",IFERROR(INDEX(ProjCodes,MATCH(D74,ProjNames,0)),""))</f>
        <v/>
      </c>
      <c r="G74" s="32"/>
      <c r="H74" s="11"/>
      <c r="I74" s="33"/>
      <c r="J74" s="8" t="str">
        <f aca="false">IF(COUNTA(B74,D74,G74,H74,I74)=0,"",IF(B74="","Enter date",IF(OR(B74&lt;$AC$2,B74&gt;$AC$3),"Date not in August",IF(D74="","Pick project",IF(ISNA(MATCH(D74,ProjNames,0)),"Project not in list",IF(G74="","Add task description",IF(H74="","Pick NTIME or P6",IF(N(I74)&lt;=0,"Enter hours",IF(AND(AllowOT&lt;&gt;"Yes",SUMIF($B$7:$B$256,B74,$I$7:$I$256)&gt;INDEX($O$58:$O$88,DAY(B74))),"Day over "&amp;INDEX($O$58:$O$88,DAY(B74))&amp;" h","✓")))))))))</f>
        <v/>
      </c>
      <c r="K74" s="1"/>
      <c r="L74" s="35" t="n">
        <v>46251</v>
      </c>
      <c r="M74" s="36" t="str">
        <f aca="false">TEXT(L74,"ddd")</f>
        <v>Mon</v>
      </c>
      <c r="N74" s="37" t="s">
        <v>93</v>
      </c>
      <c r="O74" s="37" t="n">
        <f aca="false">AvailHours</f>
        <v>8</v>
      </c>
      <c r="P74" s="24" t="n">
        <f aca="false">SUMIFS($I$7:$I$256,$B$7:$B$256,L74,$H$7:$H$256,"NTIME")</f>
        <v>0</v>
      </c>
      <c r="Q74" s="24" t="n">
        <f aca="false">SUMIFS($I$7:$I$256,$B$7:$B$256,L74,$H$7:$H$256,"P6")</f>
        <v>0</v>
      </c>
      <c r="R74" s="24" t="n">
        <f aca="false">IF(N74="Overhead only",O74,IF(AND(N74="Working",P74+Q74&gt;0),MAX(0,O74-P74-Q74),0))</f>
        <v>0</v>
      </c>
      <c r="S74" s="24" t="n">
        <f aca="false">IF(OR(N74="Working",N74="Overhead only"),MAX(0,P74+Q74-O74),0)</f>
        <v>0</v>
      </c>
      <c r="T74" s="24" t="n">
        <f aca="false">P74+Q74+R74</f>
        <v>0</v>
      </c>
      <c r="U74" s="24" t="str">
        <f aca="true">IF(N74="Working",IF(P74+Q74=0,IF(L74&lt;=TODAY(),"Not logged",""),IF(P74+Q74&gt;O74,IF(AllowOT="Yes","Overtime","Over "&amp;O74&amp;" h!"),"✓")),IF(N74="Overhead only","✓ Overhead day",IF(P74+Q74&gt;0,"Entries on "&amp;LOWER(N74)&amp;" day",N74)))</f>
        <v>Not logged</v>
      </c>
      <c r="V74" s="1"/>
      <c r="W74" s="1" t="str">
        <f aca="false">IF(Projects!B72="","",Projects!B72)</f>
        <v/>
      </c>
      <c r="X74" s="1" t="n">
        <f aca="false">IF(W74="",0,SUMIFS($I$7:$I$256,$D$7:$D$256,W74,$H$7:$H$256,"NTIME"))</f>
        <v>0</v>
      </c>
      <c r="Y74" s="1" t="n">
        <f aca="false">IF(W74="",0,SUMIFS($I$7:$I$256,$D$7:$D$256,W74,$H$7:$H$256,"P6"))</f>
        <v>0</v>
      </c>
      <c r="Z74" s="1" t="n">
        <f aca="false">X74+Y74</f>
        <v>0</v>
      </c>
      <c r="AA74" s="1" t="n">
        <f aca="false">IF(Z74&gt;0,Z74+(201-68)/10^6,0)</f>
        <v>0</v>
      </c>
      <c r="AB74" s="1"/>
      <c r="AC74" s="1"/>
      <c r="AD74" s="1"/>
      <c r="AE74" s="1"/>
      <c r="AF74" s="1"/>
      <c r="AG74" s="1"/>
      <c r="AH74" s="1"/>
    </row>
    <row r="75" customFormat="false" ht="15" hidden="false" customHeight="false" outlineLevel="0" collapsed="false">
      <c r="A75" s="1"/>
      <c r="B75" s="10"/>
      <c r="C75" s="31" t="str">
        <f aca="false">IF(B75="","",TEXT(B75,"ddd"))</f>
        <v/>
      </c>
      <c r="D75" s="11"/>
      <c r="E75" s="8" t="str">
        <f aca="false">IF(D75="","",IFERROR(INDEX(ProjNumbers,MATCH(D75,ProjNames,0)),""))</f>
        <v/>
      </c>
      <c r="F75" s="8" t="str">
        <f aca="false">IF(D75="","",IFERROR(INDEX(ProjCodes,MATCH(D75,ProjNames,0)),""))</f>
        <v/>
      </c>
      <c r="G75" s="32"/>
      <c r="H75" s="11"/>
      <c r="I75" s="33"/>
      <c r="J75" s="8" t="str">
        <f aca="false">IF(COUNTA(B75,D75,G75,H75,I75)=0,"",IF(B75="","Enter date",IF(OR(B75&lt;$AC$2,B75&gt;$AC$3),"Date not in August",IF(D75="","Pick project",IF(ISNA(MATCH(D75,ProjNames,0)),"Project not in list",IF(G75="","Add task description",IF(H75="","Pick NTIME or P6",IF(N(I75)&lt;=0,"Enter hours",IF(AND(AllowOT&lt;&gt;"Yes",SUMIF($B$7:$B$256,B75,$I$7:$I$256)&gt;INDEX($O$58:$O$88,DAY(B75))),"Day over "&amp;INDEX($O$58:$O$88,DAY(B75))&amp;" h","✓")))))))))</f>
        <v/>
      </c>
      <c r="K75" s="1"/>
      <c r="L75" s="35" t="n">
        <v>46252</v>
      </c>
      <c r="M75" s="36" t="str">
        <f aca="false">TEXT(L75,"ddd")</f>
        <v>Tue</v>
      </c>
      <c r="N75" s="37" t="s">
        <v>93</v>
      </c>
      <c r="O75" s="37" t="n">
        <f aca="false">AvailHours</f>
        <v>8</v>
      </c>
      <c r="P75" s="24" t="n">
        <f aca="false">SUMIFS($I$7:$I$256,$B$7:$B$256,L75,$H$7:$H$256,"NTIME")</f>
        <v>0</v>
      </c>
      <c r="Q75" s="24" t="n">
        <f aca="false">SUMIFS($I$7:$I$256,$B$7:$B$256,L75,$H$7:$H$256,"P6")</f>
        <v>0</v>
      </c>
      <c r="R75" s="24" t="n">
        <f aca="false">IF(N75="Overhead only",O75,IF(AND(N75="Working",P75+Q75&gt;0),MAX(0,O75-P75-Q75),0))</f>
        <v>0</v>
      </c>
      <c r="S75" s="24" t="n">
        <f aca="false">IF(OR(N75="Working",N75="Overhead only"),MAX(0,P75+Q75-O75),0)</f>
        <v>0</v>
      </c>
      <c r="T75" s="24" t="n">
        <f aca="false">P75+Q75+R75</f>
        <v>0</v>
      </c>
      <c r="U75" s="24" t="str">
        <f aca="true">IF(N75="Working",IF(P75+Q75=0,IF(L75&lt;=TODAY(),"Not logged",""),IF(P75+Q75&gt;O75,IF(AllowOT="Yes","Overtime","Over "&amp;O75&amp;" h!"),"✓")),IF(N75="Overhead only","✓ Overhead day",IF(P75+Q75&gt;0,"Entries on "&amp;LOWER(N75)&amp;" day",N75)))</f>
        <v>Not logged</v>
      </c>
      <c r="V75" s="1"/>
      <c r="W75" s="1" t="str">
        <f aca="false">IF(Projects!B73="","",Projects!B73)</f>
        <v/>
      </c>
      <c r="X75" s="1" t="n">
        <f aca="false">IF(W75="",0,SUMIFS($I$7:$I$256,$D$7:$D$256,W75,$H$7:$H$256,"NTIME"))</f>
        <v>0</v>
      </c>
      <c r="Y75" s="1" t="n">
        <f aca="false">IF(W75="",0,SUMIFS($I$7:$I$256,$D$7:$D$256,W75,$H$7:$H$256,"P6"))</f>
        <v>0</v>
      </c>
      <c r="Z75" s="1" t="n">
        <f aca="false">X75+Y75</f>
        <v>0</v>
      </c>
      <c r="AA75" s="1" t="n">
        <f aca="false">IF(Z75&gt;0,Z75+(201-69)/10^6,0)</f>
        <v>0</v>
      </c>
      <c r="AB75" s="1"/>
      <c r="AC75" s="1"/>
      <c r="AD75" s="1"/>
      <c r="AE75" s="1"/>
      <c r="AF75" s="1"/>
      <c r="AG75" s="1"/>
      <c r="AH75" s="1"/>
    </row>
    <row r="76" customFormat="false" ht="15" hidden="false" customHeight="false" outlineLevel="0" collapsed="false">
      <c r="A76" s="1"/>
      <c r="B76" s="10"/>
      <c r="C76" s="31" t="str">
        <f aca="false">IF(B76="","",TEXT(B76,"ddd"))</f>
        <v/>
      </c>
      <c r="D76" s="11"/>
      <c r="E76" s="8" t="str">
        <f aca="false">IF(D76="","",IFERROR(INDEX(ProjNumbers,MATCH(D76,ProjNames,0)),""))</f>
        <v/>
      </c>
      <c r="F76" s="8" t="str">
        <f aca="false">IF(D76="","",IFERROR(INDEX(ProjCodes,MATCH(D76,ProjNames,0)),""))</f>
        <v/>
      </c>
      <c r="G76" s="32"/>
      <c r="H76" s="11"/>
      <c r="I76" s="33"/>
      <c r="J76" s="8" t="str">
        <f aca="false">IF(COUNTA(B76,D76,G76,H76,I76)=0,"",IF(B76="","Enter date",IF(OR(B76&lt;$AC$2,B76&gt;$AC$3),"Date not in August",IF(D76="","Pick project",IF(ISNA(MATCH(D76,ProjNames,0)),"Project not in list",IF(G76="","Add task description",IF(H76="","Pick NTIME or P6",IF(N(I76)&lt;=0,"Enter hours",IF(AND(AllowOT&lt;&gt;"Yes",SUMIF($B$7:$B$256,B76,$I$7:$I$256)&gt;INDEX($O$58:$O$88,DAY(B76))),"Day over "&amp;INDEX($O$58:$O$88,DAY(B76))&amp;" h","✓")))))))))</f>
        <v/>
      </c>
      <c r="K76" s="1"/>
      <c r="L76" s="35" t="n">
        <v>46253</v>
      </c>
      <c r="M76" s="36" t="str">
        <f aca="false">TEXT(L76,"ddd")</f>
        <v>Wed</v>
      </c>
      <c r="N76" s="37" t="s">
        <v>93</v>
      </c>
      <c r="O76" s="37" t="n">
        <f aca="false">AvailHours</f>
        <v>8</v>
      </c>
      <c r="P76" s="24" t="n">
        <f aca="false">SUMIFS($I$7:$I$256,$B$7:$B$256,L76,$H$7:$H$256,"NTIME")</f>
        <v>0</v>
      </c>
      <c r="Q76" s="24" t="n">
        <f aca="false">SUMIFS($I$7:$I$256,$B$7:$B$256,L76,$H$7:$H$256,"P6")</f>
        <v>0</v>
      </c>
      <c r="R76" s="24" t="n">
        <f aca="false">IF(N76="Overhead only",O76,IF(AND(N76="Working",P76+Q76&gt;0),MAX(0,O76-P76-Q76),0))</f>
        <v>0</v>
      </c>
      <c r="S76" s="24" t="n">
        <f aca="false">IF(OR(N76="Working",N76="Overhead only"),MAX(0,P76+Q76-O76),0)</f>
        <v>0</v>
      </c>
      <c r="T76" s="24" t="n">
        <f aca="false">P76+Q76+R76</f>
        <v>0</v>
      </c>
      <c r="U76" s="24" t="str">
        <f aca="true">IF(N76="Working",IF(P76+Q76=0,IF(L76&lt;=TODAY(),"Not logged",""),IF(P76+Q76&gt;O76,IF(AllowOT="Yes","Overtime","Over "&amp;O76&amp;" h!"),"✓")),IF(N76="Overhead only","✓ Overhead day",IF(P76+Q76&gt;0,"Entries on "&amp;LOWER(N76)&amp;" day",N76)))</f>
        <v>Not logged</v>
      </c>
      <c r="V76" s="1"/>
      <c r="W76" s="1" t="str">
        <f aca="false">IF(Projects!B74="","",Projects!B74)</f>
        <v/>
      </c>
      <c r="X76" s="1" t="n">
        <f aca="false">IF(W76="",0,SUMIFS($I$7:$I$256,$D$7:$D$256,W76,$H$7:$H$256,"NTIME"))</f>
        <v>0</v>
      </c>
      <c r="Y76" s="1" t="n">
        <f aca="false">IF(W76="",0,SUMIFS($I$7:$I$256,$D$7:$D$256,W76,$H$7:$H$256,"P6"))</f>
        <v>0</v>
      </c>
      <c r="Z76" s="1" t="n">
        <f aca="false">X76+Y76</f>
        <v>0</v>
      </c>
      <c r="AA76" s="1" t="n">
        <f aca="false">IF(Z76&gt;0,Z76+(201-70)/10^6,0)</f>
        <v>0</v>
      </c>
      <c r="AB76" s="1"/>
      <c r="AC76" s="1"/>
      <c r="AD76" s="1"/>
      <c r="AE76" s="1"/>
      <c r="AF76" s="1"/>
      <c r="AG76" s="1"/>
      <c r="AH76" s="1"/>
    </row>
    <row r="77" customFormat="false" ht="15" hidden="false" customHeight="false" outlineLevel="0" collapsed="false">
      <c r="A77" s="1"/>
      <c r="B77" s="10"/>
      <c r="C77" s="31" t="str">
        <f aca="false">IF(B77="","",TEXT(B77,"ddd"))</f>
        <v/>
      </c>
      <c r="D77" s="11"/>
      <c r="E77" s="8" t="str">
        <f aca="false">IF(D77="","",IFERROR(INDEX(ProjNumbers,MATCH(D77,ProjNames,0)),""))</f>
        <v/>
      </c>
      <c r="F77" s="8" t="str">
        <f aca="false">IF(D77="","",IFERROR(INDEX(ProjCodes,MATCH(D77,ProjNames,0)),""))</f>
        <v/>
      </c>
      <c r="G77" s="32"/>
      <c r="H77" s="11"/>
      <c r="I77" s="33"/>
      <c r="J77" s="8" t="str">
        <f aca="false">IF(COUNTA(B77,D77,G77,H77,I77)=0,"",IF(B77="","Enter date",IF(OR(B77&lt;$AC$2,B77&gt;$AC$3),"Date not in August",IF(D77="","Pick project",IF(ISNA(MATCH(D77,ProjNames,0)),"Project not in list",IF(G77="","Add task description",IF(H77="","Pick NTIME or P6",IF(N(I77)&lt;=0,"Enter hours",IF(AND(AllowOT&lt;&gt;"Yes",SUMIF($B$7:$B$256,B77,$I$7:$I$256)&gt;INDEX($O$58:$O$88,DAY(B77))),"Day over "&amp;INDEX($O$58:$O$88,DAY(B77))&amp;" h","✓")))))))))</f>
        <v/>
      </c>
      <c r="K77" s="1"/>
      <c r="L77" s="35" t="n">
        <v>46254</v>
      </c>
      <c r="M77" s="36" t="str">
        <f aca="false">TEXT(L77,"ddd")</f>
        <v>Thu</v>
      </c>
      <c r="N77" s="37" t="s">
        <v>93</v>
      </c>
      <c r="O77" s="37" t="n">
        <f aca="false">AvailHours</f>
        <v>8</v>
      </c>
      <c r="P77" s="24" t="n">
        <f aca="false">SUMIFS($I$7:$I$256,$B$7:$B$256,L77,$H$7:$H$256,"NTIME")</f>
        <v>0</v>
      </c>
      <c r="Q77" s="24" t="n">
        <f aca="false">SUMIFS($I$7:$I$256,$B$7:$B$256,L77,$H$7:$H$256,"P6")</f>
        <v>0</v>
      </c>
      <c r="R77" s="24" t="n">
        <f aca="false">IF(N77="Overhead only",O77,IF(AND(N77="Working",P77+Q77&gt;0),MAX(0,O77-P77-Q77),0))</f>
        <v>0</v>
      </c>
      <c r="S77" s="24" t="n">
        <f aca="false">IF(OR(N77="Working",N77="Overhead only"),MAX(0,P77+Q77-O77),0)</f>
        <v>0</v>
      </c>
      <c r="T77" s="24" t="n">
        <f aca="false">P77+Q77+R77</f>
        <v>0</v>
      </c>
      <c r="U77" s="24" t="str">
        <f aca="true">IF(N77="Working",IF(P77+Q77=0,IF(L77&lt;=TODAY(),"Not logged",""),IF(P77+Q77&gt;O77,IF(AllowOT="Yes","Overtime","Over "&amp;O77&amp;" h!"),"✓")),IF(N77="Overhead only","✓ Overhead day",IF(P77+Q77&gt;0,"Entries on "&amp;LOWER(N77)&amp;" day",N77)))</f>
        <v>Not logged</v>
      </c>
      <c r="V77" s="1"/>
      <c r="W77" s="1" t="str">
        <f aca="false">IF(Projects!B75="","",Projects!B75)</f>
        <v/>
      </c>
      <c r="X77" s="1" t="n">
        <f aca="false">IF(W77="",0,SUMIFS($I$7:$I$256,$D$7:$D$256,W77,$H$7:$H$256,"NTIME"))</f>
        <v>0</v>
      </c>
      <c r="Y77" s="1" t="n">
        <f aca="false">IF(W77="",0,SUMIFS($I$7:$I$256,$D$7:$D$256,W77,$H$7:$H$256,"P6"))</f>
        <v>0</v>
      </c>
      <c r="Z77" s="1" t="n">
        <f aca="false">X77+Y77</f>
        <v>0</v>
      </c>
      <c r="AA77" s="1" t="n">
        <f aca="false">IF(Z77&gt;0,Z77+(201-71)/10^6,0)</f>
        <v>0</v>
      </c>
      <c r="AB77" s="1"/>
      <c r="AC77" s="1"/>
      <c r="AD77" s="1"/>
      <c r="AE77" s="1"/>
      <c r="AF77" s="1"/>
      <c r="AG77" s="1"/>
      <c r="AH77" s="1"/>
    </row>
    <row r="78" customFormat="false" ht="15" hidden="false" customHeight="false" outlineLevel="0" collapsed="false">
      <c r="A78" s="1"/>
      <c r="B78" s="10"/>
      <c r="C78" s="31" t="str">
        <f aca="false">IF(B78="","",TEXT(B78,"ddd"))</f>
        <v/>
      </c>
      <c r="D78" s="11"/>
      <c r="E78" s="8" t="str">
        <f aca="false">IF(D78="","",IFERROR(INDEX(ProjNumbers,MATCH(D78,ProjNames,0)),""))</f>
        <v/>
      </c>
      <c r="F78" s="8" t="str">
        <f aca="false">IF(D78="","",IFERROR(INDEX(ProjCodes,MATCH(D78,ProjNames,0)),""))</f>
        <v/>
      </c>
      <c r="G78" s="32"/>
      <c r="H78" s="11"/>
      <c r="I78" s="33"/>
      <c r="J78" s="8" t="str">
        <f aca="false">IF(COUNTA(B78,D78,G78,H78,I78)=0,"",IF(B78="","Enter date",IF(OR(B78&lt;$AC$2,B78&gt;$AC$3),"Date not in August",IF(D78="","Pick project",IF(ISNA(MATCH(D78,ProjNames,0)),"Project not in list",IF(G78="","Add task description",IF(H78="","Pick NTIME or P6",IF(N(I78)&lt;=0,"Enter hours",IF(AND(AllowOT&lt;&gt;"Yes",SUMIF($B$7:$B$256,B78,$I$7:$I$256)&gt;INDEX($O$58:$O$88,DAY(B78))),"Day over "&amp;INDEX($O$58:$O$88,DAY(B78))&amp;" h","✓")))))))))</f>
        <v/>
      </c>
      <c r="K78" s="1"/>
      <c r="L78" s="35" t="n">
        <v>46255</v>
      </c>
      <c r="M78" s="36" t="str">
        <f aca="false">TEXT(L78,"ddd")</f>
        <v>Fri</v>
      </c>
      <c r="N78" s="37" t="s">
        <v>93</v>
      </c>
      <c r="O78" s="37" t="n">
        <f aca="false">AvailHours</f>
        <v>8</v>
      </c>
      <c r="P78" s="24" t="n">
        <f aca="false">SUMIFS($I$7:$I$256,$B$7:$B$256,L78,$H$7:$H$256,"NTIME")</f>
        <v>0</v>
      </c>
      <c r="Q78" s="24" t="n">
        <f aca="false">SUMIFS($I$7:$I$256,$B$7:$B$256,L78,$H$7:$H$256,"P6")</f>
        <v>0</v>
      </c>
      <c r="R78" s="24" t="n">
        <f aca="false">IF(N78="Overhead only",O78,IF(AND(N78="Working",P78+Q78&gt;0),MAX(0,O78-P78-Q78),0))</f>
        <v>0</v>
      </c>
      <c r="S78" s="24" t="n">
        <f aca="false">IF(OR(N78="Working",N78="Overhead only"),MAX(0,P78+Q78-O78),0)</f>
        <v>0</v>
      </c>
      <c r="T78" s="24" t="n">
        <f aca="false">P78+Q78+R78</f>
        <v>0</v>
      </c>
      <c r="U78" s="24" t="str">
        <f aca="true">IF(N78="Working",IF(P78+Q78=0,IF(L78&lt;=TODAY(),"Not logged",""),IF(P78+Q78&gt;O78,IF(AllowOT="Yes","Overtime","Over "&amp;O78&amp;" h!"),"✓")),IF(N78="Overhead only","✓ Overhead day",IF(P78+Q78&gt;0,"Entries on "&amp;LOWER(N78)&amp;" day",N78)))</f>
        <v>Not logged</v>
      </c>
      <c r="V78" s="1"/>
      <c r="W78" s="1" t="str">
        <f aca="false">IF(Projects!B76="","",Projects!B76)</f>
        <v/>
      </c>
      <c r="X78" s="1" t="n">
        <f aca="false">IF(W78="",0,SUMIFS($I$7:$I$256,$D$7:$D$256,W78,$H$7:$H$256,"NTIME"))</f>
        <v>0</v>
      </c>
      <c r="Y78" s="1" t="n">
        <f aca="false">IF(W78="",0,SUMIFS($I$7:$I$256,$D$7:$D$256,W78,$H$7:$H$256,"P6"))</f>
        <v>0</v>
      </c>
      <c r="Z78" s="1" t="n">
        <f aca="false">X78+Y78</f>
        <v>0</v>
      </c>
      <c r="AA78" s="1" t="n">
        <f aca="false">IF(Z78&gt;0,Z78+(201-72)/10^6,0)</f>
        <v>0</v>
      </c>
      <c r="AB78" s="1"/>
      <c r="AC78" s="1"/>
      <c r="AD78" s="1"/>
      <c r="AE78" s="1"/>
      <c r="AF78" s="1"/>
      <c r="AG78" s="1"/>
      <c r="AH78" s="1"/>
    </row>
    <row r="79" customFormat="false" ht="15" hidden="false" customHeight="false" outlineLevel="0" collapsed="false">
      <c r="A79" s="1"/>
      <c r="B79" s="10"/>
      <c r="C79" s="31" t="str">
        <f aca="false">IF(B79="","",TEXT(B79,"ddd"))</f>
        <v/>
      </c>
      <c r="D79" s="11"/>
      <c r="E79" s="8" t="str">
        <f aca="false">IF(D79="","",IFERROR(INDEX(ProjNumbers,MATCH(D79,ProjNames,0)),""))</f>
        <v/>
      </c>
      <c r="F79" s="8" t="str">
        <f aca="false">IF(D79="","",IFERROR(INDEX(ProjCodes,MATCH(D79,ProjNames,0)),""))</f>
        <v/>
      </c>
      <c r="G79" s="32"/>
      <c r="H79" s="11"/>
      <c r="I79" s="33"/>
      <c r="J79" s="8" t="str">
        <f aca="false">IF(COUNTA(B79,D79,G79,H79,I79)=0,"",IF(B79="","Enter date",IF(OR(B79&lt;$AC$2,B79&gt;$AC$3),"Date not in August",IF(D79="","Pick project",IF(ISNA(MATCH(D79,ProjNames,0)),"Project not in list",IF(G79="","Add task description",IF(H79="","Pick NTIME or P6",IF(N(I79)&lt;=0,"Enter hours",IF(AND(AllowOT&lt;&gt;"Yes",SUMIF($B$7:$B$256,B79,$I$7:$I$256)&gt;INDEX($O$58:$O$88,DAY(B79))),"Day over "&amp;INDEX($O$58:$O$88,DAY(B79))&amp;" h","✓")))))))))</f>
        <v/>
      </c>
      <c r="K79" s="1"/>
      <c r="L79" s="35" t="n">
        <v>46256</v>
      </c>
      <c r="M79" s="36" t="str">
        <f aca="false">TEXT(L79,"ddd")</f>
        <v>Sat</v>
      </c>
      <c r="N79" s="37" t="s">
        <v>94</v>
      </c>
      <c r="O79" s="37" t="n">
        <f aca="false">AvailHours</f>
        <v>8</v>
      </c>
      <c r="P79" s="24" t="n">
        <f aca="false">SUMIFS($I$7:$I$256,$B$7:$B$256,L79,$H$7:$H$256,"NTIME")</f>
        <v>0</v>
      </c>
      <c r="Q79" s="24" t="n">
        <f aca="false">SUMIFS($I$7:$I$256,$B$7:$B$256,L79,$H$7:$H$256,"P6")</f>
        <v>0</v>
      </c>
      <c r="R79" s="24" t="n">
        <f aca="false">IF(N79="Overhead only",O79,IF(AND(N79="Working",P79+Q79&gt;0),MAX(0,O79-P79-Q79),0))</f>
        <v>0</v>
      </c>
      <c r="S79" s="24" t="n">
        <f aca="false">IF(OR(N79="Working",N79="Overhead only"),MAX(0,P79+Q79-O79),0)</f>
        <v>0</v>
      </c>
      <c r="T79" s="24" t="n">
        <f aca="false">P79+Q79+R79</f>
        <v>0</v>
      </c>
      <c r="U79" s="24" t="str">
        <f aca="true">IF(N79="Working",IF(P79+Q79=0,IF(L79&lt;=TODAY(),"Not logged",""),IF(P79+Q79&gt;O79,IF(AllowOT="Yes","Overtime","Over "&amp;O79&amp;" h!"),"✓")),IF(N79="Overhead only","✓ Overhead day",IF(P79+Q79&gt;0,"Entries on "&amp;LOWER(N79)&amp;" day",N79)))</f>
        <v>Weekend</v>
      </c>
      <c r="V79" s="1"/>
      <c r="W79" s="1" t="str">
        <f aca="false">IF(Projects!B77="","",Projects!B77)</f>
        <v/>
      </c>
      <c r="X79" s="1" t="n">
        <f aca="false">IF(W79="",0,SUMIFS($I$7:$I$256,$D$7:$D$256,W79,$H$7:$H$256,"NTIME"))</f>
        <v>0</v>
      </c>
      <c r="Y79" s="1" t="n">
        <f aca="false">IF(W79="",0,SUMIFS($I$7:$I$256,$D$7:$D$256,W79,$H$7:$H$256,"P6"))</f>
        <v>0</v>
      </c>
      <c r="Z79" s="1" t="n">
        <f aca="false">X79+Y79</f>
        <v>0</v>
      </c>
      <c r="AA79" s="1" t="n">
        <f aca="false">IF(Z79&gt;0,Z79+(201-73)/10^6,0)</f>
        <v>0</v>
      </c>
      <c r="AB79" s="1"/>
      <c r="AC79" s="1"/>
      <c r="AD79" s="1"/>
      <c r="AE79" s="1"/>
      <c r="AF79" s="1"/>
      <c r="AG79" s="1"/>
      <c r="AH79" s="1"/>
    </row>
    <row r="80" customFormat="false" ht="15" hidden="false" customHeight="false" outlineLevel="0" collapsed="false">
      <c r="A80" s="1"/>
      <c r="B80" s="10"/>
      <c r="C80" s="31" t="str">
        <f aca="false">IF(B80="","",TEXT(B80,"ddd"))</f>
        <v/>
      </c>
      <c r="D80" s="11"/>
      <c r="E80" s="8" t="str">
        <f aca="false">IF(D80="","",IFERROR(INDEX(ProjNumbers,MATCH(D80,ProjNames,0)),""))</f>
        <v/>
      </c>
      <c r="F80" s="8" t="str">
        <f aca="false">IF(D80="","",IFERROR(INDEX(ProjCodes,MATCH(D80,ProjNames,0)),""))</f>
        <v/>
      </c>
      <c r="G80" s="32"/>
      <c r="H80" s="11"/>
      <c r="I80" s="33"/>
      <c r="J80" s="8" t="str">
        <f aca="false">IF(COUNTA(B80,D80,G80,H80,I80)=0,"",IF(B80="","Enter date",IF(OR(B80&lt;$AC$2,B80&gt;$AC$3),"Date not in August",IF(D80="","Pick project",IF(ISNA(MATCH(D80,ProjNames,0)),"Project not in list",IF(G80="","Add task description",IF(H80="","Pick NTIME or P6",IF(N(I80)&lt;=0,"Enter hours",IF(AND(AllowOT&lt;&gt;"Yes",SUMIF($B$7:$B$256,B80,$I$7:$I$256)&gt;INDEX($O$58:$O$88,DAY(B80))),"Day over "&amp;INDEX($O$58:$O$88,DAY(B80))&amp;" h","✓")))))))))</f>
        <v/>
      </c>
      <c r="K80" s="1"/>
      <c r="L80" s="35" t="n">
        <v>46257</v>
      </c>
      <c r="M80" s="36" t="str">
        <f aca="false">TEXT(L80,"ddd")</f>
        <v>Sun</v>
      </c>
      <c r="N80" s="37" t="s">
        <v>94</v>
      </c>
      <c r="O80" s="37" t="n">
        <f aca="false">AvailHours</f>
        <v>8</v>
      </c>
      <c r="P80" s="24" t="n">
        <f aca="false">SUMIFS($I$7:$I$256,$B$7:$B$256,L80,$H$7:$H$256,"NTIME")</f>
        <v>0</v>
      </c>
      <c r="Q80" s="24" t="n">
        <f aca="false">SUMIFS($I$7:$I$256,$B$7:$B$256,L80,$H$7:$H$256,"P6")</f>
        <v>0</v>
      </c>
      <c r="R80" s="24" t="n">
        <f aca="false">IF(N80="Overhead only",O80,IF(AND(N80="Working",P80+Q80&gt;0),MAX(0,O80-P80-Q80),0))</f>
        <v>0</v>
      </c>
      <c r="S80" s="24" t="n">
        <f aca="false">IF(OR(N80="Working",N80="Overhead only"),MAX(0,P80+Q80-O80),0)</f>
        <v>0</v>
      </c>
      <c r="T80" s="24" t="n">
        <f aca="false">P80+Q80+R80</f>
        <v>0</v>
      </c>
      <c r="U80" s="24" t="str">
        <f aca="true">IF(N80="Working",IF(P80+Q80=0,IF(L80&lt;=TODAY(),"Not logged",""),IF(P80+Q80&gt;O80,IF(AllowOT="Yes","Overtime","Over "&amp;O80&amp;" h!"),"✓")),IF(N80="Overhead only","✓ Overhead day",IF(P80+Q80&gt;0,"Entries on "&amp;LOWER(N80)&amp;" day",N80)))</f>
        <v>Weekend</v>
      </c>
      <c r="V80" s="1"/>
      <c r="W80" s="1" t="str">
        <f aca="false">IF(Projects!B78="","",Projects!B78)</f>
        <v/>
      </c>
      <c r="X80" s="1" t="n">
        <f aca="false">IF(W80="",0,SUMIFS($I$7:$I$256,$D$7:$D$256,W80,$H$7:$H$256,"NTIME"))</f>
        <v>0</v>
      </c>
      <c r="Y80" s="1" t="n">
        <f aca="false">IF(W80="",0,SUMIFS($I$7:$I$256,$D$7:$D$256,W80,$H$7:$H$256,"P6"))</f>
        <v>0</v>
      </c>
      <c r="Z80" s="1" t="n">
        <f aca="false">X80+Y80</f>
        <v>0</v>
      </c>
      <c r="AA80" s="1" t="n">
        <f aca="false">IF(Z80&gt;0,Z80+(201-74)/10^6,0)</f>
        <v>0</v>
      </c>
      <c r="AB80" s="1"/>
      <c r="AC80" s="1"/>
      <c r="AD80" s="1"/>
      <c r="AE80" s="1"/>
      <c r="AF80" s="1"/>
      <c r="AG80" s="1"/>
      <c r="AH80" s="1"/>
    </row>
    <row r="81" customFormat="false" ht="15" hidden="false" customHeight="false" outlineLevel="0" collapsed="false">
      <c r="A81" s="1"/>
      <c r="B81" s="10"/>
      <c r="C81" s="31" t="str">
        <f aca="false">IF(B81="","",TEXT(B81,"ddd"))</f>
        <v/>
      </c>
      <c r="D81" s="11"/>
      <c r="E81" s="8" t="str">
        <f aca="false">IF(D81="","",IFERROR(INDEX(ProjNumbers,MATCH(D81,ProjNames,0)),""))</f>
        <v/>
      </c>
      <c r="F81" s="8" t="str">
        <f aca="false">IF(D81="","",IFERROR(INDEX(ProjCodes,MATCH(D81,ProjNames,0)),""))</f>
        <v/>
      </c>
      <c r="G81" s="32"/>
      <c r="H81" s="11"/>
      <c r="I81" s="33"/>
      <c r="J81" s="8" t="str">
        <f aca="false">IF(COUNTA(B81,D81,G81,H81,I81)=0,"",IF(B81="","Enter date",IF(OR(B81&lt;$AC$2,B81&gt;$AC$3),"Date not in August",IF(D81="","Pick project",IF(ISNA(MATCH(D81,ProjNames,0)),"Project not in list",IF(G81="","Add task description",IF(H81="","Pick NTIME or P6",IF(N(I81)&lt;=0,"Enter hours",IF(AND(AllowOT&lt;&gt;"Yes",SUMIF($B$7:$B$256,B81,$I$7:$I$256)&gt;INDEX($O$58:$O$88,DAY(B81))),"Day over "&amp;INDEX($O$58:$O$88,DAY(B81))&amp;" h","✓")))))))))</f>
        <v/>
      </c>
      <c r="K81" s="1"/>
      <c r="L81" s="35" t="n">
        <v>46258</v>
      </c>
      <c r="M81" s="36" t="str">
        <f aca="false">TEXT(L81,"ddd")</f>
        <v>Mon</v>
      </c>
      <c r="N81" s="37" t="s">
        <v>93</v>
      </c>
      <c r="O81" s="37" t="n">
        <f aca="false">AvailHours</f>
        <v>8</v>
      </c>
      <c r="P81" s="24" t="n">
        <f aca="false">SUMIFS($I$7:$I$256,$B$7:$B$256,L81,$H$7:$H$256,"NTIME")</f>
        <v>0</v>
      </c>
      <c r="Q81" s="24" t="n">
        <f aca="false">SUMIFS($I$7:$I$256,$B$7:$B$256,L81,$H$7:$H$256,"P6")</f>
        <v>0</v>
      </c>
      <c r="R81" s="24" t="n">
        <f aca="false">IF(N81="Overhead only",O81,IF(AND(N81="Working",P81+Q81&gt;0),MAX(0,O81-P81-Q81),0))</f>
        <v>0</v>
      </c>
      <c r="S81" s="24" t="n">
        <f aca="false">IF(OR(N81="Working",N81="Overhead only"),MAX(0,P81+Q81-O81),0)</f>
        <v>0</v>
      </c>
      <c r="T81" s="24" t="n">
        <f aca="false">P81+Q81+R81</f>
        <v>0</v>
      </c>
      <c r="U81" s="24" t="str">
        <f aca="true">IF(N81="Working",IF(P81+Q81=0,IF(L81&lt;=TODAY(),"Not logged",""),IF(P81+Q81&gt;O81,IF(AllowOT="Yes","Overtime","Over "&amp;O81&amp;" h!"),"✓")),IF(N81="Overhead only","✓ Overhead day",IF(P81+Q81&gt;0,"Entries on "&amp;LOWER(N81)&amp;" day",N81)))</f>
        <v>Not logged</v>
      </c>
      <c r="V81" s="1"/>
      <c r="W81" s="1" t="str">
        <f aca="false">IF(Projects!B79="","",Projects!B79)</f>
        <v/>
      </c>
      <c r="X81" s="1" t="n">
        <f aca="false">IF(W81="",0,SUMIFS($I$7:$I$256,$D$7:$D$256,W81,$H$7:$H$256,"NTIME"))</f>
        <v>0</v>
      </c>
      <c r="Y81" s="1" t="n">
        <f aca="false">IF(W81="",0,SUMIFS($I$7:$I$256,$D$7:$D$256,W81,$H$7:$H$256,"P6"))</f>
        <v>0</v>
      </c>
      <c r="Z81" s="1" t="n">
        <f aca="false">X81+Y81</f>
        <v>0</v>
      </c>
      <c r="AA81" s="1" t="n">
        <f aca="false">IF(Z81&gt;0,Z81+(201-75)/10^6,0)</f>
        <v>0</v>
      </c>
      <c r="AB81" s="1"/>
      <c r="AC81" s="1"/>
      <c r="AD81" s="1"/>
      <c r="AE81" s="1"/>
      <c r="AF81" s="1"/>
      <c r="AG81" s="1"/>
      <c r="AH81" s="1"/>
    </row>
    <row r="82" customFormat="false" ht="15" hidden="false" customHeight="false" outlineLevel="0" collapsed="false">
      <c r="A82" s="1"/>
      <c r="B82" s="10"/>
      <c r="C82" s="31" t="str">
        <f aca="false">IF(B82="","",TEXT(B82,"ddd"))</f>
        <v/>
      </c>
      <c r="D82" s="11"/>
      <c r="E82" s="8" t="str">
        <f aca="false">IF(D82="","",IFERROR(INDEX(ProjNumbers,MATCH(D82,ProjNames,0)),""))</f>
        <v/>
      </c>
      <c r="F82" s="8" t="str">
        <f aca="false">IF(D82="","",IFERROR(INDEX(ProjCodes,MATCH(D82,ProjNames,0)),""))</f>
        <v/>
      </c>
      <c r="G82" s="32"/>
      <c r="H82" s="11"/>
      <c r="I82" s="33"/>
      <c r="J82" s="8" t="str">
        <f aca="false">IF(COUNTA(B82,D82,G82,H82,I82)=0,"",IF(B82="","Enter date",IF(OR(B82&lt;$AC$2,B82&gt;$AC$3),"Date not in August",IF(D82="","Pick project",IF(ISNA(MATCH(D82,ProjNames,0)),"Project not in list",IF(G82="","Add task description",IF(H82="","Pick NTIME or P6",IF(N(I82)&lt;=0,"Enter hours",IF(AND(AllowOT&lt;&gt;"Yes",SUMIF($B$7:$B$256,B82,$I$7:$I$256)&gt;INDEX($O$58:$O$88,DAY(B82))),"Day over "&amp;INDEX($O$58:$O$88,DAY(B82))&amp;" h","✓")))))))))</f>
        <v/>
      </c>
      <c r="K82" s="1"/>
      <c r="L82" s="35" t="n">
        <v>46259</v>
      </c>
      <c r="M82" s="36" t="str">
        <f aca="false">TEXT(L82,"ddd")</f>
        <v>Tue</v>
      </c>
      <c r="N82" s="37" t="s">
        <v>93</v>
      </c>
      <c r="O82" s="37" t="n">
        <f aca="false">AvailHours</f>
        <v>8</v>
      </c>
      <c r="P82" s="24" t="n">
        <f aca="false">SUMIFS($I$7:$I$256,$B$7:$B$256,L82,$H$7:$H$256,"NTIME")</f>
        <v>0</v>
      </c>
      <c r="Q82" s="24" t="n">
        <f aca="false">SUMIFS($I$7:$I$256,$B$7:$B$256,L82,$H$7:$H$256,"P6")</f>
        <v>0</v>
      </c>
      <c r="R82" s="24" t="n">
        <f aca="false">IF(N82="Overhead only",O82,IF(AND(N82="Working",P82+Q82&gt;0),MAX(0,O82-P82-Q82),0))</f>
        <v>0</v>
      </c>
      <c r="S82" s="24" t="n">
        <f aca="false">IF(OR(N82="Working",N82="Overhead only"),MAX(0,P82+Q82-O82),0)</f>
        <v>0</v>
      </c>
      <c r="T82" s="24" t="n">
        <f aca="false">P82+Q82+R82</f>
        <v>0</v>
      </c>
      <c r="U82" s="24" t="str">
        <f aca="true">IF(N82="Working",IF(P82+Q82=0,IF(L82&lt;=TODAY(),"Not logged",""),IF(P82+Q82&gt;O82,IF(AllowOT="Yes","Overtime","Over "&amp;O82&amp;" h!"),"✓")),IF(N82="Overhead only","✓ Overhead day",IF(P82+Q82&gt;0,"Entries on "&amp;LOWER(N82)&amp;" day",N82)))</f>
        <v>Not logged</v>
      </c>
      <c r="V82" s="1"/>
      <c r="W82" s="1" t="str">
        <f aca="false">IF(Projects!B80="","",Projects!B80)</f>
        <v/>
      </c>
      <c r="X82" s="1" t="n">
        <f aca="false">IF(W82="",0,SUMIFS($I$7:$I$256,$D$7:$D$256,W82,$H$7:$H$256,"NTIME"))</f>
        <v>0</v>
      </c>
      <c r="Y82" s="1" t="n">
        <f aca="false">IF(W82="",0,SUMIFS($I$7:$I$256,$D$7:$D$256,W82,$H$7:$H$256,"P6"))</f>
        <v>0</v>
      </c>
      <c r="Z82" s="1" t="n">
        <f aca="false">X82+Y82</f>
        <v>0</v>
      </c>
      <c r="AA82" s="1" t="n">
        <f aca="false">IF(Z82&gt;0,Z82+(201-76)/10^6,0)</f>
        <v>0</v>
      </c>
      <c r="AB82" s="1"/>
      <c r="AC82" s="1"/>
      <c r="AD82" s="1"/>
      <c r="AE82" s="1"/>
      <c r="AF82" s="1"/>
      <c r="AG82" s="1"/>
      <c r="AH82" s="1"/>
    </row>
    <row r="83" customFormat="false" ht="15" hidden="false" customHeight="false" outlineLevel="0" collapsed="false">
      <c r="A83" s="1"/>
      <c r="B83" s="10"/>
      <c r="C83" s="31" t="str">
        <f aca="false">IF(B83="","",TEXT(B83,"ddd"))</f>
        <v/>
      </c>
      <c r="D83" s="11"/>
      <c r="E83" s="8" t="str">
        <f aca="false">IF(D83="","",IFERROR(INDEX(ProjNumbers,MATCH(D83,ProjNames,0)),""))</f>
        <v/>
      </c>
      <c r="F83" s="8" t="str">
        <f aca="false">IF(D83="","",IFERROR(INDEX(ProjCodes,MATCH(D83,ProjNames,0)),""))</f>
        <v/>
      </c>
      <c r="G83" s="32"/>
      <c r="H83" s="11"/>
      <c r="I83" s="33"/>
      <c r="J83" s="8" t="str">
        <f aca="false">IF(COUNTA(B83,D83,G83,H83,I83)=0,"",IF(B83="","Enter date",IF(OR(B83&lt;$AC$2,B83&gt;$AC$3),"Date not in August",IF(D83="","Pick project",IF(ISNA(MATCH(D83,ProjNames,0)),"Project not in list",IF(G83="","Add task description",IF(H83="","Pick NTIME or P6",IF(N(I83)&lt;=0,"Enter hours",IF(AND(AllowOT&lt;&gt;"Yes",SUMIF($B$7:$B$256,B83,$I$7:$I$256)&gt;INDEX($O$58:$O$88,DAY(B83))),"Day over "&amp;INDEX($O$58:$O$88,DAY(B83))&amp;" h","✓")))))))))</f>
        <v/>
      </c>
      <c r="K83" s="1"/>
      <c r="L83" s="35" t="n">
        <v>46260</v>
      </c>
      <c r="M83" s="36" t="str">
        <f aca="false">TEXT(L83,"ddd")</f>
        <v>Wed</v>
      </c>
      <c r="N83" s="37" t="s">
        <v>93</v>
      </c>
      <c r="O83" s="37" t="n">
        <f aca="false">AvailHours</f>
        <v>8</v>
      </c>
      <c r="P83" s="24" t="n">
        <f aca="false">SUMIFS($I$7:$I$256,$B$7:$B$256,L83,$H$7:$H$256,"NTIME")</f>
        <v>0</v>
      </c>
      <c r="Q83" s="24" t="n">
        <f aca="false">SUMIFS($I$7:$I$256,$B$7:$B$256,L83,$H$7:$H$256,"P6")</f>
        <v>0</v>
      </c>
      <c r="R83" s="24" t="n">
        <f aca="false">IF(N83="Overhead only",O83,IF(AND(N83="Working",P83+Q83&gt;0),MAX(0,O83-P83-Q83),0))</f>
        <v>0</v>
      </c>
      <c r="S83" s="24" t="n">
        <f aca="false">IF(OR(N83="Working",N83="Overhead only"),MAX(0,P83+Q83-O83),0)</f>
        <v>0</v>
      </c>
      <c r="T83" s="24" t="n">
        <f aca="false">P83+Q83+R83</f>
        <v>0</v>
      </c>
      <c r="U83" s="24" t="str">
        <f aca="true">IF(N83="Working",IF(P83+Q83=0,IF(L83&lt;=TODAY(),"Not logged",""),IF(P83+Q83&gt;O83,IF(AllowOT="Yes","Overtime","Over "&amp;O83&amp;" h!"),"✓")),IF(N83="Overhead only","✓ Overhead day",IF(P83+Q83&gt;0,"Entries on "&amp;LOWER(N83)&amp;" day",N83)))</f>
        <v>Not logged</v>
      </c>
      <c r="V83" s="1"/>
      <c r="W83" s="1" t="str">
        <f aca="false">IF(Projects!B81="","",Projects!B81)</f>
        <v/>
      </c>
      <c r="X83" s="1" t="n">
        <f aca="false">IF(W83="",0,SUMIFS($I$7:$I$256,$D$7:$D$256,W83,$H$7:$H$256,"NTIME"))</f>
        <v>0</v>
      </c>
      <c r="Y83" s="1" t="n">
        <f aca="false">IF(W83="",0,SUMIFS($I$7:$I$256,$D$7:$D$256,W83,$H$7:$H$256,"P6"))</f>
        <v>0</v>
      </c>
      <c r="Z83" s="1" t="n">
        <f aca="false">X83+Y83</f>
        <v>0</v>
      </c>
      <c r="AA83" s="1" t="n">
        <f aca="false">IF(Z83&gt;0,Z83+(201-77)/10^6,0)</f>
        <v>0</v>
      </c>
      <c r="AB83" s="1"/>
      <c r="AC83" s="1"/>
      <c r="AD83" s="1"/>
      <c r="AE83" s="1"/>
      <c r="AF83" s="1"/>
      <c r="AG83" s="1"/>
      <c r="AH83" s="1"/>
    </row>
    <row r="84" customFormat="false" ht="15" hidden="false" customHeight="false" outlineLevel="0" collapsed="false">
      <c r="A84" s="1"/>
      <c r="B84" s="10"/>
      <c r="C84" s="31" t="str">
        <f aca="false">IF(B84="","",TEXT(B84,"ddd"))</f>
        <v/>
      </c>
      <c r="D84" s="11"/>
      <c r="E84" s="8" t="str">
        <f aca="false">IF(D84="","",IFERROR(INDEX(ProjNumbers,MATCH(D84,ProjNames,0)),""))</f>
        <v/>
      </c>
      <c r="F84" s="8" t="str">
        <f aca="false">IF(D84="","",IFERROR(INDEX(ProjCodes,MATCH(D84,ProjNames,0)),""))</f>
        <v/>
      </c>
      <c r="G84" s="32"/>
      <c r="H84" s="11"/>
      <c r="I84" s="33"/>
      <c r="J84" s="8" t="str">
        <f aca="false">IF(COUNTA(B84,D84,G84,H84,I84)=0,"",IF(B84="","Enter date",IF(OR(B84&lt;$AC$2,B84&gt;$AC$3),"Date not in August",IF(D84="","Pick project",IF(ISNA(MATCH(D84,ProjNames,0)),"Project not in list",IF(G84="","Add task description",IF(H84="","Pick NTIME or P6",IF(N(I84)&lt;=0,"Enter hours",IF(AND(AllowOT&lt;&gt;"Yes",SUMIF($B$7:$B$256,B84,$I$7:$I$256)&gt;INDEX($O$58:$O$88,DAY(B84))),"Day over "&amp;INDEX($O$58:$O$88,DAY(B84))&amp;" h","✓")))))))))</f>
        <v/>
      </c>
      <c r="K84" s="1"/>
      <c r="L84" s="35" t="n">
        <v>46261</v>
      </c>
      <c r="M84" s="36" t="str">
        <f aca="false">TEXT(L84,"ddd")</f>
        <v>Thu</v>
      </c>
      <c r="N84" s="37" t="s">
        <v>93</v>
      </c>
      <c r="O84" s="37" t="n">
        <f aca="false">AvailHours</f>
        <v>8</v>
      </c>
      <c r="P84" s="24" t="n">
        <f aca="false">SUMIFS($I$7:$I$256,$B$7:$B$256,L84,$H$7:$H$256,"NTIME")</f>
        <v>0</v>
      </c>
      <c r="Q84" s="24" t="n">
        <f aca="false">SUMIFS($I$7:$I$256,$B$7:$B$256,L84,$H$7:$H$256,"P6")</f>
        <v>0</v>
      </c>
      <c r="R84" s="24" t="n">
        <f aca="false">IF(N84="Overhead only",O84,IF(AND(N84="Working",P84+Q84&gt;0),MAX(0,O84-P84-Q84),0))</f>
        <v>0</v>
      </c>
      <c r="S84" s="24" t="n">
        <f aca="false">IF(OR(N84="Working",N84="Overhead only"),MAX(0,P84+Q84-O84),0)</f>
        <v>0</v>
      </c>
      <c r="T84" s="24" t="n">
        <f aca="false">P84+Q84+R84</f>
        <v>0</v>
      </c>
      <c r="U84" s="24" t="str">
        <f aca="true">IF(N84="Working",IF(P84+Q84=0,IF(L84&lt;=TODAY(),"Not logged",""),IF(P84+Q84&gt;O84,IF(AllowOT="Yes","Overtime","Over "&amp;O84&amp;" h!"),"✓")),IF(N84="Overhead only","✓ Overhead day",IF(P84+Q84&gt;0,"Entries on "&amp;LOWER(N84)&amp;" day",N84)))</f>
        <v>Not logged</v>
      </c>
      <c r="V84" s="1"/>
      <c r="W84" s="1" t="str">
        <f aca="false">IF(Projects!B82="","",Projects!B82)</f>
        <v/>
      </c>
      <c r="X84" s="1" t="n">
        <f aca="false">IF(W84="",0,SUMIFS($I$7:$I$256,$D$7:$D$256,W84,$H$7:$H$256,"NTIME"))</f>
        <v>0</v>
      </c>
      <c r="Y84" s="1" t="n">
        <f aca="false">IF(W84="",0,SUMIFS($I$7:$I$256,$D$7:$D$256,W84,$H$7:$H$256,"P6"))</f>
        <v>0</v>
      </c>
      <c r="Z84" s="1" t="n">
        <f aca="false">X84+Y84</f>
        <v>0</v>
      </c>
      <c r="AA84" s="1" t="n">
        <f aca="false">IF(Z84&gt;0,Z84+(201-78)/10^6,0)</f>
        <v>0</v>
      </c>
      <c r="AB84" s="1"/>
      <c r="AC84" s="1"/>
      <c r="AD84" s="1"/>
      <c r="AE84" s="1"/>
      <c r="AF84" s="1"/>
      <c r="AG84" s="1"/>
      <c r="AH84" s="1"/>
    </row>
    <row r="85" customFormat="false" ht="15" hidden="false" customHeight="false" outlineLevel="0" collapsed="false">
      <c r="A85" s="1"/>
      <c r="B85" s="10"/>
      <c r="C85" s="31" t="str">
        <f aca="false">IF(B85="","",TEXT(B85,"ddd"))</f>
        <v/>
      </c>
      <c r="D85" s="11"/>
      <c r="E85" s="8" t="str">
        <f aca="false">IF(D85="","",IFERROR(INDEX(ProjNumbers,MATCH(D85,ProjNames,0)),""))</f>
        <v/>
      </c>
      <c r="F85" s="8" t="str">
        <f aca="false">IF(D85="","",IFERROR(INDEX(ProjCodes,MATCH(D85,ProjNames,0)),""))</f>
        <v/>
      </c>
      <c r="G85" s="32"/>
      <c r="H85" s="11"/>
      <c r="I85" s="33"/>
      <c r="J85" s="8" t="str">
        <f aca="false">IF(COUNTA(B85,D85,G85,H85,I85)=0,"",IF(B85="","Enter date",IF(OR(B85&lt;$AC$2,B85&gt;$AC$3),"Date not in August",IF(D85="","Pick project",IF(ISNA(MATCH(D85,ProjNames,0)),"Project not in list",IF(G85="","Add task description",IF(H85="","Pick NTIME or P6",IF(N(I85)&lt;=0,"Enter hours",IF(AND(AllowOT&lt;&gt;"Yes",SUMIF($B$7:$B$256,B85,$I$7:$I$256)&gt;INDEX($O$58:$O$88,DAY(B85))),"Day over "&amp;INDEX($O$58:$O$88,DAY(B85))&amp;" h","✓")))))))))</f>
        <v/>
      </c>
      <c r="K85" s="1"/>
      <c r="L85" s="35" t="n">
        <v>46262</v>
      </c>
      <c r="M85" s="36" t="str">
        <f aca="false">TEXT(L85,"ddd")</f>
        <v>Fri</v>
      </c>
      <c r="N85" s="37" t="s">
        <v>93</v>
      </c>
      <c r="O85" s="37" t="n">
        <f aca="false">AvailHours</f>
        <v>8</v>
      </c>
      <c r="P85" s="24" t="n">
        <f aca="false">SUMIFS($I$7:$I$256,$B$7:$B$256,L85,$H$7:$H$256,"NTIME")</f>
        <v>0</v>
      </c>
      <c r="Q85" s="24" t="n">
        <f aca="false">SUMIFS($I$7:$I$256,$B$7:$B$256,L85,$H$7:$H$256,"P6")</f>
        <v>0</v>
      </c>
      <c r="R85" s="24" t="n">
        <f aca="false">IF(N85="Overhead only",O85,IF(AND(N85="Working",P85+Q85&gt;0),MAX(0,O85-P85-Q85),0))</f>
        <v>0</v>
      </c>
      <c r="S85" s="24" t="n">
        <f aca="false">IF(OR(N85="Working",N85="Overhead only"),MAX(0,P85+Q85-O85),0)</f>
        <v>0</v>
      </c>
      <c r="T85" s="24" t="n">
        <f aca="false">P85+Q85+R85</f>
        <v>0</v>
      </c>
      <c r="U85" s="24" t="str">
        <f aca="true">IF(N85="Working",IF(P85+Q85=0,IF(L85&lt;=TODAY(),"Not logged",""),IF(P85+Q85&gt;O85,IF(AllowOT="Yes","Overtime","Over "&amp;O85&amp;" h!"),"✓")),IF(N85="Overhead only","✓ Overhead day",IF(P85+Q85&gt;0,"Entries on "&amp;LOWER(N85)&amp;" day",N85)))</f>
        <v>Not logged</v>
      </c>
      <c r="V85" s="1"/>
      <c r="W85" s="1" t="str">
        <f aca="false">IF(Projects!B83="","",Projects!B83)</f>
        <v/>
      </c>
      <c r="X85" s="1" t="n">
        <f aca="false">IF(W85="",0,SUMIFS($I$7:$I$256,$D$7:$D$256,W85,$H$7:$H$256,"NTIME"))</f>
        <v>0</v>
      </c>
      <c r="Y85" s="1" t="n">
        <f aca="false">IF(W85="",0,SUMIFS($I$7:$I$256,$D$7:$D$256,W85,$H$7:$H$256,"P6"))</f>
        <v>0</v>
      </c>
      <c r="Z85" s="1" t="n">
        <f aca="false">X85+Y85</f>
        <v>0</v>
      </c>
      <c r="AA85" s="1" t="n">
        <f aca="false">IF(Z85&gt;0,Z85+(201-79)/10^6,0)</f>
        <v>0</v>
      </c>
      <c r="AB85" s="1"/>
      <c r="AC85" s="1"/>
      <c r="AD85" s="1"/>
      <c r="AE85" s="1"/>
      <c r="AF85" s="1"/>
      <c r="AG85" s="1"/>
      <c r="AH85" s="1"/>
    </row>
    <row r="86" customFormat="false" ht="15" hidden="false" customHeight="false" outlineLevel="0" collapsed="false">
      <c r="A86" s="1"/>
      <c r="B86" s="10"/>
      <c r="C86" s="31" t="str">
        <f aca="false">IF(B86="","",TEXT(B86,"ddd"))</f>
        <v/>
      </c>
      <c r="D86" s="11"/>
      <c r="E86" s="8" t="str">
        <f aca="false">IF(D86="","",IFERROR(INDEX(ProjNumbers,MATCH(D86,ProjNames,0)),""))</f>
        <v/>
      </c>
      <c r="F86" s="8" t="str">
        <f aca="false">IF(D86="","",IFERROR(INDEX(ProjCodes,MATCH(D86,ProjNames,0)),""))</f>
        <v/>
      </c>
      <c r="G86" s="32"/>
      <c r="H86" s="11"/>
      <c r="I86" s="33"/>
      <c r="J86" s="8" t="str">
        <f aca="false">IF(COUNTA(B86,D86,G86,H86,I86)=0,"",IF(B86="","Enter date",IF(OR(B86&lt;$AC$2,B86&gt;$AC$3),"Date not in August",IF(D86="","Pick project",IF(ISNA(MATCH(D86,ProjNames,0)),"Project not in list",IF(G86="","Add task description",IF(H86="","Pick NTIME or P6",IF(N(I86)&lt;=0,"Enter hours",IF(AND(AllowOT&lt;&gt;"Yes",SUMIF($B$7:$B$256,B86,$I$7:$I$256)&gt;INDEX($O$58:$O$88,DAY(B86))),"Day over "&amp;INDEX($O$58:$O$88,DAY(B86))&amp;" h","✓")))))))))</f>
        <v/>
      </c>
      <c r="K86" s="1"/>
      <c r="L86" s="35" t="n">
        <v>46263</v>
      </c>
      <c r="M86" s="36" t="str">
        <f aca="false">TEXT(L86,"ddd")</f>
        <v>Sat</v>
      </c>
      <c r="N86" s="37" t="s">
        <v>94</v>
      </c>
      <c r="O86" s="37" t="n">
        <f aca="false">AvailHours</f>
        <v>8</v>
      </c>
      <c r="P86" s="24" t="n">
        <f aca="false">SUMIFS($I$7:$I$256,$B$7:$B$256,L86,$H$7:$H$256,"NTIME")</f>
        <v>0</v>
      </c>
      <c r="Q86" s="24" t="n">
        <f aca="false">SUMIFS($I$7:$I$256,$B$7:$B$256,L86,$H$7:$H$256,"P6")</f>
        <v>0</v>
      </c>
      <c r="R86" s="24" t="n">
        <f aca="false">IF(N86="Overhead only",O86,IF(AND(N86="Working",P86+Q86&gt;0),MAX(0,O86-P86-Q86),0))</f>
        <v>0</v>
      </c>
      <c r="S86" s="24" t="n">
        <f aca="false">IF(OR(N86="Working",N86="Overhead only"),MAX(0,P86+Q86-O86),0)</f>
        <v>0</v>
      </c>
      <c r="T86" s="24" t="n">
        <f aca="false">P86+Q86+R86</f>
        <v>0</v>
      </c>
      <c r="U86" s="24" t="str">
        <f aca="true">IF(N86="Working",IF(P86+Q86=0,IF(L86&lt;=TODAY(),"Not logged",""),IF(P86+Q86&gt;O86,IF(AllowOT="Yes","Overtime","Over "&amp;O86&amp;" h!"),"✓")),IF(N86="Overhead only","✓ Overhead day",IF(P86+Q86&gt;0,"Entries on "&amp;LOWER(N86)&amp;" day",N86)))</f>
        <v>Weekend</v>
      </c>
      <c r="V86" s="1"/>
      <c r="W86" s="1" t="str">
        <f aca="false">IF(Projects!B84="","",Projects!B84)</f>
        <v/>
      </c>
      <c r="X86" s="1" t="n">
        <f aca="false">IF(W86="",0,SUMIFS($I$7:$I$256,$D$7:$D$256,W86,$H$7:$H$256,"NTIME"))</f>
        <v>0</v>
      </c>
      <c r="Y86" s="1" t="n">
        <f aca="false">IF(W86="",0,SUMIFS($I$7:$I$256,$D$7:$D$256,W86,$H$7:$H$256,"P6"))</f>
        <v>0</v>
      </c>
      <c r="Z86" s="1" t="n">
        <f aca="false">X86+Y86</f>
        <v>0</v>
      </c>
      <c r="AA86" s="1" t="n">
        <f aca="false">IF(Z86&gt;0,Z86+(201-80)/10^6,0)</f>
        <v>0</v>
      </c>
      <c r="AB86" s="1"/>
      <c r="AC86" s="1"/>
      <c r="AD86" s="1"/>
      <c r="AE86" s="1"/>
      <c r="AF86" s="1"/>
      <c r="AG86" s="1"/>
      <c r="AH86" s="1"/>
    </row>
    <row r="87" customFormat="false" ht="15" hidden="false" customHeight="false" outlineLevel="0" collapsed="false">
      <c r="A87" s="1"/>
      <c r="B87" s="10"/>
      <c r="C87" s="31" t="str">
        <f aca="false">IF(B87="","",TEXT(B87,"ddd"))</f>
        <v/>
      </c>
      <c r="D87" s="11"/>
      <c r="E87" s="8" t="str">
        <f aca="false">IF(D87="","",IFERROR(INDEX(ProjNumbers,MATCH(D87,ProjNames,0)),""))</f>
        <v/>
      </c>
      <c r="F87" s="8" t="str">
        <f aca="false">IF(D87="","",IFERROR(INDEX(ProjCodes,MATCH(D87,ProjNames,0)),""))</f>
        <v/>
      </c>
      <c r="G87" s="32"/>
      <c r="H87" s="11"/>
      <c r="I87" s="33"/>
      <c r="J87" s="8" t="str">
        <f aca="false">IF(COUNTA(B87,D87,G87,H87,I87)=0,"",IF(B87="","Enter date",IF(OR(B87&lt;$AC$2,B87&gt;$AC$3),"Date not in August",IF(D87="","Pick project",IF(ISNA(MATCH(D87,ProjNames,0)),"Project not in list",IF(G87="","Add task description",IF(H87="","Pick NTIME or P6",IF(N(I87)&lt;=0,"Enter hours",IF(AND(AllowOT&lt;&gt;"Yes",SUMIF($B$7:$B$256,B87,$I$7:$I$256)&gt;INDEX($O$58:$O$88,DAY(B87))),"Day over "&amp;INDEX($O$58:$O$88,DAY(B87))&amp;" h","✓")))))))))</f>
        <v/>
      </c>
      <c r="K87" s="1"/>
      <c r="L87" s="35" t="n">
        <v>46264</v>
      </c>
      <c r="M87" s="36" t="str">
        <f aca="false">TEXT(L87,"ddd")</f>
        <v>Sun</v>
      </c>
      <c r="N87" s="37" t="s">
        <v>94</v>
      </c>
      <c r="O87" s="37" t="n">
        <f aca="false">AvailHours</f>
        <v>8</v>
      </c>
      <c r="P87" s="24" t="n">
        <f aca="false">SUMIFS($I$7:$I$256,$B$7:$B$256,L87,$H$7:$H$256,"NTIME")</f>
        <v>0</v>
      </c>
      <c r="Q87" s="24" t="n">
        <f aca="false">SUMIFS($I$7:$I$256,$B$7:$B$256,L87,$H$7:$H$256,"P6")</f>
        <v>0</v>
      </c>
      <c r="R87" s="24" t="n">
        <f aca="false">IF(N87="Overhead only",O87,IF(AND(N87="Working",P87+Q87&gt;0),MAX(0,O87-P87-Q87),0))</f>
        <v>0</v>
      </c>
      <c r="S87" s="24" t="n">
        <f aca="false">IF(OR(N87="Working",N87="Overhead only"),MAX(0,P87+Q87-O87),0)</f>
        <v>0</v>
      </c>
      <c r="T87" s="24" t="n">
        <f aca="false">P87+Q87+R87</f>
        <v>0</v>
      </c>
      <c r="U87" s="24" t="str">
        <f aca="true">IF(N87="Working",IF(P87+Q87=0,IF(L87&lt;=TODAY(),"Not logged",""),IF(P87+Q87&gt;O87,IF(AllowOT="Yes","Overtime","Over "&amp;O87&amp;" h!"),"✓")),IF(N87="Overhead only","✓ Overhead day",IF(P87+Q87&gt;0,"Entries on "&amp;LOWER(N87)&amp;" day",N87)))</f>
        <v>Weekend</v>
      </c>
      <c r="V87" s="1"/>
      <c r="W87" s="1" t="str">
        <f aca="false">IF(Projects!B85="","",Projects!B85)</f>
        <v/>
      </c>
      <c r="X87" s="1" t="n">
        <f aca="false">IF(W87="",0,SUMIFS($I$7:$I$256,$D$7:$D$256,W87,$H$7:$H$256,"NTIME"))</f>
        <v>0</v>
      </c>
      <c r="Y87" s="1" t="n">
        <f aca="false">IF(W87="",0,SUMIFS($I$7:$I$256,$D$7:$D$256,W87,$H$7:$H$256,"P6"))</f>
        <v>0</v>
      </c>
      <c r="Z87" s="1" t="n">
        <f aca="false">X87+Y87</f>
        <v>0</v>
      </c>
      <c r="AA87" s="1" t="n">
        <f aca="false">IF(Z87&gt;0,Z87+(201-81)/10^6,0)</f>
        <v>0</v>
      </c>
      <c r="AB87" s="1"/>
      <c r="AC87" s="1"/>
      <c r="AD87" s="1"/>
      <c r="AE87" s="1"/>
      <c r="AF87" s="1"/>
      <c r="AG87" s="1"/>
      <c r="AH87" s="1"/>
    </row>
    <row r="88" customFormat="false" ht="15" hidden="false" customHeight="false" outlineLevel="0" collapsed="false">
      <c r="A88" s="1"/>
      <c r="B88" s="10"/>
      <c r="C88" s="31" t="str">
        <f aca="false">IF(B88="","",TEXT(B88,"ddd"))</f>
        <v/>
      </c>
      <c r="D88" s="11"/>
      <c r="E88" s="8" t="str">
        <f aca="false">IF(D88="","",IFERROR(INDEX(ProjNumbers,MATCH(D88,ProjNames,0)),""))</f>
        <v/>
      </c>
      <c r="F88" s="8" t="str">
        <f aca="false">IF(D88="","",IFERROR(INDEX(ProjCodes,MATCH(D88,ProjNames,0)),""))</f>
        <v/>
      </c>
      <c r="G88" s="32"/>
      <c r="H88" s="11"/>
      <c r="I88" s="33"/>
      <c r="J88" s="8" t="str">
        <f aca="false">IF(COUNTA(B88,D88,G88,H88,I88)=0,"",IF(B88="","Enter date",IF(OR(B88&lt;$AC$2,B88&gt;$AC$3),"Date not in August",IF(D88="","Pick project",IF(ISNA(MATCH(D88,ProjNames,0)),"Project not in list",IF(G88="","Add task description",IF(H88="","Pick NTIME or P6",IF(N(I88)&lt;=0,"Enter hours",IF(AND(AllowOT&lt;&gt;"Yes",SUMIF($B$7:$B$256,B88,$I$7:$I$256)&gt;INDEX($O$58:$O$88,DAY(B88))),"Day over "&amp;INDEX($O$58:$O$88,DAY(B88))&amp;" h","✓")))))))))</f>
        <v/>
      </c>
      <c r="K88" s="1"/>
      <c r="L88" s="35" t="n">
        <v>46265</v>
      </c>
      <c r="M88" s="36" t="str">
        <f aca="false">TEXT(L88,"ddd")</f>
        <v>Mon</v>
      </c>
      <c r="N88" s="37" t="s">
        <v>93</v>
      </c>
      <c r="O88" s="37" t="n">
        <f aca="false">AvailHours</f>
        <v>8</v>
      </c>
      <c r="P88" s="24" t="n">
        <f aca="false">SUMIFS($I$7:$I$256,$B$7:$B$256,L88,$H$7:$H$256,"NTIME")</f>
        <v>0</v>
      </c>
      <c r="Q88" s="24" t="n">
        <f aca="false">SUMIFS($I$7:$I$256,$B$7:$B$256,L88,$H$7:$H$256,"P6")</f>
        <v>0</v>
      </c>
      <c r="R88" s="24" t="n">
        <f aca="false">IF(N88="Overhead only",O88,IF(AND(N88="Working",P88+Q88&gt;0),MAX(0,O88-P88-Q88),0))</f>
        <v>0</v>
      </c>
      <c r="S88" s="24" t="n">
        <f aca="false">IF(OR(N88="Working",N88="Overhead only"),MAX(0,P88+Q88-O88),0)</f>
        <v>0</v>
      </c>
      <c r="T88" s="24" t="n">
        <f aca="false">P88+Q88+R88</f>
        <v>0</v>
      </c>
      <c r="U88" s="24" t="str">
        <f aca="true">IF(N88="Working",IF(P88+Q88=0,IF(L88&lt;=TODAY(),"Not logged",""),IF(P88+Q88&gt;O88,IF(AllowOT="Yes","Overtime","Over "&amp;O88&amp;" h!"),"✓")),IF(N88="Overhead only","✓ Overhead day",IF(P88+Q88&gt;0,"Entries on "&amp;LOWER(N88)&amp;" day",N88)))</f>
        <v>Not logged</v>
      </c>
      <c r="V88" s="1"/>
      <c r="W88" s="1" t="str">
        <f aca="false">IF(Projects!B86="","",Projects!B86)</f>
        <v/>
      </c>
      <c r="X88" s="1" t="n">
        <f aca="false">IF(W88="",0,SUMIFS($I$7:$I$256,$D$7:$D$256,W88,$H$7:$H$256,"NTIME"))</f>
        <v>0</v>
      </c>
      <c r="Y88" s="1" t="n">
        <f aca="false">IF(W88="",0,SUMIFS($I$7:$I$256,$D$7:$D$256,W88,$H$7:$H$256,"P6"))</f>
        <v>0</v>
      </c>
      <c r="Z88" s="1" t="n">
        <f aca="false">X88+Y88</f>
        <v>0</v>
      </c>
      <c r="AA88" s="1" t="n">
        <f aca="false">IF(Z88&gt;0,Z88+(201-82)/10^6,0)</f>
        <v>0</v>
      </c>
      <c r="AB88" s="1"/>
      <c r="AC88" s="1"/>
      <c r="AD88" s="1"/>
      <c r="AE88" s="1"/>
      <c r="AF88" s="1"/>
      <c r="AG88" s="1"/>
      <c r="AH88" s="1"/>
    </row>
    <row r="89" customFormat="false" ht="15" hidden="false" customHeight="false" outlineLevel="0" collapsed="false">
      <c r="A89" s="1"/>
      <c r="B89" s="10"/>
      <c r="C89" s="31" t="str">
        <f aca="false">IF(B89="","",TEXT(B89,"ddd"))</f>
        <v/>
      </c>
      <c r="D89" s="11"/>
      <c r="E89" s="8" t="str">
        <f aca="false">IF(D89="","",IFERROR(INDEX(ProjNumbers,MATCH(D89,ProjNames,0)),""))</f>
        <v/>
      </c>
      <c r="F89" s="8" t="str">
        <f aca="false">IF(D89="","",IFERROR(INDEX(ProjCodes,MATCH(D89,ProjNames,0)),""))</f>
        <v/>
      </c>
      <c r="G89" s="32"/>
      <c r="H89" s="11"/>
      <c r="I89" s="33"/>
      <c r="J89" s="8" t="str">
        <f aca="false">IF(COUNTA(B89,D89,G89,H89,I89)=0,"",IF(B89="","Enter date",IF(OR(B89&lt;$AC$2,B89&gt;$AC$3),"Date not in August",IF(D89="","Pick project",IF(ISNA(MATCH(D89,ProjNames,0)),"Project not in list",IF(G89="","Add task description",IF(H89="","Pick NTIME or P6",IF(N(I89)&lt;=0,"Enter hours",IF(AND(AllowOT&lt;&gt;"Yes",SUMIF($B$7:$B$256,B89,$I$7:$I$256)&gt;INDEX($O$58:$O$88,DAY(B89))),"Day over "&amp;INDEX($O$58:$O$88,DAY(B89))&amp;" h","✓")))))))))</f>
        <v/>
      </c>
      <c r="K89" s="1"/>
      <c r="L89" s="27" t="s">
        <v>84</v>
      </c>
      <c r="M89" s="27"/>
      <c r="N89" s="27"/>
      <c r="O89" s="27"/>
      <c r="P89" s="27" t="n">
        <f aca="false">SUM(P58:P88)</f>
        <v>0</v>
      </c>
      <c r="Q89" s="27" t="n">
        <f aca="false">SUM(Q58:Q88)</f>
        <v>0</v>
      </c>
      <c r="R89" s="27" t="n">
        <f aca="false">SUM(R58:R88)</f>
        <v>0</v>
      </c>
      <c r="S89" s="27" t="n">
        <f aca="false">SUM(S58:S88)</f>
        <v>0</v>
      </c>
      <c r="T89" s="27" t="n">
        <f aca="false">SUM(T58:T88)</f>
        <v>0</v>
      </c>
      <c r="U89" s="27"/>
      <c r="V89" s="1"/>
      <c r="W89" s="1" t="str">
        <f aca="false">IF(Projects!B87="","",Projects!B87)</f>
        <v/>
      </c>
      <c r="X89" s="1" t="n">
        <f aca="false">IF(W89="",0,SUMIFS($I$7:$I$256,$D$7:$D$256,W89,$H$7:$H$256,"NTIME"))</f>
        <v>0</v>
      </c>
      <c r="Y89" s="1" t="n">
        <f aca="false">IF(W89="",0,SUMIFS($I$7:$I$256,$D$7:$D$256,W89,$H$7:$H$256,"P6"))</f>
        <v>0</v>
      </c>
      <c r="Z89" s="1" t="n">
        <f aca="false">X89+Y89</f>
        <v>0</v>
      </c>
      <c r="AA89" s="1" t="n">
        <f aca="false">IF(Z89&gt;0,Z89+(201-83)/10^6,0)</f>
        <v>0</v>
      </c>
      <c r="AB89" s="1"/>
      <c r="AC89" s="1"/>
      <c r="AD89" s="1"/>
      <c r="AE89" s="1"/>
      <c r="AF89" s="1"/>
      <c r="AG89" s="1"/>
      <c r="AH89" s="1"/>
    </row>
    <row r="90" customFormat="false" ht="15" hidden="false" customHeight="false" outlineLevel="0" collapsed="false">
      <c r="A90" s="1"/>
      <c r="B90" s="10"/>
      <c r="C90" s="31" t="str">
        <f aca="false">IF(B90="","",TEXT(B90,"ddd"))</f>
        <v/>
      </c>
      <c r="D90" s="11"/>
      <c r="E90" s="8" t="str">
        <f aca="false">IF(D90="","",IFERROR(INDEX(ProjNumbers,MATCH(D90,ProjNames,0)),""))</f>
        <v/>
      </c>
      <c r="F90" s="8" t="str">
        <f aca="false">IF(D90="","",IFERROR(INDEX(ProjCodes,MATCH(D90,ProjNames,0)),""))</f>
        <v/>
      </c>
      <c r="G90" s="32"/>
      <c r="H90" s="11"/>
      <c r="I90" s="33"/>
      <c r="J90" s="8" t="str">
        <f aca="false">IF(COUNTA(B90,D90,G90,H90,I90)=0,"",IF(B90="","Enter date",IF(OR(B90&lt;$AC$2,B90&gt;$AC$3),"Date not in August",IF(D90="","Pick project",IF(ISNA(MATCH(D90,ProjNames,0)),"Project not in list",IF(G90="","Add task description",IF(H90="","Pick NTIME or P6",IF(N(I90)&lt;=0,"Enter hours",IF(AND(AllowOT&lt;&gt;"Yes",SUMIF($B$7:$B$256,B90,$I$7:$I$256)&gt;INDEX($O$58:$O$88,DAY(B90))),"Day over "&amp;INDEX($O$58:$O$88,DAY(B90))&amp;" h","✓")))))))))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tr">
        <f aca="false">IF(Projects!B88="","",Projects!B88)</f>
        <v/>
      </c>
      <c r="X90" s="1" t="n">
        <f aca="false">IF(W90="",0,SUMIFS($I$7:$I$256,$D$7:$D$256,W90,$H$7:$H$256,"NTIME"))</f>
        <v>0</v>
      </c>
      <c r="Y90" s="1" t="n">
        <f aca="false">IF(W90="",0,SUMIFS($I$7:$I$256,$D$7:$D$256,W90,$H$7:$H$256,"P6"))</f>
        <v>0</v>
      </c>
      <c r="Z90" s="1" t="n">
        <f aca="false">X90+Y90</f>
        <v>0</v>
      </c>
      <c r="AA90" s="1" t="n">
        <f aca="false">IF(Z90&gt;0,Z90+(201-84)/10^6,0)</f>
        <v>0</v>
      </c>
      <c r="AB90" s="1"/>
      <c r="AC90" s="1"/>
      <c r="AD90" s="1"/>
      <c r="AE90" s="1"/>
      <c r="AF90" s="1"/>
      <c r="AG90" s="1"/>
      <c r="AH90" s="1"/>
    </row>
    <row r="91" customFormat="false" ht="15" hidden="false" customHeight="false" outlineLevel="0" collapsed="false">
      <c r="A91" s="1"/>
      <c r="B91" s="10"/>
      <c r="C91" s="31" t="str">
        <f aca="false">IF(B91="","",TEXT(B91,"ddd"))</f>
        <v/>
      </c>
      <c r="D91" s="11"/>
      <c r="E91" s="8" t="str">
        <f aca="false">IF(D91="","",IFERROR(INDEX(ProjNumbers,MATCH(D91,ProjNames,0)),""))</f>
        <v/>
      </c>
      <c r="F91" s="8" t="str">
        <f aca="false">IF(D91="","",IFERROR(INDEX(ProjCodes,MATCH(D91,ProjNames,0)),""))</f>
        <v/>
      </c>
      <c r="G91" s="32"/>
      <c r="H91" s="11"/>
      <c r="I91" s="33"/>
      <c r="J91" s="8" t="str">
        <f aca="false">IF(COUNTA(B91,D91,G91,H91,I91)=0,"",IF(B91="","Enter date",IF(OR(B91&lt;$AC$2,B91&gt;$AC$3),"Date not in August",IF(D91="","Pick project",IF(ISNA(MATCH(D91,ProjNames,0)),"Project not in list",IF(G91="","Add task description",IF(H91="","Pick NTIME or P6",IF(N(I91)&lt;=0,"Enter hours",IF(AND(AllowOT&lt;&gt;"Yes",SUMIF($B$7:$B$256,B91,$I$7:$I$256)&gt;INDEX($O$58:$O$88,DAY(B91))),"Day over "&amp;INDEX($O$58:$O$88,DAY(B91))&amp;" h","✓")))))))))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tr">
        <f aca="false">IF(Projects!B89="","",Projects!B89)</f>
        <v/>
      </c>
      <c r="X91" s="1" t="n">
        <f aca="false">IF(W91="",0,SUMIFS($I$7:$I$256,$D$7:$D$256,W91,$H$7:$H$256,"NTIME"))</f>
        <v>0</v>
      </c>
      <c r="Y91" s="1" t="n">
        <f aca="false">IF(W91="",0,SUMIFS($I$7:$I$256,$D$7:$D$256,W91,$H$7:$H$256,"P6"))</f>
        <v>0</v>
      </c>
      <c r="Z91" s="1" t="n">
        <f aca="false">X91+Y91</f>
        <v>0</v>
      </c>
      <c r="AA91" s="1" t="n">
        <f aca="false">IF(Z91&gt;0,Z91+(201-85)/10^6,0)</f>
        <v>0</v>
      </c>
      <c r="AB91" s="1"/>
      <c r="AC91" s="1"/>
      <c r="AD91" s="1"/>
      <c r="AE91" s="1"/>
      <c r="AF91" s="1"/>
      <c r="AG91" s="1"/>
      <c r="AH91" s="1"/>
    </row>
    <row r="92" customFormat="false" ht="15" hidden="false" customHeight="false" outlineLevel="0" collapsed="false">
      <c r="A92" s="1"/>
      <c r="B92" s="10"/>
      <c r="C92" s="31" t="str">
        <f aca="false">IF(B92="","",TEXT(B92,"ddd"))</f>
        <v/>
      </c>
      <c r="D92" s="11"/>
      <c r="E92" s="8" t="str">
        <f aca="false">IF(D92="","",IFERROR(INDEX(ProjNumbers,MATCH(D92,ProjNames,0)),""))</f>
        <v/>
      </c>
      <c r="F92" s="8" t="str">
        <f aca="false">IF(D92="","",IFERROR(INDEX(ProjCodes,MATCH(D92,ProjNames,0)),""))</f>
        <v/>
      </c>
      <c r="G92" s="32"/>
      <c r="H92" s="11"/>
      <c r="I92" s="33"/>
      <c r="J92" s="8" t="str">
        <f aca="false">IF(COUNTA(B92,D92,G92,H92,I92)=0,"",IF(B92="","Enter date",IF(OR(B92&lt;$AC$2,B92&gt;$AC$3),"Date not in August",IF(D92="","Pick project",IF(ISNA(MATCH(D92,ProjNames,0)),"Project not in list",IF(G92="","Add task description",IF(H92="","Pick NTIME or P6",IF(N(I92)&lt;=0,"Enter hours",IF(AND(AllowOT&lt;&gt;"Yes",SUMIF($B$7:$B$256,B92,$I$7:$I$256)&gt;INDEX($O$58:$O$88,DAY(B92))),"Day over "&amp;INDEX($O$58:$O$88,DAY(B92))&amp;" h","✓")))))))))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tr">
        <f aca="false">IF(Projects!B90="","",Projects!B90)</f>
        <v/>
      </c>
      <c r="X92" s="1" t="n">
        <f aca="false">IF(W92="",0,SUMIFS($I$7:$I$256,$D$7:$D$256,W92,$H$7:$H$256,"NTIME"))</f>
        <v>0</v>
      </c>
      <c r="Y92" s="1" t="n">
        <f aca="false">IF(W92="",0,SUMIFS($I$7:$I$256,$D$7:$D$256,W92,$H$7:$H$256,"P6"))</f>
        <v>0</v>
      </c>
      <c r="Z92" s="1" t="n">
        <f aca="false">X92+Y92</f>
        <v>0</v>
      </c>
      <c r="AA92" s="1" t="n">
        <f aca="false">IF(Z92&gt;0,Z92+(201-86)/10^6,0)</f>
        <v>0</v>
      </c>
      <c r="AB92" s="1"/>
      <c r="AC92" s="1"/>
      <c r="AD92" s="1"/>
      <c r="AE92" s="1"/>
      <c r="AF92" s="1"/>
      <c r="AG92" s="1"/>
      <c r="AH92" s="1"/>
    </row>
    <row r="93" customFormat="false" ht="15" hidden="false" customHeight="false" outlineLevel="0" collapsed="false">
      <c r="A93" s="1"/>
      <c r="B93" s="10"/>
      <c r="C93" s="31" t="str">
        <f aca="false">IF(B93="","",TEXT(B93,"ddd"))</f>
        <v/>
      </c>
      <c r="D93" s="11"/>
      <c r="E93" s="8" t="str">
        <f aca="false">IF(D93="","",IFERROR(INDEX(ProjNumbers,MATCH(D93,ProjNames,0)),""))</f>
        <v/>
      </c>
      <c r="F93" s="8" t="str">
        <f aca="false">IF(D93="","",IFERROR(INDEX(ProjCodes,MATCH(D93,ProjNames,0)),""))</f>
        <v/>
      </c>
      <c r="G93" s="32"/>
      <c r="H93" s="11"/>
      <c r="I93" s="33"/>
      <c r="J93" s="8" t="str">
        <f aca="false">IF(COUNTA(B93,D93,G93,H93,I93)=0,"",IF(B93="","Enter date",IF(OR(B93&lt;$AC$2,B93&gt;$AC$3),"Date not in August",IF(D93="","Pick project",IF(ISNA(MATCH(D93,ProjNames,0)),"Project not in list",IF(G93="","Add task description",IF(H93="","Pick NTIME or P6",IF(N(I93)&lt;=0,"Enter hours",IF(AND(AllowOT&lt;&gt;"Yes",SUMIF($B$7:$B$256,B93,$I$7:$I$256)&gt;INDEX($O$58:$O$88,DAY(B93))),"Day over "&amp;INDEX($O$58:$O$88,DAY(B93))&amp;" h","✓")))))))))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tr">
        <f aca="false">IF(Projects!B91="","",Projects!B91)</f>
        <v/>
      </c>
      <c r="X93" s="1" t="n">
        <f aca="false">IF(W93="",0,SUMIFS($I$7:$I$256,$D$7:$D$256,W93,$H$7:$H$256,"NTIME"))</f>
        <v>0</v>
      </c>
      <c r="Y93" s="1" t="n">
        <f aca="false">IF(W93="",0,SUMIFS($I$7:$I$256,$D$7:$D$256,W93,$H$7:$H$256,"P6"))</f>
        <v>0</v>
      </c>
      <c r="Z93" s="1" t="n">
        <f aca="false">X93+Y93</f>
        <v>0</v>
      </c>
      <c r="AA93" s="1" t="n">
        <f aca="false">IF(Z93&gt;0,Z93+(201-87)/10^6,0)</f>
        <v>0</v>
      </c>
      <c r="AB93" s="1"/>
      <c r="AC93" s="1"/>
      <c r="AD93" s="1"/>
      <c r="AE93" s="1"/>
      <c r="AF93" s="1"/>
      <c r="AG93" s="1"/>
      <c r="AH93" s="1"/>
    </row>
    <row r="94" customFormat="false" ht="15" hidden="false" customHeight="false" outlineLevel="0" collapsed="false">
      <c r="A94" s="1"/>
      <c r="B94" s="10"/>
      <c r="C94" s="31" t="str">
        <f aca="false">IF(B94="","",TEXT(B94,"ddd"))</f>
        <v/>
      </c>
      <c r="D94" s="11"/>
      <c r="E94" s="8" t="str">
        <f aca="false">IF(D94="","",IFERROR(INDEX(ProjNumbers,MATCH(D94,ProjNames,0)),""))</f>
        <v/>
      </c>
      <c r="F94" s="8" t="str">
        <f aca="false">IF(D94="","",IFERROR(INDEX(ProjCodes,MATCH(D94,ProjNames,0)),""))</f>
        <v/>
      </c>
      <c r="G94" s="32"/>
      <c r="H94" s="11"/>
      <c r="I94" s="33"/>
      <c r="J94" s="8" t="str">
        <f aca="false">IF(COUNTA(B94,D94,G94,H94,I94)=0,"",IF(B94="","Enter date",IF(OR(B94&lt;$AC$2,B94&gt;$AC$3),"Date not in August",IF(D94="","Pick project",IF(ISNA(MATCH(D94,ProjNames,0)),"Project not in list",IF(G94="","Add task description",IF(H94="","Pick NTIME or P6",IF(N(I94)&lt;=0,"Enter hours",IF(AND(AllowOT&lt;&gt;"Yes",SUMIF($B$7:$B$256,B94,$I$7:$I$256)&gt;INDEX($O$58:$O$88,DAY(B94))),"Day over "&amp;INDEX($O$58:$O$88,DAY(B94))&amp;" h","✓")))))))))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tr">
        <f aca="false">IF(Projects!B92="","",Projects!B92)</f>
        <v/>
      </c>
      <c r="X94" s="1" t="n">
        <f aca="false">IF(W94="",0,SUMIFS($I$7:$I$256,$D$7:$D$256,W94,$H$7:$H$256,"NTIME"))</f>
        <v>0</v>
      </c>
      <c r="Y94" s="1" t="n">
        <f aca="false">IF(W94="",0,SUMIFS($I$7:$I$256,$D$7:$D$256,W94,$H$7:$H$256,"P6"))</f>
        <v>0</v>
      </c>
      <c r="Z94" s="1" t="n">
        <f aca="false">X94+Y94</f>
        <v>0</v>
      </c>
      <c r="AA94" s="1" t="n">
        <f aca="false">IF(Z94&gt;0,Z94+(201-88)/10^6,0)</f>
        <v>0</v>
      </c>
      <c r="AB94" s="1"/>
      <c r="AC94" s="1"/>
      <c r="AD94" s="1"/>
      <c r="AE94" s="1"/>
      <c r="AF94" s="1"/>
      <c r="AG94" s="1"/>
      <c r="AH94" s="1"/>
    </row>
    <row r="95" customFormat="false" ht="15" hidden="false" customHeight="false" outlineLevel="0" collapsed="false">
      <c r="A95" s="1"/>
      <c r="B95" s="10"/>
      <c r="C95" s="31" t="str">
        <f aca="false">IF(B95="","",TEXT(B95,"ddd"))</f>
        <v/>
      </c>
      <c r="D95" s="11"/>
      <c r="E95" s="8" t="str">
        <f aca="false">IF(D95="","",IFERROR(INDEX(ProjNumbers,MATCH(D95,ProjNames,0)),""))</f>
        <v/>
      </c>
      <c r="F95" s="8" t="str">
        <f aca="false">IF(D95="","",IFERROR(INDEX(ProjCodes,MATCH(D95,ProjNames,0)),""))</f>
        <v/>
      </c>
      <c r="G95" s="32"/>
      <c r="H95" s="11"/>
      <c r="I95" s="33"/>
      <c r="J95" s="8" t="str">
        <f aca="false">IF(COUNTA(B95,D95,G95,H95,I95)=0,"",IF(B95="","Enter date",IF(OR(B95&lt;$AC$2,B95&gt;$AC$3),"Date not in August",IF(D95="","Pick project",IF(ISNA(MATCH(D95,ProjNames,0)),"Project not in list",IF(G95="","Add task description",IF(H95="","Pick NTIME or P6",IF(N(I95)&lt;=0,"Enter hours",IF(AND(AllowOT&lt;&gt;"Yes",SUMIF($B$7:$B$256,B95,$I$7:$I$256)&gt;INDEX($O$58:$O$88,DAY(B95))),"Day over "&amp;INDEX($O$58:$O$88,DAY(B95))&amp;" h","✓")))))))))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tr">
        <f aca="false">IF(Projects!B93="","",Projects!B93)</f>
        <v/>
      </c>
      <c r="X95" s="1" t="n">
        <f aca="false">IF(W95="",0,SUMIFS($I$7:$I$256,$D$7:$D$256,W95,$H$7:$H$256,"NTIME"))</f>
        <v>0</v>
      </c>
      <c r="Y95" s="1" t="n">
        <f aca="false">IF(W95="",0,SUMIFS($I$7:$I$256,$D$7:$D$256,W95,$H$7:$H$256,"P6"))</f>
        <v>0</v>
      </c>
      <c r="Z95" s="1" t="n">
        <f aca="false">X95+Y95</f>
        <v>0</v>
      </c>
      <c r="AA95" s="1" t="n">
        <f aca="false">IF(Z95&gt;0,Z95+(201-89)/10^6,0)</f>
        <v>0</v>
      </c>
      <c r="AB95" s="1"/>
      <c r="AC95" s="1"/>
      <c r="AD95" s="1"/>
      <c r="AE95" s="1"/>
      <c r="AF95" s="1"/>
      <c r="AG95" s="1"/>
      <c r="AH95" s="1"/>
    </row>
    <row r="96" customFormat="false" ht="15" hidden="false" customHeight="false" outlineLevel="0" collapsed="false">
      <c r="A96" s="1"/>
      <c r="B96" s="10"/>
      <c r="C96" s="31" t="str">
        <f aca="false">IF(B96="","",TEXT(B96,"ddd"))</f>
        <v/>
      </c>
      <c r="D96" s="11"/>
      <c r="E96" s="8" t="str">
        <f aca="false">IF(D96="","",IFERROR(INDEX(ProjNumbers,MATCH(D96,ProjNames,0)),""))</f>
        <v/>
      </c>
      <c r="F96" s="8" t="str">
        <f aca="false">IF(D96="","",IFERROR(INDEX(ProjCodes,MATCH(D96,ProjNames,0)),""))</f>
        <v/>
      </c>
      <c r="G96" s="32"/>
      <c r="H96" s="11"/>
      <c r="I96" s="33"/>
      <c r="J96" s="8" t="str">
        <f aca="false">IF(COUNTA(B96,D96,G96,H96,I96)=0,"",IF(B96="","Enter date",IF(OR(B96&lt;$AC$2,B96&gt;$AC$3),"Date not in August",IF(D96="","Pick project",IF(ISNA(MATCH(D96,ProjNames,0)),"Project not in list",IF(G96="","Add task description",IF(H96="","Pick NTIME or P6",IF(N(I96)&lt;=0,"Enter hours",IF(AND(AllowOT&lt;&gt;"Yes",SUMIF($B$7:$B$256,B96,$I$7:$I$256)&gt;INDEX($O$58:$O$88,DAY(B96))),"Day over "&amp;INDEX($O$58:$O$88,DAY(B96))&amp;" h","✓")))))))))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tr">
        <f aca="false">IF(Projects!B94="","",Projects!B94)</f>
        <v/>
      </c>
      <c r="X96" s="1" t="n">
        <f aca="false">IF(W96="",0,SUMIFS($I$7:$I$256,$D$7:$D$256,W96,$H$7:$H$256,"NTIME"))</f>
        <v>0</v>
      </c>
      <c r="Y96" s="1" t="n">
        <f aca="false">IF(W96="",0,SUMIFS($I$7:$I$256,$D$7:$D$256,W96,$H$7:$H$256,"P6"))</f>
        <v>0</v>
      </c>
      <c r="Z96" s="1" t="n">
        <f aca="false">X96+Y96</f>
        <v>0</v>
      </c>
      <c r="AA96" s="1" t="n">
        <f aca="false">IF(Z96&gt;0,Z96+(201-90)/10^6,0)</f>
        <v>0</v>
      </c>
      <c r="AB96" s="1"/>
      <c r="AC96" s="1"/>
      <c r="AD96" s="1"/>
      <c r="AE96" s="1"/>
      <c r="AF96" s="1"/>
      <c r="AG96" s="1"/>
      <c r="AH96" s="1"/>
    </row>
    <row r="97" customFormat="false" ht="15" hidden="false" customHeight="false" outlineLevel="0" collapsed="false">
      <c r="A97" s="1"/>
      <c r="B97" s="10"/>
      <c r="C97" s="31" t="str">
        <f aca="false">IF(B97="","",TEXT(B97,"ddd"))</f>
        <v/>
      </c>
      <c r="D97" s="11"/>
      <c r="E97" s="8" t="str">
        <f aca="false">IF(D97="","",IFERROR(INDEX(ProjNumbers,MATCH(D97,ProjNames,0)),""))</f>
        <v/>
      </c>
      <c r="F97" s="8" t="str">
        <f aca="false">IF(D97="","",IFERROR(INDEX(ProjCodes,MATCH(D97,ProjNames,0)),""))</f>
        <v/>
      </c>
      <c r="G97" s="32"/>
      <c r="H97" s="11"/>
      <c r="I97" s="33"/>
      <c r="J97" s="8" t="str">
        <f aca="false">IF(COUNTA(B97,D97,G97,H97,I97)=0,"",IF(B97="","Enter date",IF(OR(B97&lt;$AC$2,B97&gt;$AC$3),"Date not in August",IF(D97="","Pick project",IF(ISNA(MATCH(D97,ProjNames,0)),"Project not in list",IF(G97="","Add task description",IF(H97="","Pick NTIME or P6",IF(N(I97)&lt;=0,"Enter hours",IF(AND(AllowOT&lt;&gt;"Yes",SUMIF($B$7:$B$256,B97,$I$7:$I$256)&gt;INDEX($O$58:$O$88,DAY(B97))),"Day over "&amp;INDEX($O$58:$O$88,DAY(B97))&amp;" h","✓")))))))))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tr">
        <f aca="false">IF(Projects!B95="","",Projects!B95)</f>
        <v/>
      </c>
      <c r="X97" s="1" t="n">
        <f aca="false">IF(W97="",0,SUMIFS($I$7:$I$256,$D$7:$D$256,W97,$H$7:$H$256,"NTIME"))</f>
        <v>0</v>
      </c>
      <c r="Y97" s="1" t="n">
        <f aca="false">IF(W97="",0,SUMIFS($I$7:$I$256,$D$7:$D$256,W97,$H$7:$H$256,"P6"))</f>
        <v>0</v>
      </c>
      <c r="Z97" s="1" t="n">
        <f aca="false">X97+Y97</f>
        <v>0</v>
      </c>
      <c r="AA97" s="1" t="n">
        <f aca="false">IF(Z97&gt;0,Z97+(201-91)/10^6,0)</f>
        <v>0</v>
      </c>
      <c r="AB97" s="1"/>
      <c r="AC97" s="1"/>
      <c r="AD97" s="1"/>
      <c r="AE97" s="1"/>
      <c r="AF97" s="1"/>
      <c r="AG97" s="1"/>
      <c r="AH97" s="1"/>
    </row>
    <row r="98" customFormat="false" ht="15" hidden="false" customHeight="false" outlineLevel="0" collapsed="false">
      <c r="A98" s="1"/>
      <c r="B98" s="10"/>
      <c r="C98" s="31" t="str">
        <f aca="false">IF(B98="","",TEXT(B98,"ddd"))</f>
        <v/>
      </c>
      <c r="D98" s="11"/>
      <c r="E98" s="8" t="str">
        <f aca="false">IF(D98="","",IFERROR(INDEX(ProjNumbers,MATCH(D98,ProjNames,0)),""))</f>
        <v/>
      </c>
      <c r="F98" s="8" t="str">
        <f aca="false">IF(D98="","",IFERROR(INDEX(ProjCodes,MATCH(D98,ProjNames,0)),""))</f>
        <v/>
      </c>
      <c r="G98" s="32"/>
      <c r="H98" s="11"/>
      <c r="I98" s="33"/>
      <c r="J98" s="8" t="str">
        <f aca="false">IF(COUNTA(B98,D98,G98,H98,I98)=0,"",IF(B98="","Enter date",IF(OR(B98&lt;$AC$2,B98&gt;$AC$3),"Date not in August",IF(D98="","Pick project",IF(ISNA(MATCH(D98,ProjNames,0)),"Project not in list",IF(G98="","Add task description",IF(H98="","Pick NTIME or P6",IF(N(I98)&lt;=0,"Enter hours",IF(AND(AllowOT&lt;&gt;"Yes",SUMIF($B$7:$B$256,B98,$I$7:$I$256)&gt;INDEX($O$58:$O$88,DAY(B98))),"Day over "&amp;INDEX($O$58:$O$88,DAY(B98))&amp;" h","✓")))))))))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tr">
        <f aca="false">IF(Projects!B96="","",Projects!B96)</f>
        <v/>
      </c>
      <c r="X98" s="1" t="n">
        <f aca="false">IF(W98="",0,SUMIFS($I$7:$I$256,$D$7:$D$256,W98,$H$7:$H$256,"NTIME"))</f>
        <v>0</v>
      </c>
      <c r="Y98" s="1" t="n">
        <f aca="false">IF(W98="",0,SUMIFS($I$7:$I$256,$D$7:$D$256,W98,$H$7:$H$256,"P6"))</f>
        <v>0</v>
      </c>
      <c r="Z98" s="1" t="n">
        <f aca="false">X98+Y98</f>
        <v>0</v>
      </c>
      <c r="AA98" s="1" t="n">
        <f aca="false">IF(Z98&gt;0,Z98+(201-92)/10^6,0)</f>
        <v>0</v>
      </c>
      <c r="AB98" s="1"/>
      <c r="AC98" s="1"/>
      <c r="AD98" s="1"/>
      <c r="AE98" s="1"/>
      <c r="AF98" s="1"/>
      <c r="AG98" s="1"/>
      <c r="AH98" s="1"/>
    </row>
    <row r="99" customFormat="false" ht="15" hidden="false" customHeight="false" outlineLevel="0" collapsed="false">
      <c r="A99" s="1"/>
      <c r="B99" s="10"/>
      <c r="C99" s="31" t="str">
        <f aca="false">IF(B99="","",TEXT(B99,"ddd"))</f>
        <v/>
      </c>
      <c r="D99" s="11"/>
      <c r="E99" s="8" t="str">
        <f aca="false">IF(D99="","",IFERROR(INDEX(ProjNumbers,MATCH(D99,ProjNames,0)),""))</f>
        <v/>
      </c>
      <c r="F99" s="8" t="str">
        <f aca="false">IF(D99="","",IFERROR(INDEX(ProjCodes,MATCH(D99,ProjNames,0)),""))</f>
        <v/>
      </c>
      <c r="G99" s="32"/>
      <c r="H99" s="11"/>
      <c r="I99" s="33"/>
      <c r="J99" s="8" t="str">
        <f aca="false">IF(COUNTA(B99,D99,G99,H99,I99)=0,"",IF(B99="","Enter date",IF(OR(B99&lt;$AC$2,B99&gt;$AC$3),"Date not in August",IF(D99="","Pick project",IF(ISNA(MATCH(D99,ProjNames,0)),"Project not in list",IF(G99="","Add task description",IF(H99="","Pick NTIME or P6",IF(N(I99)&lt;=0,"Enter hours",IF(AND(AllowOT&lt;&gt;"Yes",SUMIF($B$7:$B$256,B99,$I$7:$I$256)&gt;INDEX($O$58:$O$88,DAY(B99))),"Day over "&amp;INDEX($O$58:$O$88,DAY(B99))&amp;" h","✓")))))))))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tr">
        <f aca="false">IF(Projects!B97="","",Projects!B97)</f>
        <v/>
      </c>
      <c r="X99" s="1" t="n">
        <f aca="false">IF(W99="",0,SUMIFS($I$7:$I$256,$D$7:$D$256,W99,$H$7:$H$256,"NTIME"))</f>
        <v>0</v>
      </c>
      <c r="Y99" s="1" t="n">
        <f aca="false">IF(W99="",0,SUMIFS($I$7:$I$256,$D$7:$D$256,W99,$H$7:$H$256,"P6"))</f>
        <v>0</v>
      </c>
      <c r="Z99" s="1" t="n">
        <f aca="false">X99+Y99</f>
        <v>0</v>
      </c>
      <c r="AA99" s="1" t="n">
        <f aca="false">IF(Z99&gt;0,Z99+(201-93)/10^6,0)</f>
        <v>0</v>
      </c>
      <c r="AB99" s="1"/>
      <c r="AC99" s="1"/>
      <c r="AD99" s="1"/>
      <c r="AE99" s="1"/>
      <c r="AF99" s="1"/>
      <c r="AG99" s="1"/>
      <c r="AH99" s="1"/>
    </row>
    <row r="100" customFormat="false" ht="15" hidden="false" customHeight="false" outlineLevel="0" collapsed="false">
      <c r="A100" s="1"/>
      <c r="B100" s="10"/>
      <c r="C100" s="31" t="str">
        <f aca="false">IF(B100="","",TEXT(B100,"ddd"))</f>
        <v/>
      </c>
      <c r="D100" s="11"/>
      <c r="E100" s="8" t="str">
        <f aca="false">IF(D100="","",IFERROR(INDEX(ProjNumbers,MATCH(D100,ProjNames,0)),""))</f>
        <v/>
      </c>
      <c r="F100" s="8" t="str">
        <f aca="false">IF(D100="","",IFERROR(INDEX(ProjCodes,MATCH(D100,ProjNames,0)),""))</f>
        <v/>
      </c>
      <c r="G100" s="32"/>
      <c r="H100" s="11"/>
      <c r="I100" s="33"/>
      <c r="J100" s="8" t="str">
        <f aca="false">IF(COUNTA(B100,D100,G100,H100,I100)=0,"",IF(B100="","Enter date",IF(OR(B100&lt;$AC$2,B100&gt;$AC$3),"Date not in August",IF(D100="","Pick project",IF(ISNA(MATCH(D100,ProjNames,0)),"Project not in list",IF(G100="","Add task description",IF(H100="","Pick NTIME or P6",IF(N(I100)&lt;=0,"Enter hours",IF(AND(AllowOT&lt;&gt;"Yes",SUMIF($B$7:$B$256,B100,$I$7:$I$256)&gt;INDEX($O$58:$O$88,DAY(B100))),"Day over "&amp;INDEX($O$58:$O$88,DAY(B100))&amp;" h","✓")))))))))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tr">
        <f aca="false">IF(Projects!B98="","",Projects!B98)</f>
        <v/>
      </c>
      <c r="X100" s="1" t="n">
        <f aca="false">IF(W100="",0,SUMIFS($I$7:$I$256,$D$7:$D$256,W100,$H$7:$H$256,"NTIME"))</f>
        <v>0</v>
      </c>
      <c r="Y100" s="1" t="n">
        <f aca="false">IF(W100="",0,SUMIFS($I$7:$I$256,$D$7:$D$256,W100,$H$7:$H$256,"P6"))</f>
        <v>0</v>
      </c>
      <c r="Z100" s="1" t="n">
        <f aca="false">X100+Y100</f>
        <v>0</v>
      </c>
      <c r="AA100" s="1" t="n">
        <f aca="false">IF(Z100&gt;0,Z100+(201-94)/10^6,0)</f>
        <v>0</v>
      </c>
      <c r="AB100" s="1"/>
      <c r="AC100" s="1"/>
      <c r="AD100" s="1"/>
      <c r="AE100" s="1"/>
      <c r="AF100" s="1"/>
      <c r="AG100" s="1"/>
      <c r="AH100" s="1"/>
    </row>
    <row r="101" customFormat="false" ht="15" hidden="false" customHeight="false" outlineLevel="0" collapsed="false">
      <c r="A101" s="1"/>
      <c r="B101" s="10"/>
      <c r="C101" s="31" t="str">
        <f aca="false">IF(B101="","",TEXT(B101,"ddd"))</f>
        <v/>
      </c>
      <c r="D101" s="11"/>
      <c r="E101" s="8" t="str">
        <f aca="false">IF(D101="","",IFERROR(INDEX(ProjNumbers,MATCH(D101,ProjNames,0)),""))</f>
        <v/>
      </c>
      <c r="F101" s="8" t="str">
        <f aca="false">IF(D101="","",IFERROR(INDEX(ProjCodes,MATCH(D101,ProjNames,0)),""))</f>
        <v/>
      </c>
      <c r="G101" s="32"/>
      <c r="H101" s="11"/>
      <c r="I101" s="33"/>
      <c r="J101" s="8" t="str">
        <f aca="false">IF(COUNTA(B101,D101,G101,H101,I101)=0,"",IF(B101="","Enter date",IF(OR(B101&lt;$AC$2,B101&gt;$AC$3),"Date not in August",IF(D101="","Pick project",IF(ISNA(MATCH(D101,ProjNames,0)),"Project not in list",IF(G101="","Add task description",IF(H101="","Pick NTIME or P6",IF(N(I101)&lt;=0,"Enter hours",IF(AND(AllowOT&lt;&gt;"Yes",SUMIF($B$7:$B$256,B101,$I$7:$I$256)&gt;INDEX($O$58:$O$88,DAY(B101))),"Day over "&amp;INDEX($O$58:$O$88,DAY(B101))&amp;" h","✓")))))))))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aca="false">IF(Projects!B99="","",Projects!B99)</f>
        <v/>
      </c>
      <c r="X101" s="1" t="n">
        <f aca="false">IF(W101="",0,SUMIFS($I$7:$I$256,$D$7:$D$256,W101,$H$7:$H$256,"NTIME"))</f>
        <v>0</v>
      </c>
      <c r="Y101" s="1" t="n">
        <f aca="false">IF(W101="",0,SUMIFS($I$7:$I$256,$D$7:$D$256,W101,$H$7:$H$256,"P6"))</f>
        <v>0</v>
      </c>
      <c r="Z101" s="1" t="n">
        <f aca="false">X101+Y101</f>
        <v>0</v>
      </c>
      <c r="AA101" s="1" t="n">
        <f aca="false">IF(Z101&gt;0,Z101+(201-95)/10^6,0)</f>
        <v>0</v>
      </c>
      <c r="AB101" s="1"/>
      <c r="AC101" s="1"/>
      <c r="AD101" s="1"/>
      <c r="AE101" s="1"/>
      <c r="AF101" s="1"/>
      <c r="AG101" s="1"/>
      <c r="AH101" s="1"/>
    </row>
    <row r="102" customFormat="false" ht="15" hidden="false" customHeight="false" outlineLevel="0" collapsed="false">
      <c r="A102" s="1"/>
      <c r="B102" s="10"/>
      <c r="C102" s="31" t="str">
        <f aca="false">IF(B102="","",TEXT(B102,"ddd"))</f>
        <v/>
      </c>
      <c r="D102" s="11"/>
      <c r="E102" s="8" t="str">
        <f aca="false">IF(D102="","",IFERROR(INDEX(ProjNumbers,MATCH(D102,ProjNames,0)),""))</f>
        <v/>
      </c>
      <c r="F102" s="8" t="str">
        <f aca="false">IF(D102="","",IFERROR(INDEX(ProjCodes,MATCH(D102,ProjNames,0)),""))</f>
        <v/>
      </c>
      <c r="G102" s="32"/>
      <c r="H102" s="11"/>
      <c r="I102" s="33"/>
      <c r="J102" s="8" t="str">
        <f aca="false">IF(COUNTA(B102,D102,G102,H102,I102)=0,"",IF(B102="","Enter date",IF(OR(B102&lt;$AC$2,B102&gt;$AC$3),"Date not in August",IF(D102="","Pick project",IF(ISNA(MATCH(D102,ProjNames,0)),"Project not in list",IF(G102="","Add task description",IF(H102="","Pick NTIME or P6",IF(N(I102)&lt;=0,"Enter hours",IF(AND(AllowOT&lt;&gt;"Yes",SUMIF($B$7:$B$256,B102,$I$7:$I$256)&gt;INDEX($O$58:$O$88,DAY(B102))),"Day over "&amp;INDEX($O$58:$O$88,DAY(B102))&amp;" h","✓")))))))))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tr">
        <f aca="false">IF(Projects!B100="","",Projects!B100)</f>
        <v/>
      </c>
      <c r="X102" s="1" t="n">
        <f aca="false">IF(W102="",0,SUMIFS($I$7:$I$256,$D$7:$D$256,W102,$H$7:$H$256,"NTIME"))</f>
        <v>0</v>
      </c>
      <c r="Y102" s="1" t="n">
        <f aca="false">IF(W102="",0,SUMIFS($I$7:$I$256,$D$7:$D$256,W102,$H$7:$H$256,"P6"))</f>
        <v>0</v>
      </c>
      <c r="Z102" s="1" t="n">
        <f aca="false">X102+Y102</f>
        <v>0</v>
      </c>
      <c r="AA102" s="1" t="n">
        <f aca="false">IF(Z102&gt;0,Z102+(201-96)/10^6,0)</f>
        <v>0</v>
      </c>
      <c r="AB102" s="1"/>
      <c r="AC102" s="1"/>
      <c r="AD102" s="1"/>
      <c r="AE102" s="1"/>
      <c r="AF102" s="1"/>
      <c r="AG102" s="1"/>
      <c r="AH102" s="1"/>
    </row>
    <row r="103" customFormat="false" ht="15" hidden="false" customHeight="false" outlineLevel="0" collapsed="false">
      <c r="A103" s="1"/>
      <c r="B103" s="10"/>
      <c r="C103" s="31" t="str">
        <f aca="false">IF(B103="","",TEXT(B103,"ddd"))</f>
        <v/>
      </c>
      <c r="D103" s="11"/>
      <c r="E103" s="8" t="str">
        <f aca="false">IF(D103="","",IFERROR(INDEX(ProjNumbers,MATCH(D103,ProjNames,0)),""))</f>
        <v/>
      </c>
      <c r="F103" s="8" t="str">
        <f aca="false">IF(D103="","",IFERROR(INDEX(ProjCodes,MATCH(D103,ProjNames,0)),""))</f>
        <v/>
      </c>
      <c r="G103" s="32"/>
      <c r="H103" s="11"/>
      <c r="I103" s="33"/>
      <c r="J103" s="8" t="str">
        <f aca="false">IF(COUNTA(B103,D103,G103,H103,I103)=0,"",IF(B103="","Enter date",IF(OR(B103&lt;$AC$2,B103&gt;$AC$3),"Date not in August",IF(D103="","Pick project",IF(ISNA(MATCH(D103,ProjNames,0)),"Project not in list",IF(G103="","Add task description",IF(H103="","Pick NTIME or P6",IF(N(I103)&lt;=0,"Enter hours",IF(AND(AllowOT&lt;&gt;"Yes",SUMIF($B$7:$B$256,B103,$I$7:$I$256)&gt;INDEX($O$58:$O$88,DAY(B103))),"Day over "&amp;INDEX($O$58:$O$88,DAY(B103))&amp;" h","✓")))))))))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tr">
        <f aca="false">IF(Projects!B101="","",Projects!B101)</f>
        <v/>
      </c>
      <c r="X103" s="1" t="n">
        <f aca="false">IF(W103="",0,SUMIFS($I$7:$I$256,$D$7:$D$256,W103,$H$7:$H$256,"NTIME"))</f>
        <v>0</v>
      </c>
      <c r="Y103" s="1" t="n">
        <f aca="false">IF(W103="",0,SUMIFS($I$7:$I$256,$D$7:$D$256,W103,$H$7:$H$256,"P6"))</f>
        <v>0</v>
      </c>
      <c r="Z103" s="1" t="n">
        <f aca="false">X103+Y103</f>
        <v>0</v>
      </c>
      <c r="AA103" s="1" t="n">
        <f aca="false">IF(Z103&gt;0,Z103+(201-97)/10^6,0)</f>
        <v>0</v>
      </c>
      <c r="AB103" s="1"/>
      <c r="AC103" s="1"/>
      <c r="AD103" s="1"/>
      <c r="AE103" s="1"/>
      <c r="AF103" s="1"/>
      <c r="AG103" s="1"/>
      <c r="AH103" s="1"/>
    </row>
    <row r="104" customFormat="false" ht="15" hidden="false" customHeight="false" outlineLevel="0" collapsed="false">
      <c r="A104" s="1"/>
      <c r="B104" s="10"/>
      <c r="C104" s="31" t="str">
        <f aca="false">IF(B104="","",TEXT(B104,"ddd"))</f>
        <v/>
      </c>
      <c r="D104" s="11"/>
      <c r="E104" s="8" t="str">
        <f aca="false">IF(D104="","",IFERROR(INDEX(ProjNumbers,MATCH(D104,ProjNames,0)),""))</f>
        <v/>
      </c>
      <c r="F104" s="8" t="str">
        <f aca="false">IF(D104="","",IFERROR(INDEX(ProjCodes,MATCH(D104,ProjNames,0)),""))</f>
        <v/>
      </c>
      <c r="G104" s="32"/>
      <c r="H104" s="11"/>
      <c r="I104" s="33"/>
      <c r="J104" s="8" t="str">
        <f aca="false">IF(COUNTA(B104,D104,G104,H104,I104)=0,"",IF(B104="","Enter date",IF(OR(B104&lt;$AC$2,B104&gt;$AC$3),"Date not in August",IF(D104="","Pick project",IF(ISNA(MATCH(D104,ProjNames,0)),"Project not in list",IF(G104="","Add task description",IF(H104="","Pick NTIME or P6",IF(N(I104)&lt;=0,"Enter hours",IF(AND(AllowOT&lt;&gt;"Yes",SUMIF($B$7:$B$256,B104,$I$7:$I$256)&gt;INDEX($O$58:$O$88,DAY(B104))),"Day over "&amp;INDEX($O$58:$O$88,DAY(B104))&amp;" h","✓")))))))))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tr">
        <f aca="false">IF(Projects!B102="","",Projects!B102)</f>
        <v/>
      </c>
      <c r="X104" s="1" t="n">
        <f aca="false">IF(W104="",0,SUMIFS($I$7:$I$256,$D$7:$D$256,W104,$H$7:$H$256,"NTIME"))</f>
        <v>0</v>
      </c>
      <c r="Y104" s="1" t="n">
        <f aca="false">IF(W104="",0,SUMIFS($I$7:$I$256,$D$7:$D$256,W104,$H$7:$H$256,"P6"))</f>
        <v>0</v>
      </c>
      <c r="Z104" s="1" t="n">
        <f aca="false">X104+Y104</f>
        <v>0</v>
      </c>
      <c r="AA104" s="1" t="n">
        <f aca="false">IF(Z104&gt;0,Z104+(201-98)/10^6,0)</f>
        <v>0</v>
      </c>
      <c r="AB104" s="1"/>
      <c r="AC104" s="1"/>
      <c r="AD104" s="1"/>
      <c r="AE104" s="1"/>
      <c r="AF104" s="1"/>
      <c r="AG104" s="1"/>
      <c r="AH104" s="1"/>
    </row>
    <row r="105" customFormat="false" ht="15" hidden="false" customHeight="false" outlineLevel="0" collapsed="false">
      <c r="A105" s="1"/>
      <c r="B105" s="10"/>
      <c r="C105" s="31" t="str">
        <f aca="false">IF(B105="","",TEXT(B105,"ddd"))</f>
        <v/>
      </c>
      <c r="D105" s="11"/>
      <c r="E105" s="8" t="str">
        <f aca="false">IF(D105="","",IFERROR(INDEX(ProjNumbers,MATCH(D105,ProjNames,0)),""))</f>
        <v/>
      </c>
      <c r="F105" s="8" t="str">
        <f aca="false">IF(D105="","",IFERROR(INDEX(ProjCodes,MATCH(D105,ProjNames,0)),""))</f>
        <v/>
      </c>
      <c r="G105" s="32"/>
      <c r="H105" s="11"/>
      <c r="I105" s="33"/>
      <c r="J105" s="8" t="str">
        <f aca="false">IF(COUNTA(B105,D105,G105,H105,I105)=0,"",IF(B105="","Enter date",IF(OR(B105&lt;$AC$2,B105&gt;$AC$3),"Date not in August",IF(D105="","Pick project",IF(ISNA(MATCH(D105,ProjNames,0)),"Project not in list",IF(G105="","Add task description",IF(H105="","Pick NTIME or P6",IF(N(I105)&lt;=0,"Enter hours",IF(AND(AllowOT&lt;&gt;"Yes",SUMIF($B$7:$B$256,B105,$I$7:$I$256)&gt;INDEX($O$58:$O$88,DAY(B105))),"Day over "&amp;INDEX($O$58:$O$88,DAY(B105))&amp;" h","✓")))))))))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tr">
        <f aca="false">IF(Projects!B103="","",Projects!B103)</f>
        <v/>
      </c>
      <c r="X105" s="1" t="n">
        <f aca="false">IF(W105="",0,SUMIFS($I$7:$I$256,$D$7:$D$256,W105,$H$7:$H$256,"NTIME"))</f>
        <v>0</v>
      </c>
      <c r="Y105" s="1" t="n">
        <f aca="false">IF(W105="",0,SUMIFS($I$7:$I$256,$D$7:$D$256,W105,$H$7:$H$256,"P6"))</f>
        <v>0</v>
      </c>
      <c r="Z105" s="1" t="n">
        <f aca="false">X105+Y105</f>
        <v>0</v>
      </c>
      <c r="AA105" s="1" t="n">
        <f aca="false">IF(Z105&gt;0,Z105+(201-99)/10^6,0)</f>
        <v>0</v>
      </c>
      <c r="AB105" s="1"/>
      <c r="AC105" s="1"/>
      <c r="AD105" s="1"/>
      <c r="AE105" s="1"/>
      <c r="AF105" s="1"/>
      <c r="AG105" s="1"/>
      <c r="AH105" s="1"/>
    </row>
    <row r="106" customFormat="false" ht="15" hidden="false" customHeight="false" outlineLevel="0" collapsed="false">
      <c r="A106" s="1"/>
      <c r="B106" s="10"/>
      <c r="C106" s="31" t="str">
        <f aca="false">IF(B106="","",TEXT(B106,"ddd"))</f>
        <v/>
      </c>
      <c r="D106" s="11"/>
      <c r="E106" s="8" t="str">
        <f aca="false">IF(D106="","",IFERROR(INDEX(ProjNumbers,MATCH(D106,ProjNames,0)),""))</f>
        <v/>
      </c>
      <c r="F106" s="8" t="str">
        <f aca="false">IF(D106="","",IFERROR(INDEX(ProjCodes,MATCH(D106,ProjNames,0)),""))</f>
        <v/>
      </c>
      <c r="G106" s="32"/>
      <c r="H106" s="11"/>
      <c r="I106" s="33"/>
      <c r="J106" s="8" t="str">
        <f aca="false">IF(COUNTA(B106,D106,G106,H106,I106)=0,"",IF(B106="","Enter date",IF(OR(B106&lt;$AC$2,B106&gt;$AC$3),"Date not in August",IF(D106="","Pick project",IF(ISNA(MATCH(D106,ProjNames,0)),"Project not in list",IF(G106="","Add task description",IF(H106="","Pick NTIME or P6",IF(N(I106)&lt;=0,"Enter hours",IF(AND(AllowOT&lt;&gt;"Yes",SUMIF($B$7:$B$256,B106,$I$7:$I$256)&gt;INDEX($O$58:$O$88,DAY(B106))),"Day over "&amp;INDEX($O$58:$O$88,DAY(B106))&amp;" h","✓")))))))))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tr">
        <f aca="false">IF(Projects!B104="","",Projects!B104)</f>
        <v/>
      </c>
      <c r="X106" s="1" t="n">
        <f aca="false">IF(W106="",0,SUMIFS($I$7:$I$256,$D$7:$D$256,W106,$H$7:$H$256,"NTIME"))</f>
        <v>0</v>
      </c>
      <c r="Y106" s="1" t="n">
        <f aca="false">IF(W106="",0,SUMIFS($I$7:$I$256,$D$7:$D$256,W106,$H$7:$H$256,"P6"))</f>
        <v>0</v>
      </c>
      <c r="Z106" s="1" t="n">
        <f aca="false">X106+Y106</f>
        <v>0</v>
      </c>
      <c r="AA106" s="1" t="n">
        <f aca="false">IF(Z106&gt;0,Z106+(201-100)/10^6,0)</f>
        <v>0</v>
      </c>
      <c r="AB106" s="1"/>
      <c r="AC106" s="1"/>
      <c r="AD106" s="1"/>
      <c r="AE106" s="1"/>
      <c r="AF106" s="1"/>
      <c r="AG106" s="1"/>
      <c r="AH106" s="1"/>
    </row>
    <row r="107" customFormat="false" ht="15" hidden="false" customHeight="false" outlineLevel="0" collapsed="false">
      <c r="A107" s="1"/>
      <c r="B107" s="10"/>
      <c r="C107" s="31" t="str">
        <f aca="false">IF(B107="","",TEXT(B107,"ddd"))</f>
        <v/>
      </c>
      <c r="D107" s="11"/>
      <c r="E107" s="8" t="str">
        <f aca="false">IF(D107="","",IFERROR(INDEX(ProjNumbers,MATCH(D107,ProjNames,0)),""))</f>
        <v/>
      </c>
      <c r="F107" s="8" t="str">
        <f aca="false">IF(D107="","",IFERROR(INDEX(ProjCodes,MATCH(D107,ProjNames,0)),""))</f>
        <v/>
      </c>
      <c r="G107" s="32"/>
      <c r="H107" s="11"/>
      <c r="I107" s="33"/>
      <c r="J107" s="8" t="str">
        <f aca="false">IF(COUNTA(B107,D107,G107,H107,I107)=0,"",IF(B107="","Enter date",IF(OR(B107&lt;$AC$2,B107&gt;$AC$3),"Date not in August",IF(D107="","Pick project",IF(ISNA(MATCH(D107,ProjNames,0)),"Project not in list",IF(G107="","Add task description",IF(H107="","Pick NTIME or P6",IF(N(I107)&lt;=0,"Enter hours",IF(AND(AllowOT&lt;&gt;"Yes",SUMIF($B$7:$B$256,B107,$I$7:$I$256)&gt;INDEX($O$58:$O$88,DAY(B107))),"Day over "&amp;INDEX($O$58:$O$88,DAY(B107))&amp;" h","✓")))))))))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tr">
        <f aca="false">IF(Projects!B105="","",Projects!B105)</f>
        <v/>
      </c>
      <c r="X107" s="1" t="n">
        <f aca="false">IF(W107="",0,SUMIFS($I$7:$I$256,$D$7:$D$256,W107,$H$7:$H$256,"NTIME"))</f>
        <v>0</v>
      </c>
      <c r="Y107" s="1" t="n">
        <f aca="false">IF(W107="",0,SUMIFS($I$7:$I$256,$D$7:$D$256,W107,$H$7:$H$256,"P6"))</f>
        <v>0</v>
      </c>
      <c r="Z107" s="1" t="n">
        <f aca="false">X107+Y107</f>
        <v>0</v>
      </c>
      <c r="AA107" s="1" t="n">
        <f aca="false">IF(Z107&gt;0,Z107+(201-101)/10^6,0)</f>
        <v>0</v>
      </c>
      <c r="AB107" s="1"/>
      <c r="AC107" s="1"/>
      <c r="AD107" s="1"/>
      <c r="AE107" s="1"/>
      <c r="AF107" s="1"/>
      <c r="AG107" s="1"/>
      <c r="AH107" s="1"/>
    </row>
    <row r="108" customFormat="false" ht="15" hidden="false" customHeight="false" outlineLevel="0" collapsed="false">
      <c r="A108" s="1"/>
      <c r="B108" s="10"/>
      <c r="C108" s="31" t="str">
        <f aca="false">IF(B108="","",TEXT(B108,"ddd"))</f>
        <v/>
      </c>
      <c r="D108" s="11"/>
      <c r="E108" s="8" t="str">
        <f aca="false">IF(D108="","",IFERROR(INDEX(ProjNumbers,MATCH(D108,ProjNames,0)),""))</f>
        <v/>
      </c>
      <c r="F108" s="8" t="str">
        <f aca="false">IF(D108="","",IFERROR(INDEX(ProjCodes,MATCH(D108,ProjNames,0)),""))</f>
        <v/>
      </c>
      <c r="G108" s="32"/>
      <c r="H108" s="11"/>
      <c r="I108" s="33"/>
      <c r="J108" s="8" t="str">
        <f aca="false">IF(COUNTA(B108,D108,G108,H108,I108)=0,"",IF(B108="","Enter date",IF(OR(B108&lt;$AC$2,B108&gt;$AC$3),"Date not in August",IF(D108="","Pick project",IF(ISNA(MATCH(D108,ProjNames,0)),"Project not in list",IF(G108="","Add task description",IF(H108="","Pick NTIME or P6",IF(N(I108)&lt;=0,"Enter hours",IF(AND(AllowOT&lt;&gt;"Yes",SUMIF($B$7:$B$256,B108,$I$7:$I$256)&gt;INDEX($O$58:$O$88,DAY(B108))),"Day over "&amp;INDEX($O$58:$O$88,DAY(B108))&amp;" h","✓")))))))))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aca="false">IF(Projects!B106="","",Projects!B106)</f>
        <v/>
      </c>
      <c r="X108" s="1" t="n">
        <f aca="false">IF(W108="",0,SUMIFS($I$7:$I$256,$D$7:$D$256,W108,$H$7:$H$256,"NTIME"))</f>
        <v>0</v>
      </c>
      <c r="Y108" s="1" t="n">
        <f aca="false">IF(W108="",0,SUMIFS($I$7:$I$256,$D$7:$D$256,W108,$H$7:$H$256,"P6"))</f>
        <v>0</v>
      </c>
      <c r="Z108" s="1" t="n">
        <f aca="false">X108+Y108</f>
        <v>0</v>
      </c>
      <c r="AA108" s="1" t="n">
        <f aca="false">IF(Z108&gt;0,Z108+(201-102)/10^6,0)</f>
        <v>0</v>
      </c>
      <c r="AB108" s="1"/>
      <c r="AC108" s="1"/>
      <c r="AD108" s="1"/>
      <c r="AE108" s="1"/>
      <c r="AF108" s="1"/>
      <c r="AG108" s="1"/>
      <c r="AH108" s="1"/>
    </row>
    <row r="109" customFormat="false" ht="15" hidden="false" customHeight="false" outlineLevel="0" collapsed="false">
      <c r="A109" s="1"/>
      <c r="B109" s="10"/>
      <c r="C109" s="31" t="str">
        <f aca="false">IF(B109="","",TEXT(B109,"ddd"))</f>
        <v/>
      </c>
      <c r="D109" s="11"/>
      <c r="E109" s="8" t="str">
        <f aca="false">IF(D109="","",IFERROR(INDEX(ProjNumbers,MATCH(D109,ProjNames,0)),""))</f>
        <v/>
      </c>
      <c r="F109" s="8" t="str">
        <f aca="false">IF(D109="","",IFERROR(INDEX(ProjCodes,MATCH(D109,ProjNames,0)),""))</f>
        <v/>
      </c>
      <c r="G109" s="32"/>
      <c r="H109" s="11"/>
      <c r="I109" s="33"/>
      <c r="J109" s="8" t="str">
        <f aca="false">IF(COUNTA(B109,D109,G109,H109,I109)=0,"",IF(B109="","Enter date",IF(OR(B109&lt;$AC$2,B109&gt;$AC$3),"Date not in August",IF(D109="","Pick project",IF(ISNA(MATCH(D109,ProjNames,0)),"Project not in list",IF(G109="","Add task description",IF(H109="","Pick NTIME or P6",IF(N(I109)&lt;=0,"Enter hours",IF(AND(AllowOT&lt;&gt;"Yes",SUMIF($B$7:$B$256,B109,$I$7:$I$256)&gt;INDEX($O$58:$O$88,DAY(B109))),"Day over "&amp;INDEX($O$58:$O$88,DAY(B109))&amp;" h","✓")))))))))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tr">
        <f aca="false">IF(Projects!B107="","",Projects!B107)</f>
        <v/>
      </c>
      <c r="X109" s="1" t="n">
        <f aca="false">IF(W109="",0,SUMIFS($I$7:$I$256,$D$7:$D$256,W109,$H$7:$H$256,"NTIME"))</f>
        <v>0</v>
      </c>
      <c r="Y109" s="1" t="n">
        <f aca="false">IF(W109="",0,SUMIFS($I$7:$I$256,$D$7:$D$256,W109,$H$7:$H$256,"P6"))</f>
        <v>0</v>
      </c>
      <c r="Z109" s="1" t="n">
        <f aca="false">X109+Y109</f>
        <v>0</v>
      </c>
      <c r="AA109" s="1" t="n">
        <f aca="false">IF(Z109&gt;0,Z109+(201-103)/10^6,0)</f>
        <v>0</v>
      </c>
      <c r="AB109" s="1"/>
      <c r="AC109" s="1"/>
      <c r="AD109" s="1"/>
      <c r="AE109" s="1"/>
      <c r="AF109" s="1"/>
      <c r="AG109" s="1"/>
      <c r="AH109" s="1"/>
    </row>
    <row r="110" customFormat="false" ht="15" hidden="false" customHeight="false" outlineLevel="0" collapsed="false">
      <c r="A110" s="1"/>
      <c r="B110" s="10"/>
      <c r="C110" s="31" t="str">
        <f aca="false">IF(B110="","",TEXT(B110,"ddd"))</f>
        <v/>
      </c>
      <c r="D110" s="11"/>
      <c r="E110" s="8" t="str">
        <f aca="false">IF(D110="","",IFERROR(INDEX(ProjNumbers,MATCH(D110,ProjNames,0)),""))</f>
        <v/>
      </c>
      <c r="F110" s="8" t="str">
        <f aca="false">IF(D110="","",IFERROR(INDEX(ProjCodes,MATCH(D110,ProjNames,0)),""))</f>
        <v/>
      </c>
      <c r="G110" s="32"/>
      <c r="H110" s="11"/>
      <c r="I110" s="33"/>
      <c r="J110" s="8" t="str">
        <f aca="false">IF(COUNTA(B110,D110,G110,H110,I110)=0,"",IF(B110="","Enter date",IF(OR(B110&lt;$AC$2,B110&gt;$AC$3),"Date not in August",IF(D110="","Pick project",IF(ISNA(MATCH(D110,ProjNames,0)),"Project not in list",IF(G110="","Add task description",IF(H110="","Pick NTIME or P6",IF(N(I110)&lt;=0,"Enter hours",IF(AND(AllowOT&lt;&gt;"Yes",SUMIF($B$7:$B$256,B110,$I$7:$I$256)&gt;INDEX($O$58:$O$88,DAY(B110))),"Day over "&amp;INDEX($O$58:$O$88,DAY(B110))&amp;" h","✓")))))))))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tr">
        <f aca="false">IF(Projects!B108="","",Projects!B108)</f>
        <v/>
      </c>
      <c r="X110" s="1" t="n">
        <f aca="false">IF(W110="",0,SUMIFS($I$7:$I$256,$D$7:$D$256,W110,$H$7:$H$256,"NTIME"))</f>
        <v>0</v>
      </c>
      <c r="Y110" s="1" t="n">
        <f aca="false">IF(W110="",0,SUMIFS($I$7:$I$256,$D$7:$D$256,W110,$H$7:$H$256,"P6"))</f>
        <v>0</v>
      </c>
      <c r="Z110" s="1" t="n">
        <f aca="false">X110+Y110</f>
        <v>0</v>
      </c>
      <c r="AA110" s="1" t="n">
        <f aca="false">IF(Z110&gt;0,Z110+(201-104)/10^6,0)</f>
        <v>0</v>
      </c>
      <c r="AB110" s="1"/>
      <c r="AC110" s="1"/>
      <c r="AD110" s="1"/>
      <c r="AE110" s="1"/>
      <c r="AF110" s="1"/>
      <c r="AG110" s="1"/>
      <c r="AH110" s="1"/>
    </row>
    <row r="111" customFormat="false" ht="15" hidden="false" customHeight="false" outlineLevel="0" collapsed="false">
      <c r="A111" s="1"/>
      <c r="B111" s="10"/>
      <c r="C111" s="31" t="str">
        <f aca="false">IF(B111="","",TEXT(B111,"ddd"))</f>
        <v/>
      </c>
      <c r="D111" s="11"/>
      <c r="E111" s="8" t="str">
        <f aca="false">IF(D111="","",IFERROR(INDEX(ProjNumbers,MATCH(D111,ProjNames,0)),""))</f>
        <v/>
      </c>
      <c r="F111" s="8" t="str">
        <f aca="false">IF(D111="","",IFERROR(INDEX(ProjCodes,MATCH(D111,ProjNames,0)),""))</f>
        <v/>
      </c>
      <c r="G111" s="32"/>
      <c r="H111" s="11"/>
      <c r="I111" s="33"/>
      <c r="J111" s="8" t="str">
        <f aca="false">IF(COUNTA(B111,D111,G111,H111,I111)=0,"",IF(B111="","Enter date",IF(OR(B111&lt;$AC$2,B111&gt;$AC$3),"Date not in August",IF(D111="","Pick project",IF(ISNA(MATCH(D111,ProjNames,0)),"Project not in list",IF(G111="","Add task description",IF(H111="","Pick NTIME or P6",IF(N(I111)&lt;=0,"Enter hours",IF(AND(AllowOT&lt;&gt;"Yes",SUMIF($B$7:$B$256,B111,$I$7:$I$256)&gt;INDEX($O$58:$O$88,DAY(B111))),"Day over "&amp;INDEX($O$58:$O$88,DAY(B111))&amp;" h","✓")))))))))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tr">
        <f aca="false">IF(Projects!B109="","",Projects!B109)</f>
        <v/>
      </c>
      <c r="X111" s="1" t="n">
        <f aca="false">IF(W111="",0,SUMIFS($I$7:$I$256,$D$7:$D$256,W111,$H$7:$H$256,"NTIME"))</f>
        <v>0</v>
      </c>
      <c r="Y111" s="1" t="n">
        <f aca="false">IF(W111="",0,SUMIFS($I$7:$I$256,$D$7:$D$256,W111,$H$7:$H$256,"P6"))</f>
        <v>0</v>
      </c>
      <c r="Z111" s="1" t="n">
        <f aca="false">X111+Y111</f>
        <v>0</v>
      </c>
      <c r="AA111" s="1" t="n">
        <f aca="false">IF(Z111&gt;0,Z111+(201-105)/10^6,0)</f>
        <v>0</v>
      </c>
      <c r="AB111" s="1"/>
      <c r="AC111" s="1"/>
      <c r="AD111" s="1"/>
      <c r="AE111" s="1"/>
      <c r="AF111" s="1"/>
      <c r="AG111" s="1"/>
      <c r="AH111" s="1"/>
    </row>
    <row r="112" customFormat="false" ht="15" hidden="false" customHeight="false" outlineLevel="0" collapsed="false">
      <c r="A112" s="1"/>
      <c r="B112" s="10"/>
      <c r="C112" s="31" t="str">
        <f aca="false">IF(B112="","",TEXT(B112,"ddd"))</f>
        <v/>
      </c>
      <c r="D112" s="11"/>
      <c r="E112" s="8" t="str">
        <f aca="false">IF(D112="","",IFERROR(INDEX(ProjNumbers,MATCH(D112,ProjNames,0)),""))</f>
        <v/>
      </c>
      <c r="F112" s="8" t="str">
        <f aca="false">IF(D112="","",IFERROR(INDEX(ProjCodes,MATCH(D112,ProjNames,0)),""))</f>
        <v/>
      </c>
      <c r="G112" s="32"/>
      <c r="H112" s="11"/>
      <c r="I112" s="33"/>
      <c r="J112" s="8" t="str">
        <f aca="false">IF(COUNTA(B112,D112,G112,H112,I112)=0,"",IF(B112="","Enter date",IF(OR(B112&lt;$AC$2,B112&gt;$AC$3),"Date not in August",IF(D112="","Pick project",IF(ISNA(MATCH(D112,ProjNames,0)),"Project not in list",IF(G112="","Add task description",IF(H112="","Pick NTIME or P6",IF(N(I112)&lt;=0,"Enter hours",IF(AND(AllowOT&lt;&gt;"Yes",SUMIF($B$7:$B$256,B112,$I$7:$I$256)&gt;INDEX($O$58:$O$88,DAY(B112))),"Day over "&amp;INDEX($O$58:$O$88,DAY(B112))&amp;" h","✓")))))))))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tr">
        <f aca="false">IF(Projects!B110="","",Projects!B110)</f>
        <v/>
      </c>
      <c r="X112" s="1" t="n">
        <f aca="false">IF(W112="",0,SUMIFS($I$7:$I$256,$D$7:$D$256,W112,$H$7:$H$256,"NTIME"))</f>
        <v>0</v>
      </c>
      <c r="Y112" s="1" t="n">
        <f aca="false">IF(W112="",0,SUMIFS($I$7:$I$256,$D$7:$D$256,W112,$H$7:$H$256,"P6"))</f>
        <v>0</v>
      </c>
      <c r="Z112" s="1" t="n">
        <f aca="false">X112+Y112</f>
        <v>0</v>
      </c>
      <c r="AA112" s="1" t="n">
        <f aca="false">IF(Z112&gt;0,Z112+(201-106)/10^6,0)</f>
        <v>0</v>
      </c>
      <c r="AB112" s="1"/>
      <c r="AC112" s="1"/>
      <c r="AD112" s="1"/>
      <c r="AE112" s="1"/>
      <c r="AF112" s="1"/>
      <c r="AG112" s="1"/>
      <c r="AH112" s="1"/>
    </row>
    <row r="113" customFormat="false" ht="15" hidden="false" customHeight="false" outlineLevel="0" collapsed="false">
      <c r="A113" s="1"/>
      <c r="B113" s="10"/>
      <c r="C113" s="31" t="str">
        <f aca="false">IF(B113="","",TEXT(B113,"ddd"))</f>
        <v/>
      </c>
      <c r="D113" s="11"/>
      <c r="E113" s="8" t="str">
        <f aca="false">IF(D113="","",IFERROR(INDEX(ProjNumbers,MATCH(D113,ProjNames,0)),""))</f>
        <v/>
      </c>
      <c r="F113" s="8" t="str">
        <f aca="false">IF(D113="","",IFERROR(INDEX(ProjCodes,MATCH(D113,ProjNames,0)),""))</f>
        <v/>
      </c>
      <c r="G113" s="32"/>
      <c r="H113" s="11"/>
      <c r="I113" s="33"/>
      <c r="J113" s="8" t="str">
        <f aca="false">IF(COUNTA(B113,D113,G113,H113,I113)=0,"",IF(B113="","Enter date",IF(OR(B113&lt;$AC$2,B113&gt;$AC$3),"Date not in August",IF(D113="","Pick project",IF(ISNA(MATCH(D113,ProjNames,0)),"Project not in list",IF(G113="","Add task description",IF(H113="","Pick NTIME or P6",IF(N(I113)&lt;=0,"Enter hours",IF(AND(AllowOT&lt;&gt;"Yes",SUMIF($B$7:$B$256,B113,$I$7:$I$256)&gt;INDEX($O$58:$O$88,DAY(B113))),"Day over "&amp;INDEX($O$58:$O$88,DAY(B113))&amp;" h","✓")))))))))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tr">
        <f aca="false">IF(Projects!B111="","",Projects!B111)</f>
        <v/>
      </c>
      <c r="X113" s="1" t="n">
        <f aca="false">IF(W113="",0,SUMIFS($I$7:$I$256,$D$7:$D$256,W113,$H$7:$H$256,"NTIME"))</f>
        <v>0</v>
      </c>
      <c r="Y113" s="1" t="n">
        <f aca="false">IF(W113="",0,SUMIFS($I$7:$I$256,$D$7:$D$256,W113,$H$7:$H$256,"P6"))</f>
        <v>0</v>
      </c>
      <c r="Z113" s="1" t="n">
        <f aca="false">X113+Y113</f>
        <v>0</v>
      </c>
      <c r="AA113" s="1" t="n">
        <f aca="false">IF(Z113&gt;0,Z113+(201-107)/10^6,0)</f>
        <v>0</v>
      </c>
      <c r="AB113" s="1"/>
      <c r="AC113" s="1"/>
      <c r="AD113" s="1"/>
      <c r="AE113" s="1"/>
      <c r="AF113" s="1"/>
      <c r="AG113" s="1"/>
      <c r="AH113" s="1"/>
    </row>
    <row r="114" customFormat="false" ht="15" hidden="false" customHeight="false" outlineLevel="0" collapsed="false">
      <c r="A114" s="1"/>
      <c r="B114" s="10"/>
      <c r="C114" s="31" t="str">
        <f aca="false">IF(B114="","",TEXT(B114,"ddd"))</f>
        <v/>
      </c>
      <c r="D114" s="11"/>
      <c r="E114" s="8" t="str">
        <f aca="false">IF(D114="","",IFERROR(INDEX(ProjNumbers,MATCH(D114,ProjNames,0)),""))</f>
        <v/>
      </c>
      <c r="F114" s="8" t="str">
        <f aca="false">IF(D114="","",IFERROR(INDEX(ProjCodes,MATCH(D114,ProjNames,0)),""))</f>
        <v/>
      </c>
      <c r="G114" s="32"/>
      <c r="H114" s="11"/>
      <c r="I114" s="33"/>
      <c r="J114" s="8" t="str">
        <f aca="false">IF(COUNTA(B114,D114,G114,H114,I114)=0,"",IF(B114="","Enter date",IF(OR(B114&lt;$AC$2,B114&gt;$AC$3),"Date not in August",IF(D114="","Pick project",IF(ISNA(MATCH(D114,ProjNames,0)),"Project not in list",IF(G114="","Add task description",IF(H114="","Pick NTIME or P6",IF(N(I114)&lt;=0,"Enter hours",IF(AND(AllowOT&lt;&gt;"Yes",SUMIF($B$7:$B$256,B114,$I$7:$I$256)&gt;INDEX($O$58:$O$88,DAY(B114))),"Day over "&amp;INDEX($O$58:$O$88,DAY(B114))&amp;" h","✓")))))))))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tr">
        <f aca="false">IF(Projects!B112="","",Projects!B112)</f>
        <v/>
      </c>
      <c r="X114" s="1" t="n">
        <f aca="false">IF(W114="",0,SUMIFS($I$7:$I$256,$D$7:$D$256,W114,$H$7:$H$256,"NTIME"))</f>
        <v>0</v>
      </c>
      <c r="Y114" s="1" t="n">
        <f aca="false">IF(W114="",0,SUMIFS($I$7:$I$256,$D$7:$D$256,W114,$H$7:$H$256,"P6"))</f>
        <v>0</v>
      </c>
      <c r="Z114" s="1" t="n">
        <f aca="false">X114+Y114</f>
        <v>0</v>
      </c>
      <c r="AA114" s="1" t="n">
        <f aca="false">IF(Z114&gt;0,Z114+(201-108)/10^6,0)</f>
        <v>0</v>
      </c>
      <c r="AB114" s="1"/>
      <c r="AC114" s="1"/>
      <c r="AD114" s="1"/>
      <c r="AE114" s="1"/>
      <c r="AF114" s="1"/>
      <c r="AG114" s="1"/>
      <c r="AH114" s="1"/>
    </row>
    <row r="115" customFormat="false" ht="15" hidden="false" customHeight="false" outlineLevel="0" collapsed="false">
      <c r="A115" s="1"/>
      <c r="B115" s="10"/>
      <c r="C115" s="31" t="str">
        <f aca="false">IF(B115="","",TEXT(B115,"ddd"))</f>
        <v/>
      </c>
      <c r="D115" s="11"/>
      <c r="E115" s="8" t="str">
        <f aca="false">IF(D115="","",IFERROR(INDEX(ProjNumbers,MATCH(D115,ProjNames,0)),""))</f>
        <v/>
      </c>
      <c r="F115" s="8" t="str">
        <f aca="false">IF(D115="","",IFERROR(INDEX(ProjCodes,MATCH(D115,ProjNames,0)),""))</f>
        <v/>
      </c>
      <c r="G115" s="32"/>
      <c r="H115" s="11"/>
      <c r="I115" s="33"/>
      <c r="J115" s="8" t="str">
        <f aca="false">IF(COUNTA(B115,D115,G115,H115,I115)=0,"",IF(B115="","Enter date",IF(OR(B115&lt;$AC$2,B115&gt;$AC$3),"Date not in August",IF(D115="","Pick project",IF(ISNA(MATCH(D115,ProjNames,0)),"Project not in list",IF(G115="","Add task description",IF(H115="","Pick NTIME or P6",IF(N(I115)&lt;=0,"Enter hours",IF(AND(AllowOT&lt;&gt;"Yes",SUMIF($B$7:$B$256,B115,$I$7:$I$256)&gt;INDEX($O$58:$O$88,DAY(B115))),"Day over "&amp;INDEX($O$58:$O$88,DAY(B115))&amp;" h","✓")))))))))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tr">
        <f aca="false">IF(Projects!B113="","",Projects!B113)</f>
        <v/>
      </c>
      <c r="X115" s="1" t="n">
        <f aca="false">IF(W115="",0,SUMIFS($I$7:$I$256,$D$7:$D$256,W115,$H$7:$H$256,"NTIME"))</f>
        <v>0</v>
      </c>
      <c r="Y115" s="1" t="n">
        <f aca="false">IF(W115="",0,SUMIFS($I$7:$I$256,$D$7:$D$256,W115,$H$7:$H$256,"P6"))</f>
        <v>0</v>
      </c>
      <c r="Z115" s="1" t="n">
        <f aca="false">X115+Y115</f>
        <v>0</v>
      </c>
      <c r="AA115" s="1" t="n">
        <f aca="false">IF(Z115&gt;0,Z115+(201-109)/10^6,0)</f>
        <v>0</v>
      </c>
      <c r="AB115" s="1"/>
      <c r="AC115" s="1"/>
      <c r="AD115" s="1"/>
      <c r="AE115" s="1"/>
      <c r="AF115" s="1"/>
      <c r="AG115" s="1"/>
      <c r="AH115" s="1"/>
    </row>
    <row r="116" customFormat="false" ht="15" hidden="false" customHeight="false" outlineLevel="0" collapsed="false">
      <c r="A116" s="1"/>
      <c r="B116" s="10"/>
      <c r="C116" s="31" t="str">
        <f aca="false">IF(B116="","",TEXT(B116,"ddd"))</f>
        <v/>
      </c>
      <c r="D116" s="11"/>
      <c r="E116" s="8" t="str">
        <f aca="false">IF(D116="","",IFERROR(INDEX(ProjNumbers,MATCH(D116,ProjNames,0)),""))</f>
        <v/>
      </c>
      <c r="F116" s="8" t="str">
        <f aca="false">IF(D116="","",IFERROR(INDEX(ProjCodes,MATCH(D116,ProjNames,0)),""))</f>
        <v/>
      </c>
      <c r="G116" s="32"/>
      <c r="H116" s="11"/>
      <c r="I116" s="33"/>
      <c r="J116" s="8" t="str">
        <f aca="false">IF(COUNTA(B116,D116,G116,H116,I116)=0,"",IF(B116="","Enter date",IF(OR(B116&lt;$AC$2,B116&gt;$AC$3),"Date not in August",IF(D116="","Pick project",IF(ISNA(MATCH(D116,ProjNames,0)),"Project not in list",IF(G116="","Add task description",IF(H116="","Pick NTIME or P6",IF(N(I116)&lt;=0,"Enter hours",IF(AND(AllowOT&lt;&gt;"Yes",SUMIF($B$7:$B$256,B116,$I$7:$I$256)&gt;INDEX($O$58:$O$88,DAY(B116))),"Day over "&amp;INDEX($O$58:$O$88,DAY(B116))&amp;" h","✓")))))))))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tr">
        <f aca="false">IF(Projects!B114="","",Projects!B114)</f>
        <v/>
      </c>
      <c r="X116" s="1" t="n">
        <f aca="false">IF(W116="",0,SUMIFS($I$7:$I$256,$D$7:$D$256,W116,$H$7:$H$256,"NTIME"))</f>
        <v>0</v>
      </c>
      <c r="Y116" s="1" t="n">
        <f aca="false">IF(W116="",0,SUMIFS($I$7:$I$256,$D$7:$D$256,W116,$H$7:$H$256,"P6"))</f>
        <v>0</v>
      </c>
      <c r="Z116" s="1" t="n">
        <f aca="false">X116+Y116</f>
        <v>0</v>
      </c>
      <c r="AA116" s="1" t="n">
        <f aca="false">IF(Z116&gt;0,Z116+(201-110)/10^6,0)</f>
        <v>0</v>
      </c>
      <c r="AB116" s="1"/>
      <c r="AC116" s="1"/>
      <c r="AD116" s="1"/>
      <c r="AE116" s="1"/>
      <c r="AF116" s="1"/>
      <c r="AG116" s="1"/>
      <c r="AH116" s="1"/>
    </row>
    <row r="117" customFormat="false" ht="15" hidden="false" customHeight="false" outlineLevel="0" collapsed="false">
      <c r="A117" s="1"/>
      <c r="B117" s="10"/>
      <c r="C117" s="31" t="str">
        <f aca="false">IF(B117="","",TEXT(B117,"ddd"))</f>
        <v/>
      </c>
      <c r="D117" s="11"/>
      <c r="E117" s="8" t="str">
        <f aca="false">IF(D117="","",IFERROR(INDEX(ProjNumbers,MATCH(D117,ProjNames,0)),""))</f>
        <v/>
      </c>
      <c r="F117" s="8" t="str">
        <f aca="false">IF(D117="","",IFERROR(INDEX(ProjCodes,MATCH(D117,ProjNames,0)),""))</f>
        <v/>
      </c>
      <c r="G117" s="32"/>
      <c r="H117" s="11"/>
      <c r="I117" s="33"/>
      <c r="J117" s="8" t="str">
        <f aca="false">IF(COUNTA(B117,D117,G117,H117,I117)=0,"",IF(B117="","Enter date",IF(OR(B117&lt;$AC$2,B117&gt;$AC$3),"Date not in August",IF(D117="","Pick project",IF(ISNA(MATCH(D117,ProjNames,0)),"Project not in list",IF(G117="","Add task description",IF(H117="","Pick NTIME or P6",IF(N(I117)&lt;=0,"Enter hours",IF(AND(AllowOT&lt;&gt;"Yes",SUMIF($B$7:$B$256,B117,$I$7:$I$256)&gt;INDEX($O$58:$O$88,DAY(B117))),"Day over "&amp;INDEX($O$58:$O$88,DAY(B117))&amp;" h","✓")))))))))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tr">
        <f aca="false">IF(Projects!B115="","",Projects!B115)</f>
        <v/>
      </c>
      <c r="X117" s="1" t="n">
        <f aca="false">IF(W117="",0,SUMIFS($I$7:$I$256,$D$7:$D$256,W117,$H$7:$H$256,"NTIME"))</f>
        <v>0</v>
      </c>
      <c r="Y117" s="1" t="n">
        <f aca="false">IF(W117="",0,SUMIFS($I$7:$I$256,$D$7:$D$256,W117,$H$7:$H$256,"P6"))</f>
        <v>0</v>
      </c>
      <c r="Z117" s="1" t="n">
        <f aca="false">X117+Y117</f>
        <v>0</v>
      </c>
      <c r="AA117" s="1" t="n">
        <f aca="false">IF(Z117&gt;0,Z117+(201-111)/10^6,0)</f>
        <v>0</v>
      </c>
      <c r="AB117" s="1"/>
      <c r="AC117" s="1"/>
      <c r="AD117" s="1"/>
      <c r="AE117" s="1"/>
      <c r="AF117" s="1"/>
      <c r="AG117" s="1"/>
      <c r="AH117" s="1"/>
    </row>
    <row r="118" customFormat="false" ht="15" hidden="false" customHeight="false" outlineLevel="0" collapsed="false">
      <c r="A118" s="1"/>
      <c r="B118" s="10"/>
      <c r="C118" s="31" t="str">
        <f aca="false">IF(B118="","",TEXT(B118,"ddd"))</f>
        <v/>
      </c>
      <c r="D118" s="11"/>
      <c r="E118" s="8" t="str">
        <f aca="false">IF(D118="","",IFERROR(INDEX(ProjNumbers,MATCH(D118,ProjNames,0)),""))</f>
        <v/>
      </c>
      <c r="F118" s="8" t="str">
        <f aca="false">IF(D118="","",IFERROR(INDEX(ProjCodes,MATCH(D118,ProjNames,0)),""))</f>
        <v/>
      </c>
      <c r="G118" s="32"/>
      <c r="H118" s="11"/>
      <c r="I118" s="33"/>
      <c r="J118" s="8" t="str">
        <f aca="false">IF(COUNTA(B118,D118,G118,H118,I118)=0,"",IF(B118="","Enter date",IF(OR(B118&lt;$AC$2,B118&gt;$AC$3),"Date not in August",IF(D118="","Pick project",IF(ISNA(MATCH(D118,ProjNames,0)),"Project not in list",IF(G118="","Add task description",IF(H118="","Pick NTIME or P6",IF(N(I118)&lt;=0,"Enter hours",IF(AND(AllowOT&lt;&gt;"Yes",SUMIF($B$7:$B$256,B118,$I$7:$I$256)&gt;INDEX($O$58:$O$88,DAY(B118))),"Day over "&amp;INDEX($O$58:$O$88,DAY(B118))&amp;" h","✓")))))))))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tr">
        <f aca="false">IF(Projects!B116="","",Projects!B116)</f>
        <v/>
      </c>
      <c r="X118" s="1" t="n">
        <f aca="false">IF(W118="",0,SUMIFS($I$7:$I$256,$D$7:$D$256,W118,$H$7:$H$256,"NTIME"))</f>
        <v>0</v>
      </c>
      <c r="Y118" s="1" t="n">
        <f aca="false">IF(W118="",0,SUMIFS($I$7:$I$256,$D$7:$D$256,W118,$H$7:$H$256,"P6"))</f>
        <v>0</v>
      </c>
      <c r="Z118" s="1" t="n">
        <f aca="false">X118+Y118</f>
        <v>0</v>
      </c>
      <c r="AA118" s="1" t="n">
        <f aca="false">IF(Z118&gt;0,Z118+(201-112)/10^6,0)</f>
        <v>0</v>
      </c>
      <c r="AB118" s="1"/>
      <c r="AC118" s="1"/>
      <c r="AD118" s="1"/>
      <c r="AE118" s="1"/>
      <c r="AF118" s="1"/>
      <c r="AG118" s="1"/>
      <c r="AH118" s="1"/>
    </row>
    <row r="119" customFormat="false" ht="15" hidden="false" customHeight="false" outlineLevel="0" collapsed="false">
      <c r="A119" s="1"/>
      <c r="B119" s="10"/>
      <c r="C119" s="31" t="str">
        <f aca="false">IF(B119="","",TEXT(B119,"ddd"))</f>
        <v/>
      </c>
      <c r="D119" s="11"/>
      <c r="E119" s="8" t="str">
        <f aca="false">IF(D119="","",IFERROR(INDEX(ProjNumbers,MATCH(D119,ProjNames,0)),""))</f>
        <v/>
      </c>
      <c r="F119" s="8" t="str">
        <f aca="false">IF(D119="","",IFERROR(INDEX(ProjCodes,MATCH(D119,ProjNames,0)),""))</f>
        <v/>
      </c>
      <c r="G119" s="32"/>
      <c r="H119" s="11"/>
      <c r="I119" s="33"/>
      <c r="J119" s="8" t="str">
        <f aca="false">IF(COUNTA(B119,D119,G119,H119,I119)=0,"",IF(B119="","Enter date",IF(OR(B119&lt;$AC$2,B119&gt;$AC$3),"Date not in August",IF(D119="","Pick project",IF(ISNA(MATCH(D119,ProjNames,0)),"Project not in list",IF(G119="","Add task description",IF(H119="","Pick NTIME or P6",IF(N(I119)&lt;=0,"Enter hours",IF(AND(AllowOT&lt;&gt;"Yes",SUMIF($B$7:$B$256,B119,$I$7:$I$256)&gt;INDEX($O$58:$O$88,DAY(B119))),"Day over "&amp;INDEX($O$58:$O$88,DAY(B119))&amp;" h","✓")))))))))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 aca="false">IF(Projects!B117="","",Projects!B117)</f>
        <v/>
      </c>
      <c r="X119" s="1" t="n">
        <f aca="false">IF(W119="",0,SUMIFS($I$7:$I$256,$D$7:$D$256,W119,$H$7:$H$256,"NTIME"))</f>
        <v>0</v>
      </c>
      <c r="Y119" s="1" t="n">
        <f aca="false">IF(W119="",0,SUMIFS($I$7:$I$256,$D$7:$D$256,W119,$H$7:$H$256,"P6"))</f>
        <v>0</v>
      </c>
      <c r="Z119" s="1" t="n">
        <f aca="false">X119+Y119</f>
        <v>0</v>
      </c>
      <c r="AA119" s="1" t="n">
        <f aca="false">IF(Z119&gt;0,Z119+(201-113)/10^6,0)</f>
        <v>0</v>
      </c>
      <c r="AB119" s="1"/>
      <c r="AC119" s="1"/>
      <c r="AD119" s="1"/>
      <c r="AE119" s="1"/>
      <c r="AF119" s="1"/>
      <c r="AG119" s="1"/>
      <c r="AH119" s="1"/>
    </row>
    <row r="120" customFormat="false" ht="15" hidden="false" customHeight="false" outlineLevel="0" collapsed="false">
      <c r="A120" s="1"/>
      <c r="B120" s="10"/>
      <c r="C120" s="31" t="str">
        <f aca="false">IF(B120="","",TEXT(B120,"ddd"))</f>
        <v/>
      </c>
      <c r="D120" s="11"/>
      <c r="E120" s="8" t="str">
        <f aca="false">IF(D120="","",IFERROR(INDEX(ProjNumbers,MATCH(D120,ProjNames,0)),""))</f>
        <v/>
      </c>
      <c r="F120" s="8" t="str">
        <f aca="false">IF(D120="","",IFERROR(INDEX(ProjCodes,MATCH(D120,ProjNames,0)),""))</f>
        <v/>
      </c>
      <c r="G120" s="32"/>
      <c r="H120" s="11"/>
      <c r="I120" s="33"/>
      <c r="J120" s="8" t="str">
        <f aca="false">IF(COUNTA(B120,D120,G120,H120,I120)=0,"",IF(B120="","Enter date",IF(OR(B120&lt;$AC$2,B120&gt;$AC$3),"Date not in August",IF(D120="","Pick project",IF(ISNA(MATCH(D120,ProjNames,0)),"Project not in list",IF(G120="","Add task description",IF(H120="","Pick NTIME or P6",IF(N(I120)&lt;=0,"Enter hours",IF(AND(AllowOT&lt;&gt;"Yes",SUMIF($B$7:$B$256,B120,$I$7:$I$256)&gt;INDEX($O$58:$O$88,DAY(B120))),"Day over "&amp;INDEX($O$58:$O$88,DAY(B120))&amp;" h","✓")))))))))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tr">
        <f aca="false">IF(Projects!B118="","",Projects!B118)</f>
        <v/>
      </c>
      <c r="X120" s="1" t="n">
        <f aca="false">IF(W120="",0,SUMIFS($I$7:$I$256,$D$7:$D$256,W120,$H$7:$H$256,"NTIME"))</f>
        <v>0</v>
      </c>
      <c r="Y120" s="1" t="n">
        <f aca="false">IF(W120="",0,SUMIFS($I$7:$I$256,$D$7:$D$256,W120,$H$7:$H$256,"P6"))</f>
        <v>0</v>
      </c>
      <c r="Z120" s="1" t="n">
        <f aca="false">X120+Y120</f>
        <v>0</v>
      </c>
      <c r="AA120" s="1" t="n">
        <f aca="false">IF(Z120&gt;0,Z120+(201-114)/10^6,0)</f>
        <v>0</v>
      </c>
      <c r="AB120" s="1"/>
      <c r="AC120" s="1"/>
      <c r="AD120" s="1"/>
      <c r="AE120" s="1"/>
      <c r="AF120" s="1"/>
      <c r="AG120" s="1"/>
      <c r="AH120" s="1"/>
    </row>
    <row r="121" customFormat="false" ht="15" hidden="false" customHeight="false" outlineLevel="0" collapsed="false">
      <c r="A121" s="1"/>
      <c r="B121" s="10"/>
      <c r="C121" s="31" t="str">
        <f aca="false">IF(B121="","",TEXT(B121,"ddd"))</f>
        <v/>
      </c>
      <c r="D121" s="11"/>
      <c r="E121" s="8" t="str">
        <f aca="false">IF(D121="","",IFERROR(INDEX(ProjNumbers,MATCH(D121,ProjNames,0)),""))</f>
        <v/>
      </c>
      <c r="F121" s="8" t="str">
        <f aca="false">IF(D121="","",IFERROR(INDEX(ProjCodes,MATCH(D121,ProjNames,0)),""))</f>
        <v/>
      </c>
      <c r="G121" s="32"/>
      <c r="H121" s="11"/>
      <c r="I121" s="33"/>
      <c r="J121" s="8" t="str">
        <f aca="false">IF(COUNTA(B121,D121,G121,H121,I121)=0,"",IF(B121="","Enter date",IF(OR(B121&lt;$AC$2,B121&gt;$AC$3),"Date not in August",IF(D121="","Pick project",IF(ISNA(MATCH(D121,ProjNames,0)),"Project not in list",IF(G121="","Add task description",IF(H121="","Pick NTIME or P6",IF(N(I121)&lt;=0,"Enter hours",IF(AND(AllowOT&lt;&gt;"Yes",SUMIF($B$7:$B$256,B121,$I$7:$I$256)&gt;INDEX($O$58:$O$88,DAY(B121))),"Day over "&amp;INDEX($O$58:$O$88,DAY(B121))&amp;" h","✓")))))))))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tr">
        <f aca="false">IF(Projects!B119="","",Projects!B119)</f>
        <v/>
      </c>
      <c r="X121" s="1" t="n">
        <f aca="false">IF(W121="",0,SUMIFS($I$7:$I$256,$D$7:$D$256,W121,$H$7:$H$256,"NTIME"))</f>
        <v>0</v>
      </c>
      <c r="Y121" s="1" t="n">
        <f aca="false">IF(W121="",0,SUMIFS($I$7:$I$256,$D$7:$D$256,W121,$H$7:$H$256,"P6"))</f>
        <v>0</v>
      </c>
      <c r="Z121" s="1" t="n">
        <f aca="false">X121+Y121</f>
        <v>0</v>
      </c>
      <c r="AA121" s="1" t="n">
        <f aca="false">IF(Z121&gt;0,Z121+(201-115)/10^6,0)</f>
        <v>0</v>
      </c>
      <c r="AB121" s="1"/>
      <c r="AC121" s="1"/>
      <c r="AD121" s="1"/>
      <c r="AE121" s="1"/>
      <c r="AF121" s="1"/>
      <c r="AG121" s="1"/>
      <c r="AH121" s="1"/>
    </row>
    <row r="122" customFormat="false" ht="15" hidden="false" customHeight="false" outlineLevel="0" collapsed="false">
      <c r="A122" s="1"/>
      <c r="B122" s="10"/>
      <c r="C122" s="31" t="str">
        <f aca="false">IF(B122="","",TEXT(B122,"ddd"))</f>
        <v/>
      </c>
      <c r="D122" s="11"/>
      <c r="E122" s="8" t="str">
        <f aca="false">IF(D122="","",IFERROR(INDEX(ProjNumbers,MATCH(D122,ProjNames,0)),""))</f>
        <v/>
      </c>
      <c r="F122" s="8" t="str">
        <f aca="false">IF(D122="","",IFERROR(INDEX(ProjCodes,MATCH(D122,ProjNames,0)),""))</f>
        <v/>
      </c>
      <c r="G122" s="32"/>
      <c r="H122" s="11"/>
      <c r="I122" s="33"/>
      <c r="J122" s="8" t="str">
        <f aca="false">IF(COUNTA(B122,D122,G122,H122,I122)=0,"",IF(B122="","Enter date",IF(OR(B122&lt;$AC$2,B122&gt;$AC$3),"Date not in August",IF(D122="","Pick project",IF(ISNA(MATCH(D122,ProjNames,0)),"Project not in list",IF(G122="","Add task description",IF(H122="","Pick NTIME or P6",IF(N(I122)&lt;=0,"Enter hours",IF(AND(AllowOT&lt;&gt;"Yes",SUMIF($B$7:$B$256,B122,$I$7:$I$256)&gt;INDEX($O$58:$O$88,DAY(B122))),"Day over "&amp;INDEX($O$58:$O$88,DAY(B122))&amp;" h","✓")))))))))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tr">
        <f aca="false">IF(Projects!B120="","",Projects!B120)</f>
        <v/>
      </c>
      <c r="X122" s="1" t="n">
        <f aca="false">IF(W122="",0,SUMIFS($I$7:$I$256,$D$7:$D$256,W122,$H$7:$H$256,"NTIME"))</f>
        <v>0</v>
      </c>
      <c r="Y122" s="1" t="n">
        <f aca="false">IF(W122="",0,SUMIFS($I$7:$I$256,$D$7:$D$256,W122,$H$7:$H$256,"P6"))</f>
        <v>0</v>
      </c>
      <c r="Z122" s="1" t="n">
        <f aca="false">X122+Y122</f>
        <v>0</v>
      </c>
      <c r="AA122" s="1" t="n">
        <f aca="false">IF(Z122&gt;0,Z122+(201-116)/10^6,0)</f>
        <v>0</v>
      </c>
      <c r="AB122" s="1"/>
      <c r="AC122" s="1"/>
      <c r="AD122" s="1"/>
      <c r="AE122" s="1"/>
      <c r="AF122" s="1"/>
      <c r="AG122" s="1"/>
      <c r="AH122" s="1"/>
    </row>
    <row r="123" customFormat="false" ht="15" hidden="false" customHeight="false" outlineLevel="0" collapsed="false">
      <c r="A123" s="1"/>
      <c r="B123" s="10"/>
      <c r="C123" s="31" t="str">
        <f aca="false">IF(B123="","",TEXT(B123,"ddd"))</f>
        <v/>
      </c>
      <c r="D123" s="11"/>
      <c r="E123" s="8" t="str">
        <f aca="false">IF(D123="","",IFERROR(INDEX(ProjNumbers,MATCH(D123,ProjNames,0)),""))</f>
        <v/>
      </c>
      <c r="F123" s="8" t="str">
        <f aca="false">IF(D123="","",IFERROR(INDEX(ProjCodes,MATCH(D123,ProjNames,0)),""))</f>
        <v/>
      </c>
      <c r="G123" s="32"/>
      <c r="H123" s="11"/>
      <c r="I123" s="33"/>
      <c r="J123" s="8" t="str">
        <f aca="false">IF(COUNTA(B123,D123,G123,H123,I123)=0,"",IF(B123="","Enter date",IF(OR(B123&lt;$AC$2,B123&gt;$AC$3),"Date not in August",IF(D123="","Pick project",IF(ISNA(MATCH(D123,ProjNames,0)),"Project not in list",IF(G123="","Add task description",IF(H123="","Pick NTIME or P6",IF(N(I123)&lt;=0,"Enter hours",IF(AND(AllowOT&lt;&gt;"Yes",SUMIF($B$7:$B$256,B123,$I$7:$I$256)&gt;INDEX($O$58:$O$88,DAY(B123))),"Day over "&amp;INDEX($O$58:$O$88,DAY(B123))&amp;" h","✓")))))))))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tr">
        <f aca="false">IF(Projects!B121="","",Projects!B121)</f>
        <v/>
      </c>
      <c r="X123" s="1" t="n">
        <f aca="false">IF(W123="",0,SUMIFS($I$7:$I$256,$D$7:$D$256,W123,$H$7:$H$256,"NTIME"))</f>
        <v>0</v>
      </c>
      <c r="Y123" s="1" t="n">
        <f aca="false">IF(W123="",0,SUMIFS($I$7:$I$256,$D$7:$D$256,W123,$H$7:$H$256,"P6"))</f>
        <v>0</v>
      </c>
      <c r="Z123" s="1" t="n">
        <f aca="false">X123+Y123</f>
        <v>0</v>
      </c>
      <c r="AA123" s="1" t="n">
        <f aca="false">IF(Z123&gt;0,Z123+(201-117)/10^6,0)</f>
        <v>0</v>
      </c>
      <c r="AB123" s="1"/>
      <c r="AC123" s="1"/>
      <c r="AD123" s="1"/>
      <c r="AE123" s="1"/>
      <c r="AF123" s="1"/>
      <c r="AG123" s="1"/>
      <c r="AH123" s="1"/>
    </row>
    <row r="124" customFormat="false" ht="15" hidden="false" customHeight="false" outlineLevel="0" collapsed="false">
      <c r="A124" s="1"/>
      <c r="B124" s="10"/>
      <c r="C124" s="31" t="str">
        <f aca="false">IF(B124="","",TEXT(B124,"ddd"))</f>
        <v/>
      </c>
      <c r="D124" s="11"/>
      <c r="E124" s="8" t="str">
        <f aca="false">IF(D124="","",IFERROR(INDEX(ProjNumbers,MATCH(D124,ProjNames,0)),""))</f>
        <v/>
      </c>
      <c r="F124" s="8" t="str">
        <f aca="false">IF(D124="","",IFERROR(INDEX(ProjCodes,MATCH(D124,ProjNames,0)),""))</f>
        <v/>
      </c>
      <c r="G124" s="32"/>
      <c r="H124" s="11"/>
      <c r="I124" s="33"/>
      <c r="J124" s="8" t="str">
        <f aca="false">IF(COUNTA(B124,D124,G124,H124,I124)=0,"",IF(B124="","Enter date",IF(OR(B124&lt;$AC$2,B124&gt;$AC$3),"Date not in August",IF(D124="","Pick project",IF(ISNA(MATCH(D124,ProjNames,0)),"Project not in list",IF(G124="","Add task description",IF(H124="","Pick NTIME or P6",IF(N(I124)&lt;=0,"Enter hours",IF(AND(AllowOT&lt;&gt;"Yes",SUMIF($B$7:$B$256,B124,$I$7:$I$256)&gt;INDEX($O$58:$O$88,DAY(B124))),"Day over "&amp;INDEX($O$58:$O$88,DAY(B124))&amp;" h","✓")))))))))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tr">
        <f aca="false">IF(Projects!B122="","",Projects!B122)</f>
        <v/>
      </c>
      <c r="X124" s="1" t="n">
        <f aca="false">IF(W124="",0,SUMIFS($I$7:$I$256,$D$7:$D$256,W124,$H$7:$H$256,"NTIME"))</f>
        <v>0</v>
      </c>
      <c r="Y124" s="1" t="n">
        <f aca="false">IF(W124="",0,SUMIFS($I$7:$I$256,$D$7:$D$256,W124,$H$7:$H$256,"P6"))</f>
        <v>0</v>
      </c>
      <c r="Z124" s="1" t="n">
        <f aca="false">X124+Y124</f>
        <v>0</v>
      </c>
      <c r="AA124" s="1" t="n">
        <f aca="false">IF(Z124&gt;0,Z124+(201-118)/10^6,0)</f>
        <v>0</v>
      </c>
      <c r="AB124" s="1"/>
      <c r="AC124" s="1"/>
      <c r="AD124" s="1"/>
      <c r="AE124" s="1"/>
      <c r="AF124" s="1"/>
      <c r="AG124" s="1"/>
      <c r="AH124" s="1"/>
    </row>
    <row r="125" customFormat="false" ht="15" hidden="false" customHeight="false" outlineLevel="0" collapsed="false">
      <c r="A125" s="1"/>
      <c r="B125" s="10"/>
      <c r="C125" s="31" t="str">
        <f aca="false">IF(B125="","",TEXT(B125,"ddd"))</f>
        <v/>
      </c>
      <c r="D125" s="11"/>
      <c r="E125" s="8" t="str">
        <f aca="false">IF(D125="","",IFERROR(INDEX(ProjNumbers,MATCH(D125,ProjNames,0)),""))</f>
        <v/>
      </c>
      <c r="F125" s="8" t="str">
        <f aca="false">IF(D125="","",IFERROR(INDEX(ProjCodes,MATCH(D125,ProjNames,0)),""))</f>
        <v/>
      </c>
      <c r="G125" s="32"/>
      <c r="H125" s="11"/>
      <c r="I125" s="33"/>
      <c r="J125" s="8" t="str">
        <f aca="false">IF(COUNTA(B125,D125,G125,H125,I125)=0,"",IF(B125="","Enter date",IF(OR(B125&lt;$AC$2,B125&gt;$AC$3),"Date not in August",IF(D125="","Pick project",IF(ISNA(MATCH(D125,ProjNames,0)),"Project not in list",IF(G125="","Add task description",IF(H125="","Pick NTIME or P6",IF(N(I125)&lt;=0,"Enter hours",IF(AND(AllowOT&lt;&gt;"Yes",SUMIF($B$7:$B$256,B125,$I$7:$I$256)&gt;INDEX($O$58:$O$88,DAY(B125))),"Day over "&amp;INDEX($O$58:$O$88,DAY(B125))&amp;" h","✓")))))))))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tr">
        <f aca="false">IF(Projects!B123="","",Projects!B123)</f>
        <v/>
      </c>
      <c r="X125" s="1" t="n">
        <f aca="false">IF(W125="",0,SUMIFS($I$7:$I$256,$D$7:$D$256,W125,$H$7:$H$256,"NTIME"))</f>
        <v>0</v>
      </c>
      <c r="Y125" s="1" t="n">
        <f aca="false">IF(W125="",0,SUMIFS($I$7:$I$256,$D$7:$D$256,W125,$H$7:$H$256,"P6"))</f>
        <v>0</v>
      </c>
      <c r="Z125" s="1" t="n">
        <f aca="false">X125+Y125</f>
        <v>0</v>
      </c>
      <c r="AA125" s="1" t="n">
        <f aca="false">IF(Z125&gt;0,Z125+(201-119)/10^6,0)</f>
        <v>0</v>
      </c>
      <c r="AB125" s="1"/>
      <c r="AC125" s="1"/>
      <c r="AD125" s="1"/>
      <c r="AE125" s="1"/>
      <c r="AF125" s="1"/>
      <c r="AG125" s="1"/>
      <c r="AH125" s="1"/>
    </row>
    <row r="126" customFormat="false" ht="15" hidden="false" customHeight="false" outlineLevel="0" collapsed="false">
      <c r="A126" s="1"/>
      <c r="B126" s="10"/>
      <c r="C126" s="31" t="str">
        <f aca="false">IF(B126="","",TEXT(B126,"ddd"))</f>
        <v/>
      </c>
      <c r="D126" s="11"/>
      <c r="E126" s="8" t="str">
        <f aca="false">IF(D126="","",IFERROR(INDEX(ProjNumbers,MATCH(D126,ProjNames,0)),""))</f>
        <v/>
      </c>
      <c r="F126" s="8" t="str">
        <f aca="false">IF(D126="","",IFERROR(INDEX(ProjCodes,MATCH(D126,ProjNames,0)),""))</f>
        <v/>
      </c>
      <c r="G126" s="32"/>
      <c r="H126" s="11"/>
      <c r="I126" s="33"/>
      <c r="J126" s="8" t="str">
        <f aca="false">IF(COUNTA(B126,D126,G126,H126,I126)=0,"",IF(B126="","Enter date",IF(OR(B126&lt;$AC$2,B126&gt;$AC$3),"Date not in August",IF(D126="","Pick project",IF(ISNA(MATCH(D126,ProjNames,0)),"Project not in list",IF(G126="","Add task description",IF(H126="","Pick NTIME or P6",IF(N(I126)&lt;=0,"Enter hours",IF(AND(AllowOT&lt;&gt;"Yes",SUMIF($B$7:$B$256,B126,$I$7:$I$256)&gt;INDEX($O$58:$O$88,DAY(B126))),"Day over "&amp;INDEX($O$58:$O$88,DAY(B126))&amp;" h","✓")))))))))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tr">
        <f aca="false">IF(Projects!B124="","",Projects!B124)</f>
        <v/>
      </c>
      <c r="X126" s="1" t="n">
        <f aca="false">IF(W126="",0,SUMIFS($I$7:$I$256,$D$7:$D$256,W126,$H$7:$H$256,"NTIME"))</f>
        <v>0</v>
      </c>
      <c r="Y126" s="1" t="n">
        <f aca="false">IF(W126="",0,SUMIFS($I$7:$I$256,$D$7:$D$256,W126,$H$7:$H$256,"P6"))</f>
        <v>0</v>
      </c>
      <c r="Z126" s="1" t="n">
        <f aca="false">X126+Y126</f>
        <v>0</v>
      </c>
      <c r="AA126" s="1" t="n">
        <f aca="false">IF(Z126&gt;0,Z126+(201-120)/10^6,0)</f>
        <v>0</v>
      </c>
      <c r="AB126" s="1"/>
      <c r="AC126" s="1"/>
      <c r="AD126" s="1"/>
      <c r="AE126" s="1"/>
      <c r="AF126" s="1"/>
      <c r="AG126" s="1"/>
      <c r="AH126" s="1"/>
    </row>
    <row r="127" customFormat="false" ht="15" hidden="false" customHeight="false" outlineLevel="0" collapsed="false">
      <c r="A127" s="1"/>
      <c r="B127" s="10"/>
      <c r="C127" s="31" t="str">
        <f aca="false">IF(B127="","",TEXT(B127,"ddd"))</f>
        <v/>
      </c>
      <c r="D127" s="11"/>
      <c r="E127" s="8" t="str">
        <f aca="false">IF(D127="","",IFERROR(INDEX(ProjNumbers,MATCH(D127,ProjNames,0)),""))</f>
        <v/>
      </c>
      <c r="F127" s="8" t="str">
        <f aca="false">IF(D127="","",IFERROR(INDEX(ProjCodes,MATCH(D127,ProjNames,0)),""))</f>
        <v/>
      </c>
      <c r="G127" s="32"/>
      <c r="H127" s="11"/>
      <c r="I127" s="33"/>
      <c r="J127" s="8" t="str">
        <f aca="false">IF(COUNTA(B127,D127,G127,H127,I127)=0,"",IF(B127="","Enter date",IF(OR(B127&lt;$AC$2,B127&gt;$AC$3),"Date not in August",IF(D127="","Pick project",IF(ISNA(MATCH(D127,ProjNames,0)),"Project not in list",IF(G127="","Add task description",IF(H127="","Pick NTIME or P6",IF(N(I127)&lt;=0,"Enter hours",IF(AND(AllowOT&lt;&gt;"Yes",SUMIF($B$7:$B$256,B127,$I$7:$I$256)&gt;INDEX($O$58:$O$88,DAY(B127))),"Day over "&amp;INDEX($O$58:$O$88,DAY(B127))&amp;" h","✓")))))))))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tr">
        <f aca="false">IF(Projects!B125="","",Projects!B125)</f>
        <v/>
      </c>
      <c r="X127" s="1" t="n">
        <f aca="false">IF(W127="",0,SUMIFS($I$7:$I$256,$D$7:$D$256,W127,$H$7:$H$256,"NTIME"))</f>
        <v>0</v>
      </c>
      <c r="Y127" s="1" t="n">
        <f aca="false">IF(W127="",0,SUMIFS($I$7:$I$256,$D$7:$D$256,W127,$H$7:$H$256,"P6"))</f>
        <v>0</v>
      </c>
      <c r="Z127" s="1" t="n">
        <f aca="false">X127+Y127</f>
        <v>0</v>
      </c>
      <c r="AA127" s="1" t="n">
        <f aca="false">IF(Z127&gt;0,Z127+(201-121)/10^6,0)</f>
        <v>0</v>
      </c>
      <c r="AB127" s="1"/>
      <c r="AC127" s="1"/>
      <c r="AD127" s="1"/>
      <c r="AE127" s="1"/>
      <c r="AF127" s="1"/>
      <c r="AG127" s="1"/>
      <c r="AH127" s="1"/>
    </row>
    <row r="128" customFormat="false" ht="15" hidden="false" customHeight="false" outlineLevel="0" collapsed="false">
      <c r="A128" s="1"/>
      <c r="B128" s="10"/>
      <c r="C128" s="31" t="str">
        <f aca="false">IF(B128="","",TEXT(B128,"ddd"))</f>
        <v/>
      </c>
      <c r="D128" s="11"/>
      <c r="E128" s="8" t="str">
        <f aca="false">IF(D128="","",IFERROR(INDEX(ProjNumbers,MATCH(D128,ProjNames,0)),""))</f>
        <v/>
      </c>
      <c r="F128" s="8" t="str">
        <f aca="false">IF(D128="","",IFERROR(INDEX(ProjCodes,MATCH(D128,ProjNames,0)),""))</f>
        <v/>
      </c>
      <c r="G128" s="32"/>
      <c r="H128" s="11"/>
      <c r="I128" s="33"/>
      <c r="J128" s="8" t="str">
        <f aca="false">IF(COUNTA(B128,D128,G128,H128,I128)=0,"",IF(B128="","Enter date",IF(OR(B128&lt;$AC$2,B128&gt;$AC$3),"Date not in August",IF(D128="","Pick project",IF(ISNA(MATCH(D128,ProjNames,0)),"Project not in list",IF(G128="","Add task description",IF(H128="","Pick NTIME or P6",IF(N(I128)&lt;=0,"Enter hours",IF(AND(AllowOT&lt;&gt;"Yes",SUMIF($B$7:$B$256,B128,$I$7:$I$256)&gt;INDEX($O$58:$O$88,DAY(B128))),"Day over "&amp;INDEX($O$58:$O$88,DAY(B128))&amp;" h","✓")))))))))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tr">
        <f aca="false">IF(Projects!B126="","",Projects!B126)</f>
        <v/>
      </c>
      <c r="X128" s="1" t="n">
        <f aca="false">IF(W128="",0,SUMIFS($I$7:$I$256,$D$7:$D$256,W128,$H$7:$H$256,"NTIME"))</f>
        <v>0</v>
      </c>
      <c r="Y128" s="1" t="n">
        <f aca="false">IF(W128="",0,SUMIFS($I$7:$I$256,$D$7:$D$256,W128,$H$7:$H$256,"P6"))</f>
        <v>0</v>
      </c>
      <c r="Z128" s="1" t="n">
        <f aca="false">X128+Y128</f>
        <v>0</v>
      </c>
      <c r="AA128" s="1" t="n">
        <f aca="false">IF(Z128&gt;0,Z128+(201-122)/10^6,0)</f>
        <v>0</v>
      </c>
      <c r="AB128" s="1"/>
      <c r="AC128" s="1"/>
      <c r="AD128" s="1"/>
      <c r="AE128" s="1"/>
      <c r="AF128" s="1"/>
      <c r="AG128" s="1"/>
      <c r="AH128" s="1"/>
    </row>
    <row r="129" customFormat="false" ht="15" hidden="false" customHeight="false" outlineLevel="0" collapsed="false">
      <c r="A129" s="1"/>
      <c r="B129" s="10"/>
      <c r="C129" s="31" t="str">
        <f aca="false">IF(B129="","",TEXT(B129,"ddd"))</f>
        <v/>
      </c>
      <c r="D129" s="11"/>
      <c r="E129" s="8" t="str">
        <f aca="false">IF(D129="","",IFERROR(INDEX(ProjNumbers,MATCH(D129,ProjNames,0)),""))</f>
        <v/>
      </c>
      <c r="F129" s="8" t="str">
        <f aca="false">IF(D129="","",IFERROR(INDEX(ProjCodes,MATCH(D129,ProjNames,0)),""))</f>
        <v/>
      </c>
      <c r="G129" s="32"/>
      <c r="H129" s="11"/>
      <c r="I129" s="33"/>
      <c r="J129" s="8" t="str">
        <f aca="false">IF(COUNTA(B129,D129,G129,H129,I129)=0,"",IF(B129="","Enter date",IF(OR(B129&lt;$AC$2,B129&gt;$AC$3),"Date not in August",IF(D129="","Pick project",IF(ISNA(MATCH(D129,ProjNames,0)),"Project not in list",IF(G129="","Add task description",IF(H129="","Pick NTIME or P6",IF(N(I129)&lt;=0,"Enter hours",IF(AND(AllowOT&lt;&gt;"Yes",SUMIF($B$7:$B$256,B129,$I$7:$I$256)&gt;INDEX($O$58:$O$88,DAY(B129))),"Day over "&amp;INDEX($O$58:$O$88,DAY(B129))&amp;" h","✓")))))))))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tr">
        <f aca="false">IF(Projects!B127="","",Projects!B127)</f>
        <v/>
      </c>
      <c r="X129" s="1" t="n">
        <f aca="false">IF(W129="",0,SUMIFS($I$7:$I$256,$D$7:$D$256,W129,$H$7:$H$256,"NTIME"))</f>
        <v>0</v>
      </c>
      <c r="Y129" s="1" t="n">
        <f aca="false">IF(W129="",0,SUMIFS($I$7:$I$256,$D$7:$D$256,W129,$H$7:$H$256,"P6"))</f>
        <v>0</v>
      </c>
      <c r="Z129" s="1" t="n">
        <f aca="false">X129+Y129</f>
        <v>0</v>
      </c>
      <c r="AA129" s="1" t="n">
        <f aca="false">IF(Z129&gt;0,Z129+(201-123)/10^6,0)</f>
        <v>0</v>
      </c>
      <c r="AB129" s="1"/>
      <c r="AC129" s="1"/>
      <c r="AD129" s="1"/>
      <c r="AE129" s="1"/>
      <c r="AF129" s="1"/>
      <c r="AG129" s="1"/>
      <c r="AH129" s="1"/>
    </row>
    <row r="130" customFormat="false" ht="15" hidden="false" customHeight="false" outlineLevel="0" collapsed="false">
      <c r="A130" s="1"/>
      <c r="B130" s="10"/>
      <c r="C130" s="31" t="str">
        <f aca="false">IF(B130="","",TEXT(B130,"ddd"))</f>
        <v/>
      </c>
      <c r="D130" s="11"/>
      <c r="E130" s="8" t="str">
        <f aca="false">IF(D130="","",IFERROR(INDEX(ProjNumbers,MATCH(D130,ProjNames,0)),""))</f>
        <v/>
      </c>
      <c r="F130" s="8" t="str">
        <f aca="false">IF(D130="","",IFERROR(INDEX(ProjCodes,MATCH(D130,ProjNames,0)),""))</f>
        <v/>
      </c>
      <c r="G130" s="32"/>
      <c r="H130" s="11"/>
      <c r="I130" s="33"/>
      <c r="J130" s="8" t="str">
        <f aca="false">IF(COUNTA(B130,D130,G130,H130,I130)=0,"",IF(B130="","Enter date",IF(OR(B130&lt;$AC$2,B130&gt;$AC$3),"Date not in August",IF(D130="","Pick project",IF(ISNA(MATCH(D130,ProjNames,0)),"Project not in list",IF(G130="","Add task description",IF(H130="","Pick NTIME or P6",IF(N(I130)&lt;=0,"Enter hours",IF(AND(AllowOT&lt;&gt;"Yes",SUMIF($B$7:$B$256,B130,$I$7:$I$256)&gt;INDEX($O$58:$O$88,DAY(B130))),"Day over "&amp;INDEX($O$58:$O$88,DAY(B130))&amp;" h","✓")))))))))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tr">
        <f aca="false">IF(Projects!B128="","",Projects!B128)</f>
        <v/>
      </c>
      <c r="X130" s="1" t="n">
        <f aca="false">IF(W130="",0,SUMIFS($I$7:$I$256,$D$7:$D$256,W130,$H$7:$H$256,"NTIME"))</f>
        <v>0</v>
      </c>
      <c r="Y130" s="1" t="n">
        <f aca="false">IF(W130="",0,SUMIFS($I$7:$I$256,$D$7:$D$256,W130,$H$7:$H$256,"P6"))</f>
        <v>0</v>
      </c>
      <c r="Z130" s="1" t="n">
        <f aca="false">X130+Y130</f>
        <v>0</v>
      </c>
      <c r="AA130" s="1" t="n">
        <f aca="false">IF(Z130&gt;0,Z130+(201-124)/10^6,0)</f>
        <v>0</v>
      </c>
      <c r="AB130" s="1"/>
      <c r="AC130" s="1"/>
      <c r="AD130" s="1"/>
      <c r="AE130" s="1"/>
      <c r="AF130" s="1"/>
      <c r="AG130" s="1"/>
      <c r="AH130" s="1"/>
    </row>
    <row r="131" customFormat="false" ht="15" hidden="false" customHeight="false" outlineLevel="0" collapsed="false">
      <c r="A131" s="1"/>
      <c r="B131" s="10"/>
      <c r="C131" s="31" t="str">
        <f aca="false">IF(B131="","",TEXT(B131,"ddd"))</f>
        <v/>
      </c>
      <c r="D131" s="11"/>
      <c r="E131" s="8" t="str">
        <f aca="false">IF(D131="","",IFERROR(INDEX(ProjNumbers,MATCH(D131,ProjNames,0)),""))</f>
        <v/>
      </c>
      <c r="F131" s="8" t="str">
        <f aca="false">IF(D131="","",IFERROR(INDEX(ProjCodes,MATCH(D131,ProjNames,0)),""))</f>
        <v/>
      </c>
      <c r="G131" s="32"/>
      <c r="H131" s="11"/>
      <c r="I131" s="33"/>
      <c r="J131" s="8" t="str">
        <f aca="false">IF(COUNTA(B131,D131,G131,H131,I131)=0,"",IF(B131="","Enter date",IF(OR(B131&lt;$AC$2,B131&gt;$AC$3),"Date not in August",IF(D131="","Pick project",IF(ISNA(MATCH(D131,ProjNames,0)),"Project not in list",IF(G131="","Add task description",IF(H131="","Pick NTIME or P6",IF(N(I131)&lt;=0,"Enter hours",IF(AND(AllowOT&lt;&gt;"Yes",SUMIF($B$7:$B$256,B131,$I$7:$I$256)&gt;INDEX($O$58:$O$88,DAY(B131))),"Day over "&amp;INDEX($O$58:$O$88,DAY(B131))&amp;" h","✓")))))))))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tr">
        <f aca="false">IF(Projects!B129="","",Projects!B129)</f>
        <v/>
      </c>
      <c r="X131" s="1" t="n">
        <f aca="false">IF(W131="",0,SUMIFS($I$7:$I$256,$D$7:$D$256,W131,$H$7:$H$256,"NTIME"))</f>
        <v>0</v>
      </c>
      <c r="Y131" s="1" t="n">
        <f aca="false">IF(W131="",0,SUMIFS($I$7:$I$256,$D$7:$D$256,W131,$H$7:$H$256,"P6"))</f>
        <v>0</v>
      </c>
      <c r="Z131" s="1" t="n">
        <f aca="false">X131+Y131</f>
        <v>0</v>
      </c>
      <c r="AA131" s="1" t="n">
        <f aca="false">IF(Z131&gt;0,Z131+(201-125)/10^6,0)</f>
        <v>0</v>
      </c>
      <c r="AB131" s="1"/>
      <c r="AC131" s="1"/>
      <c r="AD131" s="1"/>
      <c r="AE131" s="1"/>
      <c r="AF131" s="1"/>
      <c r="AG131" s="1"/>
      <c r="AH131" s="1"/>
    </row>
    <row r="132" customFormat="false" ht="15" hidden="false" customHeight="false" outlineLevel="0" collapsed="false">
      <c r="A132" s="1"/>
      <c r="B132" s="10"/>
      <c r="C132" s="31" t="str">
        <f aca="false">IF(B132="","",TEXT(B132,"ddd"))</f>
        <v/>
      </c>
      <c r="D132" s="11"/>
      <c r="E132" s="8" t="str">
        <f aca="false">IF(D132="","",IFERROR(INDEX(ProjNumbers,MATCH(D132,ProjNames,0)),""))</f>
        <v/>
      </c>
      <c r="F132" s="8" t="str">
        <f aca="false">IF(D132="","",IFERROR(INDEX(ProjCodes,MATCH(D132,ProjNames,0)),""))</f>
        <v/>
      </c>
      <c r="G132" s="32"/>
      <c r="H132" s="11"/>
      <c r="I132" s="33"/>
      <c r="J132" s="8" t="str">
        <f aca="false">IF(COUNTA(B132,D132,G132,H132,I132)=0,"",IF(B132="","Enter date",IF(OR(B132&lt;$AC$2,B132&gt;$AC$3),"Date not in August",IF(D132="","Pick project",IF(ISNA(MATCH(D132,ProjNames,0)),"Project not in list",IF(G132="","Add task description",IF(H132="","Pick NTIME or P6",IF(N(I132)&lt;=0,"Enter hours",IF(AND(AllowOT&lt;&gt;"Yes",SUMIF($B$7:$B$256,B132,$I$7:$I$256)&gt;INDEX($O$58:$O$88,DAY(B132))),"Day over "&amp;INDEX($O$58:$O$88,DAY(B132))&amp;" h","✓")))))))))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tr">
        <f aca="false">IF(Projects!B130="","",Projects!B130)</f>
        <v/>
      </c>
      <c r="X132" s="1" t="n">
        <f aca="false">IF(W132="",0,SUMIFS($I$7:$I$256,$D$7:$D$256,W132,$H$7:$H$256,"NTIME"))</f>
        <v>0</v>
      </c>
      <c r="Y132" s="1" t="n">
        <f aca="false">IF(W132="",0,SUMIFS($I$7:$I$256,$D$7:$D$256,W132,$H$7:$H$256,"P6"))</f>
        <v>0</v>
      </c>
      <c r="Z132" s="1" t="n">
        <f aca="false">X132+Y132</f>
        <v>0</v>
      </c>
      <c r="AA132" s="1" t="n">
        <f aca="false">IF(Z132&gt;0,Z132+(201-126)/10^6,0)</f>
        <v>0</v>
      </c>
      <c r="AB132" s="1"/>
      <c r="AC132" s="1"/>
      <c r="AD132" s="1"/>
      <c r="AE132" s="1"/>
      <c r="AF132" s="1"/>
      <c r="AG132" s="1"/>
      <c r="AH132" s="1"/>
    </row>
    <row r="133" customFormat="false" ht="15" hidden="false" customHeight="false" outlineLevel="0" collapsed="false">
      <c r="A133" s="1"/>
      <c r="B133" s="10"/>
      <c r="C133" s="31" t="str">
        <f aca="false">IF(B133="","",TEXT(B133,"ddd"))</f>
        <v/>
      </c>
      <c r="D133" s="11"/>
      <c r="E133" s="8" t="str">
        <f aca="false">IF(D133="","",IFERROR(INDEX(ProjNumbers,MATCH(D133,ProjNames,0)),""))</f>
        <v/>
      </c>
      <c r="F133" s="8" t="str">
        <f aca="false">IF(D133="","",IFERROR(INDEX(ProjCodes,MATCH(D133,ProjNames,0)),""))</f>
        <v/>
      </c>
      <c r="G133" s="32"/>
      <c r="H133" s="11"/>
      <c r="I133" s="33"/>
      <c r="J133" s="8" t="str">
        <f aca="false">IF(COUNTA(B133,D133,G133,H133,I133)=0,"",IF(B133="","Enter date",IF(OR(B133&lt;$AC$2,B133&gt;$AC$3),"Date not in August",IF(D133="","Pick project",IF(ISNA(MATCH(D133,ProjNames,0)),"Project not in list",IF(G133="","Add task description",IF(H133="","Pick NTIME or P6",IF(N(I133)&lt;=0,"Enter hours",IF(AND(AllowOT&lt;&gt;"Yes",SUMIF($B$7:$B$256,B133,$I$7:$I$256)&gt;INDEX($O$58:$O$88,DAY(B133))),"Day over "&amp;INDEX($O$58:$O$88,DAY(B133))&amp;" h","✓")))))))))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tr">
        <f aca="false">IF(Projects!B131="","",Projects!B131)</f>
        <v/>
      </c>
      <c r="X133" s="1" t="n">
        <f aca="false">IF(W133="",0,SUMIFS($I$7:$I$256,$D$7:$D$256,W133,$H$7:$H$256,"NTIME"))</f>
        <v>0</v>
      </c>
      <c r="Y133" s="1" t="n">
        <f aca="false">IF(W133="",0,SUMIFS($I$7:$I$256,$D$7:$D$256,W133,$H$7:$H$256,"P6"))</f>
        <v>0</v>
      </c>
      <c r="Z133" s="1" t="n">
        <f aca="false">X133+Y133</f>
        <v>0</v>
      </c>
      <c r="AA133" s="1" t="n">
        <f aca="false">IF(Z133&gt;0,Z133+(201-127)/10^6,0)</f>
        <v>0</v>
      </c>
      <c r="AB133" s="1"/>
      <c r="AC133" s="1"/>
      <c r="AD133" s="1"/>
      <c r="AE133" s="1"/>
      <c r="AF133" s="1"/>
      <c r="AG133" s="1"/>
      <c r="AH133" s="1"/>
    </row>
    <row r="134" customFormat="false" ht="15" hidden="false" customHeight="false" outlineLevel="0" collapsed="false">
      <c r="A134" s="1"/>
      <c r="B134" s="10"/>
      <c r="C134" s="31" t="str">
        <f aca="false">IF(B134="","",TEXT(B134,"ddd"))</f>
        <v/>
      </c>
      <c r="D134" s="11"/>
      <c r="E134" s="8" t="str">
        <f aca="false">IF(D134="","",IFERROR(INDEX(ProjNumbers,MATCH(D134,ProjNames,0)),""))</f>
        <v/>
      </c>
      <c r="F134" s="8" t="str">
        <f aca="false">IF(D134="","",IFERROR(INDEX(ProjCodes,MATCH(D134,ProjNames,0)),""))</f>
        <v/>
      </c>
      <c r="G134" s="32"/>
      <c r="H134" s="11"/>
      <c r="I134" s="33"/>
      <c r="J134" s="8" t="str">
        <f aca="false">IF(COUNTA(B134,D134,G134,H134,I134)=0,"",IF(B134="","Enter date",IF(OR(B134&lt;$AC$2,B134&gt;$AC$3),"Date not in August",IF(D134="","Pick project",IF(ISNA(MATCH(D134,ProjNames,0)),"Project not in list",IF(G134="","Add task description",IF(H134="","Pick NTIME or P6",IF(N(I134)&lt;=0,"Enter hours",IF(AND(AllowOT&lt;&gt;"Yes",SUMIF($B$7:$B$256,B134,$I$7:$I$256)&gt;INDEX($O$58:$O$88,DAY(B134))),"Day over "&amp;INDEX($O$58:$O$88,DAY(B134))&amp;" h","✓")))))))))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tr">
        <f aca="false">IF(Projects!B132="","",Projects!B132)</f>
        <v/>
      </c>
      <c r="X134" s="1" t="n">
        <f aca="false">IF(W134="",0,SUMIFS($I$7:$I$256,$D$7:$D$256,W134,$H$7:$H$256,"NTIME"))</f>
        <v>0</v>
      </c>
      <c r="Y134" s="1" t="n">
        <f aca="false">IF(W134="",0,SUMIFS($I$7:$I$256,$D$7:$D$256,W134,$H$7:$H$256,"P6"))</f>
        <v>0</v>
      </c>
      <c r="Z134" s="1" t="n">
        <f aca="false">X134+Y134</f>
        <v>0</v>
      </c>
      <c r="AA134" s="1" t="n">
        <f aca="false">IF(Z134&gt;0,Z134+(201-128)/10^6,0)</f>
        <v>0</v>
      </c>
      <c r="AB134" s="1"/>
      <c r="AC134" s="1"/>
      <c r="AD134" s="1"/>
      <c r="AE134" s="1"/>
      <c r="AF134" s="1"/>
      <c r="AG134" s="1"/>
      <c r="AH134" s="1"/>
    </row>
    <row r="135" customFormat="false" ht="15" hidden="false" customHeight="false" outlineLevel="0" collapsed="false">
      <c r="A135" s="1"/>
      <c r="B135" s="10"/>
      <c r="C135" s="31" t="str">
        <f aca="false">IF(B135="","",TEXT(B135,"ddd"))</f>
        <v/>
      </c>
      <c r="D135" s="11"/>
      <c r="E135" s="8" t="str">
        <f aca="false">IF(D135="","",IFERROR(INDEX(ProjNumbers,MATCH(D135,ProjNames,0)),""))</f>
        <v/>
      </c>
      <c r="F135" s="8" t="str">
        <f aca="false">IF(D135="","",IFERROR(INDEX(ProjCodes,MATCH(D135,ProjNames,0)),""))</f>
        <v/>
      </c>
      <c r="G135" s="32"/>
      <c r="H135" s="11"/>
      <c r="I135" s="33"/>
      <c r="J135" s="8" t="str">
        <f aca="false">IF(COUNTA(B135,D135,G135,H135,I135)=0,"",IF(B135="","Enter date",IF(OR(B135&lt;$AC$2,B135&gt;$AC$3),"Date not in August",IF(D135="","Pick project",IF(ISNA(MATCH(D135,ProjNames,0)),"Project not in list",IF(G135="","Add task description",IF(H135="","Pick NTIME or P6",IF(N(I135)&lt;=0,"Enter hours",IF(AND(AllowOT&lt;&gt;"Yes",SUMIF($B$7:$B$256,B135,$I$7:$I$256)&gt;INDEX($O$58:$O$88,DAY(B135))),"Day over "&amp;INDEX($O$58:$O$88,DAY(B135))&amp;" h","✓")))))))))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tr">
        <f aca="false">IF(Projects!B133="","",Projects!B133)</f>
        <v/>
      </c>
      <c r="X135" s="1" t="n">
        <f aca="false">IF(W135="",0,SUMIFS($I$7:$I$256,$D$7:$D$256,W135,$H$7:$H$256,"NTIME"))</f>
        <v>0</v>
      </c>
      <c r="Y135" s="1" t="n">
        <f aca="false">IF(W135="",0,SUMIFS($I$7:$I$256,$D$7:$D$256,W135,$H$7:$H$256,"P6"))</f>
        <v>0</v>
      </c>
      <c r="Z135" s="1" t="n">
        <f aca="false">X135+Y135</f>
        <v>0</v>
      </c>
      <c r="AA135" s="1" t="n">
        <f aca="false">IF(Z135&gt;0,Z135+(201-129)/10^6,0)</f>
        <v>0</v>
      </c>
      <c r="AB135" s="1"/>
      <c r="AC135" s="1"/>
      <c r="AD135" s="1"/>
      <c r="AE135" s="1"/>
      <c r="AF135" s="1"/>
      <c r="AG135" s="1"/>
      <c r="AH135" s="1"/>
    </row>
    <row r="136" customFormat="false" ht="15" hidden="false" customHeight="false" outlineLevel="0" collapsed="false">
      <c r="A136" s="1"/>
      <c r="B136" s="10"/>
      <c r="C136" s="31" t="str">
        <f aca="false">IF(B136="","",TEXT(B136,"ddd"))</f>
        <v/>
      </c>
      <c r="D136" s="11"/>
      <c r="E136" s="8" t="str">
        <f aca="false">IF(D136="","",IFERROR(INDEX(ProjNumbers,MATCH(D136,ProjNames,0)),""))</f>
        <v/>
      </c>
      <c r="F136" s="8" t="str">
        <f aca="false">IF(D136="","",IFERROR(INDEX(ProjCodes,MATCH(D136,ProjNames,0)),""))</f>
        <v/>
      </c>
      <c r="G136" s="32"/>
      <c r="H136" s="11"/>
      <c r="I136" s="33"/>
      <c r="J136" s="8" t="str">
        <f aca="false">IF(COUNTA(B136,D136,G136,H136,I136)=0,"",IF(B136="","Enter date",IF(OR(B136&lt;$AC$2,B136&gt;$AC$3),"Date not in August",IF(D136="","Pick project",IF(ISNA(MATCH(D136,ProjNames,0)),"Project not in list",IF(G136="","Add task description",IF(H136="","Pick NTIME or P6",IF(N(I136)&lt;=0,"Enter hours",IF(AND(AllowOT&lt;&gt;"Yes",SUMIF($B$7:$B$256,B136,$I$7:$I$256)&gt;INDEX($O$58:$O$88,DAY(B136))),"Day over "&amp;INDEX($O$58:$O$88,DAY(B136))&amp;" h","✓")))))))))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tr">
        <f aca="false">IF(Projects!B134="","",Projects!B134)</f>
        <v/>
      </c>
      <c r="X136" s="1" t="n">
        <f aca="false">IF(W136="",0,SUMIFS($I$7:$I$256,$D$7:$D$256,W136,$H$7:$H$256,"NTIME"))</f>
        <v>0</v>
      </c>
      <c r="Y136" s="1" t="n">
        <f aca="false">IF(W136="",0,SUMIFS($I$7:$I$256,$D$7:$D$256,W136,$H$7:$H$256,"P6"))</f>
        <v>0</v>
      </c>
      <c r="Z136" s="1" t="n">
        <f aca="false">X136+Y136</f>
        <v>0</v>
      </c>
      <c r="AA136" s="1" t="n">
        <f aca="false">IF(Z136&gt;0,Z136+(201-130)/10^6,0)</f>
        <v>0</v>
      </c>
      <c r="AB136" s="1"/>
      <c r="AC136" s="1"/>
      <c r="AD136" s="1"/>
      <c r="AE136" s="1"/>
      <c r="AF136" s="1"/>
      <c r="AG136" s="1"/>
      <c r="AH136" s="1"/>
    </row>
    <row r="137" customFormat="false" ht="15" hidden="false" customHeight="false" outlineLevel="0" collapsed="false">
      <c r="A137" s="1"/>
      <c r="B137" s="10"/>
      <c r="C137" s="31" t="str">
        <f aca="false">IF(B137="","",TEXT(B137,"ddd"))</f>
        <v/>
      </c>
      <c r="D137" s="11"/>
      <c r="E137" s="8" t="str">
        <f aca="false">IF(D137="","",IFERROR(INDEX(ProjNumbers,MATCH(D137,ProjNames,0)),""))</f>
        <v/>
      </c>
      <c r="F137" s="8" t="str">
        <f aca="false">IF(D137="","",IFERROR(INDEX(ProjCodes,MATCH(D137,ProjNames,0)),""))</f>
        <v/>
      </c>
      <c r="G137" s="32"/>
      <c r="H137" s="11"/>
      <c r="I137" s="33"/>
      <c r="J137" s="8" t="str">
        <f aca="false">IF(COUNTA(B137,D137,G137,H137,I137)=0,"",IF(B137="","Enter date",IF(OR(B137&lt;$AC$2,B137&gt;$AC$3),"Date not in August",IF(D137="","Pick project",IF(ISNA(MATCH(D137,ProjNames,0)),"Project not in list",IF(G137="","Add task description",IF(H137="","Pick NTIME or P6",IF(N(I137)&lt;=0,"Enter hours",IF(AND(AllowOT&lt;&gt;"Yes",SUMIF($B$7:$B$256,B137,$I$7:$I$256)&gt;INDEX($O$58:$O$88,DAY(B137))),"Day over "&amp;INDEX($O$58:$O$88,DAY(B137))&amp;" h","✓")))))))))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tr">
        <f aca="false">IF(Projects!B135="","",Projects!B135)</f>
        <v/>
      </c>
      <c r="X137" s="1" t="n">
        <f aca="false">IF(W137="",0,SUMIFS($I$7:$I$256,$D$7:$D$256,W137,$H$7:$H$256,"NTIME"))</f>
        <v>0</v>
      </c>
      <c r="Y137" s="1" t="n">
        <f aca="false">IF(W137="",0,SUMIFS($I$7:$I$256,$D$7:$D$256,W137,$H$7:$H$256,"P6"))</f>
        <v>0</v>
      </c>
      <c r="Z137" s="1" t="n">
        <f aca="false">X137+Y137</f>
        <v>0</v>
      </c>
      <c r="AA137" s="1" t="n">
        <f aca="false">IF(Z137&gt;0,Z137+(201-131)/10^6,0)</f>
        <v>0</v>
      </c>
      <c r="AB137" s="1"/>
      <c r="AC137" s="1"/>
      <c r="AD137" s="1"/>
      <c r="AE137" s="1"/>
      <c r="AF137" s="1"/>
      <c r="AG137" s="1"/>
      <c r="AH137" s="1"/>
    </row>
    <row r="138" customFormat="false" ht="15" hidden="false" customHeight="false" outlineLevel="0" collapsed="false">
      <c r="A138" s="1"/>
      <c r="B138" s="10"/>
      <c r="C138" s="31" t="str">
        <f aca="false">IF(B138="","",TEXT(B138,"ddd"))</f>
        <v/>
      </c>
      <c r="D138" s="11"/>
      <c r="E138" s="8" t="str">
        <f aca="false">IF(D138="","",IFERROR(INDEX(ProjNumbers,MATCH(D138,ProjNames,0)),""))</f>
        <v/>
      </c>
      <c r="F138" s="8" t="str">
        <f aca="false">IF(D138="","",IFERROR(INDEX(ProjCodes,MATCH(D138,ProjNames,0)),""))</f>
        <v/>
      </c>
      <c r="G138" s="32"/>
      <c r="H138" s="11"/>
      <c r="I138" s="33"/>
      <c r="J138" s="8" t="str">
        <f aca="false">IF(COUNTA(B138,D138,G138,H138,I138)=0,"",IF(B138="","Enter date",IF(OR(B138&lt;$AC$2,B138&gt;$AC$3),"Date not in August",IF(D138="","Pick project",IF(ISNA(MATCH(D138,ProjNames,0)),"Project not in list",IF(G138="","Add task description",IF(H138="","Pick NTIME or P6",IF(N(I138)&lt;=0,"Enter hours",IF(AND(AllowOT&lt;&gt;"Yes",SUMIF($B$7:$B$256,B138,$I$7:$I$256)&gt;INDEX($O$58:$O$88,DAY(B138))),"Day over "&amp;INDEX($O$58:$O$88,DAY(B138))&amp;" h","✓")))))))))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tr">
        <f aca="false">IF(Projects!B136="","",Projects!B136)</f>
        <v/>
      </c>
      <c r="X138" s="1" t="n">
        <f aca="false">IF(W138="",0,SUMIFS($I$7:$I$256,$D$7:$D$256,W138,$H$7:$H$256,"NTIME"))</f>
        <v>0</v>
      </c>
      <c r="Y138" s="1" t="n">
        <f aca="false">IF(W138="",0,SUMIFS($I$7:$I$256,$D$7:$D$256,W138,$H$7:$H$256,"P6"))</f>
        <v>0</v>
      </c>
      <c r="Z138" s="1" t="n">
        <f aca="false">X138+Y138</f>
        <v>0</v>
      </c>
      <c r="AA138" s="1" t="n">
        <f aca="false">IF(Z138&gt;0,Z138+(201-132)/10^6,0)</f>
        <v>0</v>
      </c>
      <c r="AB138" s="1"/>
      <c r="AC138" s="1"/>
      <c r="AD138" s="1"/>
      <c r="AE138" s="1"/>
      <c r="AF138" s="1"/>
      <c r="AG138" s="1"/>
      <c r="AH138" s="1"/>
    </row>
    <row r="139" customFormat="false" ht="15" hidden="false" customHeight="false" outlineLevel="0" collapsed="false">
      <c r="A139" s="1"/>
      <c r="B139" s="10"/>
      <c r="C139" s="31" t="str">
        <f aca="false">IF(B139="","",TEXT(B139,"ddd"))</f>
        <v/>
      </c>
      <c r="D139" s="11"/>
      <c r="E139" s="8" t="str">
        <f aca="false">IF(D139="","",IFERROR(INDEX(ProjNumbers,MATCH(D139,ProjNames,0)),""))</f>
        <v/>
      </c>
      <c r="F139" s="8" t="str">
        <f aca="false">IF(D139="","",IFERROR(INDEX(ProjCodes,MATCH(D139,ProjNames,0)),""))</f>
        <v/>
      </c>
      <c r="G139" s="32"/>
      <c r="H139" s="11"/>
      <c r="I139" s="33"/>
      <c r="J139" s="8" t="str">
        <f aca="false">IF(COUNTA(B139,D139,G139,H139,I139)=0,"",IF(B139="","Enter date",IF(OR(B139&lt;$AC$2,B139&gt;$AC$3),"Date not in August",IF(D139="","Pick project",IF(ISNA(MATCH(D139,ProjNames,0)),"Project not in list",IF(G139="","Add task description",IF(H139="","Pick NTIME or P6",IF(N(I139)&lt;=0,"Enter hours",IF(AND(AllowOT&lt;&gt;"Yes",SUMIF($B$7:$B$256,B139,$I$7:$I$256)&gt;INDEX($O$58:$O$88,DAY(B139))),"Day over "&amp;INDEX($O$58:$O$88,DAY(B139))&amp;" h","✓")))))))))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tr">
        <f aca="false">IF(Projects!B137="","",Projects!B137)</f>
        <v/>
      </c>
      <c r="X139" s="1" t="n">
        <f aca="false">IF(W139="",0,SUMIFS($I$7:$I$256,$D$7:$D$256,W139,$H$7:$H$256,"NTIME"))</f>
        <v>0</v>
      </c>
      <c r="Y139" s="1" t="n">
        <f aca="false">IF(W139="",0,SUMIFS($I$7:$I$256,$D$7:$D$256,W139,$H$7:$H$256,"P6"))</f>
        <v>0</v>
      </c>
      <c r="Z139" s="1" t="n">
        <f aca="false">X139+Y139</f>
        <v>0</v>
      </c>
      <c r="AA139" s="1" t="n">
        <f aca="false">IF(Z139&gt;0,Z139+(201-133)/10^6,0)</f>
        <v>0</v>
      </c>
      <c r="AB139" s="1"/>
      <c r="AC139" s="1"/>
      <c r="AD139" s="1"/>
      <c r="AE139" s="1"/>
      <c r="AF139" s="1"/>
      <c r="AG139" s="1"/>
      <c r="AH139" s="1"/>
    </row>
    <row r="140" customFormat="false" ht="15" hidden="false" customHeight="false" outlineLevel="0" collapsed="false">
      <c r="A140" s="1"/>
      <c r="B140" s="10"/>
      <c r="C140" s="31" t="str">
        <f aca="false">IF(B140="","",TEXT(B140,"ddd"))</f>
        <v/>
      </c>
      <c r="D140" s="11"/>
      <c r="E140" s="8" t="str">
        <f aca="false">IF(D140="","",IFERROR(INDEX(ProjNumbers,MATCH(D140,ProjNames,0)),""))</f>
        <v/>
      </c>
      <c r="F140" s="8" t="str">
        <f aca="false">IF(D140="","",IFERROR(INDEX(ProjCodes,MATCH(D140,ProjNames,0)),""))</f>
        <v/>
      </c>
      <c r="G140" s="32"/>
      <c r="H140" s="11"/>
      <c r="I140" s="33"/>
      <c r="J140" s="8" t="str">
        <f aca="false">IF(COUNTA(B140,D140,G140,H140,I140)=0,"",IF(B140="","Enter date",IF(OR(B140&lt;$AC$2,B140&gt;$AC$3),"Date not in August",IF(D140="","Pick project",IF(ISNA(MATCH(D140,ProjNames,0)),"Project not in list",IF(G140="","Add task description",IF(H140="","Pick NTIME or P6",IF(N(I140)&lt;=0,"Enter hours",IF(AND(AllowOT&lt;&gt;"Yes",SUMIF($B$7:$B$256,B140,$I$7:$I$256)&gt;INDEX($O$58:$O$88,DAY(B140))),"Day over "&amp;INDEX($O$58:$O$88,DAY(B140))&amp;" h","✓")))))))))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tr">
        <f aca="false">IF(Projects!B138="","",Projects!B138)</f>
        <v/>
      </c>
      <c r="X140" s="1" t="n">
        <f aca="false">IF(W140="",0,SUMIFS($I$7:$I$256,$D$7:$D$256,W140,$H$7:$H$256,"NTIME"))</f>
        <v>0</v>
      </c>
      <c r="Y140" s="1" t="n">
        <f aca="false">IF(W140="",0,SUMIFS($I$7:$I$256,$D$7:$D$256,W140,$H$7:$H$256,"P6"))</f>
        <v>0</v>
      </c>
      <c r="Z140" s="1" t="n">
        <f aca="false">X140+Y140</f>
        <v>0</v>
      </c>
      <c r="AA140" s="1" t="n">
        <f aca="false">IF(Z140&gt;0,Z140+(201-134)/10^6,0)</f>
        <v>0</v>
      </c>
      <c r="AB140" s="1"/>
      <c r="AC140" s="1"/>
      <c r="AD140" s="1"/>
      <c r="AE140" s="1"/>
      <c r="AF140" s="1"/>
      <c r="AG140" s="1"/>
      <c r="AH140" s="1"/>
    </row>
    <row r="141" customFormat="false" ht="15" hidden="false" customHeight="false" outlineLevel="0" collapsed="false">
      <c r="A141" s="1"/>
      <c r="B141" s="10"/>
      <c r="C141" s="31" t="str">
        <f aca="false">IF(B141="","",TEXT(B141,"ddd"))</f>
        <v/>
      </c>
      <c r="D141" s="11"/>
      <c r="E141" s="8" t="str">
        <f aca="false">IF(D141="","",IFERROR(INDEX(ProjNumbers,MATCH(D141,ProjNames,0)),""))</f>
        <v/>
      </c>
      <c r="F141" s="8" t="str">
        <f aca="false">IF(D141="","",IFERROR(INDEX(ProjCodes,MATCH(D141,ProjNames,0)),""))</f>
        <v/>
      </c>
      <c r="G141" s="32"/>
      <c r="H141" s="11"/>
      <c r="I141" s="33"/>
      <c r="J141" s="8" t="str">
        <f aca="false">IF(COUNTA(B141,D141,G141,H141,I141)=0,"",IF(B141="","Enter date",IF(OR(B141&lt;$AC$2,B141&gt;$AC$3),"Date not in August",IF(D141="","Pick project",IF(ISNA(MATCH(D141,ProjNames,0)),"Project not in list",IF(G141="","Add task description",IF(H141="","Pick NTIME or P6",IF(N(I141)&lt;=0,"Enter hours",IF(AND(AllowOT&lt;&gt;"Yes",SUMIF($B$7:$B$256,B141,$I$7:$I$256)&gt;INDEX($O$58:$O$88,DAY(B141))),"Day over "&amp;INDEX($O$58:$O$88,DAY(B141))&amp;" h","✓")))))))))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tr">
        <f aca="false">IF(Projects!B139="","",Projects!B139)</f>
        <v/>
      </c>
      <c r="X141" s="1" t="n">
        <f aca="false">IF(W141="",0,SUMIFS($I$7:$I$256,$D$7:$D$256,W141,$H$7:$H$256,"NTIME"))</f>
        <v>0</v>
      </c>
      <c r="Y141" s="1" t="n">
        <f aca="false">IF(W141="",0,SUMIFS($I$7:$I$256,$D$7:$D$256,W141,$H$7:$H$256,"P6"))</f>
        <v>0</v>
      </c>
      <c r="Z141" s="1" t="n">
        <f aca="false">X141+Y141</f>
        <v>0</v>
      </c>
      <c r="AA141" s="1" t="n">
        <f aca="false">IF(Z141&gt;0,Z141+(201-135)/10^6,0)</f>
        <v>0</v>
      </c>
      <c r="AB141" s="1"/>
      <c r="AC141" s="1"/>
      <c r="AD141" s="1"/>
      <c r="AE141" s="1"/>
      <c r="AF141" s="1"/>
      <c r="AG141" s="1"/>
      <c r="AH141" s="1"/>
    </row>
    <row r="142" customFormat="false" ht="15" hidden="false" customHeight="false" outlineLevel="0" collapsed="false">
      <c r="A142" s="1"/>
      <c r="B142" s="10"/>
      <c r="C142" s="31" t="str">
        <f aca="false">IF(B142="","",TEXT(B142,"ddd"))</f>
        <v/>
      </c>
      <c r="D142" s="11"/>
      <c r="E142" s="8" t="str">
        <f aca="false">IF(D142="","",IFERROR(INDEX(ProjNumbers,MATCH(D142,ProjNames,0)),""))</f>
        <v/>
      </c>
      <c r="F142" s="8" t="str">
        <f aca="false">IF(D142="","",IFERROR(INDEX(ProjCodes,MATCH(D142,ProjNames,0)),""))</f>
        <v/>
      </c>
      <c r="G142" s="32"/>
      <c r="H142" s="11"/>
      <c r="I142" s="33"/>
      <c r="J142" s="8" t="str">
        <f aca="false">IF(COUNTA(B142,D142,G142,H142,I142)=0,"",IF(B142="","Enter date",IF(OR(B142&lt;$AC$2,B142&gt;$AC$3),"Date not in August",IF(D142="","Pick project",IF(ISNA(MATCH(D142,ProjNames,0)),"Project not in list",IF(G142="","Add task description",IF(H142="","Pick NTIME or P6",IF(N(I142)&lt;=0,"Enter hours",IF(AND(AllowOT&lt;&gt;"Yes",SUMIF($B$7:$B$256,B142,$I$7:$I$256)&gt;INDEX($O$58:$O$88,DAY(B142))),"Day over "&amp;INDEX($O$58:$O$88,DAY(B142))&amp;" h","✓")))))))))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tr">
        <f aca="false">IF(Projects!B140="","",Projects!B140)</f>
        <v/>
      </c>
      <c r="X142" s="1" t="n">
        <f aca="false">IF(W142="",0,SUMIFS($I$7:$I$256,$D$7:$D$256,W142,$H$7:$H$256,"NTIME"))</f>
        <v>0</v>
      </c>
      <c r="Y142" s="1" t="n">
        <f aca="false">IF(W142="",0,SUMIFS($I$7:$I$256,$D$7:$D$256,W142,$H$7:$H$256,"P6"))</f>
        <v>0</v>
      </c>
      <c r="Z142" s="1" t="n">
        <f aca="false">X142+Y142</f>
        <v>0</v>
      </c>
      <c r="AA142" s="1" t="n">
        <f aca="false">IF(Z142&gt;0,Z142+(201-136)/10^6,0)</f>
        <v>0</v>
      </c>
      <c r="AB142" s="1"/>
      <c r="AC142" s="1"/>
      <c r="AD142" s="1"/>
      <c r="AE142" s="1"/>
      <c r="AF142" s="1"/>
      <c r="AG142" s="1"/>
      <c r="AH142" s="1"/>
    </row>
    <row r="143" customFormat="false" ht="15" hidden="false" customHeight="false" outlineLevel="0" collapsed="false">
      <c r="A143" s="1"/>
      <c r="B143" s="10"/>
      <c r="C143" s="31" t="str">
        <f aca="false">IF(B143="","",TEXT(B143,"ddd"))</f>
        <v/>
      </c>
      <c r="D143" s="11"/>
      <c r="E143" s="8" t="str">
        <f aca="false">IF(D143="","",IFERROR(INDEX(ProjNumbers,MATCH(D143,ProjNames,0)),""))</f>
        <v/>
      </c>
      <c r="F143" s="8" t="str">
        <f aca="false">IF(D143="","",IFERROR(INDEX(ProjCodes,MATCH(D143,ProjNames,0)),""))</f>
        <v/>
      </c>
      <c r="G143" s="32"/>
      <c r="H143" s="11"/>
      <c r="I143" s="33"/>
      <c r="J143" s="8" t="str">
        <f aca="false">IF(COUNTA(B143,D143,G143,H143,I143)=0,"",IF(B143="","Enter date",IF(OR(B143&lt;$AC$2,B143&gt;$AC$3),"Date not in August",IF(D143="","Pick project",IF(ISNA(MATCH(D143,ProjNames,0)),"Project not in list",IF(G143="","Add task description",IF(H143="","Pick NTIME or P6",IF(N(I143)&lt;=0,"Enter hours",IF(AND(AllowOT&lt;&gt;"Yes",SUMIF($B$7:$B$256,B143,$I$7:$I$256)&gt;INDEX($O$58:$O$88,DAY(B143))),"Day over "&amp;INDEX($O$58:$O$88,DAY(B143))&amp;" h","✓")))))))))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tr">
        <f aca="false">IF(Projects!B141="","",Projects!B141)</f>
        <v/>
      </c>
      <c r="X143" s="1" t="n">
        <f aca="false">IF(W143="",0,SUMIFS($I$7:$I$256,$D$7:$D$256,W143,$H$7:$H$256,"NTIME"))</f>
        <v>0</v>
      </c>
      <c r="Y143" s="1" t="n">
        <f aca="false">IF(W143="",0,SUMIFS($I$7:$I$256,$D$7:$D$256,W143,$H$7:$H$256,"P6"))</f>
        <v>0</v>
      </c>
      <c r="Z143" s="1" t="n">
        <f aca="false">X143+Y143</f>
        <v>0</v>
      </c>
      <c r="AA143" s="1" t="n">
        <f aca="false">IF(Z143&gt;0,Z143+(201-137)/10^6,0)</f>
        <v>0</v>
      </c>
      <c r="AB143" s="1"/>
      <c r="AC143" s="1"/>
      <c r="AD143" s="1"/>
      <c r="AE143" s="1"/>
      <c r="AF143" s="1"/>
      <c r="AG143" s="1"/>
      <c r="AH143" s="1"/>
    </row>
    <row r="144" customFormat="false" ht="15" hidden="false" customHeight="false" outlineLevel="0" collapsed="false">
      <c r="A144" s="1"/>
      <c r="B144" s="10"/>
      <c r="C144" s="31" t="str">
        <f aca="false">IF(B144="","",TEXT(B144,"ddd"))</f>
        <v/>
      </c>
      <c r="D144" s="11"/>
      <c r="E144" s="8" t="str">
        <f aca="false">IF(D144="","",IFERROR(INDEX(ProjNumbers,MATCH(D144,ProjNames,0)),""))</f>
        <v/>
      </c>
      <c r="F144" s="8" t="str">
        <f aca="false">IF(D144="","",IFERROR(INDEX(ProjCodes,MATCH(D144,ProjNames,0)),""))</f>
        <v/>
      </c>
      <c r="G144" s="32"/>
      <c r="H144" s="11"/>
      <c r="I144" s="33"/>
      <c r="J144" s="8" t="str">
        <f aca="false">IF(COUNTA(B144,D144,G144,H144,I144)=0,"",IF(B144="","Enter date",IF(OR(B144&lt;$AC$2,B144&gt;$AC$3),"Date not in August",IF(D144="","Pick project",IF(ISNA(MATCH(D144,ProjNames,0)),"Project not in list",IF(G144="","Add task description",IF(H144="","Pick NTIME or P6",IF(N(I144)&lt;=0,"Enter hours",IF(AND(AllowOT&lt;&gt;"Yes",SUMIF($B$7:$B$256,B144,$I$7:$I$256)&gt;INDEX($O$58:$O$88,DAY(B144))),"Day over "&amp;INDEX($O$58:$O$88,DAY(B144))&amp;" h","✓")))))))))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tr">
        <f aca="false">IF(Projects!B142="","",Projects!B142)</f>
        <v/>
      </c>
      <c r="X144" s="1" t="n">
        <f aca="false">IF(W144="",0,SUMIFS($I$7:$I$256,$D$7:$D$256,W144,$H$7:$H$256,"NTIME"))</f>
        <v>0</v>
      </c>
      <c r="Y144" s="1" t="n">
        <f aca="false">IF(W144="",0,SUMIFS($I$7:$I$256,$D$7:$D$256,W144,$H$7:$H$256,"P6"))</f>
        <v>0</v>
      </c>
      <c r="Z144" s="1" t="n">
        <f aca="false">X144+Y144</f>
        <v>0</v>
      </c>
      <c r="AA144" s="1" t="n">
        <f aca="false">IF(Z144&gt;0,Z144+(201-138)/10^6,0)</f>
        <v>0</v>
      </c>
      <c r="AB144" s="1"/>
      <c r="AC144" s="1"/>
      <c r="AD144" s="1"/>
      <c r="AE144" s="1"/>
      <c r="AF144" s="1"/>
      <c r="AG144" s="1"/>
      <c r="AH144" s="1"/>
    </row>
    <row r="145" customFormat="false" ht="15" hidden="false" customHeight="false" outlineLevel="0" collapsed="false">
      <c r="A145" s="1"/>
      <c r="B145" s="10"/>
      <c r="C145" s="31" t="str">
        <f aca="false">IF(B145="","",TEXT(B145,"ddd"))</f>
        <v/>
      </c>
      <c r="D145" s="11"/>
      <c r="E145" s="8" t="str">
        <f aca="false">IF(D145="","",IFERROR(INDEX(ProjNumbers,MATCH(D145,ProjNames,0)),""))</f>
        <v/>
      </c>
      <c r="F145" s="8" t="str">
        <f aca="false">IF(D145="","",IFERROR(INDEX(ProjCodes,MATCH(D145,ProjNames,0)),""))</f>
        <v/>
      </c>
      <c r="G145" s="32"/>
      <c r="H145" s="11"/>
      <c r="I145" s="33"/>
      <c r="J145" s="8" t="str">
        <f aca="false">IF(COUNTA(B145,D145,G145,H145,I145)=0,"",IF(B145="","Enter date",IF(OR(B145&lt;$AC$2,B145&gt;$AC$3),"Date not in August",IF(D145="","Pick project",IF(ISNA(MATCH(D145,ProjNames,0)),"Project not in list",IF(G145="","Add task description",IF(H145="","Pick NTIME or P6",IF(N(I145)&lt;=0,"Enter hours",IF(AND(AllowOT&lt;&gt;"Yes",SUMIF($B$7:$B$256,B145,$I$7:$I$256)&gt;INDEX($O$58:$O$88,DAY(B145))),"Day over "&amp;INDEX($O$58:$O$88,DAY(B145))&amp;" h","✓")))))))))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tr">
        <f aca="false">IF(Projects!B143="","",Projects!B143)</f>
        <v/>
      </c>
      <c r="X145" s="1" t="n">
        <f aca="false">IF(W145="",0,SUMIFS($I$7:$I$256,$D$7:$D$256,W145,$H$7:$H$256,"NTIME"))</f>
        <v>0</v>
      </c>
      <c r="Y145" s="1" t="n">
        <f aca="false">IF(W145="",0,SUMIFS($I$7:$I$256,$D$7:$D$256,W145,$H$7:$H$256,"P6"))</f>
        <v>0</v>
      </c>
      <c r="Z145" s="1" t="n">
        <f aca="false">X145+Y145</f>
        <v>0</v>
      </c>
      <c r="AA145" s="1" t="n">
        <f aca="false">IF(Z145&gt;0,Z145+(201-139)/10^6,0)</f>
        <v>0</v>
      </c>
      <c r="AB145" s="1"/>
      <c r="AC145" s="1"/>
      <c r="AD145" s="1"/>
      <c r="AE145" s="1"/>
      <c r="AF145" s="1"/>
      <c r="AG145" s="1"/>
      <c r="AH145" s="1"/>
    </row>
    <row r="146" customFormat="false" ht="15" hidden="false" customHeight="false" outlineLevel="0" collapsed="false">
      <c r="A146" s="1"/>
      <c r="B146" s="10"/>
      <c r="C146" s="31" t="str">
        <f aca="false">IF(B146="","",TEXT(B146,"ddd"))</f>
        <v/>
      </c>
      <c r="D146" s="11"/>
      <c r="E146" s="8" t="str">
        <f aca="false">IF(D146="","",IFERROR(INDEX(ProjNumbers,MATCH(D146,ProjNames,0)),""))</f>
        <v/>
      </c>
      <c r="F146" s="8" t="str">
        <f aca="false">IF(D146="","",IFERROR(INDEX(ProjCodes,MATCH(D146,ProjNames,0)),""))</f>
        <v/>
      </c>
      <c r="G146" s="32"/>
      <c r="H146" s="11"/>
      <c r="I146" s="33"/>
      <c r="J146" s="8" t="str">
        <f aca="false">IF(COUNTA(B146,D146,G146,H146,I146)=0,"",IF(B146="","Enter date",IF(OR(B146&lt;$AC$2,B146&gt;$AC$3),"Date not in August",IF(D146="","Pick project",IF(ISNA(MATCH(D146,ProjNames,0)),"Project not in list",IF(G146="","Add task description",IF(H146="","Pick NTIME or P6",IF(N(I146)&lt;=0,"Enter hours",IF(AND(AllowOT&lt;&gt;"Yes",SUMIF($B$7:$B$256,B146,$I$7:$I$256)&gt;INDEX($O$58:$O$88,DAY(B146))),"Day over "&amp;INDEX($O$58:$O$88,DAY(B146))&amp;" h","✓")))))))))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tr">
        <f aca="false">IF(Projects!B144="","",Projects!B144)</f>
        <v/>
      </c>
      <c r="X146" s="1" t="n">
        <f aca="false">IF(W146="",0,SUMIFS($I$7:$I$256,$D$7:$D$256,W146,$H$7:$H$256,"NTIME"))</f>
        <v>0</v>
      </c>
      <c r="Y146" s="1" t="n">
        <f aca="false">IF(W146="",0,SUMIFS($I$7:$I$256,$D$7:$D$256,W146,$H$7:$H$256,"P6"))</f>
        <v>0</v>
      </c>
      <c r="Z146" s="1" t="n">
        <f aca="false">X146+Y146</f>
        <v>0</v>
      </c>
      <c r="AA146" s="1" t="n">
        <f aca="false">IF(Z146&gt;0,Z146+(201-140)/10^6,0)</f>
        <v>0</v>
      </c>
      <c r="AB146" s="1"/>
      <c r="AC146" s="1"/>
      <c r="AD146" s="1"/>
      <c r="AE146" s="1"/>
      <c r="AF146" s="1"/>
      <c r="AG146" s="1"/>
      <c r="AH146" s="1"/>
    </row>
    <row r="147" customFormat="false" ht="15" hidden="false" customHeight="false" outlineLevel="0" collapsed="false">
      <c r="A147" s="1"/>
      <c r="B147" s="10"/>
      <c r="C147" s="31" t="str">
        <f aca="false">IF(B147="","",TEXT(B147,"ddd"))</f>
        <v/>
      </c>
      <c r="D147" s="11"/>
      <c r="E147" s="8" t="str">
        <f aca="false">IF(D147="","",IFERROR(INDEX(ProjNumbers,MATCH(D147,ProjNames,0)),""))</f>
        <v/>
      </c>
      <c r="F147" s="8" t="str">
        <f aca="false">IF(D147="","",IFERROR(INDEX(ProjCodes,MATCH(D147,ProjNames,0)),""))</f>
        <v/>
      </c>
      <c r="G147" s="32"/>
      <c r="H147" s="11"/>
      <c r="I147" s="33"/>
      <c r="J147" s="8" t="str">
        <f aca="false">IF(COUNTA(B147,D147,G147,H147,I147)=0,"",IF(B147="","Enter date",IF(OR(B147&lt;$AC$2,B147&gt;$AC$3),"Date not in August",IF(D147="","Pick project",IF(ISNA(MATCH(D147,ProjNames,0)),"Project not in list",IF(G147="","Add task description",IF(H147="","Pick NTIME or P6",IF(N(I147)&lt;=0,"Enter hours",IF(AND(AllowOT&lt;&gt;"Yes",SUMIF($B$7:$B$256,B147,$I$7:$I$256)&gt;INDEX($O$58:$O$88,DAY(B147))),"Day over "&amp;INDEX($O$58:$O$88,DAY(B147))&amp;" h","✓")))))))))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tr">
        <f aca="false">IF(Projects!B145="","",Projects!B145)</f>
        <v/>
      </c>
      <c r="X147" s="1" t="n">
        <f aca="false">IF(W147="",0,SUMIFS($I$7:$I$256,$D$7:$D$256,W147,$H$7:$H$256,"NTIME"))</f>
        <v>0</v>
      </c>
      <c r="Y147" s="1" t="n">
        <f aca="false">IF(W147="",0,SUMIFS($I$7:$I$256,$D$7:$D$256,W147,$H$7:$H$256,"P6"))</f>
        <v>0</v>
      </c>
      <c r="Z147" s="1" t="n">
        <f aca="false">X147+Y147</f>
        <v>0</v>
      </c>
      <c r="AA147" s="1" t="n">
        <f aca="false">IF(Z147&gt;0,Z147+(201-141)/10^6,0)</f>
        <v>0</v>
      </c>
      <c r="AB147" s="1"/>
      <c r="AC147" s="1"/>
      <c r="AD147" s="1"/>
      <c r="AE147" s="1"/>
      <c r="AF147" s="1"/>
      <c r="AG147" s="1"/>
      <c r="AH147" s="1"/>
    </row>
    <row r="148" customFormat="false" ht="15" hidden="false" customHeight="false" outlineLevel="0" collapsed="false">
      <c r="A148" s="1"/>
      <c r="B148" s="10"/>
      <c r="C148" s="31" t="str">
        <f aca="false">IF(B148="","",TEXT(B148,"ddd"))</f>
        <v/>
      </c>
      <c r="D148" s="11"/>
      <c r="E148" s="8" t="str">
        <f aca="false">IF(D148="","",IFERROR(INDEX(ProjNumbers,MATCH(D148,ProjNames,0)),""))</f>
        <v/>
      </c>
      <c r="F148" s="8" t="str">
        <f aca="false">IF(D148="","",IFERROR(INDEX(ProjCodes,MATCH(D148,ProjNames,0)),""))</f>
        <v/>
      </c>
      <c r="G148" s="32"/>
      <c r="H148" s="11"/>
      <c r="I148" s="33"/>
      <c r="J148" s="8" t="str">
        <f aca="false">IF(COUNTA(B148,D148,G148,H148,I148)=0,"",IF(B148="","Enter date",IF(OR(B148&lt;$AC$2,B148&gt;$AC$3),"Date not in August",IF(D148="","Pick project",IF(ISNA(MATCH(D148,ProjNames,0)),"Project not in list",IF(G148="","Add task description",IF(H148="","Pick NTIME or P6",IF(N(I148)&lt;=0,"Enter hours",IF(AND(AllowOT&lt;&gt;"Yes",SUMIF($B$7:$B$256,B148,$I$7:$I$256)&gt;INDEX($O$58:$O$88,DAY(B148))),"Day over "&amp;INDEX($O$58:$O$88,DAY(B148))&amp;" h","✓")))))))))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tr">
        <f aca="false">IF(Projects!B146="","",Projects!B146)</f>
        <v/>
      </c>
      <c r="X148" s="1" t="n">
        <f aca="false">IF(W148="",0,SUMIFS($I$7:$I$256,$D$7:$D$256,W148,$H$7:$H$256,"NTIME"))</f>
        <v>0</v>
      </c>
      <c r="Y148" s="1" t="n">
        <f aca="false">IF(W148="",0,SUMIFS($I$7:$I$256,$D$7:$D$256,W148,$H$7:$H$256,"P6"))</f>
        <v>0</v>
      </c>
      <c r="Z148" s="1" t="n">
        <f aca="false">X148+Y148</f>
        <v>0</v>
      </c>
      <c r="AA148" s="1" t="n">
        <f aca="false">IF(Z148&gt;0,Z148+(201-142)/10^6,0)</f>
        <v>0</v>
      </c>
      <c r="AB148" s="1"/>
      <c r="AC148" s="1"/>
      <c r="AD148" s="1"/>
      <c r="AE148" s="1"/>
      <c r="AF148" s="1"/>
      <c r="AG148" s="1"/>
      <c r="AH148" s="1"/>
    </row>
    <row r="149" customFormat="false" ht="15" hidden="false" customHeight="false" outlineLevel="0" collapsed="false">
      <c r="A149" s="1"/>
      <c r="B149" s="10"/>
      <c r="C149" s="31" t="str">
        <f aca="false">IF(B149="","",TEXT(B149,"ddd"))</f>
        <v/>
      </c>
      <c r="D149" s="11"/>
      <c r="E149" s="8" t="str">
        <f aca="false">IF(D149="","",IFERROR(INDEX(ProjNumbers,MATCH(D149,ProjNames,0)),""))</f>
        <v/>
      </c>
      <c r="F149" s="8" t="str">
        <f aca="false">IF(D149="","",IFERROR(INDEX(ProjCodes,MATCH(D149,ProjNames,0)),""))</f>
        <v/>
      </c>
      <c r="G149" s="32"/>
      <c r="H149" s="11"/>
      <c r="I149" s="33"/>
      <c r="J149" s="8" t="str">
        <f aca="false">IF(COUNTA(B149,D149,G149,H149,I149)=0,"",IF(B149="","Enter date",IF(OR(B149&lt;$AC$2,B149&gt;$AC$3),"Date not in August",IF(D149="","Pick project",IF(ISNA(MATCH(D149,ProjNames,0)),"Project not in list",IF(G149="","Add task description",IF(H149="","Pick NTIME or P6",IF(N(I149)&lt;=0,"Enter hours",IF(AND(AllowOT&lt;&gt;"Yes",SUMIF($B$7:$B$256,B149,$I$7:$I$256)&gt;INDEX($O$58:$O$88,DAY(B149))),"Day over "&amp;INDEX($O$58:$O$88,DAY(B149))&amp;" h","✓")))))))))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tr">
        <f aca="false">IF(Projects!B147="","",Projects!B147)</f>
        <v/>
      </c>
      <c r="X149" s="1" t="n">
        <f aca="false">IF(W149="",0,SUMIFS($I$7:$I$256,$D$7:$D$256,W149,$H$7:$H$256,"NTIME"))</f>
        <v>0</v>
      </c>
      <c r="Y149" s="1" t="n">
        <f aca="false">IF(W149="",0,SUMIFS($I$7:$I$256,$D$7:$D$256,W149,$H$7:$H$256,"P6"))</f>
        <v>0</v>
      </c>
      <c r="Z149" s="1" t="n">
        <f aca="false">X149+Y149</f>
        <v>0</v>
      </c>
      <c r="AA149" s="1" t="n">
        <f aca="false">IF(Z149&gt;0,Z149+(201-143)/10^6,0)</f>
        <v>0</v>
      </c>
      <c r="AB149" s="1"/>
      <c r="AC149" s="1"/>
      <c r="AD149" s="1"/>
      <c r="AE149" s="1"/>
      <c r="AF149" s="1"/>
      <c r="AG149" s="1"/>
      <c r="AH149" s="1"/>
    </row>
    <row r="150" customFormat="false" ht="15" hidden="false" customHeight="false" outlineLevel="0" collapsed="false">
      <c r="A150" s="1"/>
      <c r="B150" s="10"/>
      <c r="C150" s="31" t="str">
        <f aca="false">IF(B150="","",TEXT(B150,"ddd"))</f>
        <v/>
      </c>
      <c r="D150" s="11"/>
      <c r="E150" s="8" t="str">
        <f aca="false">IF(D150="","",IFERROR(INDEX(ProjNumbers,MATCH(D150,ProjNames,0)),""))</f>
        <v/>
      </c>
      <c r="F150" s="8" t="str">
        <f aca="false">IF(D150="","",IFERROR(INDEX(ProjCodes,MATCH(D150,ProjNames,0)),""))</f>
        <v/>
      </c>
      <c r="G150" s="32"/>
      <c r="H150" s="11"/>
      <c r="I150" s="33"/>
      <c r="J150" s="8" t="str">
        <f aca="false">IF(COUNTA(B150,D150,G150,H150,I150)=0,"",IF(B150="","Enter date",IF(OR(B150&lt;$AC$2,B150&gt;$AC$3),"Date not in August",IF(D150="","Pick project",IF(ISNA(MATCH(D150,ProjNames,0)),"Project not in list",IF(G150="","Add task description",IF(H150="","Pick NTIME or P6",IF(N(I150)&lt;=0,"Enter hours",IF(AND(AllowOT&lt;&gt;"Yes",SUMIF($B$7:$B$256,B150,$I$7:$I$256)&gt;INDEX($O$58:$O$88,DAY(B150))),"Day over "&amp;INDEX($O$58:$O$88,DAY(B150))&amp;" h","✓")))))))))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tr">
        <f aca="false">IF(Projects!B148="","",Projects!B148)</f>
        <v/>
      </c>
      <c r="X150" s="1" t="n">
        <f aca="false">IF(W150="",0,SUMIFS($I$7:$I$256,$D$7:$D$256,W150,$H$7:$H$256,"NTIME"))</f>
        <v>0</v>
      </c>
      <c r="Y150" s="1" t="n">
        <f aca="false">IF(W150="",0,SUMIFS($I$7:$I$256,$D$7:$D$256,W150,$H$7:$H$256,"P6"))</f>
        <v>0</v>
      </c>
      <c r="Z150" s="1" t="n">
        <f aca="false">X150+Y150</f>
        <v>0</v>
      </c>
      <c r="AA150" s="1" t="n">
        <f aca="false">IF(Z150&gt;0,Z150+(201-144)/10^6,0)</f>
        <v>0</v>
      </c>
      <c r="AB150" s="1"/>
      <c r="AC150" s="1"/>
      <c r="AD150" s="1"/>
      <c r="AE150" s="1"/>
      <c r="AF150" s="1"/>
      <c r="AG150" s="1"/>
      <c r="AH150" s="1"/>
    </row>
    <row r="151" customFormat="false" ht="15" hidden="false" customHeight="false" outlineLevel="0" collapsed="false">
      <c r="A151" s="1"/>
      <c r="B151" s="10"/>
      <c r="C151" s="31" t="str">
        <f aca="false">IF(B151="","",TEXT(B151,"ddd"))</f>
        <v/>
      </c>
      <c r="D151" s="11"/>
      <c r="E151" s="8" t="str">
        <f aca="false">IF(D151="","",IFERROR(INDEX(ProjNumbers,MATCH(D151,ProjNames,0)),""))</f>
        <v/>
      </c>
      <c r="F151" s="8" t="str">
        <f aca="false">IF(D151="","",IFERROR(INDEX(ProjCodes,MATCH(D151,ProjNames,0)),""))</f>
        <v/>
      </c>
      <c r="G151" s="32"/>
      <c r="H151" s="11"/>
      <c r="I151" s="33"/>
      <c r="J151" s="8" t="str">
        <f aca="false">IF(COUNTA(B151,D151,G151,H151,I151)=0,"",IF(B151="","Enter date",IF(OR(B151&lt;$AC$2,B151&gt;$AC$3),"Date not in August",IF(D151="","Pick project",IF(ISNA(MATCH(D151,ProjNames,0)),"Project not in list",IF(G151="","Add task description",IF(H151="","Pick NTIME or P6",IF(N(I151)&lt;=0,"Enter hours",IF(AND(AllowOT&lt;&gt;"Yes",SUMIF($B$7:$B$256,B151,$I$7:$I$256)&gt;INDEX($O$58:$O$88,DAY(B151))),"Day over "&amp;INDEX($O$58:$O$88,DAY(B151))&amp;" h","✓")))))))))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tr">
        <f aca="false">IF(Projects!B149="","",Projects!B149)</f>
        <v/>
      </c>
      <c r="X151" s="1" t="n">
        <f aca="false">IF(W151="",0,SUMIFS($I$7:$I$256,$D$7:$D$256,W151,$H$7:$H$256,"NTIME"))</f>
        <v>0</v>
      </c>
      <c r="Y151" s="1" t="n">
        <f aca="false">IF(W151="",0,SUMIFS($I$7:$I$256,$D$7:$D$256,W151,$H$7:$H$256,"P6"))</f>
        <v>0</v>
      </c>
      <c r="Z151" s="1" t="n">
        <f aca="false">X151+Y151</f>
        <v>0</v>
      </c>
      <c r="AA151" s="1" t="n">
        <f aca="false">IF(Z151&gt;0,Z151+(201-145)/10^6,0)</f>
        <v>0</v>
      </c>
      <c r="AB151" s="1"/>
      <c r="AC151" s="1"/>
      <c r="AD151" s="1"/>
      <c r="AE151" s="1"/>
      <c r="AF151" s="1"/>
      <c r="AG151" s="1"/>
      <c r="AH151" s="1"/>
    </row>
    <row r="152" customFormat="false" ht="15" hidden="false" customHeight="false" outlineLevel="0" collapsed="false">
      <c r="A152" s="1"/>
      <c r="B152" s="10"/>
      <c r="C152" s="31" t="str">
        <f aca="false">IF(B152="","",TEXT(B152,"ddd"))</f>
        <v/>
      </c>
      <c r="D152" s="11"/>
      <c r="E152" s="8" t="str">
        <f aca="false">IF(D152="","",IFERROR(INDEX(ProjNumbers,MATCH(D152,ProjNames,0)),""))</f>
        <v/>
      </c>
      <c r="F152" s="8" t="str">
        <f aca="false">IF(D152="","",IFERROR(INDEX(ProjCodes,MATCH(D152,ProjNames,0)),""))</f>
        <v/>
      </c>
      <c r="G152" s="32"/>
      <c r="H152" s="11"/>
      <c r="I152" s="33"/>
      <c r="J152" s="8" t="str">
        <f aca="false">IF(COUNTA(B152,D152,G152,H152,I152)=0,"",IF(B152="","Enter date",IF(OR(B152&lt;$AC$2,B152&gt;$AC$3),"Date not in August",IF(D152="","Pick project",IF(ISNA(MATCH(D152,ProjNames,0)),"Project not in list",IF(G152="","Add task description",IF(H152="","Pick NTIME or P6",IF(N(I152)&lt;=0,"Enter hours",IF(AND(AllowOT&lt;&gt;"Yes",SUMIF($B$7:$B$256,B152,$I$7:$I$256)&gt;INDEX($O$58:$O$88,DAY(B152))),"Day over "&amp;INDEX($O$58:$O$88,DAY(B152))&amp;" h","✓")))))))))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tr">
        <f aca="false">IF(Projects!B150="","",Projects!B150)</f>
        <v/>
      </c>
      <c r="X152" s="1" t="n">
        <f aca="false">IF(W152="",0,SUMIFS($I$7:$I$256,$D$7:$D$256,W152,$H$7:$H$256,"NTIME"))</f>
        <v>0</v>
      </c>
      <c r="Y152" s="1" t="n">
        <f aca="false">IF(W152="",0,SUMIFS($I$7:$I$256,$D$7:$D$256,W152,$H$7:$H$256,"P6"))</f>
        <v>0</v>
      </c>
      <c r="Z152" s="1" t="n">
        <f aca="false">X152+Y152</f>
        <v>0</v>
      </c>
      <c r="AA152" s="1" t="n">
        <f aca="false">IF(Z152&gt;0,Z152+(201-146)/10^6,0)</f>
        <v>0</v>
      </c>
      <c r="AB152" s="1"/>
      <c r="AC152" s="1"/>
      <c r="AD152" s="1"/>
      <c r="AE152" s="1"/>
      <c r="AF152" s="1"/>
      <c r="AG152" s="1"/>
      <c r="AH152" s="1"/>
    </row>
    <row r="153" customFormat="false" ht="15" hidden="false" customHeight="false" outlineLevel="0" collapsed="false">
      <c r="A153" s="1"/>
      <c r="B153" s="10"/>
      <c r="C153" s="31" t="str">
        <f aca="false">IF(B153="","",TEXT(B153,"ddd"))</f>
        <v/>
      </c>
      <c r="D153" s="11"/>
      <c r="E153" s="8" t="str">
        <f aca="false">IF(D153="","",IFERROR(INDEX(ProjNumbers,MATCH(D153,ProjNames,0)),""))</f>
        <v/>
      </c>
      <c r="F153" s="8" t="str">
        <f aca="false">IF(D153="","",IFERROR(INDEX(ProjCodes,MATCH(D153,ProjNames,0)),""))</f>
        <v/>
      </c>
      <c r="G153" s="32"/>
      <c r="H153" s="11"/>
      <c r="I153" s="33"/>
      <c r="J153" s="8" t="str">
        <f aca="false">IF(COUNTA(B153,D153,G153,H153,I153)=0,"",IF(B153="","Enter date",IF(OR(B153&lt;$AC$2,B153&gt;$AC$3),"Date not in August",IF(D153="","Pick project",IF(ISNA(MATCH(D153,ProjNames,0)),"Project not in list",IF(G153="","Add task description",IF(H153="","Pick NTIME or P6",IF(N(I153)&lt;=0,"Enter hours",IF(AND(AllowOT&lt;&gt;"Yes",SUMIF($B$7:$B$256,B153,$I$7:$I$256)&gt;INDEX($O$58:$O$88,DAY(B153))),"Day over "&amp;INDEX($O$58:$O$88,DAY(B153))&amp;" h","✓")))))))))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tr">
        <f aca="false">IF(Projects!B151="","",Projects!B151)</f>
        <v/>
      </c>
      <c r="X153" s="1" t="n">
        <f aca="false">IF(W153="",0,SUMIFS($I$7:$I$256,$D$7:$D$256,W153,$H$7:$H$256,"NTIME"))</f>
        <v>0</v>
      </c>
      <c r="Y153" s="1" t="n">
        <f aca="false">IF(W153="",0,SUMIFS($I$7:$I$256,$D$7:$D$256,W153,$H$7:$H$256,"P6"))</f>
        <v>0</v>
      </c>
      <c r="Z153" s="1" t="n">
        <f aca="false">X153+Y153</f>
        <v>0</v>
      </c>
      <c r="AA153" s="1" t="n">
        <f aca="false">IF(Z153&gt;0,Z153+(201-147)/10^6,0)</f>
        <v>0</v>
      </c>
      <c r="AB153" s="1"/>
      <c r="AC153" s="1"/>
      <c r="AD153" s="1"/>
      <c r="AE153" s="1"/>
      <c r="AF153" s="1"/>
      <c r="AG153" s="1"/>
      <c r="AH153" s="1"/>
    </row>
    <row r="154" customFormat="false" ht="15" hidden="false" customHeight="false" outlineLevel="0" collapsed="false">
      <c r="A154" s="1"/>
      <c r="B154" s="10"/>
      <c r="C154" s="31" t="str">
        <f aca="false">IF(B154="","",TEXT(B154,"ddd"))</f>
        <v/>
      </c>
      <c r="D154" s="11"/>
      <c r="E154" s="8" t="str">
        <f aca="false">IF(D154="","",IFERROR(INDEX(ProjNumbers,MATCH(D154,ProjNames,0)),""))</f>
        <v/>
      </c>
      <c r="F154" s="8" t="str">
        <f aca="false">IF(D154="","",IFERROR(INDEX(ProjCodes,MATCH(D154,ProjNames,0)),""))</f>
        <v/>
      </c>
      <c r="G154" s="32"/>
      <c r="H154" s="11"/>
      <c r="I154" s="33"/>
      <c r="J154" s="8" t="str">
        <f aca="false">IF(COUNTA(B154,D154,G154,H154,I154)=0,"",IF(B154="","Enter date",IF(OR(B154&lt;$AC$2,B154&gt;$AC$3),"Date not in August",IF(D154="","Pick project",IF(ISNA(MATCH(D154,ProjNames,0)),"Project not in list",IF(G154="","Add task description",IF(H154="","Pick NTIME or P6",IF(N(I154)&lt;=0,"Enter hours",IF(AND(AllowOT&lt;&gt;"Yes",SUMIF($B$7:$B$256,B154,$I$7:$I$256)&gt;INDEX($O$58:$O$88,DAY(B154))),"Day over "&amp;INDEX($O$58:$O$88,DAY(B154))&amp;" h","✓")))))))))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tr">
        <f aca="false">IF(Projects!B152="","",Projects!B152)</f>
        <v/>
      </c>
      <c r="X154" s="1" t="n">
        <f aca="false">IF(W154="",0,SUMIFS($I$7:$I$256,$D$7:$D$256,W154,$H$7:$H$256,"NTIME"))</f>
        <v>0</v>
      </c>
      <c r="Y154" s="1" t="n">
        <f aca="false">IF(W154="",0,SUMIFS($I$7:$I$256,$D$7:$D$256,W154,$H$7:$H$256,"P6"))</f>
        <v>0</v>
      </c>
      <c r="Z154" s="1" t="n">
        <f aca="false">X154+Y154</f>
        <v>0</v>
      </c>
      <c r="AA154" s="1" t="n">
        <f aca="false">IF(Z154&gt;0,Z154+(201-148)/10^6,0)</f>
        <v>0</v>
      </c>
      <c r="AB154" s="1"/>
      <c r="AC154" s="1"/>
      <c r="AD154" s="1"/>
      <c r="AE154" s="1"/>
      <c r="AF154" s="1"/>
      <c r="AG154" s="1"/>
      <c r="AH154" s="1"/>
    </row>
    <row r="155" customFormat="false" ht="15" hidden="false" customHeight="false" outlineLevel="0" collapsed="false">
      <c r="A155" s="1"/>
      <c r="B155" s="10"/>
      <c r="C155" s="31" t="str">
        <f aca="false">IF(B155="","",TEXT(B155,"ddd"))</f>
        <v/>
      </c>
      <c r="D155" s="11"/>
      <c r="E155" s="8" t="str">
        <f aca="false">IF(D155="","",IFERROR(INDEX(ProjNumbers,MATCH(D155,ProjNames,0)),""))</f>
        <v/>
      </c>
      <c r="F155" s="8" t="str">
        <f aca="false">IF(D155="","",IFERROR(INDEX(ProjCodes,MATCH(D155,ProjNames,0)),""))</f>
        <v/>
      </c>
      <c r="G155" s="32"/>
      <c r="H155" s="11"/>
      <c r="I155" s="33"/>
      <c r="J155" s="8" t="str">
        <f aca="false">IF(COUNTA(B155,D155,G155,H155,I155)=0,"",IF(B155="","Enter date",IF(OR(B155&lt;$AC$2,B155&gt;$AC$3),"Date not in August",IF(D155="","Pick project",IF(ISNA(MATCH(D155,ProjNames,0)),"Project not in list",IF(G155="","Add task description",IF(H155="","Pick NTIME or P6",IF(N(I155)&lt;=0,"Enter hours",IF(AND(AllowOT&lt;&gt;"Yes",SUMIF($B$7:$B$256,B155,$I$7:$I$256)&gt;INDEX($O$58:$O$88,DAY(B155))),"Day over "&amp;INDEX($O$58:$O$88,DAY(B155))&amp;" h","✓")))))))))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tr">
        <f aca="false">IF(Projects!B153="","",Projects!B153)</f>
        <v/>
      </c>
      <c r="X155" s="1" t="n">
        <f aca="false">IF(W155="",0,SUMIFS($I$7:$I$256,$D$7:$D$256,W155,$H$7:$H$256,"NTIME"))</f>
        <v>0</v>
      </c>
      <c r="Y155" s="1" t="n">
        <f aca="false">IF(W155="",0,SUMIFS($I$7:$I$256,$D$7:$D$256,W155,$H$7:$H$256,"P6"))</f>
        <v>0</v>
      </c>
      <c r="Z155" s="1" t="n">
        <f aca="false">X155+Y155</f>
        <v>0</v>
      </c>
      <c r="AA155" s="1" t="n">
        <f aca="false">IF(Z155&gt;0,Z155+(201-149)/10^6,0)</f>
        <v>0</v>
      </c>
      <c r="AB155" s="1"/>
      <c r="AC155" s="1"/>
      <c r="AD155" s="1"/>
      <c r="AE155" s="1"/>
      <c r="AF155" s="1"/>
      <c r="AG155" s="1"/>
      <c r="AH155" s="1"/>
    </row>
    <row r="156" customFormat="false" ht="15" hidden="false" customHeight="false" outlineLevel="0" collapsed="false">
      <c r="A156" s="1"/>
      <c r="B156" s="10"/>
      <c r="C156" s="31" t="str">
        <f aca="false">IF(B156="","",TEXT(B156,"ddd"))</f>
        <v/>
      </c>
      <c r="D156" s="11"/>
      <c r="E156" s="8" t="str">
        <f aca="false">IF(D156="","",IFERROR(INDEX(ProjNumbers,MATCH(D156,ProjNames,0)),""))</f>
        <v/>
      </c>
      <c r="F156" s="8" t="str">
        <f aca="false">IF(D156="","",IFERROR(INDEX(ProjCodes,MATCH(D156,ProjNames,0)),""))</f>
        <v/>
      </c>
      <c r="G156" s="32"/>
      <c r="H156" s="11"/>
      <c r="I156" s="33"/>
      <c r="J156" s="8" t="str">
        <f aca="false">IF(COUNTA(B156,D156,G156,H156,I156)=0,"",IF(B156="","Enter date",IF(OR(B156&lt;$AC$2,B156&gt;$AC$3),"Date not in August",IF(D156="","Pick project",IF(ISNA(MATCH(D156,ProjNames,0)),"Project not in list",IF(G156="","Add task description",IF(H156="","Pick NTIME or P6",IF(N(I156)&lt;=0,"Enter hours",IF(AND(AllowOT&lt;&gt;"Yes",SUMIF($B$7:$B$256,B156,$I$7:$I$256)&gt;INDEX($O$58:$O$88,DAY(B156))),"Day over "&amp;INDEX($O$58:$O$88,DAY(B156))&amp;" h","✓")))))))))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tr">
        <f aca="false">IF(Projects!B154="","",Projects!B154)</f>
        <v/>
      </c>
      <c r="X156" s="1" t="n">
        <f aca="false">IF(W156="",0,SUMIFS($I$7:$I$256,$D$7:$D$256,W156,$H$7:$H$256,"NTIME"))</f>
        <v>0</v>
      </c>
      <c r="Y156" s="1" t="n">
        <f aca="false">IF(W156="",0,SUMIFS($I$7:$I$256,$D$7:$D$256,W156,$H$7:$H$256,"P6"))</f>
        <v>0</v>
      </c>
      <c r="Z156" s="1" t="n">
        <f aca="false">X156+Y156</f>
        <v>0</v>
      </c>
      <c r="AA156" s="1" t="n">
        <f aca="false">IF(Z156&gt;0,Z156+(201-150)/10^6,0)</f>
        <v>0</v>
      </c>
      <c r="AB156" s="1"/>
      <c r="AC156" s="1"/>
      <c r="AD156" s="1"/>
      <c r="AE156" s="1"/>
      <c r="AF156" s="1"/>
      <c r="AG156" s="1"/>
      <c r="AH156" s="1"/>
    </row>
    <row r="157" customFormat="false" ht="15" hidden="false" customHeight="false" outlineLevel="0" collapsed="false">
      <c r="A157" s="1"/>
      <c r="B157" s="10"/>
      <c r="C157" s="31" t="str">
        <f aca="false">IF(B157="","",TEXT(B157,"ddd"))</f>
        <v/>
      </c>
      <c r="D157" s="11"/>
      <c r="E157" s="8" t="str">
        <f aca="false">IF(D157="","",IFERROR(INDEX(ProjNumbers,MATCH(D157,ProjNames,0)),""))</f>
        <v/>
      </c>
      <c r="F157" s="8" t="str">
        <f aca="false">IF(D157="","",IFERROR(INDEX(ProjCodes,MATCH(D157,ProjNames,0)),""))</f>
        <v/>
      </c>
      <c r="G157" s="32"/>
      <c r="H157" s="11"/>
      <c r="I157" s="33"/>
      <c r="J157" s="8" t="str">
        <f aca="false">IF(COUNTA(B157,D157,G157,H157,I157)=0,"",IF(B157="","Enter date",IF(OR(B157&lt;$AC$2,B157&gt;$AC$3),"Date not in August",IF(D157="","Pick project",IF(ISNA(MATCH(D157,ProjNames,0)),"Project not in list",IF(G157="","Add task description",IF(H157="","Pick NTIME or P6",IF(N(I157)&lt;=0,"Enter hours",IF(AND(AllowOT&lt;&gt;"Yes",SUMIF($B$7:$B$256,B157,$I$7:$I$256)&gt;INDEX($O$58:$O$88,DAY(B157))),"Day over "&amp;INDEX($O$58:$O$88,DAY(B157))&amp;" h","✓")))))))))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tr">
        <f aca="false">IF(Projects!B155="","",Projects!B155)</f>
        <v/>
      </c>
      <c r="X157" s="1" t="n">
        <f aca="false">IF(W157="",0,SUMIFS($I$7:$I$256,$D$7:$D$256,W157,$H$7:$H$256,"NTIME"))</f>
        <v>0</v>
      </c>
      <c r="Y157" s="1" t="n">
        <f aca="false">IF(W157="",0,SUMIFS($I$7:$I$256,$D$7:$D$256,W157,$H$7:$H$256,"P6"))</f>
        <v>0</v>
      </c>
      <c r="Z157" s="1" t="n">
        <f aca="false">X157+Y157</f>
        <v>0</v>
      </c>
      <c r="AA157" s="1" t="n">
        <f aca="false">IF(Z157&gt;0,Z157+(201-151)/10^6,0)</f>
        <v>0</v>
      </c>
      <c r="AB157" s="1"/>
      <c r="AC157" s="1"/>
      <c r="AD157" s="1"/>
      <c r="AE157" s="1"/>
      <c r="AF157" s="1"/>
      <c r="AG157" s="1"/>
      <c r="AH157" s="1"/>
    </row>
    <row r="158" customFormat="false" ht="15" hidden="false" customHeight="false" outlineLevel="0" collapsed="false">
      <c r="A158" s="1"/>
      <c r="B158" s="10"/>
      <c r="C158" s="31" t="str">
        <f aca="false">IF(B158="","",TEXT(B158,"ddd"))</f>
        <v/>
      </c>
      <c r="D158" s="11"/>
      <c r="E158" s="8" t="str">
        <f aca="false">IF(D158="","",IFERROR(INDEX(ProjNumbers,MATCH(D158,ProjNames,0)),""))</f>
        <v/>
      </c>
      <c r="F158" s="8" t="str">
        <f aca="false">IF(D158="","",IFERROR(INDEX(ProjCodes,MATCH(D158,ProjNames,0)),""))</f>
        <v/>
      </c>
      <c r="G158" s="32"/>
      <c r="H158" s="11"/>
      <c r="I158" s="33"/>
      <c r="J158" s="8" t="str">
        <f aca="false">IF(COUNTA(B158,D158,G158,H158,I158)=0,"",IF(B158="","Enter date",IF(OR(B158&lt;$AC$2,B158&gt;$AC$3),"Date not in August",IF(D158="","Pick project",IF(ISNA(MATCH(D158,ProjNames,0)),"Project not in list",IF(G158="","Add task description",IF(H158="","Pick NTIME or P6",IF(N(I158)&lt;=0,"Enter hours",IF(AND(AllowOT&lt;&gt;"Yes",SUMIF($B$7:$B$256,B158,$I$7:$I$256)&gt;INDEX($O$58:$O$88,DAY(B158))),"Day over "&amp;INDEX($O$58:$O$88,DAY(B158))&amp;" h","✓")))))))))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tr">
        <f aca="false">IF(Projects!B156="","",Projects!B156)</f>
        <v/>
      </c>
      <c r="X158" s="1" t="n">
        <f aca="false">IF(W158="",0,SUMIFS($I$7:$I$256,$D$7:$D$256,W158,$H$7:$H$256,"NTIME"))</f>
        <v>0</v>
      </c>
      <c r="Y158" s="1" t="n">
        <f aca="false">IF(W158="",0,SUMIFS($I$7:$I$256,$D$7:$D$256,W158,$H$7:$H$256,"P6"))</f>
        <v>0</v>
      </c>
      <c r="Z158" s="1" t="n">
        <f aca="false">X158+Y158</f>
        <v>0</v>
      </c>
      <c r="AA158" s="1" t="n">
        <f aca="false">IF(Z158&gt;0,Z158+(201-152)/10^6,0)</f>
        <v>0</v>
      </c>
      <c r="AB158" s="1"/>
      <c r="AC158" s="1"/>
      <c r="AD158" s="1"/>
      <c r="AE158" s="1"/>
      <c r="AF158" s="1"/>
      <c r="AG158" s="1"/>
      <c r="AH158" s="1"/>
    </row>
    <row r="159" customFormat="false" ht="15" hidden="false" customHeight="false" outlineLevel="0" collapsed="false">
      <c r="A159" s="1"/>
      <c r="B159" s="10"/>
      <c r="C159" s="31" t="str">
        <f aca="false">IF(B159="","",TEXT(B159,"ddd"))</f>
        <v/>
      </c>
      <c r="D159" s="11"/>
      <c r="E159" s="8" t="str">
        <f aca="false">IF(D159="","",IFERROR(INDEX(ProjNumbers,MATCH(D159,ProjNames,0)),""))</f>
        <v/>
      </c>
      <c r="F159" s="8" t="str">
        <f aca="false">IF(D159="","",IFERROR(INDEX(ProjCodes,MATCH(D159,ProjNames,0)),""))</f>
        <v/>
      </c>
      <c r="G159" s="32"/>
      <c r="H159" s="11"/>
      <c r="I159" s="33"/>
      <c r="J159" s="8" t="str">
        <f aca="false">IF(COUNTA(B159,D159,G159,H159,I159)=0,"",IF(B159="","Enter date",IF(OR(B159&lt;$AC$2,B159&gt;$AC$3),"Date not in August",IF(D159="","Pick project",IF(ISNA(MATCH(D159,ProjNames,0)),"Project not in list",IF(G159="","Add task description",IF(H159="","Pick NTIME or P6",IF(N(I159)&lt;=0,"Enter hours",IF(AND(AllowOT&lt;&gt;"Yes",SUMIF($B$7:$B$256,B159,$I$7:$I$256)&gt;INDEX($O$58:$O$88,DAY(B159))),"Day over "&amp;INDEX($O$58:$O$88,DAY(B159))&amp;" h","✓")))))))))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tr">
        <f aca="false">IF(Projects!B157="","",Projects!B157)</f>
        <v/>
      </c>
      <c r="X159" s="1" t="n">
        <f aca="false">IF(W159="",0,SUMIFS($I$7:$I$256,$D$7:$D$256,W159,$H$7:$H$256,"NTIME"))</f>
        <v>0</v>
      </c>
      <c r="Y159" s="1" t="n">
        <f aca="false">IF(W159="",0,SUMIFS($I$7:$I$256,$D$7:$D$256,W159,$H$7:$H$256,"P6"))</f>
        <v>0</v>
      </c>
      <c r="Z159" s="1" t="n">
        <f aca="false">X159+Y159</f>
        <v>0</v>
      </c>
      <c r="AA159" s="1" t="n">
        <f aca="false">IF(Z159&gt;0,Z159+(201-153)/10^6,0)</f>
        <v>0</v>
      </c>
      <c r="AB159" s="1"/>
      <c r="AC159" s="1"/>
      <c r="AD159" s="1"/>
      <c r="AE159" s="1"/>
      <c r="AF159" s="1"/>
      <c r="AG159" s="1"/>
      <c r="AH159" s="1"/>
    </row>
    <row r="160" customFormat="false" ht="15" hidden="false" customHeight="false" outlineLevel="0" collapsed="false">
      <c r="A160" s="1"/>
      <c r="B160" s="10"/>
      <c r="C160" s="31" t="str">
        <f aca="false">IF(B160="","",TEXT(B160,"ddd"))</f>
        <v/>
      </c>
      <c r="D160" s="11"/>
      <c r="E160" s="8" t="str">
        <f aca="false">IF(D160="","",IFERROR(INDEX(ProjNumbers,MATCH(D160,ProjNames,0)),""))</f>
        <v/>
      </c>
      <c r="F160" s="8" t="str">
        <f aca="false">IF(D160="","",IFERROR(INDEX(ProjCodes,MATCH(D160,ProjNames,0)),""))</f>
        <v/>
      </c>
      <c r="G160" s="32"/>
      <c r="H160" s="11"/>
      <c r="I160" s="33"/>
      <c r="J160" s="8" t="str">
        <f aca="false">IF(COUNTA(B160,D160,G160,H160,I160)=0,"",IF(B160="","Enter date",IF(OR(B160&lt;$AC$2,B160&gt;$AC$3),"Date not in August",IF(D160="","Pick project",IF(ISNA(MATCH(D160,ProjNames,0)),"Project not in list",IF(G160="","Add task description",IF(H160="","Pick NTIME or P6",IF(N(I160)&lt;=0,"Enter hours",IF(AND(AllowOT&lt;&gt;"Yes",SUMIF($B$7:$B$256,B160,$I$7:$I$256)&gt;INDEX($O$58:$O$88,DAY(B160))),"Day over "&amp;INDEX($O$58:$O$88,DAY(B160))&amp;" h","✓")))))))))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tr">
        <f aca="false">IF(Projects!B158="","",Projects!B158)</f>
        <v/>
      </c>
      <c r="X160" s="1" t="n">
        <f aca="false">IF(W160="",0,SUMIFS($I$7:$I$256,$D$7:$D$256,W160,$H$7:$H$256,"NTIME"))</f>
        <v>0</v>
      </c>
      <c r="Y160" s="1" t="n">
        <f aca="false">IF(W160="",0,SUMIFS($I$7:$I$256,$D$7:$D$256,W160,$H$7:$H$256,"P6"))</f>
        <v>0</v>
      </c>
      <c r="Z160" s="1" t="n">
        <f aca="false">X160+Y160</f>
        <v>0</v>
      </c>
      <c r="AA160" s="1" t="n">
        <f aca="false">IF(Z160&gt;0,Z160+(201-154)/10^6,0)</f>
        <v>0</v>
      </c>
      <c r="AB160" s="1"/>
      <c r="AC160" s="1"/>
      <c r="AD160" s="1"/>
      <c r="AE160" s="1"/>
      <c r="AF160" s="1"/>
      <c r="AG160" s="1"/>
      <c r="AH160" s="1"/>
    </row>
    <row r="161" customFormat="false" ht="15" hidden="false" customHeight="false" outlineLevel="0" collapsed="false">
      <c r="A161" s="1"/>
      <c r="B161" s="10"/>
      <c r="C161" s="31" t="str">
        <f aca="false">IF(B161="","",TEXT(B161,"ddd"))</f>
        <v/>
      </c>
      <c r="D161" s="11"/>
      <c r="E161" s="8" t="str">
        <f aca="false">IF(D161="","",IFERROR(INDEX(ProjNumbers,MATCH(D161,ProjNames,0)),""))</f>
        <v/>
      </c>
      <c r="F161" s="8" t="str">
        <f aca="false">IF(D161="","",IFERROR(INDEX(ProjCodes,MATCH(D161,ProjNames,0)),""))</f>
        <v/>
      </c>
      <c r="G161" s="32"/>
      <c r="H161" s="11"/>
      <c r="I161" s="33"/>
      <c r="J161" s="8" t="str">
        <f aca="false">IF(COUNTA(B161,D161,G161,H161,I161)=0,"",IF(B161="","Enter date",IF(OR(B161&lt;$AC$2,B161&gt;$AC$3),"Date not in August",IF(D161="","Pick project",IF(ISNA(MATCH(D161,ProjNames,0)),"Project not in list",IF(G161="","Add task description",IF(H161="","Pick NTIME or P6",IF(N(I161)&lt;=0,"Enter hours",IF(AND(AllowOT&lt;&gt;"Yes",SUMIF($B$7:$B$256,B161,$I$7:$I$256)&gt;INDEX($O$58:$O$88,DAY(B161))),"Day over "&amp;INDEX($O$58:$O$88,DAY(B161))&amp;" h","✓")))))))))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tr">
        <f aca="false">IF(Projects!B159="","",Projects!B159)</f>
        <v/>
      </c>
      <c r="X161" s="1" t="n">
        <f aca="false">IF(W161="",0,SUMIFS($I$7:$I$256,$D$7:$D$256,W161,$H$7:$H$256,"NTIME"))</f>
        <v>0</v>
      </c>
      <c r="Y161" s="1" t="n">
        <f aca="false">IF(W161="",0,SUMIFS($I$7:$I$256,$D$7:$D$256,W161,$H$7:$H$256,"P6"))</f>
        <v>0</v>
      </c>
      <c r="Z161" s="1" t="n">
        <f aca="false">X161+Y161</f>
        <v>0</v>
      </c>
      <c r="AA161" s="1" t="n">
        <f aca="false">IF(Z161&gt;0,Z161+(201-155)/10^6,0)</f>
        <v>0</v>
      </c>
      <c r="AB161" s="1"/>
      <c r="AC161" s="1"/>
      <c r="AD161" s="1"/>
      <c r="AE161" s="1"/>
      <c r="AF161" s="1"/>
      <c r="AG161" s="1"/>
      <c r="AH161" s="1"/>
    </row>
    <row r="162" customFormat="false" ht="15" hidden="false" customHeight="false" outlineLevel="0" collapsed="false">
      <c r="A162" s="1"/>
      <c r="B162" s="10"/>
      <c r="C162" s="31" t="str">
        <f aca="false">IF(B162="","",TEXT(B162,"ddd"))</f>
        <v/>
      </c>
      <c r="D162" s="11"/>
      <c r="E162" s="8" t="str">
        <f aca="false">IF(D162="","",IFERROR(INDEX(ProjNumbers,MATCH(D162,ProjNames,0)),""))</f>
        <v/>
      </c>
      <c r="F162" s="8" t="str">
        <f aca="false">IF(D162="","",IFERROR(INDEX(ProjCodes,MATCH(D162,ProjNames,0)),""))</f>
        <v/>
      </c>
      <c r="G162" s="32"/>
      <c r="H162" s="11"/>
      <c r="I162" s="33"/>
      <c r="J162" s="8" t="str">
        <f aca="false">IF(COUNTA(B162,D162,G162,H162,I162)=0,"",IF(B162="","Enter date",IF(OR(B162&lt;$AC$2,B162&gt;$AC$3),"Date not in August",IF(D162="","Pick project",IF(ISNA(MATCH(D162,ProjNames,0)),"Project not in list",IF(G162="","Add task description",IF(H162="","Pick NTIME or P6",IF(N(I162)&lt;=0,"Enter hours",IF(AND(AllowOT&lt;&gt;"Yes",SUMIF($B$7:$B$256,B162,$I$7:$I$256)&gt;INDEX($O$58:$O$88,DAY(B162))),"Day over "&amp;INDEX($O$58:$O$88,DAY(B162))&amp;" h","✓")))))))))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tr">
        <f aca="false">IF(Projects!B160="","",Projects!B160)</f>
        <v/>
      </c>
      <c r="X162" s="1" t="n">
        <f aca="false">IF(W162="",0,SUMIFS($I$7:$I$256,$D$7:$D$256,W162,$H$7:$H$256,"NTIME"))</f>
        <v>0</v>
      </c>
      <c r="Y162" s="1" t="n">
        <f aca="false">IF(W162="",0,SUMIFS($I$7:$I$256,$D$7:$D$256,W162,$H$7:$H$256,"P6"))</f>
        <v>0</v>
      </c>
      <c r="Z162" s="1" t="n">
        <f aca="false">X162+Y162</f>
        <v>0</v>
      </c>
      <c r="AA162" s="1" t="n">
        <f aca="false">IF(Z162&gt;0,Z162+(201-156)/10^6,0)</f>
        <v>0</v>
      </c>
      <c r="AB162" s="1"/>
      <c r="AC162" s="1"/>
      <c r="AD162" s="1"/>
      <c r="AE162" s="1"/>
      <c r="AF162" s="1"/>
      <c r="AG162" s="1"/>
      <c r="AH162" s="1"/>
    </row>
    <row r="163" customFormat="false" ht="15" hidden="false" customHeight="false" outlineLevel="0" collapsed="false">
      <c r="A163" s="1"/>
      <c r="B163" s="10"/>
      <c r="C163" s="31" t="str">
        <f aca="false">IF(B163="","",TEXT(B163,"ddd"))</f>
        <v/>
      </c>
      <c r="D163" s="11"/>
      <c r="E163" s="8" t="str">
        <f aca="false">IF(D163="","",IFERROR(INDEX(ProjNumbers,MATCH(D163,ProjNames,0)),""))</f>
        <v/>
      </c>
      <c r="F163" s="8" t="str">
        <f aca="false">IF(D163="","",IFERROR(INDEX(ProjCodes,MATCH(D163,ProjNames,0)),""))</f>
        <v/>
      </c>
      <c r="G163" s="32"/>
      <c r="H163" s="11"/>
      <c r="I163" s="33"/>
      <c r="J163" s="8" t="str">
        <f aca="false">IF(COUNTA(B163,D163,G163,H163,I163)=0,"",IF(B163="","Enter date",IF(OR(B163&lt;$AC$2,B163&gt;$AC$3),"Date not in August",IF(D163="","Pick project",IF(ISNA(MATCH(D163,ProjNames,0)),"Project not in list",IF(G163="","Add task description",IF(H163="","Pick NTIME or P6",IF(N(I163)&lt;=0,"Enter hours",IF(AND(AllowOT&lt;&gt;"Yes",SUMIF($B$7:$B$256,B163,$I$7:$I$256)&gt;INDEX($O$58:$O$88,DAY(B163))),"Day over "&amp;INDEX($O$58:$O$88,DAY(B163))&amp;" h","✓")))))))))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tr">
        <f aca="false">IF(Projects!B161="","",Projects!B161)</f>
        <v/>
      </c>
      <c r="X163" s="1" t="n">
        <f aca="false">IF(W163="",0,SUMIFS($I$7:$I$256,$D$7:$D$256,W163,$H$7:$H$256,"NTIME"))</f>
        <v>0</v>
      </c>
      <c r="Y163" s="1" t="n">
        <f aca="false">IF(W163="",0,SUMIFS($I$7:$I$256,$D$7:$D$256,W163,$H$7:$H$256,"P6"))</f>
        <v>0</v>
      </c>
      <c r="Z163" s="1" t="n">
        <f aca="false">X163+Y163</f>
        <v>0</v>
      </c>
      <c r="AA163" s="1" t="n">
        <f aca="false">IF(Z163&gt;0,Z163+(201-157)/10^6,0)</f>
        <v>0</v>
      </c>
      <c r="AB163" s="1"/>
      <c r="AC163" s="1"/>
      <c r="AD163" s="1"/>
      <c r="AE163" s="1"/>
      <c r="AF163" s="1"/>
      <c r="AG163" s="1"/>
      <c r="AH163" s="1"/>
    </row>
    <row r="164" customFormat="false" ht="15" hidden="false" customHeight="false" outlineLevel="0" collapsed="false">
      <c r="A164" s="1"/>
      <c r="B164" s="10"/>
      <c r="C164" s="31" t="str">
        <f aca="false">IF(B164="","",TEXT(B164,"ddd"))</f>
        <v/>
      </c>
      <c r="D164" s="11"/>
      <c r="E164" s="8" t="str">
        <f aca="false">IF(D164="","",IFERROR(INDEX(ProjNumbers,MATCH(D164,ProjNames,0)),""))</f>
        <v/>
      </c>
      <c r="F164" s="8" t="str">
        <f aca="false">IF(D164="","",IFERROR(INDEX(ProjCodes,MATCH(D164,ProjNames,0)),""))</f>
        <v/>
      </c>
      <c r="G164" s="32"/>
      <c r="H164" s="11"/>
      <c r="I164" s="33"/>
      <c r="J164" s="8" t="str">
        <f aca="false">IF(COUNTA(B164,D164,G164,H164,I164)=0,"",IF(B164="","Enter date",IF(OR(B164&lt;$AC$2,B164&gt;$AC$3),"Date not in August",IF(D164="","Pick project",IF(ISNA(MATCH(D164,ProjNames,0)),"Project not in list",IF(G164="","Add task description",IF(H164="","Pick NTIME or P6",IF(N(I164)&lt;=0,"Enter hours",IF(AND(AllowOT&lt;&gt;"Yes",SUMIF($B$7:$B$256,B164,$I$7:$I$256)&gt;INDEX($O$58:$O$88,DAY(B164))),"Day over "&amp;INDEX($O$58:$O$88,DAY(B164))&amp;" h","✓")))))))))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tr">
        <f aca="false">IF(Projects!B162="","",Projects!B162)</f>
        <v/>
      </c>
      <c r="X164" s="1" t="n">
        <f aca="false">IF(W164="",0,SUMIFS($I$7:$I$256,$D$7:$D$256,W164,$H$7:$H$256,"NTIME"))</f>
        <v>0</v>
      </c>
      <c r="Y164" s="1" t="n">
        <f aca="false">IF(W164="",0,SUMIFS($I$7:$I$256,$D$7:$D$256,W164,$H$7:$H$256,"P6"))</f>
        <v>0</v>
      </c>
      <c r="Z164" s="1" t="n">
        <f aca="false">X164+Y164</f>
        <v>0</v>
      </c>
      <c r="AA164" s="1" t="n">
        <f aca="false">IF(Z164&gt;0,Z164+(201-158)/10^6,0)</f>
        <v>0</v>
      </c>
      <c r="AB164" s="1"/>
      <c r="AC164" s="1"/>
      <c r="AD164" s="1"/>
      <c r="AE164" s="1"/>
      <c r="AF164" s="1"/>
      <c r="AG164" s="1"/>
      <c r="AH164" s="1"/>
    </row>
    <row r="165" customFormat="false" ht="15" hidden="false" customHeight="false" outlineLevel="0" collapsed="false">
      <c r="A165" s="1"/>
      <c r="B165" s="10"/>
      <c r="C165" s="31" t="str">
        <f aca="false">IF(B165="","",TEXT(B165,"ddd"))</f>
        <v/>
      </c>
      <c r="D165" s="11"/>
      <c r="E165" s="8" t="str">
        <f aca="false">IF(D165="","",IFERROR(INDEX(ProjNumbers,MATCH(D165,ProjNames,0)),""))</f>
        <v/>
      </c>
      <c r="F165" s="8" t="str">
        <f aca="false">IF(D165="","",IFERROR(INDEX(ProjCodes,MATCH(D165,ProjNames,0)),""))</f>
        <v/>
      </c>
      <c r="G165" s="32"/>
      <c r="H165" s="11"/>
      <c r="I165" s="33"/>
      <c r="J165" s="8" t="str">
        <f aca="false">IF(COUNTA(B165,D165,G165,H165,I165)=0,"",IF(B165="","Enter date",IF(OR(B165&lt;$AC$2,B165&gt;$AC$3),"Date not in August",IF(D165="","Pick project",IF(ISNA(MATCH(D165,ProjNames,0)),"Project not in list",IF(G165="","Add task description",IF(H165="","Pick NTIME or P6",IF(N(I165)&lt;=0,"Enter hours",IF(AND(AllowOT&lt;&gt;"Yes",SUMIF($B$7:$B$256,B165,$I$7:$I$256)&gt;INDEX($O$58:$O$88,DAY(B165))),"Day over "&amp;INDEX($O$58:$O$88,DAY(B165))&amp;" h","✓")))))))))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tr">
        <f aca="false">IF(Projects!B163="","",Projects!B163)</f>
        <v/>
      </c>
      <c r="X165" s="1" t="n">
        <f aca="false">IF(W165="",0,SUMIFS($I$7:$I$256,$D$7:$D$256,W165,$H$7:$H$256,"NTIME"))</f>
        <v>0</v>
      </c>
      <c r="Y165" s="1" t="n">
        <f aca="false">IF(W165="",0,SUMIFS($I$7:$I$256,$D$7:$D$256,W165,$H$7:$H$256,"P6"))</f>
        <v>0</v>
      </c>
      <c r="Z165" s="1" t="n">
        <f aca="false">X165+Y165</f>
        <v>0</v>
      </c>
      <c r="AA165" s="1" t="n">
        <f aca="false">IF(Z165&gt;0,Z165+(201-159)/10^6,0)</f>
        <v>0</v>
      </c>
      <c r="AB165" s="1"/>
      <c r="AC165" s="1"/>
      <c r="AD165" s="1"/>
      <c r="AE165" s="1"/>
      <c r="AF165" s="1"/>
      <c r="AG165" s="1"/>
      <c r="AH165" s="1"/>
    </row>
    <row r="166" customFormat="false" ht="15" hidden="false" customHeight="false" outlineLevel="0" collapsed="false">
      <c r="A166" s="1"/>
      <c r="B166" s="10"/>
      <c r="C166" s="31" t="str">
        <f aca="false">IF(B166="","",TEXT(B166,"ddd"))</f>
        <v/>
      </c>
      <c r="D166" s="11"/>
      <c r="E166" s="8" t="str">
        <f aca="false">IF(D166="","",IFERROR(INDEX(ProjNumbers,MATCH(D166,ProjNames,0)),""))</f>
        <v/>
      </c>
      <c r="F166" s="8" t="str">
        <f aca="false">IF(D166="","",IFERROR(INDEX(ProjCodes,MATCH(D166,ProjNames,0)),""))</f>
        <v/>
      </c>
      <c r="G166" s="32"/>
      <c r="H166" s="11"/>
      <c r="I166" s="33"/>
      <c r="J166" s="8" t="str">
        <f aca="false">IF(COUNTA(B166,D166,G166,H166,I166)=0,"",IF(B166="","Enter date",IF(OR(B166&lt;$AC$2,B166&gt;$AC$3),"Date not in August",IF(D166="","Pick project",IF(ISNA(MATCH(D166,ProjNames,0)),"Project not in list",IF(G166="","Add task description",IF(H166="","Pick NTIME or P6",IF(N(I166)&lt;=0,"Enter hours",IF(AND(AllowOT&lt;&gt;"Yes",SUMIF($B$7:$B$256,B166,$I$7:$I$256)&gt;INDEX($O$58:$O$88,DAY(B166))),"Day over "&amp;INDEX($O$58:$O$88,DAY(B166))&amp;" h","✓")))))))))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tr">
        <f aca="false">IF(Projects!B164="","",Projects!B164)</f>
        <v/>
      </c>
      <c r="X166" s="1" t="n">
        <f aca="false">IF(W166="",0,SUMIFS($I$7:$I$256,$D$7:$D$256,W166,$H$7:$H$256,"NTIME"))</f>
        <v>0</v>
      </c>
      <c r="Y166" s="1" t="n">
        <f aca="false">IF(W166="",0,SUMIFS($I$7:$I$256,$D$7:$D$256,W166,$H$7:$H$256,"P6"))</f>
        <v>0</v>
      </c>
      <c r="Z166" s="1" t="n">
        <f aca="false">X166+Y166</f>
        <v>0</v>
      </c>
      <c r="AA166" s="1" t="n">
        <f aca="false">IF(Z166&gt;0,Z166+(201-160)/10^6,0)</f>
        <v>0</v>
      </c>
      <c r="AB166" s="1"/>
      <c r="AC166" s="1"/>
      <c r="AD166" s="1"/>
      <c r="AE166" s="1"/>
      <c r="AF166" s="1"/>
      <c r="AG166" s="1"/>
      <c r="AH166" s="1"/>
    </row>
    <row r="167" customFormat="false" ht="15" hidden="false" customHeight="false" outlineLevel="0" collapsed="false">
      <c r="A167" s="1"/>
      <c r="B167" s="10"/>
      <c r="C167" s="31" t="str">
        <f aca="false">IF(B167="","",TEXT(B167,"ddd"))</f>
        <v/>
      </c>
      <c r="D167" s="11"/>
      <c r="E167" s="8" t="str">
        <f aca="false">IF(D167="","",IFERROR(INDEX(ProjNumbers,MATCH(D167,ProjNames,0)),""))</f>
        <v/>
      </c>
      <c r="F167" s="8" t="str">
        <f aca="false">IF(D167="","",IFERROR(INDEX(ProjCodes,MATCH(D167,ProjNames,0)),""))</f>
        <v/>
      </c>
      <c r="G167" s="32"/>
      <c r="H167" s="11"/>
      <c r="I167" s="33"/>
      <c r="J167" s="8" t="str">
        <f aca="false">IF(COUNTA(B167,D167,G167,H167,I167)=0,"",IF(B167="","Enter date",IF(OR(B167&lt;$AC$2,B167&gt;$AC$3),"Date not in August",IF(D167="","Pick project",IF(ISNA(MATCH(D167,ProjNames,0)),"Project not in list",IF(G167="","Add task description",IF(H167="","Pick NTIME or P6",IF(N(I167)&lt;=0,"Enter hours",IF(AND(AllowOT&lt;&gt;"Yes",SUMIF($B$7:$B$256,B167,$I$7:$I$256)&gt;INDEX($O$58:$O$88,DAY(B167))),"Day over "&amp;INDEX($O$58:$O$88,DAY(B167))&amp;" h","✓")))))))))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 aca="false">IF(Projects!B165="","",Projects!B165)</f>
        <v/>
      </c>
      <c r="X167" s="1" t="n">
        <f aca="false">IF(W167="",0,SUMIFS($I$7:$I$256,$D$7:$D$256,W167,$H$7:$H$256,"NTIME"))</f>
        <v>0</v>
      </c>
      <c r="Y167" s="1" t="n">
        <f aca="false">IF(W167="",0,SUMIFS($I$7:$I$256,$D$7:$D$256,W167,$H$7:$H$256,"P6"))</f>
        <v>0</v>
      </c>
      <c r="Z167" s="1" t="n">
        <f aca="false">X167+Y167</f>
        <v>0</v>
      </c>
      <c r="AA167" s="1" t="n">
        <f aca="false">IF(Z167&gt;0,Z167+(201-161)/10^6,0)</f>
        <v>0</v>
      </c>
      <c r="AB167" s="1"/>
      <c r="AC167" s="1"/>
      <c r="AD167" s="1"/>
      <c r="AE167" s="1"/>
      <c r="AF167" s="1"/>
      <c r="AG167" s="1"/>
      <c r="AH167" s="1"/>
    </row>
    <row r="168" customFormat="false" ht="15" hidden="false" customHeight="false" outlineLevel="0" collapsed="false">
      <c r="A168" s="1"/>
      <c r="B168" s="10"/>
      <c r="C168" s="31" t="str">
        <f aca="false">IF(B168="","",TEXT(B168,"ddd"))</f>
        <v/>
      </c>
      <c r="D168" s="11"/>
      <c r="E168" s="8" t="str">
        <f aca="false">IF(D168="","",IFERROR(INDEX(ProjNumbers,MATCH(D168,ProjNames,0)),""))</f>
        <v/>
      </c>
      <c r="F168" s="8" t="str">
        <f aca="false">IF(D168="","",IFERROR(INDEX(ProjCodes,MATCH(D168,ProjNames,0)),""))</f>
        <v/>
      </c>
      <c r="G168" s="32"/>
      <c r="H168" s="11"/>
      <c r="I168" s="33"/>
      <c r="J168" s="8" t="str">
        <f aca="false">IF(COUNTA(B168,D168,G168,H168,I168)=0,"",IF(B168="","Enter date",IF(OR(B168&lt;$AC$2,B168&gt;$AC$3),"Date not in August",IF(D168="","Pick project",IF(ISNA(MATCH(D168,ProjNames,0)),"Project not in list",IF(G168="","Add task description",IF(H168="","Pick NTIME or P6",IF(N(I168)&lt;=0,"Enter hours",IF(AND(AllowOT&lt;&gt;"Yes",SUMIF($B$7:$B$256,B168,$I$7:$I$256)&gt;INDEX($O$58:$O$88,DAY(B168))),"Day over "&amp;INDEX($O$58:$O$88,DAY(B168))&amp;" h","✓")))))))))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tr">
        <f aca="false">IF(Projects!B166="","",Projects!B166)</f>
        <v/>
      </c>
      <c r="X168" s="1" t="n">
        <f aca="false">IF(W168="",0,SUMIFS($I$7:$I$256,$D$7:$D$256,W168,$H$7:$H$256,"NTIME"))</f>
        <v>0</v>
      </c>
      <c r="Y168" s="1" t="n">
        <f aca="false">IF(W168="",0,SUMIFS($I$7:$I$256,$D$7:$D$256,W168,$H$7:$H$256,"P6"))</f>
        <v>0</v>
      </c>
      <c r="Z168" s="1" t="n">
        <f aca="false">X168+Y168</f>
        <v>0</v>
      </c>
      <c r="AA168" s="1" t="n">
        <f aca="false">IF(Z168&gt;0,Z168+(201-162)/10^6,0)</f>
        <v>0</v>
      </c>
      <c r="AB168" s="1"/>
      <c r="AC168" s="1"/>
      <c r="AD168" s="1"/>
      <c r="AE168" s="1"/>
      <c r="AF168" s="1"/>
      <c r="AG168" s="1"/>
      <c r="AH168" s="1"/>
    </row>
    <row r="169" customFormat="false" ht="15" hidden="false" customHeight="false" outlineLevel="0" collapsed="false">
      <c r="A169" s="1"/>
      <c r="B169" s="10"/>
      <c r="C169" s="31" t="str">
        <f aca="false">IF(B169="","",TEXT(B169,"ddd"))</f>
        <v/>
      </c>
      <c r="D169" s="11"/>
      <c r="E169" s="8" t="str">
        <f aca="false">IF(D169="","",IFERROR(INDEX(ProjNumbers,MATCH(D169,ProjNames,0)),""))</f>
        <v/>
      </c>
      <c r="F169" s="8" t="str">
        <f aca="false">IF(D169="","",IFERROR(INDEX(ProjCodes,MATCH(D169,ProjNames,0)),""))</f>
        <v/>
      </c>
      <c r="G169" s="32"/>
      <c r="H169" s="11"/>
      <c r="I169" s="33"/>
      <c r="J169" s="8" t="str">
        <f aca="false">IF(COUNTA(B169,D169,G169,H169,I169)=0,"",IF(B169="","Enter date",IF(OR(B169&lt;$AC$2,B169&gt;$AC$3),"Date not in August",IF(D169="","Pick project",IF(ISNA(MATCH(D169,ProjNames,0)),"Project not in list",IF(G169="","Add task description",IF(H169="","Pick NTIME or P6",IF(N(I169)&lt;=0,"Enter hours",IF(AND(AllowOT&lt;&gt;"Yes",SUMIF($B$7:$B$256,B169,$I$7:$I$256)&gt;INDEX($O$58:$O$88,DAY(B169))),"Day over "&amp;INDEX($O$58:$O$88,DAY(B169))&amp;" h","✓")))))))))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tr">
        <f aca="false">IF(Projects!B167="","",Projects!B167)</f>
        <v/>
      </c>
      <c r="X169" s="1" t="n">
        <f aca="false">IF(W169="",0,SUMIFS($I$7:$I$256,$D$7:$D$256,W169,$H$7:$H$256,"NTIME"))</f>
        <v>0</v>
      </c>
      <c r="Y169" s="1" t="n">
        <f aca="false">IF(W169="",0,SUMIFS($I$7:$I$256,$D$7:$D$256,W169,$H$7:$H$256,"P6"))</f>
        <v>0</v>
      </c>
      <c r="Z169" s="1" t="n">
        <f aca="false">X169+Y169</f>
        <v>0</v>
      </c>
      <c r="AA169" s="1" t="n">
        <f aca="false">IF(Z169&gt;0,Z169+(201-163)/10^6,0)</f>
        <v>0</v>
      </c>
      <c r="AB169" s="1"/>
      <c r="AC169" s="1"/>
      <c r="AD169" s="1"/>
      <c r="AE169" s="1"/>
      <c r="AF169" s="1"/>
      <c r="AG169" s="1"/>
      <c r="AH169" s="1"/>
    </row>
    <row r="170" customFormat="false" ht="15" hidden="false" customHeight="false" outlineLevel="0" collapsed="false">
      <c r="A170" s="1"/>
      <c r="B170" s="10"/>
      <c r="C170" s="31" t="str">
        <f aca="false">IF(B170="","",TEXT(B170,"ddd"))</f>
        <v/>
      </c>
      <c r="D170" s="11"/>
      <c r="E170" s="8" t="str">
        <f aca="false">IF(D170="","",IFERROR(INDEX(ProjNumbers,MATCH(D170,ProjNames,0)),""))</f>
        <v/>
      </c>
      <c r="F170" s="8" t="str">
        <f aca="false">IF(D170="","",IFERROR(INDEX(ProjCodes,MATCH(D170,ProjNames,0)),""))</f>
        <v/>
      </c>
      <c r="G170" s="32"/>
      <c r="H170" s="11"/>
      <c r="I170" s="33"/>
      <c r="J170" s="8" t="str">
        <f aca="false">IF(COUNTA(B170,D170,G170,H170,I170)=0,"",IF(B170="","Enter date",IF(OR(B170&lt;$AC$2,B170&gt;$AC$3),"Date not in August",IF(D170="","Pick project",IF(ISNA(MATCH(D170,ProjNames,0)),"Project not in list",IF(G170="","Add task description",IF(H170="","Pick NTIME or P6",IF(N(I170)&lt;=0,"Enter hours",IF(AND(AllowOT&lt;&gt;"Yes",SUMIF($B$7:$B$256,B170,$I$7:$I$256)&gt;INDEX($O$58:$O$88,DAY(B170))),"Day over "&amp;INDEX($O$58:$O$88,DAY(B170))&amp;" h","✓")))))))))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tr">
        <f aca="false">IF(Projects!B168="","",Projects!B168)</f>
        <v/>
      </c>
      <c r="X170" s="1" t="n">
        <f aca="false">IF(W170="",0,SUMIFS($I$7:$I$256,$D$7:$D$256,W170,$H$7:$H$256,"NTIME"))</f>
        <v>0</v>
      </c>
      <c r="Y170" s="1" t="n">
        <f aca="false">IF(W170="",0,SUMIFS($I$7:$I$256,$D$7:$D$256,W170,$H$7:$H$256,"P6"))</f>
        <v>0</v>
      </c>
      <c r="Z170" s="1" t="n">
        <f aca="false">X170+Y170</f>
        <v>0</v>
      </c>
      <c r="AA170" s="1" t="n">
        <f aca="false">IF(Z170&gt;0,Z170+(201-164)/10^6,0)</f>
        <v>0</v>
      </c>
      <c r="AB170" s="1"/>
      <c r="AC170" s="1"/>
      <c r="AD170" s="1"/>
      <c r="AE170" s="1"/>
      <c r="AF170" s="1"/>
      <c r="AG170" s="1"/>
      <c r="AH170" s="1"/>
    </row>
    <row r="171" customFormat="false" ht="15" hidden="false" customHeight="false" outlineLevel="0" collapsed="false">
      <c r="A171" s="1"/>
      <c r="B171" s="10"/>
      <c r="C171" s="31" t="str">
        <f aca="false">IF(B171="","",TEXT(B171,"ddd"))</f>
        <v/>
      </c>
      <c r="D171" s="11"/>
      <c r="E171" s="8" t="str">
        <f aca="false">IF(D171="","",IFERROR(INDEX(ProjNumbers,MATCH(D171,ProjNames,0)),""))</f>
        <v/>
      </c>
      <c r="F171" s="8" t="str">
        <f aca="false">IF(D171="","",IFERROR(INDEX(ProjCodes,MATCH(D171,ProjNames,0)),""))</f>
        <v/>
      </c>
      <c r="G171" s="32"/>
      <c r="H171" s="11"/>
      <c r="I171" s="33"/>
      <c r="J171" s="8" t="str">
        <f aca="false">IF(COUNTA(B171,D171,G171,H171,I171)=0,"",IF(B171="","Enter date",IF(OR(B171&lt;$AC$2,B171&gt;$AC$3),"Date not in August",IF(D171="","Pick project",IF(ISNA(MATCH(D171,ProjNames,0)),"Project not in list",IF(G171="","Add task description",IF(H171="","Pick NTIME or P6",IF(N(I171)&lt;=0,"Enter hours",IF(AND(AllowOT&lt;&gt;"Yes",SUMIF($B$7:$B$256,B171,$I$7:$I$256)&gt;INDEX($O$58:$O$88,DAY(B171))),"Day over "&amp;INDEX($O$58:$O$88,DAY(B171))&amp;" h","✓")))))))))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tr">
        <f aca="false">IF(Projects!B169="","",Projects!B169)</f>
        <v/>
      </c>
      <c r="X171" s="1" t="n">
        <f aca="false">IF(W171="",0,SUMIFS($I$7:$I$256,$D$7:$D$256,W171,$H$7:$H$256,"NTIME"))</f>
        <v>0</v>
      </c>
      <c r="Y171" s="1" t="n">
        <f aca="false">IF(W171="",0,SUMIFS($I$7:$I$256,$D$7:$D$256,W171,$H$7:$H$256,"P6"))</f>
        <v>0</v>
      </c>
      <c r="Z171" s="1" t="n">
        <f aca="false">X171+Y171</f>
        <v>0</v>
      </c>
      <c r="AA171" s="1" t="n">
        <f aca="false">IF(Z171&gt;0,Z171+(201-165)/10^6,0)</f>
        <v>0</v>
      </c>
      <c r="AB171" s="1"/>
      <c r="AC171" s="1"/>
      <c r="AD171" s="1"/>
      <c r="AE171" s="1"/>
      <c r="AF171" s="1"/>
      <c r="AG171" s="1"/>
      <c r="AH171" s="1"/>
    </row>
    <row r="172" customFormat="false" ht="15" hidden="false" customHeight="false" outlineLevel="0" collapsed="false">
      <c r="A172" s="1"/>
      <c r="B172" s="10"/>
      <c r="C172" s="31" t="str">
        <f aca="false">IF(B172="","",TEXT(B172,"ddd"))</f>
        <v/>
      </c>
      <c r="D172" s="11"/>
      <c r="E172" s="8" t="str">
        <f aca="false">IF(D172="","",IFERROR(INDEX(ProjNumbers,MATCH(D172,ProjNames,0)),""))</f>
        <v/>
      </c>
      <c r="F172" s="8" t="str">
        <f aca="false">IF(D172="","",IFERROR(INDEX(ProjCodes,MATCH(D172,ProjNames,0)),""))</f>
        <v/>
      </c>
      <c r="G172" s="32"/>
      <c r="H172" s="11"/>
      <c r="I172" s="33"/>
      <c r="J172" s="8" t="str">
        <f aca="false">IF(COUNTA(B172,D172,G172,H172,I172)=0,"",IF(B172="","Enter date",IF(OR(B172&lt;$AC$2,B172&gt;$AC$3),"Date not in August",IF(D172="","Pick project",IF(ISNA(MATCH(D172,ProjNames,0)),"Project not in list",IF(G172="","Add task description",IF(H172="","Pick NTIME or P6",IF(N(I172)&lt;=0,"Enter hours",IF(AND(AllowOT&lt;&gt;"Yes",SUMIF($B$7:$B$256,B172,$I$7:$I$256)&gt;INDEX($O$58:$O$88,DAY(B172))),"Day over "&amp;INDEX($O$58:$O$88,DAY(B172))&amp;" h","✓")))))))))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tr">
        <f aca="false">IF(Projects!B170="","",Projects!B170)</f>
        <v/>
      </c>
      <c r="X172" s="1" t="n">
        <f aca="false">IF(W172="",0,SUMIFS($I$7:$I$256,$D$7:$D$256,W172,$H$7:$H$256,"NTIME"))</f>
        <v>0</v>
      </c>
      <c r="Y172" s="1" t="n">
        <f aca="false">IF(W172="",0,SUMIFS($I$7:$I$256,$D$7:$D$256,W172,$H$7:$H$256,"P6"))</f>
        <v>0</v>
      </c>
      <c r="Z172" s="1" t="n">
        <f aca="false">X172+Y172</f>
        <v>0</v>
      </c>
      <c r="AA172" s="1" t="n">
        <f aca="false">IF(Z172&gt;0,Z172+(201-166)/10^6,0)</f>
        <v>0</v>
      </c>
      <c r="AB172" s="1"/>
      <c r="AC172" s="1"/>
      <c r="AD172" s="1"/>
      <c r="AE172" s="1"/>
      <c r="AF172" s="1"/>
      <c r="AG172" s="1"/>
      <c r="AH172" s="1"/>
    </row>
    <row r="173" customFormat="false" ht="15" hidden="false" customHeight="false" outlineLevel="0" collapsed="false">
      <c r="A173" s="1"/>
      <c r="B173" s="10"/>
      <c r="C173" s="31" t="str">
        <f aca="false">IF(B173="","",TEXT(B173,"ddd"))</f>
        <v/>
      </c>
      <c r="D173" s="11"/>
      <c r="E173" s="8" t="str">
        <f aca="false">IF(D173="","",IFERROR(INDEX(ProjNumbers,MATCH(D173,ProjNames,0)),""))</f>
        <v/>
      </c>
      <c r="F173" s="8" t="str">
        <f aca="false">IF(D173="","",IFERROR(INDEX(ProjCodes,MATCH(D173,ProjNames,0)),""))</f>
        <v/>
      </c>
      <c r="G173" s="32"/>
      <c r="H173" s="11"/>
      <c r="I173" s="33"/>
      <c r="J173" s="8" t="str">
        <f aca="false">IF(COUNTA(B173,D173,G173,H173,I173)=0,"",IF(B173="","Enter date",IF(OR(B173&lt;$AC$2,B173&gt;$AC$3),"Date not in August",IF(D173="","Pick project",IF(ISNA(MATCH(D173,ProjNames,0)),"Project not in list",IF(G173="","Add task description",IF(H173="","Pick NTIME or P6",IF(N(I173)&lt;=0,"Enter hours",IF(AND(AllowOT&lt;&gt;"Yes",SUMIF($B$7:$B$256,B173,$I$7:$I$256)&gt;INDEX($O$58:$O$88,DAY(B173))),"Day over "&amp;INDEX($O$58:$O$88,DAY(B173))&amp;" h","✓")))))))))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tr">
        <f aca="false">IF(Projects!B171="","",Projects!B171)</f>
        <v/>
      </c>
      <c r="X173" s="1" t="n">
        <f aca="false">IF(W173="",0,SUMIFS($I$7:$I$256,$D$7:$D$256,W173,$H$7:$H$256,"NTIME"))</f>
        <v>0</v>
      </c>
      <c r="Y173" s="1" t="n">
        <f aca="false">IF(W173="",0,SUMIFS($I$7:$I$256,$D$7:$D$256,W173,$H$7:$H$256,"P6"))</f>
        <v>0</v>
      </c>
      <c r="Z173" s="1" t="n">
        <f aca="false">X173+Y173</f>
        <v>0</v>
      </c>
      <c r="AA173" s="1" t="n">
        <f aca="false">IF(Z173&gt;0,Z173+(201-167)/10^6,0)</f>
        <v>0</v>
      </c>
      <c r="AB173" s="1"/>
      <c r="AC173" s="1"/>
      <c r="AD173" s="1"/>
      <c r="AE173" s="1"/>
      <c r="AF173" s="1"/>
      <c r="AG173" s="1"/>
      <c r="AH173" s="1"/>
    </row>
    <row r="174" customFormat="false" ht="15" hidden="false" customHeight="false" outlineLevel="0" collapsed="false">
      <c r="A174" s="1"/>
      <c r="B174" s="10"/>
      <c r="C174" s="31" t="str">
        <f aca="false">IF(B174="","",TEXT(B174,"ddd"))</f>
        <v/>
      </c>
      <c r="D174" s="11"/>
      <c r="E174" s="8" t="str">
        <f aca="false">IF(D174="","",IFERROR(INDEX(ProjNumbers,MATCH(D174,ProjNames,0)),""))</f>
        <v/>
      </c>
      <c r="F174" s="8" t="str">
        <f aca="false">IF(D174="","",IFERROR(INDEX(ProjCodes,MATCH(D174,ProjNames,0)),""))</f>
        <v/>
      </c>
      <c r="G174" s="32"/>
      <c r="H174" s="11"/>
      <c r="I174" s="33"/>
      <c r="J174" s="8" t="str">
        <f aca="false">IF(COUNTA(B174,D174,G174,H174,I174)=0,"",IF(B174="","Enter date",IF(OR(B174&lt;$AC$2,B174&gt;$AC$3),"Date not in August",IF(D174="","Pick project",IF(ISNA(MATCH(D174,ProjNames,0)),"Project not in list",IF(G174="","Add task description",IF(H174="","Pick NTIME or P6",IF(N(I174)&lt;=0,"Enter hours",IF(AND(AllowOT&lt;&gt;"Yes",SUMIF($B$7:$B$256,B174,$I$7:$I$256)&gt;INDEX($O$58:$O$88,DAY(B174))),"Day over "&amp;INDEX($O$58:$O$88,DAY(B174))&amp;" h","✓")))))))))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tr">
        <f aca="false">IF(Projects!B172="","",Projects!B172)</f>
        <v/>
      </c>
      <c r="X174" s="1" t="n">
        <f aca="false">IF(W174="",0,SUMIFS($I$7:$I$256,$D$7:$D$256,W174,$H$7:$H$256,"NTIME"))</f>
        <v>0</v>
      </c>
      <c r="Y174" s="1" t="n">
        <f aca="false">IF(W174="",0,SUMIFS($I$7:$I$256,$D$7:$D$256,W174,$H$7:$H$256,"P6"))</f>
        <v>0</v>
      </c>
      <c r="Z174" s="1" t="n">
        <f aca="false">X174+Y174</f>
        <v>0</v>
      </c>
      <c r="AA174" s="1" t="n">
        <f aca="false">IF(Z174&gt;0,Z174+(201-168)/10^6,0)</f>
        <v>0</v>
      </c>
      <c r="AB174" s="1"/>
      <c r="AC174" s="1"/>
      <c r="AD174" s="1"/>
      <c r="AE174" s="1"/>
      <c r="AF174" s="1"/>
      <c r="AG174" s="1"/>
      <c r="AH174" s="1"/>
    </row>
    <row r="175" customFormat="false" ht="15" hidden="false" customHeight="false" outlineLevel="0" collapsed="false">
      <c r="A175" s="1"/>
      <c r="B175" s="10"/>
      <c r="C175" s="31" t="str">
        <f aca="false">IF(B175="","",TEXT(B175,"ddd"))</f>
        <v/>
      </c>
      <c r="D175" s="11"/>
      <c r="E175" s="8" t="str">
        <f aca="false">IF(D175="","",IFERROR(INDEX(ProjNumbers,MATCH(D175,ProjNames,0)),""))</f>
        <v/>
      </c>
      <c r="F175" s="8" t="str">
        <f aca="false">IF(D175="","",IFERROR(INDEX(ProjCodes,MATCH(D175,ProjNames,0)),""))</f>
        <v/>
      </c>
      <c r="G175" s="32"/>
      <c r="H175" s="11"/>
      <c r="I175" s="33"/>
      <c r="J175" s="8" t="str">
        <f aca="false">IF(COUNTA(B175,D175,G175,H175,I175)=0,"",IF(B175="","Enter date",IF(OR(B175&lt;$AC$2,B175&gt;$AC$3),"Date not in August",IF(D175="","Pick project",IF(ISNA(MATCH(D175,ProjNames,0)),"Project not in list",IF(G175="","Add task description",IF(H175="","Pick NTIME or P6",IF(N(I175)&lt;=0,"Enter hours",IF(AND(AllowOT&lt;&gt;"Yes",SUMIF($B$7:$B$256,B175,$I$7:$I$256)&gt;INDEX($O$58:$O$88,DAY(B175))),"Day over "&amp;INDEX($O$58:$O$88,DAY(B175))&amp;" h","✓")))))))))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tr">
        <f aca="false">IF(Projects!B173="","",Projects!B173)</f>
        <v/>
      </c>
      <c r="X175" s="1" t="n">
        <f aca="false">IF(W175="",0,SUMIFS($I$7:$I$256,$D$7:$D$256,W175,$H$7:$H$256,"NTIME"))</f>
        <v>0</v>
      </c>
      <c r="Y175" s="1" t="n">
        <f aca="false">IF(W175="",0,SUMIFS($I$7:$I$256,$D$7:$D$256,W175,$H$7:$H$256,"P6"))</f>
        <v>0</v>
      </c>
      <c r="Z175" s="1" t="n">
        <f aca="false">X175+Y175</f>
        <v>0</v>
      </c>
      <c r="AA175" s="1" t="n">
        <f aca="false">IF(Z175&gt;0,Z175+(201-169)/10^6,0)</f>
        <v>0</v>
      </c>
      <c r="AB175" s="1"/>
      <c r="AC175" s="1"/>
      <c r="AD175" s="1"/>
      <c r="AE175" s="1"/>
      <c r="AF175" s="1"/>
      <c r="AG175" s="1"/>
      <c r="AH175" s="1"/>
    </row>
    <row r="176" customFormat="false" ht="15" hidden="false" customHeight="false" outlineLevel="0" collapsed="false">
      <c r="A176" s="1"/>
      <c r="B176" s="10"/>
      <c r="C176" s="31" t="str">
        <f aca="false">IF(B176="","",TEXT(B176,"ddd"))</f>
        <v/>
      </c>
      <c r="D176" s="11"/>
      <c r="E176" s="8" t="str">
        <f aca="false">IF(D176="","",IFERROR(INDEX(ProjNumbers,MATCH(D176,ProjNames,0)),""))</f>
        <v/>
      </c>
      <c r="F176" s="8" t="str">
        <f aca="false">IF(D176="","",IFERROR(INDEX(ProjCodes,MATCH(D176,ProjNames,0)),""))</f>
        <v/>
      </c>
      <c r="G176" s="32"/>
      <c r="H176" s="11"/>
      <c r="I176" s="33"/>
      <c r="J176" s="8" t="str">
        <f aca="false">IF(COUNTA(B176,D176,G176,H176,I176)=0,"",IF(B176="","Enter date",IF(OR(B176&lt;$AC$2,B176&gt;$AC$3),"Date not in August",IF(D176="","Pick project",IF(ISNA(MATCH(D176,ProjNames,0)),"Project not in list",IF(G176="","Add task description",IF(H176="","Pick NTIME or P6",IF(N(I176)&lt;=0,"Enter hours",IF(AND(AllowOT&lt;&gt;"Yes",SUMIF($B$7:$B$256,B176,$I$7:$I$256)&gt;INDEX($O$58:$O$88,DAY(B176))),"Day over "&amp;INDEX($O$58:$O$88,DAY(B176))&amp;" h","✓")))))))))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tr">
        <f aca="false">IF(Projects!B174="","",Projects!B174)</f>
        <v/>
      </c>
      <c r="X176" s="1" t="n">
        <f aca="false">IF(W176="",0,SUMIFS($I$7:$I$256,$D$7:$D$256,W176,$H$7:$H$256,"NTIME"))</f>
        <v>0</v>
      </c>
      <c r="Y176" s="1" t="n">
        <f aca="false">IF(W176="",0,SUMIFS($I$7:$I$256,$D$7:$D$256,W176,$H$7:$H$256,"P6"))</f>
        <v>0</v>
      </c>
      <c r="Z176" s="1" t="n">
        <f aca="false">X176+Y176</f>
        <v>0</v>
      </c>
      <c r="AA176" s="1" t="n">
        <f aca="false">IF(Z176&gt;0,Z176+(201-170)/10^6,0)</f>
        <v>0</v>
      </c>
      <c r="AB176" s="1"/>
      <c r="AC176" s="1"/>
      <c r="AD176" s="1"/>
      <c r="AE176" s="1"/>
      <c r="AF176" s="1"/>
      <c r="AG176" s="1"/>
      <c r="AH176" s="1"/>
    </row>
    <row r="177" customFormat="false" ht="15" hidden="false" customHeight="false" outlineLevel="0" collapsed="false">
      <c r="A177" s="1"/>
      <c r="B177" s="10"/>
      <c r="C177" s="31" t="str">
        <f aca="false">IF(B177="","",TEXT(B177,"ddd"))</f>
        <v/>
      </c>
      <c r="D177" s="11"/>
      <c r="E177" s="8" t="str">
        <f aca="false">IF(D177="","",IFERROR(INDEX(ProjNumbers,MATCH(D177,ProjNames,0)),""))</f>
        <v/>
      </c>
      <c r="F177" s="8" t="str">
        <f aca="false">IF(D177="","",IFERROR(INDEX(ProjCodes,MATCH(D177,ProjNames,0)),""))</f>
        <v/>
      </c>
      <c r="G177" s="32"/>
      <c r="H177" s="11"/>
      <c r="I177" s="33"/>
      <c r="J177" s="8" t="str">
        <f aca="false">IF(COUNTA(B177,D177,G177,H177,I177)=0,"",IF(B177="","Enter date",IF(OR(B177&lt;$AC$2,B177&gt;$AC$3),"Date not in August",IF(D177="","Pick project",IF(ISNA(MATCH(D177,ProjNames,0)),"Project not in list",IF(G177="","Add task description",IF(H177="","Pick NTIME or P6",IF(N(I177)&lt;=0,"Enter hours",IF(AND(AllowOT&lt;&gt;"Yes",SUMIF($B$7:$B$256,B177,$I$7:$I$256)&gt;INDEX($O$58:$O$88,DAY(B177))),"Day over "&amp;INDEX($O$58:$O$88,DAY(B177))&amp;" h","✓")))))))))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tr">
        <f aca="false">IF(Projects!B175="","",Projects!B175)</f>
        <v/>
      </c>
      <c r="X177" s="1" t="n">
        <f aca="false">IF(W177="",0,SUMIFS($I$7:$I$256,$D$7:$D$256,W177,$H$7:$H$256,"NTIME"))</f>
        <v>0</v>
      </c>
      <c r="Y177" s="1" t="n">
        <f aca="false">IF(W177="",0,SUMIFS($I$7:$I$256,$D$7:$D$256,W177,$H$7:$H$256,"P6"))</f>
        <v>0</v>
      </c>
      <c r="Z177" s="1" t="n">
        <f aca="false">X177+Y177</f>
        <v>0</v>
      </c>
      <c r="AA177" s="1" t="n">
        <f aca="false">IF(Z177&gt;0,Z177+(201-171)/10^6,0)</f>
        <v>0</v>
      </c>
      <c r="AB177" s="1"/>
      <c r="AC177" s="1"/>
      <c r="AD177" s="1"/>
      <c r="AE177" s="1"/>
      <c r="AF177" s="1"/>
      <c r="AG177" s="1"/>
      <c r="AH177" s="1"/>
    </row>
    <row r="178" customFormat="false" ht="15" hidden="false" customHeight="false" outlineLevel="0" collapsed="false">
      <c r="A178" s="1"/>
      <c r="B178" s="10"/>
      <c r="C178" s="31" t="str">
        <f aca="false">IF(B178="","",TEXT(B178,"ddd"))</f>
        <v/>
      </c>
      <c r="D178" s="11"/>
      <c r="E178" s="8" t="str">
        <f aca="false">IF(D178="","",IFERROR(INDEX(ProjNumbers,MATCH(D178,ProjNames,0)),""))</f>
        <v/>
      </c>
      <c r="F178" s="8" t="str">
        <f aca="false">IF(D178="","",IFERROR(INDEX(ProjCodes,MATCH(D178,ProjNames,0)),""))</f>
        <v/>
      </c>
      <c r="G178" s="32"/>
      <c r="H178" s="11"/>
      <c r="I178" s="33"/>
      <c r="J178" s="8" t="str">
        <f aca="false">IF(COUNTA(B178,D178,G178,H178,I178)=0,"",IF(B178="","Enter date",IF(OR(B178&lt;$AC$2,B178&gt;$AC$3),"Date not in August",IF(D178="","Pick project",IF(ISNA(MATCH(D178,ProjNames,0)),"Project not in list",IF(G178="","Add task description",IF(H178="","Pick NTIME or P6",IF(N(I178)&lt;=0,"Enter hours",IF(AND(AllowOT&lt;&gt;"Yes",SUMIF($B$7:$B$256,B178,$I$7:$I$256)&gt;INDEX($O$58:$O$88,DAY(B178))),"Day over "&amp;INDEX($O$58:$O$88,DAY(B178))&amp;" h","✓")))))))))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tr">
        <f aca="false">IF(Projects!B176="","",Projects!B176)</f>
        <v/>
      </c>
      <c r="X178" s="1" t="n">
        <f aca="false">IF(W178="",0,SUMIFS($I$7:$I$256,$D$7:$D$256,W178,$H$7:$H$256,"NTIME"))</f>
        <v>0</v>
      </c>
      <c r="Y178" s="1" t="n">
        <f aca="false">IF(W178="",0,SUMIFS($I$7:$I$256,$D$7:$D$256,W178,$H$7:$H$256,"P6"))</f>
        <v>0</v>
      </c>
      <c r="Z178" s="1" t="n">
        <f aca="false">X178+Y178</f>
        <v>0</v>
      </c>
      <c r="AA178" s="1" t="n">
        <f aca="false">IF(Z178&gt;0,Z178+(201-172)/10^6,0)</f>
        <v>0</v>
      </c>
      <c r="AB178" s="1"/>
      <c r="AC178" s="1"/>
      <c r="AD178" s="1"/>
      <c r="AE178" s="1"/>
      <c r="AF178" s="1"/>
      <c r="AG178" s="1"/>
      <c r="AH178" s="1"/>
    </row>
    <row r="179" customFormat="false" ht="15" hidden="false" customHeight="false" outlineLevel="0" collapsed="false">
      <c r="A179" s="1"/>
      <c r="B179" s="10"/>
      <c r="C179" s="31" t="str">
        <f aca="false">IF(B179="","",TEXT(B179,"ddd"))</f>
        <v/>
      </c>
      <c r="D179" s="11"/>
      <c r="E179" s="8" t="str">
        <f aca="false">IF(D179="","",IFERROR(INDEX(ProjNumbers,MATCH(D179,ProjNames,0)),""))</f>
        <v/>
      </c>
      <c r="F179" s="8" t="str">
        <f aca="false">IF(D179="","",IFERROR(INDEX(ProjCodes,MATCH(D179,ProjNames,0)),""))</f>
        <v/>
      </c>
      <c r="G179" s="32"/>
      <c r="H179" s="11"/>
      <c r="I179" s="33"/>
      <c r="J179" s="8" t="str">
        <f aca="false">IF(COUNTA(B179,D179,G179,H179,I179)=0,"",IF(B179="","Enter date",IF(OR(B179&lt;$AC$2,B179&gt;$AC$3),"Date not in August",IF(D179="","Pick project",IF(ISNA(MATCH(D179,ProjNames,0)),"Project not in list",IF(G179="","Add task description",IF(H179="","Pick NTIME or P6",IF(N(I179)&lt;=0,"Enter hours",IF(AND(AllowOT&lt;&gt;"Yes",SUMIF($B$7:$B$256,B179,$I$7:$I$256)&gt;INDEX($O$58:$O$88,DAY(B179))),"Day over "&amp;INDEX($O$58:$O$88,DAY(B179))&amp;" h","✓")))))))))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tr">
        <f aca="false">IF(Projects!B177="","",Projects!B177)</f>
        <v/>
      </c>
      <c r="X179" s="1" t="n">
        <f aca="false">IF(W179="",0,SUMIFS($I$7:$I$256,$D$7:$D$256,W179,$H$7:$H$256,"NTIME"))</f>
        <v>0</v>
      </c>
      <c r="Y179" s="1" t="n">
        <f aca="false">IF(W179="",0,SUMIFS($I$7:$I$256,$D$7:$D$256,W179,$H$7:$H$256,"P6"))</f>
        <v>0</v>
      </c>
      <c r="Z179" s="1" t="n">
        <f aca="false">X179+Y179</f>
        <v>0</v>
      </c>
      <c r="AA179" s="1" t="n">
        <f aca="false">IF(Z179&gt;0,Z179+(201-173)/10^6,0)</f>
        <v>0</v>
      </c>
      <c r="AB179" s="1"/>
      <c r="AC179" s="1"/>
      <c r="AD179" s="1"/>
      <c r="AE179" s="1"/>
      <c r="AF179" s="1"/>
      <c r="AG179" s="1"/>
      <c r="AH179" s="1"/>
    </row>
    <row r="180" customFormat="false" ht="15" hidden="false" customHeight="false" outlineLevel="0" collapsed="false">
      <c r="A180" s="1"/>
      <c r="B180" s="10"/>
      <c r="C180" s="31" t="str">
        <f aca="false">IF(B180="","",TEXT(B180,"ddd"))</f>
        <v/>
      </c>
      <c r="D180" s="11"/>
      <c r="E180" s="8" t="str">
        <f aca="false">IF(D180="","",IFERROR(INDEX(ProjNumbers,MATCH(D180,ProjNames,0)),""))</f>
        <v/>
      </c>
      <c r="F180" s="8" t="str">
        <f aca="false">IF(D180="","",IFERROR(INDEX(ProjCodes,MATCH(D180,ProjNames,0)),""))</f>
        <v/>
      </c>
      <c r="G180" s="32"/>
      <c r="H180" s="11"/>
      <c r="I180" s="33"/>
      <c r="J180" s="8" t="str">
        <f aca="false">IF(COUNTA(B180,D180,G180,H180,I180)=0,"",IF(B180="","Enter date",IF(OR(B180&lt;$AC$2,B180&gt;$AC$3),"Date not in August",IF(D180="","Pick project",IF(ISNA(MATCH(D180,ProjNames,0)),"Project not in list",IF(G180="","Add task description",IF(H180="","Pick NTIME or P6",IF(N(I180)&lt;=0,"Enter hours",IF(AND(AllowOT&lt;&gt;"Yes",SUMIF($B$7:$B$256,B180,$I$7:$I$256)&gt;INDEX($O$58:$O$88,DAY(B180))),"Day over "&amp;INDEX($O$58:$O$88,DAY(B180))&amp;" h","✓")))))))))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tr">
        <f aca="false">IF(Projects!B178="","",Projects!B178)</f>
        <v/>
      </c>
      <c r="X180" s="1" t="n">
        <f aca="false">IF(W180="",0,SUMIFS($I$7:$I$256,$D$7:$D$256,W180,$H$7:$H$256,"NTIME"))</f>
        <v>0</v>
      </c>
      <c r="Y180" s="1" t="n">
        <f aca="false">IF(W180="",0,SUMIFS($I$7:$I$256,$D$7:$D$256,W180,$H$7:$H$256,"P6"))</f>
        <v>0</v>
      </c>
      <c r="Z180" s="1" t="n">
        <f aca="false">X180+Y180</f>
        <v>0</v>
      </c>
      <c r="AA180" s="1" t="n">
        <f aca="false">IF(Z180&gt;0,Z180+(201-174)/10^6,0)</f>
        <v>0</v>
      </c>
      <c r="AB180" s="1"/>
      <c r="AC180" s="1"/>
      <c r="AD180" s="1"/>
      <c r="AE180" s="1"/>
      <c r="AF180" s="1"/>
      <c r="AG180" s="1"/>
      <c r="AH180" s="1"/>
    </row>
    <row r="181" customFormat="false" ht="15" hidden="false" customHeight="false" outlineLevel="0" collapsed="false">
      <c r="A181" s="1"/>
      <c r="B181" s="10"/>
      <c r="C181" s="31" t="str">
        <f aca="false">IF(B181="","",TEXT(B181,"ddd"))</f>
        <v/>
      </c>
      <c r="D181" s="11"/>
      <c r="E181" s="8" t="str">
        <f aca="false">IF(D181="","",IFERROR(INDEX(ProjNumbers,MATCH(D181,ProjNames,0)),""))</f>
        <v/>
      </c>
      <c r="F181" s="8" t="str">
        <f aca="false">IF(D181="","",IFERROR(INDEX(ProjCodes,MATCH(D181,ProjNames,0)),""))</f>
        <v/>
      </c>
      <c r="G181" s="32"/>
      <c r="H181" s="11"/>
      <c r="I181" s="33"/>
      <c r="J181" s="8" t="str">
        <f aca="false">IF(COUNTA(B181,D181,G181,H181,I181)=0,"",IF(B181="","Enter date",IF(OR(B181&lt;$AC$2,B181&gt;$AC$3),"Date not in August",IF(D181="","Pick project",IF(ISNA(MATCH(D181,ProjNames,0)),"Project not in list",IF(G181="","Add task description",IF(H181="","Pick NTIME or P6",IF(N(I181)&lt;=0,"Enter hours",IF(AND(AllowOT&lt;&gt;"Yes",SUMIF($B$7:$B$256,B181,$I$7:$I$256)&gt;INDEX($O$58:$O$88,DAY(B181))),"Day over "&amp;INDEX($O$58:$O$88,DAY(B181))&amp;" h","✓")))))))))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tr">
        <f aca="false">IF(Projects!B179="","",Projects!B179)</f>
        <v/>
      </c>
      <c r="X181" s="1" t="n">
        <f aca="false">IF(W181="",0,SUMIFS($I$7:$I$256,$D$7:$D$256,W181,$H$7:$H$256,"NTIME"))</f>
        <v>0</v>
      </c>
      <c r="Y181" s="1" t="n">
        <f aca="false">IF(W181="",0,SUMIFS($I$7:$I$256,$D$7:$D$256,W181,$H$7:$H$256,"P6"))</f>
        <v>0</v>
      </c>
      <c r="Z181" s="1" t="n">
        <f aca="false">X181+Y181</f>
        <v>0</v>
      </c>
      <c r="AA181" s="1" t="n">
        <f aca="false">IF(Z181&gt;0,Z181+(201-175)/10^6,0)</f>
        <v>0</v>
      </c>
      <c r="AB181" s="1"/>
      <c r="AC181" s="1"/>
      <c r="AD181" s="1"/>
      <c r="AE181" s="1"/>
      <c r="AF181" s="1"/>
      <c r="AG181" s="1"/>
      <c r="AH181" s="1"/>
    </row>
    <row r="182" customFormat="false" ht="15" hidden="false" customHeight="false" outlineLevel="0" collapsed="false">
      <c r="A182" s="1"/>
      <c r="B182" s="10"/>
      <c r="C182" s="31" t="str">
        <f aca="false">IF(B182="","",TEXT(B182,"ddd"))</f>
        <v/>
      </c>
      <c r="D182" s="11"/>
      <c r="E182" s="8" t="str">
        <f aca="false">IF(D182="","",IFERROR(INDEX(ProjNumbers,MATCH(D182,ProjNames,0)),""))</f>
        <v/>
      </c>
      <c r="F182" s="8" t="str">
        <f aca="false">IF(D182="","",IFERROR(INDEX(ProjCodes,MATCH(D182,ProjNames,0)),""))</f>
        <v/>
      </c>
      <c r="G182" s="32"/>
      <c r="H182" s="11"/>
      <c r="I182" s="33"/>
      <c r="J182" s="8" t="str">
        <f aca="false">IF(COUNTA(B182,D182,G182,H182,I182)=0,"",IF(B182="","Enter date",IF(OR(B182&lt;$AC$2,B182&gt;$AC$3),"Date not in August",IF(D182="","Pick project",IF(ISNA(MATCH(D182,ProjNames,0)),"Project not in list",IF(G182="","Add task description",IF(H182="","Pick NTIME or P6",IF(N(I182)&lt;=0,"Enter hours",IF(AND(AllowOT&lt;&gt;"Yes",SUMIF($B$7:$B$256,B182,$I$7:$I$256)&gt;INDEX($O$58:$O$88,DAY(B182))),"Day over "&amp;INDEX($O$58:$O$88,DAY(B182))&amp;" h","✓")))))))))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tr">
        <f aca="false">IF(Projects!B180="","",Projects!B180)</f>
        <v/>
      </c>
      <c r="X182" s="1" t="n">
        <f aca="false">IF(W182="",0,SUMIFS($I$7:$I$256,$D$7:$D$256,W182,$H$7:$H$256,"NTIME"))</f>
        <v>0</v>
      </c>
      <c r="Y182" s="1" t="n">
        <f aca="false">IF(W182="",0,SUMIFS($I$7:$I$256,$D$7:$D$256,W182,$H$7:$H$256,"P6"))</f>
        <v>0</v>
      </c>
      <c r="Z182" s="1" t="n">
        <f aca="false">X182+Y182</f>
        <v>0</v>
      </c>
      <c r="AA182" s="1" t="n">
        <f aca="false">IF(Z182&gt;0,Z182+(201-176)/10^6,0)</f>
        <v>0</v>
      </c>
      <c r="AB182" s="1"/>
      <c r="AC182" s="1"/>
      <c r="AD182" s="1"/>
      <c r="AE182" s="1"/>
      <c r="AF182" s="1"/>
      <c r="AG182" s="1"/>
      <c r="AH182" s="1"/>
    </row>
    <row r="183" customFormat="false" ht="15" hidden="false" customHeight="false" outlineLevel="0" collapsed="false">
      <c r="A183" s="1"/>
      <c r="B183" s="10"/>
      <c r="C183" s="31" t="str">
        <f aca="false">IF(B183="","",TEXT(B183,"ddd"))</f>
        <v/>
      </c>
      <c r="D183" s="11"/>
      <c r="E183" s="8" t="str">
        <f aca="false">IF(D183="","",IFERROR(INDEX(ProjNumbers,MATCH(D183,ProjNames,0)),""))</f>
        <v/>
      </c>
      <c r="F183" s="8" t="str">
        <f aca="false">IF(D183="","",IFERROR(INDEX(ProjCodes,MATCH(D183,ProjNames,0)),""))</f>
        <v/>
      </c>
      <c r="G183" s="32"/>
      <c r="H183" s="11"/>
      <c r="I183" s="33"/>
      <c r="J183" s="8" t="str">
        <f aca="false">IF(COUNTA(B183,D183,G183,H183,I183)=0,"",IF(B183="","Enter date",IF(OR(B183&lt;$AC$2,B183&gt;$AC$3),"Date not in August",IF(D183="","Pick project",IF(ISNA(MATCH(D183,ProjNames,0)),"Project not in list",IF(G183="","Add task description",IF(H183="","Pick NTIME or P6",IF(N(I183)&lt;=0,"Enter hours",IF(AND(AllowOT&lt;&gt;"Yes",SUMIF($B$7:$B$256,B183,$I$7:$I$256)&gt;INDEX($O$58:$O$88,DAY(B183))),"Day over "&amp;INDEX($O$58:$O$88,DAY(B183))&amp;" h","✓")))))))))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tr">
        <f aca="false">IF(Projects!B181="","",Projects!B181)</f>
        <v/>
      </c>
      <c r="X183" s="1" t="n">
        <f aca="false">IF(W183="",0,SUMIFS($I$7:$I$256,$D$7:$D$256,W183,$H$7:$H$256,"NTIME"))</f>
        <v>0</v>
      </c>
      <c r="Y183" s="1" t="n">
        <f aca="false">IF(W183="",0,SUMIFS($I$7:$I$256,$D$7:$D$256,W183,$H$7:$H$256,"P6"))</f>
        <v>0</v>
      </c>
      <c r="Z183" s="1" t="n">
        <f aca="false">X183+Y183</f>
        <v>0</v>
      </c>
      <c r="AA183" s="1" t="n">
        <f aca="false">IF(Z183&gt;0,Z183+(201-177)/10^6,0)</f>
        <v>0</v>
      </c>
      <c r="AB183" s="1"/>
      <c r="AC183" s="1"/>
      <c r="AD183" s="1"/>
      <c r="AE183" s="1"/>
      <c r="AF183" s="1"/>
      <c r="AG183" s="1"/>
      <c r="AH183" s="1"/>
    </row>
    <row r="184" customFormat="false" ht="15" hidden="false" customHeight="false" outlineLevel="0" collapsed="false">
      <c r="A184" s="1"/>
      <c r="B184" s="10"/>
      <c r="C184" s="31" t="str">
        <f aca="false">IF(B184="","",TEXT(B184,"ddd"))</f>
        <v/>
      </c>
      <c r="D184" s="11"/>
      <c r="E184" s="8" t="str">
        <f aca="false">IF(D184="","",IFERROR(INDEX(ProjNumbers,MATCH(D184,ProjNames,0)),""))</f>
        <v/>
      </c>
      <c r="F184" s="8" t="str">
        <f aca="false">IF(D184="","",IFERROR(INDEX(ProjCodes,MATCH(D184,ProjNames,0)),""))</f>
        <v/>
      </c>
      <c r="G184" s="32"/>
      <c r="H184" s="11"/>
      <c r="I184" s="33"/>
      <c r="J184" s="8" t="str">
        <f aca="false">IF(COUNTA(B184,D184,G184,H184,I184)=0,"",IF(B184="","Enter date",IF(OR(B184&lt;$AC$2,B184&gt;$AC$3),"Date not in August",IF(D184="","Pick project",IF(ISNA(MATCH(D184,ProjNames,0)),"Project not in list",IF(G184="","Add task description",IF(H184="","Pick NTIME or P6",IF(N(I184)&lt;=0,"Enter hours",IF(AND(AllowOT&lt;&gt;"Yes",SUMIF($B$7:$B$256,B184,$I$7:$I$256)&gt;INDEX($O$58:$O$88,DAY(B184))),"Day over "&amp;INDEX($O$58:$O$88,DAY(B184))&amp;" h","✓")))))))))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tr">
        <f aca="false">IF(Projects!B182="","",Projects!B182)</f>
        <v/>
      </c>
      <c r="X184" s="1" t="n">
        <f aca="false">IF(W184="",0,SUMIFS($I$7:$I$256,$D$7:$D$256,W184,$H$7:$H$256,"NTIME"))</f>
        <v>0</v>
      </c>
      <c r="Y184" s="1" t="n">
        <f aca="false">IF(W184="",0,SUMIFS($I$7:$I$256,$D$7:$D$256,W184,$H$7:$H$256,"P6"))</f>
        <v>0</v>
      </c>
      <c r="Z184" s="1" t="n">
        <f aca="false">X184+Y184</f>
        <v>0</v>
      </c>
      <c r="AA184" s="1" t="n">
        <f aca="false">IF(Z184&gt;0,Z184+(201-178)/10^6,0)</f>
        <v>0</v>
      </c>
      <c r="AB184" s="1"/>
      <c r="AC184" s="1"/>
      <c r="AD184" s="1"/>
      <c r="AE184" s="1"/>
      <c r="AF184" s="1"/>
      <c r="AG184" s="1"/>
      <c r="AH184" s="1"/>
    </row>
    <row r="185" customFormat="false" ht="15" hidden="false" customHeight="false" outlineLevel="0" collapsed="false">
      <c r="A185" s="1"/>
      <c r="B185" s="10"/>
      <c r="C185" s="31" t="str">
        <f aca="false">IF(B185="","",TEXT(B185,"ddd"))</f>
        <v/>
      </c>
      <c r="D185" s="11"/>
      <c r="E185" s="8" t="str">
        <f aca="false">IF(D185="","",IFERROR(INDEX(ProjNumbers,MATCH(D185,ProjNames,0)),""))</f>
        <v/>
      </c>
      <c r="F185" s="8" t="str">
        <f aca="false">IF(D185="","",IFERROR(INDEX(ProjCodes,MATCH(D185,ProjNames,0)),""))</f>
        <v/>
      </c>
      <c r="G185" s="32"/>
      <c r="H185" s="11"/>
      <c r="I185" s="33"/>
      <c r="J185" s="8" t="str">
        <f aca="false">IF(COUNTA(B185,D185,G185,H185,I185)=0,"",IF(B185="","Enter date",IF(OR(B185&lt;$AC$2,B185&gt;$AC$3),"Date not in August",IF(D185="","Pick project",IF(ISNA(MATCH(D185,ProjNames,0)),"Project not in list",IF(G185="","Add task description",IF(H185="","Pick NTIME or P6",IF(N(I185)&lt;=0,"Enter hours",IF(AND(AllowOT&lt;&gt;"Yes",SUMIF($B$7:$B$256,B185,$I$7:$I$256)&gt;INDEX($O$58:$O$88,DAY(B185))),"Day over "&amp;INDEX($O$58:$O$88,DAY(B185))&amp;" h","✓")))))))))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tr">
        <f aca="false">IF(Projects!B183="","",Projects!B183)</f>
        <v/>
      </c>
      <c r="X185" s="1" t="n">
        <f aca="false">IF(W185="",0,SUMIFS($I$7:$I$256,$D$7:$D$256,W185,$H$7:$H$256,"NTIME"))</f>
        <v>0</v>
      </c>
      <c r="Y185" s="1" t="n">
        <f aca="false">IF(W185="",0,SUMIFS($I$7:$I$256,$D$7:$D$256,W185,$H$7:$H$256,"P6"))</f>
        <v>0</v>
      </c>
      <c r="Z185" s="1" t="n">
        <f aca="false">X185+Y185</f>
        <v>0</v>
      </c>
      <c r="AA185" s="1" t="n">
        <f aca="false">IF(Z185&gt;0,Z185+(201-179)/10^6,0)</f>
        <v>0</v>
      </c>
      <c r="AB185" s="1"/>
      <c r="AC185" s="1"/>
      <c r="AD185" s="1"/>
      <c r="AE185" s="1"/>
      <c r="AF185" s="1"/>
      <c r="AG185" s="1"/>
      <c r="AH185" s="1"/>
    </row>
    <row r="186" customFormat="false" ht="15" hidden="false" customHeight="false" outlineLevel="0" collapsed="false">
      <c r="A186" s="1"/>
      <c r="B186" s="10"/>
      <c r="C186" s="31" t="str">
        <f aca="false">IF(B186="","",TEXT(B186,"ddd"))</f>
        <v/>
      </c>
      <c r="D186" s="11"/>
      <c r="E186" s="8" t="str">
        <f aca="false">IF(D186="","",IFERROR(INDEX(ProjNumbers,MATCH(D186,ProjNames,0)),""))</f>
        <v/>
      </c>
      <c r="F186" s="8" t="str">
        <f aca="false">IF(D186="","",IFERROR(INDEX(ProjCodes,MATCH(D186,ProjNames,0)),""))</f>
        <v/>
      </c>
      <c r="G186" s="32"/>
      <c r="H186" s="11"/>
      <c r="I186" s="33"/>
      <c r="J186" s="8" t="str">
        <f aca="false">IF(COUNTA(B186,D186,G186,H186,I186)=0,"",IF(B186="","Enter date",IF(OR(B186&lt;$AC$2,B186&gt;$AC$3),"Date not in August",IF(D186="","Pick project",IF(ISNA(MATCH(D186,ProjNames,0)),"Project not in list",IF(G186="","Add task description",IF(H186="","Pick NTIME or P6",IF(N(I186)&lt;=0,"Enter hours",IF(AND(AllowOT&lt;&gt;"Yes",SUMIF($B$7:$B$256,B186,$I$7:$I$256)&gt;INDEX($O$58:$O$88,DAY(B186))),"Day over "&amp;INDEX($O$58:$O$88,DAY(B186))&amp;" h","✓")))))))))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tr">
        <f aca="false">IF(Projects!B184="","",Projects!B184)</f>
        <v/>
      </c>
      <c r="X186" s="1" t="n">
        <f aca="false">IF(W186="",0,SUMIFS($I$7:$I$256,$D$7:$D$256,W186,$H$7:$H$256,"NTIME"))</f>
        <v>0</v>
      </c>
      <c r="Y186" s="1" t="n">
        <f aca="false">IF(W186="",0,SUMIFS($I$7:$I$256,$D$7:$D$256,W186,$H$7:$H$256,"P6"))</f>
        <v>0</v>
      </c>
      <c r="Z186" s="1" t="n">
        <f aca="false">X186+Y186</f>
        <v>0</v>
      </c>
      <c r="AA186" s="1" t="n">
        <f aca="false">IF(Z186&gt;0,Z186+(201-180)/10^6,0)</f>
        <v>0</v>
      </c>
      <c r="AB186" s="1"/>
      <c r="AC186" s="1"/>
      <c r="AD186" s="1"/>
      <c r="AE186" s="1"/>
      <c r="AF186" s="1"/>
      <c r="AG186" s="1"/>
      <c r="AH186" s="1"/>
    </row>
    <row r="187" customFormat="false" ht="15" hidden="false" customHeight="false" outlineLevel="0" collapsed="false">
      <c r="A187" s="1"/>
      <c r="B187" s="10"/>
      <c r="C187" s="31" t="str">
        <f aca="false">IF(B187="","",TEXT(B187,"ddd"))</f>
        <v/>
      </c>
      <c r="D187" s="11"/>
      <c r="E187" s="8" t="str">
        <f aca="false">IF(D187="","",IFERROR(INDEX(ProjNumbers,MATCH(D187,ProjNames,0)),""))</f>
        <v/>
      </c>
      <c r="F187" s="8" t="str">
        <f aca="false">IF(D187="","",IFERROR(INDEX(ProjCodes,MATCH(D187,ProjNames,0)),""))</f>
        <v/>
      </c>
      <c r="G187" s="32"/>
      <c r="H187" s="11"/>
      <c r="I187" s="33"/>
      <c r="J187" s="8" t="str">
        <f aca="false">IF(COUNTA(B187,D187,G187,H187,I187)=0,"",IF(B187="","Enter date",IF(OR(B187&lt;$AC$2,B187&gt;$AC$3),"Date not in August",IF(D187="","Pick project",IF(ISNA(MATCH(D187,ProjNames,0)),"Project not in list",IF(G187="","Add task description",IF(H187="","Pick NTIME or P6",IF(N(I187)&lt;=0,"Enter hours",IF(AND(AllowOT&lt;&gt;"Yes",SUMIF($B$7:$B$256,B187,$I$7:$I$256)&gt;INDEX($O$58:$O$88,DAY(B187))),"Day over "&amp;INDEX($O$58:$O$88,DAY(B187))&amp;" h","✓")))))))))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tr">
        <f aca="false">IF(Projects!B185="","",Projects!B185)</f>
        <v/>
      </c>
      <c r="X187" s="1" t="n">
        <f aca="false">IF(W187="",0,SUMIFS($I$7:$I$256,$D$7:$D$256,W187,$H$7:$H$256,"NTIME"))</f>
        <v>0</v>
      </c>
      <c r="Y187" s="1" t="n">
        <f aca="false">IF(W187="",0,SUMIFS($I$7:$I$256,$D$7:$D$256,W187,$H$7:$H$256,"P6"))</f>
        <v>0</v>
      </c>
      <c r="Z187" s="1" t="n">
        <f aca="false">X187+Y187</f>
        <v>0</v>
      </c>
      <c r="AA187" s="1" t="n">
        <f aca="false">IF(Z187&gt;0,Z187+(201-181)/10^6,0)</f>
        <v>0</v>
      </c>
      <c r="AB187" s="1"/>
      <c r="AC187" s="1"/>
      <c r="AD187" s="1"/>
      <c r="AE187" s="1"/>
      <c r="AF187" s="1"/>
      <c r="AG187" s="1"/>
      <c r="AH187" s="1"/>
    </row>
    <row r="188" customFormat="false" ht="15" hidden="false" customHeight="false" outlineLevel="0" collapsed="false">
      <c r="A188" s="1"/>
      <c r="B188" s="10"/>
      <c r="C188" s="31" t="str">
        <f aca="false">IF(B188="","",TEXT(B188,"ddd"))</f>
        <v/>
      </c>
      <c r="D188" s="11"/>
      <c r="E188" s="8" t="str">
        <f aca="false">IF(D188="","",IFERROR(INDEX(ProjNumbers,MATCH(D188,ProjNames,0)),""))</f>
        <v/>
      </c>
      <c r="F188" s="8" t="str">
        <f aca="false">IF(D188="","",IFERROR(INDEX(ProjCodes,MATCH(D188,ProjNames,0)),""))</f>
        <v/>
      </c>
      <c r="G188" s="32"/>
      <c r="H188" s="11"/>
      <c r="I188" s="33"/>
      <c r="J188" s="8" t="str">
        <f aca="false">IF(COUNTA(B188,D188,G188,H188,I188)=0,"",IF(B188="","Enter date",IF(OR(B188&lt;$AC$2,B188&gt;$AC$3),"Date not in August",IF(D188="","Pick project",IF(ISNA(MATCH(D188,ProjNames,0)),"Project not in list",IF(G188="","Add task description",IF(H188="","Pick NTIME or P6",IF(N(I188)&lt;=0,"Enter hours",IF(AND(AllowOT&lt;&gt;"Yes",SUMIF($B$7:$B$256,B188,$I$7:$I$256)&gt;INDEX($O$58:$O$88,DAY(B188))),"Day over "&amp;INDEX($O$58:$O$88,DAY(B188))&amp;" h","✓")))))))))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tr">
        <f aca="false">IF(Projects!B186="","",Projects!B186)</f>
        <v/>
      </c>
      <c r="X188" s="1" t="n">
        <f aca="false">IF(W188="",0,SUMIFS($I$7:$I$256,$D$7:$D$256,W188,$H$7:$H$256,"NTIME"))</f>
        <v>0</v>
      </c>
      <c r="Y188" s="1" t="n">
        <f aca="false">IF(W188="",0,SUMIFS($I$7:$I$256,$D$7:$D$256,W188,$H$7:$H$256,"P6"))</f>
        <v>0</v>
      </c>
      <c r="Z188" s="1" t="n">
        <f aca="false">X188+Y188</f>
        <v>0</v>
      </c>
      <c r="AA188" s="1" t="n">
        <f aca="false">IF(Z188&gt;0,Z188+(201-182)/10^6,0)</f>
        <v>0</v>
      </c>
      <c r="AB188" s="1"/>
      <c r="AC188" s="1"/>
      <c r="AD188" s="1"/>
      <c r="AE188" s="1"/>
      <c r="AF188" s="1"/>
      <c r="AG188" s="1"/>
      <c r="AH188" s="1"/>
    </row>
    <row r="189" customFormat="false" ht="15" hidden="false" customHeight="false" outlineLevel="0" collapsed="false">
      <c r="A189" s="1"/>
      <c r="B189" s="10"/>
      <c r="C189" s="31" t="str">
        <f aca="false">IF(B189="","",TEXT(B189,"ddd"))</f>
        <v/>
      </c>
      <c r="D189" s="11"/>
      <c r="E189" s="8" t="str">
        <f aca="false">IF(D189="","",IFERROR(INDEX(ProjNumbers,MATCH(D189,ProjNames,0)),""))</f>
        <v/>
      </c>
      <c r="F189" s="8" t="str">
        <f aca="false">IF(D189="","",IFERROR(INDEX(ProjCodes,MATCH(D189,ProjNames,0)),""))</f>
        <v/>
      </c>
      <c r="G189" s="32"/>
      <c r="H189" s="11"/>
      <c r="I189" s="33"/>
      <c r="J189" s="8" t="str">
        <f aca="false">IF(COUNTA(B189,D189,G189,H189,I189)=0,"",IF(B189="","Enter date",IF(OR(B189&lt;$AC$2,B189&gt;$AC$3),"Date not in August",IF(D189="","Pick project",IF(ISNA(MATCH(D189,ProjNames,0)),"Project not in list",IF(G189="","Add task description",IF(H189="","Pick NTIME or P6",IF(N(I189)&lt;=0,"Enter hours",IF(AND(AllowOT&lt;&gt;"Yes",SUMIF($B$7:$B$256,B189,$I$7:$I$256)&gt;INDEX($O$58:$O$88,DAY(B189))),"Day over "&amp;INDEX($O$58:$O$88,DAY(B189))&amp;" h","✓")))))))))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tr">
        <f aca="false">IF(Projects!B187="","",Projects!B187)</f>
        <v/>
      </c>
      <c r="X189" s="1" t="n">
        <f aca="false">IF(W189="",0,SUMIFS($I$7:$I$256,$D$7:$D$256,W189,$H$7:$H$256,"NTIME"))</f>
        <v>0</v>
      </c>
      <c r="Y189" s="1" t="n">
        <f aca="false">IF(W189="",0,SUMIFS($I$7:$I$256,$D$7:$D$256,W189,$H$7:$H$256,"P6"))</f>
        <v>0</v>
      </c>
      <c r="Z189" s="1" t="n">
        <f aca="false">X189+Y189</f>
        <v>0</v>
      </c>
      <c r="AA189" s="1" t="n">
        <f aca="false">IF(Z189&gt;0,Z189+(201-183)/10^6,0)</f>
        <v>0</v>
      </c>
      <c r="AB189" s="1"/>
      <c r="AC189" s="1"/>
      <c r="AD189" s="1"/>
      <c r="AE189" s="1"/>
      <c r="AF189" s="1"/>
      <c r="AG189" s="1"/>
      <c r="AH189" s="1"/>
    </row>
    <row r="190" customFormat="false" ht="15" hidden="false" customHeight="false" outlineLevel="0" collapsed="false">
      <c r="A190" s="1"/>
      <c r="B190" s="10"/>
      <c r="C190" s="31" t="str">
        <f aca="false">IF(B190="","",TEXT(B190,"ddd"))</f>
        <v/>
      </c>
      <c r="D190" s="11"/>
      <c r="E190" s="8" t="str">
        <f aca="false">IF(D190="","",IFERROR(INDEX(ProjNumbers,MATCH(D190,ProjNames,0)),""))</f>
        <v/>
      </c>
      <c r="F190" s="8" t="str">
        <f aca="false">IF(D190="","",IFERROR(INDEX(ProjCodes,MATCH(D190,ProjNames,0)),""))</f>
        <v/>
      </c>
      <c r="G190" s="32"/>
      <c r="H190" s="11"/>
      <c r="I190" s="33"/>
      <c r="J190" s="8" t="str">
        <f aca="false">IF(COUNTA(B190,D190,G190,H190,I190)=0,"",IF(B190="","Enter date",IF(OR(B190&lt;$AC$2,B190&gt;$AC$3),"Date not in August",IF(D190="","Pick project",IF(ISNA(MATCH(D190,ProjNames,0)),"Project not in list",IF(G190="","Add task description",IF(H190="","Pick NTIME or P6",IF(N(I190)&lt;=0,"Enter hours",IF(AND(AllowOT&lt;&gt;"Yes",SUMIF($B$7:$B$256,B190,$I$7:$I$256)&gt;INDEX($O$58:$O$88,DAY(B190))),"Day over "&amp;INDEX($O$58:$O$88,DAY(B190))&amp;" h","✓")))))))))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tr">
        <f aca="false">IF(Projects!B188="","",Projects!B188)</f>
        <v/>
      </c>
      <c r="X190" s="1" t="n">
        <f aca="false">IF(W190="",0,SUMIFS($I$7:$I$256,$D$7:$D$256,W190,$H$7:$H$256,"NTIME"))</f>
        <v>0</v>
      </c>
      <c r="Y190" s="1" t="n">
        <f aca="false">IF(W190="",0,SUMIFS($I$7:$I$256,$D$7:$D$256,W190,$H$7:$H$256,"P6"))</f>
        <v>0</v>
      </c>
      <c r="Z190" s="1" t="n">
        <f aca="false">X190+Y190</f>
        <v>0</v>
      </c>
      <c r="AA190" s="1" t="n">
        <f aca="false">IF(Z190&gt;0,Z190+(201-184)/10^6,0)</f>
        <v>0</v>
      </c>
      <c r="AB190" s="1"/>
      <c r="AC190" s="1"/>
      <c r="AD190" s="1"/>
      <c r="AE190" s="1"/>
      <c r="AF190" s="1"/>
      <c r="AG190" s="1"/>
      <c r="AH190" s="1"/>
    </row>
    <row r="191" customFormat="false" ht="15" hidden="false" customHeight="false" outlineLevel="0" collapsed="false">
      <c r="A191" s="1"/>
      <c r="B191" s="10"/>
      <c r="C191" s="31" t="str">
        <f aca="false">IF(B191="","",TEXT(B191,"ddd"))</f>
        <v/>
      </c>
      <c r="D191" s="11"/>
      <c r="E191" s="8" t="str">
        <f aca="false">IF(D191="","",IFERROR(INDEX(ProjNumbers,MATCH(D191,ProjNames,0)),""))</f>
        <v/>
      </c>
      <c r="F191" s="8" t="str">
        <f aca="false">IF(D191="","",IFERROR(INDEX(ProjCodes,MATCH(D191,ProjNames,0)),""))</f>
        <v/>
      </c>
      <c r="G191" s="32"/>
      <c r="H191" s="11"/>
      <c r="I191" s="33"/>
      <c r="J191" s="8" t="str">
        <f aca="false">IF(COUNTA(B191,D191,G191,H191,I191)=0,"",IF(B191="","Enter date",IF(OR(B191&lt;$AC$2,B191&gt;$AC$3),"Date not in August",IF(D191="","Pick project",IF(ISNA(MATCH(D191,ProjNames,0)),"Project not in list",IF(G191="","Add task description",IF(H191="","Pick NTIME or P6",IF(N(I191)&lt;=0,"Enter hours",IF(AND(AllowOT&lt;&gt;"Yes",SUMIF($B$7:$B$256,B191,$I$7:$I$256)&gt;INDEX($O$58:$O$88,DAY(B191))),"Day over "&amp;INDEX($O$58:$O$88,DAY(B191))&amp;" h","✓")))))))))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tr">
        <f aca="false">IF(Projects!B189="","",Projects!B189)</f>
        <v/>
      </c>
      <c r="X191" s="1" t="n">
        <f aca="false">IF(W191="",0,SUMIFS($I$7:$I$256,$D$7:$D$256,W191,$H$7:$H$256,"NTIME"))</f>
        <v>0</v>
      </c>
      <c r="Y191" s="1" t="n">
        <f aca="false">IF(W191="",0,SUMIFS($I$7:$I$256,$D$7:$D$256,W191,$H$7:$H$256,"P6"))</f>
        <v>0</v>
      </c>
      <c r="Z191" s="1" t="n">
        <f aca="false">X191+Y191</f>
        <v>0</v>
      </c>
      <c r="AA191" s="1" t="n">
        <f aca="false">IF(Z191&gt;0,Z191+(201-185)/10^6,0)</f>
        <v>0</v>
      </c>
      <c r="AB191" s="1"/>
      <c r="AC191" s="1"/>
      <c r="AD191" s="1"/>
      <c r="AE191" s="1"/>
      <c r="AF191" s="1"/>
      <c r="AG191" s="1"/>
      <c r="AH191" s="1"/>
    </row>
    <row r="192" customFormat="false" ht="15" hidden="false" customHeight="false" outlineLevel="0" collapsed="false">
      <c r="A192" s="1"/>
      <c r="B192" s="10"/>
      <c r="C192" s="31" t="str">
        <f aca="false">IF(B192="","",TEXT(B192,"ddd"))</f>
        <v/>
      </c>
      <c r="D192" s="11"/>
      <c r="E192" s="8" t="str">
        <f aca="false">IF(D192="","",IFERROR(INDEX(ProjNumbers,MATCH(D192,ProjNames,0)),""))</f>
        <v/>
      </c>
      <c r="F192" s="8" t="str">
        <f aca="false">IF(D192="","",IFERROR(INDEX(ProjCodes,MATCH(D192,ProjNames,0)),""))</f>
        <v/>
      </c>
      <c r="G192" s="32"/>
      <c r="H192" s="11"/>
      <c r="I192" s="33"/>
      <c r="J192" s="8" t="str">
        <f aca="false">IF(COUNTA(B192,D192,G192,H192,I192)=0,"",IF(B192="","Enter date",IF(OR(B192&lt;$AC$2,B192&gt;$AC$3),"Date not in August",IF(D192="","Pick project",IF(ISNA(MATCH(D192,ProjNames,0)),"Project not in list",IF(G192="","Add task description",IF(H192="","Pick NTIME or P6",IF(N(I192)&lt;=0,"Enter hours",IF(AND(AllowOT&lt;&gt;"Yes",SUMIF($B$7:$B$256,B192,$I$7:$I$256)&gt;INDEX($O$58:$O$88,DAY(B192))),"Day over "&amp;INDEX($O$58:$O$88,DAY(B192))&amp;" h","✓")))))))))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tr">
        <f aca="false">IF(Projects!B190="","",Projects!B190)</f>
        <v/>
      </c>
      <c r="X192" s="1" t="n">
        <f aca="false">IF(W192="",0,SUMIFS($I$7:$I$256,$D$7:$D$256,W192,$H$7:$H$256,"NTIME"))</f>
        <v>0</v>
      </c>
      <c r="Y192" s="1" t="n">
        <f aca="false">IF(W192="",0,SUMIFS($I$7:$I$256,$D$7:$D$256,W192,$H$7:$H$256,"P6"))</f>
        <v>0</v>
      </c>
      <c r="Z192" s="1" t="n">
        <f aca="false">X192+Y192</f>
        <v>0</v>
      </c>
      <c r="AA192" s="1" t="n">
        <f aca="false">IF(Z192&gt;0,Z192+(201-186)/10^6,0)</f>
        <v>0</v>
      </c>
      <c r="AB192" s="1"/>
      <c r="AC192" s="1"/>
      <c r="AD192" s="1"/>
      <c r="AE192" s="1"/>
      <c r="AF192" s="1"/>
      <c r="AG192" s="1"/>
      <c r="AH192" s="1"/>
    </row>
    <row r="193" customFormat="false" ht="15" hidden="false" customHeight="false" outlineLevel="0" collapsed="false">
      <c r="A193" s="1"/>
      <c r="B193" s="10"/>
      <c r="C193" s="31" t="str">
        <f aca="false">IF(B193="","",TEXT(B193,"ddd"))</f>
        <v/>
      </c>
      <c r="D193" s="11"/>
      <c r="E193" s="8" t="str">
        <f aca="false">IF(D193="","",IFERROR(INDEX(ProjNumbers,MATCH(D193,ProjNames,0)),""))</f>
        <v/>
      </c>
      <c r="F193" s="8" t="str">
        <f aca="false">IF(D193="","",IFERROR(INDEX(ProjCodes,MATCH(D193,ProjNames,0)),""))</f>
        <v/>
      </c>
      <c r="G193" s="32"/>
      <c r="H193" s="11"/>
      <c r="I193" s="33"/>
      <c r="J193" s="8" t="str">
        <f aca="false">IF(COUNTA(B193,D193,G193,H193,I193)=0,"",IF(B193="","Enter date",IF(OR(B193&lt;$AC$2,B193&gt;$AC$3),"Date not in August",IF(D193="","Pick project",IF(ISNA(MATCH(D193,ProjNames,0)),"Project not in list",IF(G193="","Add task description",IF(H193="","Pick NTIME or P6",IF(N(I193)&lt;=0,"Enter hours",IF(AND(AllowOT&lt;&gt;"Yes",SUMIF($B$7:$B$256,B193,$I$7:$I$256)&gt;INDEX($O$58:$O$88,DAY(B193))),"Day over "&amp;INDEX($O$58:$O$88,DAY(B193))&amp;" h","✓")))))))))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tr">
        <f aca="false">IF(Projects!B191="","",Projects!B191)</f>
        <v/>
      </c>
      <c r="X193" s="1" t="n">
        <f aca="false">IF(W193="",0,SUMIFS($I$7:$I$256,$D$7:$D$256,W193,$H$7:$H$256,"NTIME"))</f>
        <v>0</v>
      </c>
      <c r="Y193" s="1" t="n">
        <f aca="false">IF(W193="",0,SUMIFS($I$7:$I$256,$D$7:$D$256,W193,$H$7:$H$256,"P6"))</f>
        <v>0</v>
      </c>
      <c r="Z193" s="1" t="n">
        <f aca="false">X193+Y193</f>
        <v>0</v>
      </c>
      <c r="AA193" s="1" t="n">
        <f aca="false">IF(Z193&gt;0,Z193+(201-187)/10^6,0)</f>
        <v>0</v>
      </c>
      <c r="AB193" s="1"/>
      <c r="AC193" s="1"/>
      <c r="AD193" s="1"/>
      <c r="AE193" s="1"/>
      <c r="AF193" s="1"/>
      <c r="AG193" s="1"/>
      <c r="AH193" s="1"/>
    </row>
    <row r="194" customFormat="false" ht="15" hidden="false" customHeight="false" outlineLevel="0" collapsed="false">
      <c r="A194" s="1"/>
      <c r="B194" s="10"/>
      <c r="C194" s="31" t="str">
        <f aca="false">IF(B194="","",TEXT(B194,"ddd"))</f>
        <v/>
      </c>
      <c r="D194" s="11"/>
      <c r="E194" s="8" t="str">
        <f aca="false">IF(D194="","",IFERROR(INDEX(ProjNumbers,MATCH(D194,ProjNames,0)),""))</f>
        <v/>
      </c>
      <c r="F194" s="8" t="str">
        <f aca="false">IF(D194="","",IFERROR(INDEX(ProjCodes,MATCH(D194,ProjNames,0)),""))</f>
        <v/>
      </c>
      <c r="G194" s="32"/>
      <c r="H194" s="11"/>
      <c r="I194" s="33"/>
      <c r="J194" s="8" t="str">
        <f aca="false">IF(COUNTA(B194,D194,G194,H194,I194)=0,"",IF(B194="","Enter date",IF(OR(B194&lt;$AC$2,B194&gt;$AC$3),"Date not in August",IF(D194="","Pick project",IF(ISNA(MATCH(D194,ProjNames,0)),"Project not in list",IF(G194="","Add task description",IF(H194="","Pick NTIME or P6",IF(N(I194)&lt;=0,"Enter hours",IF(AND(AllowOT&lt;&gt;"Yes",SUMIF($B$7:$B$256,B194,$I$7:$I$256)&gt;INDEX($O$58:$O$88,DAY(B194))),"Day over "&amp;INDEX($O$58:$O$88,DAY(B194))&amp;" h","✓")))))))))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tr">
        <f aca="false">IF(Projects!B192="","",Projects!B192)</f>
        <v/>
      </c>
      <c r="X194" s="1" t="n">
        <f aca="false">IF(W194="",0,SUMIFS($I$7:$I$256,$D$7:$D$256,W194,$H$7:$H$256,"NTIME"))</f>
        <v>0</v>
      </c>
      <c r="Y194" s="1" t="n">
        <f aca="false">IF(W194="",0,SUMIFS($I$7:$I$256,$D$7:$D$256,W194,$H$7:$H$256,"P6"))</f>
        <v>0</v>
      </c>
      <c r="Z194" s="1" t="n">
        <f aca="false">X194+Y194</f>
        <v>0</v>
      </c>
      <c r="AA194" s="1" t="n">
        <f aca="false">IF(Z194&gt;0,Z194+(201-188)/10^6,0)</f>
        <v>0</v>
      </c>
      <c r="AB194" s="1"/>
      <c r="AC194" s="1"/>
      <c r="AD194" s="1"/>
      <c r="AE194" s="1"/>
      <c r="AF194" s="1"/>
      <c r="AG194" s="1"/>
      <c r="AH194" s="1"/>
    </row>
    <row r="195" customFormat="false" ht="15" hidden="false" customHeight="false" outlineLevel="0" collapsed="false">
      <c r="A195" s="1"/>
      <c r="B195" s="10"/>
      <c r="C195" s="31" t="str">
        <f aca="false">IF(B195="","",TEXT(B195,"ddd"))</f>
        <v/>
      </c>
      <c r="D195" s="11"/>
      <c r="E195" s="8" t="str">
        <f aca="false">IF(D195="","",IFERROR(INDEX(ProjNumbers,MATCH(D195,ProjNames,0)),""))</f>
        <v/>
      </c>
      <c r="F195" s="8" t="str">
        <f aca="false">IF(D195="","",IFERROR(INDEX(ProjCodes,MATCH(D195,ProjNames,0)),""))</f>
        <v/>
      </c>
      <c r="G195" s="32"/>
      <c r="H195" s="11"/>
      <c r="I195" s="33"/>
      <c r="J195" s="8" t="str">
        <f aca="false">IF(COUNTA(B195,D195,G195,H195,I195)=0,"",IF(B195="","Enter date",IF(OR(B195&lt;$AC$2,B195&gt;$AC$3),"Date not in August",IF(D195="","Pick project",IF(ISNA(MATCH(D195,ProjNames,0)),"Project not in list",IF(G195="","Add task description",IF(H195="","Pick NTIME or P6",IF(N(I195)&lt;=0,"Enter hours",IF(AND(AllowOT&lt;&gt;"Yes",SUMIF($B$7:$B$256,B195,$I$7:$I$256)&gt;INDEX($O$58:$O$88,DAY(B195))),"Day over "&amp;INDEX($O$58:$O$88,DAY(B195))&amp;" h","✓")))))))))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tr">
        <f aca="false">IF(Projects!B193="","",Projects!B193)</f>
        <v/>
      </c>
      <c r="X195" s="1" t="n">
        <f aca="false">IF(W195="",0,SUMIFS($I$7:$I$256,$D$7:$D$256,W195,$H$7:$H$256,"NTIME"))</f>
        <v>0</v>
      </c>
      <c r="Y195" s="1" t="n">
        <f aca="false">IF(W195="",0,SUMIFS($I$7:$I$256,$D$7:$D$256,W195,$H$7:$H$256,"P6"))</f>
        <v>0</v>
      </c>
      <c r="Z195" s="1" t="n">
        <f aca="false">X195+Y195</f>
        <v>0</v>
      </c>
      <c r="AA195" s="1" t="n">
        <f aca="false">IF(Z195&gt;0,Z195+(201-189)/10^6,0)</f>
        <v>0</v>
      </c>
      <c r="AB195" s="1"/>
      <c r="AC195" s="1"/>
      <c r="AD195" s="1"/>
      <c r="AE195" s="1"/>
      <c r="AF195" s="1"/>
      <c r="AG195" s="1"/>
      <c r="AH195" s="1"/>
    </row>
    <row r="196" customFormat="false" ht="15" hidden="false" customHeight="false" outlineLevel="0" collapsed="false">
      <c r="A196" s="1"/>
      <c r="B196" s="10"/>
      <c r="C196" s="31" t="str">
        <f aca="false">IF(B196="","",TEXT(B196,"ddd"))</f>
        <v/>
      </c>
      <c r="D196" s="11"/>
      <c r="E196" s="8" t="str">
        <f aca="false">IF(D196="","",IFERROR(INDEX(ProjNumbers,MATCH(D196,ProjNames,0)),""))</f>
        <v/>
      </c>
      <c r="F196" s="8" t="str">
        <f aca="false">IF(D196="","",IFERROR(INDEX(ProjCodes,MATCH(D196,ProjNames,0)),""))</f>
        <v/>
      </c>
      <c r="G196" s="32"/>
      <c r="H196" s="11"/>
      <c r="I196" s="33"/>
      <c r="J196" s="8" t="str">
        <f aca="false">IF(COUNTA(B196,D196,G196,H196,I196)=0,"",IF(B196="","Enter date",IF(OR(B196&lt;$AC$2,B196&gt;$AC$3),"Date not in August",IF(D196="","Pick project",IF(ISNA(MATCH(D196,ProjNames,0)),"Project not in list",IF(G196="","Add task description",IF(H196="","Pick NTIME or P6",IF(N(I196)&lt;=0,"Enter hours",IF(AND(AllowOT&lt;&gt;"Yes",SUMIF($B$7:$B$256,B196,$I$7:$I$256)&gt;INDEX($O$58:$O$88,DAY(B196))),"Day over "&amp;INDEX($O$58:$O$88,DAY(B196))&amp;" h","✓")))))))))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tr">
        <f aca="false">IF(Projects!B194="","",Projects!B194)</f>
        <v/>
      </c>
      <c r="X196" s="1" t="n">
        <f aca="false">IF(W196="",0,SUMIFS($I$7:$I$256,$D$7:$D$256,W196,$H$7:$H$256,"NTIME"))</f>
        <v>0</v>
      </c>
      <c r="Y196" s="1" t="n">
        <f aca="false">IF(W196="",0,SUMIFS($I$7:$I$256,$D$7:$D$256,W196,$H$7:$H$256,"P6"))</f>
        <v>0</v>
      </c>
      <c r="Z196" s="1" t="n">
        <f aca="false">X196+Y196</f>
        <v>0</v>
      </c>
      <c r="AA196" s="1" t="n">
        <f aca="false">IF(Z196&gt;0,Z196+(201-190)/10^6,0)</f>
        <v>0</v>
      </c>
      <c r="AB196" s="1"/>
      <c r="AC196" s="1"/>
      <c r="AD196" s="1"/>
      <c r="AE196" s="1"/>
      <c r="AF196" s="1"/>
      <c r="AG196" s="1"/>
      <c r="AH196" s="1"/>
    </row>
    <row r="197" customFormat="false" ht="15" hidden="false" customHeight="false" outlineLevel="0" collapsed="false">
      <c r="A197" s="1"/>
      <c r="B197" s="10"/>
      <c r="C197" s="31" t="str">
        <f aca="false">IF(B197="","",TEXT(B197,"ddd"))</f>
        <v/>
      </c>
      <c r="D197" s="11"/>
      <c r="E197" s="8" t="str">
        <f aca="false">IF(D197="","",IFERROR(INDEX(ProjNumbers,MATCH(D197,ProjNames,0)),""))</f>
        <v/>
      </c>
      <c r="F197" s="8" t="str">
        <f aca="false">IF(D197="","",IFERROR(INDEX(ProjCodes,MATCH(D197,ProjNames,0)),""))</f>
        <v/>
      </c>
      <c r="G197" s="32"/>
      <c r="H197" s="11"/>
      <c r="I197" s="33"/>
      <c r="J197" s="8" t="str">
        <f aca="false">IF(COUNTA(B197,D197,G197,H197,I197)=0,"",IF(B197="","Enter date",IF(OR(B197&lt;$AC$2,B197&gt;$AC$3),"Date not in August",IF(D197="","Pick project",IF(ISNA(MATCH(D197,ProjNames,0)),"Project not in list",IF(G197="","Add task description",IF(H197="","Pick NTIME or P6",IF(N(I197)&lt;=0,"Enter hours",IF(AND(AllowOT&lt;&gt;"Yes",SUMIF($B$7:$B$256,B197,$I$7:$I$256)&gt;INDEX($O$58:$O$88,DAY(B197))),"Day over "&amp;INDEX($O$58:$O$88,DAY(B197))&amp;" h","✓")))))))))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tr">
        <f aca="false">IF(Projects!B195="","",Projects!B195)</f>
        <v/>
      </c>
      <c r="X197" s="1" t="n">
        <f aca="false">IF(W197="",0,SUMIFS($I$7:$I$256,$D$7:$D$256,W197,$H$7:$H$256,"NTIME"))</f>
        <v>0</v>
      </c>
      <c r="Y197" s="1" t="n">
        <f aca="false">IF(W197="",0,SUMIFS($I$7:$I$256,$D$7:$D$256,W197,$H$7:$H$256,"P6"))</f>
        <v>0</v>
      </c>
      <c r="Z197" s="1" t="n">
        <f aca="false">X197+Y197</f>
        <v>0</v>
      </c>
      <c r="AA197" s="1" t="n">
        <f aca="false">IF(Z197&gt;0,Z197+(201-191)/10^6,0)</f>
        <v>0</v>
      </c>
      <c r="AB197" s="1"/>
      <c r="AC197" s="1"/>
      <c r="AD197" s="1"/>
      <c r="AE197" s="1"/>
      <c r="AF197" s="1"/>
      <c r="AG197" s="1"/>
      <c r="AH197" s="1"/>
    </row>
    <row r="198" customFormat="false" ht="15" hidden="false" customHeight="false" outlineLevel="0" collapsed="false">
      <c r="A198" s="1"/>
      <c r="B198" s="10"/>
      <c r="C198" s="31" t="str">
        <f aca="false">IF(B198="","",TEXT(B198,"ddd"))</f>
        <v/>
      </c>
      <c r="D198" s="11"/>
      <c r="E198" s="8" t="str">
        <f aca="false">IF(D198="","",IFERROR(INDEX(ProjNumbers,MATCH(D198,ProjNames,0)),""))</f>
        <v/>
      </c>
      <c r="F198" s="8" t="str">
        <f aca="false">IF(D198="","",IFERROR(INDEX(ProjCodes,MATCH(D198,ProjNames,0)),""))</f>
        <v/>
      </c>
      <c r="G198" s="32"/>
      <c r="H198" s="11"/>
      <c r="I198" s="33"/>
      <c r="J198" s="8" t="str">
        <f aca="false">IF(COUNTA(B198,D198,G198,H198,I198)=0,"",IF(B198="","Enter date",IF(OR(B198&lt;$AC$2,B198&gt;$AC$3),"Date not in August",IF(D198="","Pick project",IF(ISNA(MATCH(D198,ProjNames,0)),"Project not in list",IF(G198="","Add task description",IF(H198="","Pick NTIME or P6",IF(N(I198)&lt;=0,"Enter hours",IF(AND(AllowOT&lt;&gt;"Yes",SUMIF($B$7:$B$256,B198,$I$7:$I$256)&gt;INDEX($O$58:$O$88,DAY(B198))),"Day over "&amp;INDEX($O$58:$O$88,DAY(B198))&amp;" h","✓")))))))))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tr">
        <f aca="false">IF(Projects!B196="","",Projects!B196)</f>
        <v/>
      </c>
      <c r="X198" s="1" t="n">
        <f aca="false">IF(W198="",0,SUMIFS($I$7:$I$256,$D$7:$D$256,W198,$H$7:$H$256,"NTIME"))</f>
        <v>0</v>
      </c>
      <c r="Y198" s="1" t="n">
        <f aca="false">IF(W198="",0,SUMIFS($I$7:$I$256,$D$7:$D$256,W198,$H$7:$H$256,"P6"))</f>
        <v>0</v>
      </c>
      <c r="Z198" s="1" t="n">
        <f aca="false">X198+Y198</f>
        <v>0</v>
      </c>
      <c r="AA198" s="1" t="n">
        <f aca="false">IF(Z198&gt;0,Z198+(201-192)/10^6,0)</f>
        <v>0</v>
      </c>
      <c r="AB198" s="1"/>
      <c r="AC198" s="1"/>
      <c r="AD198" s="1"/>
      <c r="AE198" s="1"/>
      <c r="AF198" s="1"/>
      <c r="AG198" s="1"/>
      <c r="AH198" s="1"/>
    </row>
    <row r="199" customFormat="false" ht="15" hidden="false" customHeight="false" outlineLevel="0" collapsed="false">
      <c r="A199" s="1"/>
      <c r="B199" s="10"/>
      <c r="C199" s="31" t="str">
        <f aca="false">IF(B199="","",TEXT(B199,"ddd"))</f>
        <v/>
      </c>
      <c r="D199" s="11"/>
      <c r="E199" s="8" t="str">
        <f aca="false">IF(D199="","",IFERROR(INDEX(ProjNumbers,MATCH(D199,ProjNames,0)),""))</f>
        <v/>
      </c>
      <c r="F199" s="8" t="str">
        <f aca="false">IF(D199="","",IFERROR(INDEX(ProjCodes,MATCH(D199,ProjNames,0)),""))</f>
        <v/>
      </c>
      <c r="G199" s="32"/>
      <c r="H199" s="11"/>
      <c r="I199" s="33"/>
      <c r="J199" s="8" t="str">
        <f aca="false">IF(COUNTA(B199,D199,G199,H199,I199)=0,"",IF(B199="","Enter date",IF(OR(B199&lt;$AC$2,B199&gt;$AC$3),"Date not in August",IF(D199="","Pick project",IF(ISNA(MATCH(D199,ProjNames,0)),"Project not in list",IF(G199="","Add task description",IF(H199="","Pick NTIME or P6",IF(N(I199)&lt;=0,"Enter hours",IF(AND(AllowOT&lt;&gt;"Yes",SUMIF($B$7:$B$256,B199,$I$7:$I$256)&gt;INDEX($O$58:$O$88,DAY(B199))),"Day over "&amp;INDEX($O$58:$O$88,DAY(B199))&amp;" h","✓")))))))))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tr">
        <f aca="false">IF(Projects!B197="","",Projects!B197)</f>
        <v/>
      </c>
      <c r="X199" s="1" t="n">
        <f aca="false">IF(W199="",0,SUMIFS($I$7:$I$256,$D$7:$D$256,W199,$H$7:$H$256,"NTIME"))</f>
        <v>0</v>
      </c>
      <c r="Y199" s="1" t="n">
        <f aca="false">IF(W199="",0,SUMIFS($I$7:$I$256,$D$7:$D$256,W199,$H$7:$H$256,"P6"))</f>
        <v>0</v>
      </c>
      <c r="Z199" s="1" t="n">
        <f aca="false">X199+Y199</f>
        <v>0</v>
      </c>
      <c r="AA199" s="1" t="n">
        <f aca="false">IF(Z199&gt;0,Z199+(201-193)/10^6,0)</f>
        <v>0</v>
      </c>
      <c r="AB199" s="1"/>
      <c r="AC199" s="1"/>
      <c r="AD199" s="1"/>
      <c r="AE199" s="1"/>
      <c r="AF199" s="1"/>
      <c r="AG199" s="1"/>
      <c r="AH199" s="1"/>
    </row>
    <row r="200" customFormat="false" ht="15" hidden="false" customHeight="false" outlineLevel="0" collapsed="false">
      <c r="A200" s="1"/>
      <c r="B200" s="10"/>
      <c r="C200" s="31" t="str">
        <f aca="false">IF(B200="","",TEXT(B200,"ddd"))</f>
        <v/>
      </c>
      <c r="D200" s="11"/>
      <c r="E200" s="8" t="str">
        <f aca="false">IF(D200="","",IFERROR(INDEX(ProjNumbers,MATCH(D200,ProjNames,0)),""))</f>
        <v/>
      </c>
      <c r="F200" s="8" t="str">
        <f aca="false">IF(D200="","",IFERROR(INDEX(ProjCodes,MATCH(D200,ProjNames,0)),""))</f>
        <v/>
      </c>
      <c r="G200" s="32"/>
      <c r="H200" s="11"/>
      <c r="I200" s="33"/>
      <c r="J200" s="8" t="str">
        <f aca="false">IF(COUNTA(B200,D200,G200,H200,I200)=0,"",IF(B200="","Enter date",IF(OR(B200&lt;$AC$2,B200&gt;$AC$3),"Date not in August",IF(D200="","Pick project",IF(ISNA(MATCH(D200,ProjNames,0)),"Project not in list",IF(G200="","Add task description",IF(H200="","Pick NTIME or P6",IF(N(I200)&lt;=0,"Enter hours",IF(AND(AllowOT&lt;&gt;"Yes",SUMIF($B$7:$B$256,B200,$I$7:$I$256)&gt;INDEX($O$58:$O$88,DAY(B200))),"Day over "&amp;INDEX($O$58:$O$88,DAY(B200))&amp;" h","✓")))))))))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tr">
        <f aca="false">IF(Projects!B198="","",Projects!B198)</f>
        <v/>
      </c>
      <c r="X200" s="1" t="n">
        <f aca="false">IF(W200="",0,SUMIFS($I$7:$I$256,$D$7:$D$256,W200,$H$7:$H$256,"NTIME"))</f>
        <v>0</v>
      </c>
      <c r="Y200" s="1" t="n">
        <f aca="false">IF(W200="",0,SUMIFS($I$7:$I$256,$D$7:$D$256,W200,$H$7:$H$256,"P6"))</f>
        <v>0</v>
      </c>
      <c r="Z200" s="1" t="n">
        <f aca="false">X200+Y200</f>
        <v>0</v>
      </c>
      <c r="AA200" s="1" t="n">
        <f aca="false">IF(Z200&gt;0,Z200+(201-194)/10^6,0)</f>
        <v>0</v>
      </c>
      <c r="AB200" s="1"/>
      <c r="AC200" s="1"/>
      <c r="AD200" s="1"/>
      <c r="AE200" s="1"/>
      <c r="AF200" s="1"/>
      <c r="AG200" s="1"/>
      <c r="AH200" s="1"/>
    </row>
    <row r="201" customFormat="false" ht="15" hidden="false" customHeight="false" outlineLevel="0" collapsed="false">
      <c r="A201" s="1"/>
      <c r="B201" s="10"/>
      <c r="C201" s="31" t="str">
        <f aca="false">IF(B201="","",TEXT(B201,"ddd"))</f>
        <v/>
      </c>
      <c r="D201" s="11"/>
      <c r="E201" s="8" t="str">
        <f aca="false">IF(D201="","",IFERROR(INDEX(ProjNumbers,MATCH(D201,ProjNames,0)),""))</f>
        <v/>
      </c>
      <c r="F201" s="8" t="str">
        <f aca="false">IF(D201="","",IFERROR(INDEX(ProjCodes,MATCH(D201,ProjNames,0)),""))</f>
        <v/>
      </c>
      <c r="G201" s="32"/>
      <c r="H201" s="11"/>
      <c r="I201" s="33"/>
      <c r="J201" s="8" t="str">
        <f aca="false">IF(COUNTA(B201,D201,G201,H201,I201)=0,"",IF(B201="","Enter date",IF(OR(B201&lt;$AC$2,B201&gt;$AC$3),"Date not in August",IF(D201="","Pick project",IF(ISNA(MATCH(D201,ProjNames,0)),"Project not in list",IF(G201="","Add task description",IF(H201="","Pick NTIME or P6",IF(N(I201)&lt;=0,"Enter hours",IF(AND(AllowOT&lt;&gt;"Yes",SUMIF($B$7:$B$256,B201,$I$7:$I$256)&gt;INDEX($O$58:$O$88,DAY(B201))),"Day over "&amp;INDEX($O$58:$O$88,DAY(B201))&amp;" h","✓")))))))))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tr">
        <f aca="false">IF(Projects!B199="","",Projects!B199)</f>
        <v/>
      </c>
      <c r="X201" s="1" t="n">
        <f aca="false">IF(W201="",0,SUMIFS($I$7:$I$256,$D$7:$D$256,W201,$H$7:$H$256,"NTIME"))</f>
        <v>0</v>
      </c>
      <c r="Y201" s="1" t="n">
        <f aca="false">IF(W201="",0,SUMIFS($I$7:$I$256,$D$7:$D$256,W201,$H$7:$H$256,"P6"))</f>
        <v>0</v>
      </c>
      <c r="Z201" s="1" t="n">
        <f aca="false">X201+Y201</f>
        <v>0</v>
      </c>
      <c r="AA201" s="1" t="n">
        <f aca="false">IF(Z201&gt;0,Z201+(201-195)/10^6,0)</f>
        <v>0</v>
      </c>
      <c r="AB201" s="1"/>
      <c r="AC201" s="1"/>
      <c r="AD201" s="1"/>
      <c r="AE201" s="1"/>
      <c r="AF201" s="1"/>
      <c r="AG201" s="1"/>
      <c r="AH201" s="1"/>
    </row>
    <row r="202" customFormat="false" ht="15" hidden="false" customHeight="false" outlineLevel="0" collapsed="false">
      <c r="A202" s="1"/>
      <c r="B202" s="10"/>
      <c r="C202" s="31" t="str">
        <f aca="false">IF(B202="","",TEXT(B202,"ddd"))</f>
        <v/>
      </c>
      <c r="D202" s="11"/>
      <c r="E202" s="8" t="str">
        <f aca="false">IF(D202="","",IFERROR(INDEX(ProjNumbers,MATCH(D202,ProjNames,0)),""))</f>
        <v/>
      </c>
      <c r="F202" s="8" t="str">
        <f aca="false">IF(D202="","",IFERROR(INDEX(ProjCodes,MATCH(D202,ProjNames,0)),""))</f>
        <v/>
      </c>
      <c r="G202" s="32"/>
      <c r="H202" s="11"/>
      <c r="I202" s="33"/>
      <c r="J202" s="8" t="str">
        <f aca="false">IF(COUNTA(B202,D202,G202,H202,I202)=0,"",IF(B202="","Enter date",IF(OR(B202&lt;$AC$2,B202&gt;$AC$3),"Date not in August",IF(D202="","Pick project",IF(ISNA(MATCH(D202,ProjNames,0)),"Project not in list",IF(G202="","Add task description",IF(H202="","Pick NTIME or P6",IF(N(I202)&lt;=0,"Enter hours",IF(AND(AllowOT&lt;&gt;"Yes",SUMIF($B$7:$B$256,B202,$I$7:$I$256)&gt;INDEX($O$58:$O$88,DAY(B202))),"Day over "&amp;INDEX($O$58:$O$88,DAY(B202))&amp;" h","✓")))))))))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tr">
        <f aca="false">IF(Projects!B200="","",Projects!B200)</f>
        <v/>
      </c>
      <c r="X202" s="1" t="n">
        <f aca="false">IF(W202="",0,SUMIFS($I$7:$I$256,$D$7:$D$256,W202,$H$7:$H$256,"NTIME"))</f>
        <v>0</v>
      </c>
      <c r="Y202" s="1" t="n">
        <f aca="false">IF(W202="",0,SUMIFS($I$7:$I$256,$D$7:$D$256,W202,$H$7:$H$256,"P6"))</f>
        <v>0</v>
      </c>
      <c r="Z202" s="1" t="n">
        <f aca="false">X202+Y202</f>
        <v>0</v>
      </c>
      <c r="AA202" s="1" t="n">
        <f aca="false">IF(Z202&gt;0,Z202+(201-196)/10^6,0)</f>
        <v>0</v>
      </c>
      <c r="AB202" s="1"/>
      <c r="AC202" s="1"/>
      <c r="AD202" s="1"/>
      <c r="AE202" s="1"/>
      <c r="AF202" s="1"/>
      <c r="AG202" s="1"/>
      <c r="AH202" s="1"/>
    </row>
    <row r="203" customFormat="false" ht="15" hidden="false" customHeight="false" outlineLevel="0" collapsed="false">
      <c r="A203" s="1"/>
      <c r="B203" s="10"/>
      <c r="C203" s="31" t="str">
        <f aca="false">IF(B203="","",TEXT(B203,"ddd"))</f>
        <v/>
      </c>
      <c r="D203" s="11"/>
      <c r="E203" s="8" t="str">
        <f aca="false">IF(D203="","",IFERROR(INDEX(ProjNumbers,MATCH(D203,ProjNames,0)),""))</f>
        <v/>
      </c>
      <c r="F203" s="8" t="str">
        <f aca="false">IF(D203="","",IFERROR(INDEX(ProjCodes,MATCH(D203,ProjNames,0)),""))</f>
        <v/>
      </c>
      <c r="G203" s="32"/>
      <c r="H203" s="11"/>
      <c r="I203" s="33"/>
      <c r="J203" s="8" t="str">
        <f aca="false">IF(COUNTA(B203,D203,G203,H203,I203)=0,"",IF(B203="","Enter date",IF(OR(B203&lt;$AC$2,B203&gt;$AC$3),"Date not in August",IF(D203="","Pick project",IF(ISNA(MATCH(D203,ProjNames,0)),"Project not in list",IF(G203="","Add task description",IF(H203="","Pick NTIME or P6",IF(N(I203)&lt;=0,"Enter hours",IF(AND(AllowOT&lt;&gt;"Yes",SUMIF($B$7:$B$256,B203,$I$7:$I$256)&gt;INDEX($O$58:$O$88,DAY(B203))),"Day over "&amp;INDEX($O$58:$O$88,DAY(B203))&amp;" h","✓")))))))))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tr">
        <f aca="false">IF(Projects!B201="","",Projects!B201)</f>
        <v/>
      </c>
      <c r="X203" s="1" t="n">
        <f aca="false">IF(W203="",0,SUMIFS($I$7:$I$256,$D$7:$D$256,W203,$H$7:$H$256,"NTIME"))</f>
        <v>0</v>
      </c>
      <c r="Y203" s="1" t="n">
        <f aca="false">IF(W203="",0,SUMIFS($I$7:$I$256,$D$7:$D$256,W203,$H$7:$H$256,"P6"))</f>
        <v>0</v>
      </c>
      <c r="Z203" s="1" t="n">
        <f aca="false">X203+Y203</f>
        <v>0</v>
      </c>
      <c r="AA203" s="1" t="n">
        <f aca="false">IF(Z203&gt;0,Z203+(201-197)/10^6,0)</f>
        <v>0</v>
      </c>
      <c r="AB203" s="1"/>
      <c r="AC203" s="1"/>
      <c r="AD203" s="1"/>
      <c r="AE203" s="1"/>
      <c r="AF203" s="1"/>
      <c r="AG203" s="1"/>
      <c r="AH203" s="1"/>
    </row>
    <row r="204" customFormat="false" ht="15" hidden="false" customHeight="false" outlineLevel="0" collapsed="false">
      <c r="A204" s="1"/>
      <c r="B204" s="10"/>
      <c r="C204" s="31" t="str">
        <f aca="false">IF(B204="","",TEXT(B204,"ddd"))</f>
        <v/>
      </c>
      <c r="D204" s="11"/>
      <c r="E204" s="8" t="str">
        <f aca="false">IF(D204="","",IFERROR(INDEX(ProjNumbers,MATCH(D204,ProjNames,0)),""))</f>
        <v/>
      </c>
      <c r="F204" s="8" t="str">
        <f aca="false">IF(D204="","",IFERROR(INDEX(ProjCodes,MATCH(D204,ProjNames,0)),""))</f>
        <v/>
      </c>
      <c r="G204" s="32"/>
      <c r="H204" s="11"/>
      <c r="I204" s="33"/>
      <c r="J204" s="8" t="str">
        <f aca="false">IF(COUNTA(B204,D204,G204,H204,I204)=0,"",IF(B204="","Enter date",IF(OR(B204&lt;$AC$2,B204&gt;$AC$3),"Date not in August",IF(D204="","Pick project",IF(ISNA(MATCH(D204,ProjNames,0)),"Project not in list",IF(G204="","Add task description",IF(H204="","Pick NTIME or P6",IF(N(I204)&lt;=0,"Enter hours",IF(AND(AllowOT&lt;&gt;"Yes",SUMIF($B$7:$B$256,B204,$I$7:$I$256)&gt;INDEX($O$58:$O$88,DAY(B204))),"Day over "&amp;INDEX($O$58:$O$88,DAY(B204))&amp;" h","✓")))))))))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tr">
        <f aca="false">IF(Projects!B202="","",Projects!B202)</f>
        <v/>
      </c>
      <c r="X204" s="1" t="n">
        <f aca="false">IF(W204="",0,SUMIFS($I$7:$I$256,$D$7:$D$256,W204,$H$7:$H$256,"NTIME"))</f>
        <v>0</v>
      </c>
      <c r="Y204" s="1" t="n">
        <f aca="false">IF(W204="",0,SUMIFS($I$7:$I$256,$D$7:$D$256,W204,$H$7:$H$256,"P6"))</f>
        <v>0</v>
      </c>
      <c r="Z204" s="1" t="n">
        <f aca="false">X204+Y204</f>
        <v>0</v>
      </c>
      <c r="AA204" s="1" t="n">
        <f aca="false">IF(Z204&gt;0,Z204+(201-198)/10^6,0)</f>
        <v>0</v>
      </c>
      <c r="AB204" s="1"/>
      <c r="AC204" s="1"/>
      <c r="AD204" s="1"/>
      <c r="AE204" s="1"/>
      <c r="AF204" s="1"/>
      <c r="AG204" s="1"/>
      <c r="AH204" s="1"/>
    </row>
    <row r="205" customFormat="false" ht="15" hidden="false" customHeight="false" outlineLevel="0" collapsed="false">
      <c r="A205" s="1"/>
      <c r="B205" s="10"/>
      <c r="C205" s="31" t="str">
        <f aca="false">IF(B205="","",TEXT(B205,"ddd"))</f>
        <v/>
      </c>
      <c r="D205" s="11"/>
      <c r="E205" s="8" t="str">
        <f aca="false">IF(D205="","",IFERROR(INDEX(ProjNumbers,MATCH(D205,ProjNames,0)),""))</f>
        <v/>
      </c>
      <c r="F205" s="8" t="str">
        <f aca="false">IF(D205="","",IFERROR(INDEX(ProjCodes,MATCH(D205,ProjNames,0)),""))</f>
        <v/>
      </c>
      <c r="G205" s="32"/>
      <c r="H205" s="11"/>
      <c r="I205" s="33"/>
      <c r="J205" s="8" t="str">
        <f aca="false">IF(COUNTA(B205,D205,G205,H205,I205)=0,"",IF(B205="","Enter date",IF(OR(B205&lt;$AC$2,B205&gt;$AC$3),"Date not in August",IF(D205="","Pick project",IF(ISNA(MATCH(D205,ProjNames,0)),"Project not in list",IF(G205="","Add task description",IF(H205="","Pick NTIME or P6",IF(N(I205)&lt;=0,"Enter hours",IF(AND(AllowOT&lt;&gt;"Yes",SUMIF($B$7:$B$256,B205,$I$7:$I$256)&gt;INDEX($O$58:$O$88,DAY(B205))),"Day over "&amp;INDEX($O$58:$O$88,DAY(B205))&amp;" h","✓")))))))))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tr">
        <f aca="false">IF(Projects!B203="","",Projects!B203)</f>
        <v/>
      </c>
      <c r="X205" s="1" t="n">
        <f aca="false">IF(W205="",0,SUMIFS($I$7:$I$256,$D$7:$D$256,W205,$H$7:$H$256,"NTIME"))</f>
        <v>0</v>
      </c>
      <c r="Y205" s="1" t="n">
        <f aca="false">IF(W205="",0,SUMIFS($I$7:$I$256,$D$7:$D$256,W205,$H$7:$H$256,"P6"))</f>
        <v>0</v>
      </c>
      <c r="Z205" s="1" t="n">
        <f aca="false">X205+Y205</f>
        <v>0</v>
      </c>
      <c r="AA205" s="1" t="n">
        <f aca="false">IF(Z205&gt;0,Z205+(201-199)/10^6,0)</f>
        <v>0</v>
      </c>
      <c r="AB205" s="1"/>
      <c r="AC205" s="1"/>
      <c r="AD205" s="1"/>
      <c r="AE205" s="1"/>
      <c r="AF205" s="1"/>
      <c r="AG205" s="1"/>
      <c r="AH205" s="1"/>
    </row>
    <row r="206" customFormat="false" ht="15" hidden="false" customHeight="false" outlineLevel="0" collapsed="false">
      <c r="A206" s="1"/>
      <c r="B206" s="10"/>
      <c r="C206" s="31" t="str">
        <f aca="false">IF(B206="","",TEXT(B206,"ddd"))</f>
        <v/>
      </c>
      <c r="D206" s="11"/>
      <c r="E206" s="8" t="str">
        <f aca="false">IF(D206="","",IFERROR(INDEX(ProjNumbers,MATCH(D206,ProjNames,0)),""))</f>
        <v/>
      </c>
      <c r="F206" s="8" t="str">
        <f aca="false">IF(D206="","",IFERROR(INDEX(ProjCodes,MATCH(D206,ProjNames,0)),""))</f>
        <v/>
      </c>
      <c r="G206" s="32"/>
      <c r="H206" s="11"/>
      <c r="I206" s="33"/>
      <c r="J206" s="8" t="str">
        <f aca="false">IF(COUNTA(B206,D206,G206,H206,I206)=0,"",IF(B206="","Enter date",IF(OR(B206&lt;$AC$2,B206&gt;$AC$3),"Date not in August",IF(D206="","Pick project",IF(ISNA(MATCH(D206,ProjNames,0)),"Project not in list",IF(G206="","Add task description",IF(H206="","Pick NTIME or P6",IF(N(I206)&lt;=0,"Enter hours",IF(AND(AllowOT&lt;&gt;"Yes",SUMIF($B$7:$B$256,B206,$I$7:$I$256)&gt;INDEX($O$58:$O$88,DAY(B206))),"Day over "&amp;INDEX($O$58:$O$88,DAY(B206))&amp;" h","✓")))))))))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tr">
        <f aca="false">IF(Projects!B204="","",Projects!B204)</f>
        <v/>
      </c>
      <c r="X206" s="1" t="n">
        <f aca="false">IF(W206="",0,SUMIFS($I$7:$I$256,$D$7:$D$256,W206,$H$7:$H$256,"NTIME"))</f>
        <v>0</v>
      </c>
      <c r="Y206" s="1" t="n">
        <f aca="false">IF(W206="",0,SUMIFS($I$7:$I$256,$D$7:$D$256,W206,$H$7:$H$256,"P6"))</f>
        <v>0</v>
      </c>
      <c r="Z206" s="1" t="n">
        <f aca="false">X206+Y206</f>
        <v>0</v>
      </c>
      <c r="AA206" s="1" t="n">
        <f aca="false">IF(Z206&gt;0,Z206+(201-200)/10^6,0)</f>
        <v>0</v>
      </c>
      <c r="AB206" s="1"/>
      <c r="AC206" s="1"/>
      <c r="AD206" s="1"/>
      <c r="AE206" s="1"/>
      <c r="AF206" s="1"/>
      <c r="AG206" s="1"/>
      <c r="AH206" s="1"/>
    </row>
    <row r="207" customFormat="false" ht="15" hidden="false" customHeight="false" outlineLevel="0" collapsed="false">
      <c r="A207" s="1"/>
      <c r="B207" s="10"/>
      <c r="C207" s="31" t="str">
        <f aca="false">IF(B207="","",TEXT(B207,"ddd"))</f>
        <v/>
      </c>
      <c r="D207" s="11"/>
      <c r="E207" s="8" t="str">
        <f aca="false">IF(D207="","",IFERROR(INDEX(ProjNumbers,MATCH(D207,ProjNames,0)),""))</f>
        <v/>
      </c>
      <c r="F207" s="8" t="str">
        <f aca="false">IF(D207="","",IFERROR(INDEX(ProjCodes,MATCH(D207,ProjNames,0)),""))</f>
        <v/>
      </c>
      <c r="G207" s="32"/>
      <c r="H207" s="11"/>
      <c r="I207" s="33"/>
      <c r="J207" s="8" t="str">
        <f aca="false">IF(COUNTA(B207,D207,G207,H207,I207)=0,"",IF(B207="","Enter date",IF(OR(B207&lt;$AC$2,B207&gt;$AC$3),"Date not in August",IF(D207="","Pick project",IF(ISNA(MATCH(D207,ProjNames,0)),"Project not in list",IF(G207="","Add task description",IF(H207="","Pick NTIME or P6",IF(N(I207)&lt;=0,"Enter hours",IF(AND(AllowOT&lt;&gt;"Yes",SUMIF($B$7:$B$256,B207,$I$7:$I$256)&gt;INDEX($O$58:$O$88,DAY(B207))),"Day over "&amp;INDEX($O$58:$O$88,DAY(B207))&amp;" h","✓")))))))))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5" hidden="false" customHeight="false" outlineLevel="0" collapsed="false">
      <c r="A208" s="1"/>
      <c r="B208" s="10"/>
      <c r="C208" s="31" t="str">
        <f aca="false">IF(B208="","",TEXT(B208,"ddd"))</f>
        <v/>
      </c>
      <c r="D208" s="11"/>
      <c r="E208" s="8" t="str">
        <f aca="false">IF(D208="","",IFERROR(INDEX(ProjNumbers,MATCH(D208,ProjNames,0)),""))</f>
        <v/>
      </c>
      <c r="F208" s="8" t="str">
        <f aca="false">IF(D208="","",IFERROR(INDEX(ProjCodes,MATCH(D208,ProjNames,0)),""))</f>
        <v/>
      </c>
      <c r="G208" s="32"/>
      <c r="H208" s="11"/>
      <c r="I208" s="33"/>
      <c r="J208" s="8" t="str">
        <f aca="false">IF(COUNTA(B208,D208,G208,H208,I208)=0,"",IF(B208="","Enter date",IF(OR(B208&lt;$AC$2,B208&gt;$AC$3),"Date not in August",IF(D208="","Pick project",IF(ISNA(MATCH(D208,ProjNames,0)),"Project not in list",IF(G208="","Add task description",IF(H208="","Pick NTIME or P6",IF(N(I208)&lt;=0,"Enter hours",IF(AND(AllowOT&lt;&gt;"Yes",SUMIF($B$7:$B$256,B208,$I$7:$I$256)&gt;INDEX($O$58:$O$88,DAY(B208))),"Day over "&amp;INDEX($O$58:$O$88,DAY(B208))&amp;" h","✓")))))))))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5" hidden="false" customHeight="false" outlineLevel="0" collapsed="false">
      <c r="A209" s="1"/>
      <c r="B209" s="10"/>
      <c r="C209" s="31" t="str">
        <f aca="false">IF(B209="","",TEXT(B209,"ddd"))</f>
        <v/>
      </c>
      <c r="D209" s="11"/>
      <c r="E209" s="8" t="str">
        <f aca="false">IF(D209="","",IFERROR(INDEX(ProjNumbers,MATCH(D209,ProjNames,0)),""))</f>
        <v/>
      </c>
      <c r="F209" s="8" t="str">
        <f aca="false">IF(D209="","",IFERROR(INDEX(ProjCodes,MATCH(D209,ProjNames,0)),""))</f>
        <v/>
      </c>
      <c r="G209" s="32"/>
      <c r="H209" s="11"/>
      <c r="I209" s="33"/>
      <c r="J209" s="8" t="str">
        <f aca="false">IF(COUNTA(B209,D209,G209,H209,I209)=0,"",IF(B209="","Enter date",IF(OR(B209&lt;$AC$2,B209&gt;$AC$3),"Date not in August",IF(D209="","Pick project",IF(ISNA(MATCH(D209,ProjNames,0)),"Project not in list",IF(G209="","Add task description",IF(H209="","Pick NTIME or P6",IF(N(I209)&lt;=0,"Enter hours",IF(AND(AllowOT&lt;&gt;"Yes",SUMIF($B$7:$B$256,B209,$I$7:$I$256)&gt;INDEX($O$58:$O$88,DAY(B209))),"Day over "&amp;INDEX($O$58:$O$88,DAY(B209))&amp;" h","✓")))))))))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5" hidden="false" customHeight="false" outlineLevel="0" collapsed="false">
      <c r="A210" s="1"/>
      <c r="B210" s="10"/>
      <c r="C210" s="31" t="str">
        <f aca="false">IF(B210="","",TEXT(B210,"ddd"))</f>
        <v/>
      </c>
      <c r="D210" s="11"/>
      <c r="E210" s="8" t="str">
        <f aca="false">IF(D210="","",IFERROR(INDEX(ProjNumbers,MATCH(D210,ProjNames,0)),""))</f>
        <v/>
      </c>
      <c r="F210" s="8" t="str">
        <f aca="false">IF(D210="","",IFERROR(INDEX(ProjCodes,MATCH(D210,ProjNames,0)),""))</f>
        <v/>
      </c>
      <c r="G210" s="32"/>
      <c r="H210" s="11"/>
      <c r="I210" s="33"/>
      <c r="J210" s="8" t="str">
        <f aca="false">IF(COUNTA(B210,D210,G210,H210,I210)=0,"",IF(B210="","Enter date",IF(OR(B210&lt;$AC$2,B210&gt;$AC$3),"Date not in August",IF(D210="","Pick project",IF(ISNA(MATCH(D210,ProjNames,0)),"Project not in list",IF(G210="","Add task description",IF(H210="","Pick NTIME or P6",IF(N(I210)&lt;=0,"Enter hours",IF(AND(AllowOT&lt;&gt;"Yes",SUMIF($B$7:$B$256,B210,$I$7:$I$256)&gt;INDEX($O$58:$O$88,DAY(B210))),"Day over "&amp;INDEX($O$58:$O$88,DAY(B210))&amp;" h","✓")))))))))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5" hidden="false" customHeight="false" outlineLevel="0" collapsed="false">
      <c r="A211" s="1"/>
      <c r="B211" s="10"/>
      <c r="C211" s="31" t="str">
        <f aca="false">IF(B211="","",TEXT(B211,"ddd"))</f>
        <v/>
      </c>
      <c r="D211" s="11"/>
      <c r="E211" s="8" t="str">
        <f aca="false">IF(D211="","",IFERROR(INDEX(ProjNumbers,MATCH(D211,ProjNames,0)),""))</f>
        <v/>
      </c>
      <c r="F211" s="8" t="str">
        <f aca="false">IF(D211="","",IFERROR(INDEX(ProjCodes,MATCH(D211,ProjNames,0)),""))</f>
        <v/>
      </c>
      <c r="G211" s="32"/>
      <c r="H211" s="11"/>
      <c r="I211" s="33"/>
      <c r="J211" s="8" t="str">
        <f aca="false">IF(COUNTA(B211,D211,G211,H211,I211)=0,"",IF(B211="","Enter date",IF(OR(B211&lt;$AC$2,B211&gt;$AC$3),"Date not in August",IF(D211="","Pick project",IF(ISNA(MATCH(D211,ProjNames,0)),"Project not in list",IF(G211="","Add task description",IF(H211="","Pick NTIME or P6",IF(N(I211)&lt;=0,"Enter hours",IF(AND(AllowOT&lt;&gt;"Yes",SUMIF($B$7:$B$256,B211,$I$7:$I$256)&gt;INDEX($O$58:$O$88,DAY(B211))),"Day over "&amp;INDEX($O$58:$O$88,DAY(B211))&amp;" h","✓")))))))))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5" hidden="false" customHeight="false" outlineLevel="0" collapsed="false">
      <c r="A212" s="1"/>
      <c r="B212" s="10"/>
      <c r="C212" s="31" t="str">
        <f aca="false">IF(B212="","",TEXT(B212,"ddd"))</f>
        <v/>
      </c>
      <c r="D212" s="11"/>
      <c r="E212" s="8" t="str">
        <f aca="false">IF(D212="","",IFERROR(INDEX(ProjNumbers,MATCH(D212,ProjNames,0)),""))</f>
        <v/>
      </c>
      <c r="F212" s="8" t="str">
        <f aca="false">IF(D212="","",IFERROR(INDEX(ProjCodes,MATCH(D212,ProjNames,0)),""))</f>
        <v/>
      </c>
      <c r="G212" s="32"/>
      <c r="H212" s="11"/>
      <c r="I212" s="33"/>
      <c r="J212" s="8" t="str">
        <f aca="false">IF(COUNTA(B212,D212,G212,H212,I212)=0,"",IF(B212="","Enter date",IF(OR(B212&lt;$AC$2,B212&gt;$AC$3),"Date not in August",IF(D212="","Pick project",IF(ISNA(MATCH(D212,ProjNames,0)),"Project not in list",IF(G212="","Add task description",IF(H212="","Pick NTIME or P6",IF(N(I212)&lt;=0,"Enter hours",IF(AND(AllowOT&lt;&gt;"Yes",SUMIF($B$7:$B$256,B212,$I$7:$I$256)&gt;INDEX($O$58:$O$88,DAY(B212))),"Day over "&amp;INDEX($O$58:$O$88,DAY(B212))&amp;" h","✓")))))))))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5" hidden="false" customHeight="false" outlineLevel="0" collapsed="false">
      <c r="A213" s="1"/>
      <c r="B213" s="10"/>
      <c r="C213" s="31" t="str">
        <f aca="false">IF(B213="","",TEXT(B213,"ddd"))</f>
        <v/>
      </c>
      <c r="D213" s="11"/>
      <c r="E213" s="8" t="str">
        <f aca="false">IF(D213="","",IFERROR(INDEX(ProjNumbers,MATCH(D213,ProjNames,0)),""))</f>
        <v/>
      </c>
      <c r="F213" s="8" t="str">
        <f aca="false">IF(D213="","",IFERROR(INDEX(ProjCodes,MATCH(D213,ProjNames,0)),""))</f>
        <v/>
      </c>
      <c r="G213" s="32"/>
      <c r="H213" s="11"/>
      <c r="I213" s="33"/>
      <c r="J213" s="8" t="str">
        <f aca="false">IF(COUNTA(B213,D213,G213,H213,I213)=0,"",IF(B213="","Enter date",IF(OR(B213&lt;$AC$2,B213&gt;$AC$3),"Date not in August",IF(D213="","Pick project",IF(ISNA(MATCH(D213,ProjNames,0)),"Project not in list",IF(G213="","Add task description",IF(H213="","Pick NTIME or P6",IF(N(I213)&lt;=0,"Enter hours",IF(AND(AllowOT&lt;&gt;"Yes",SUMIF($B$7:$B$256,B213,$I$7:$I$256)&gt;INDEX($O$58:$O$88,DAY(B213))),"Day over "&amp;INDEX($O$58:$O$88,DAY(B213))&amp;" h","✓")))))))))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5" hidden="false" customHeight="false" outlineLevel="0" collapsed="false">
      <c r="A214" s="1"/>
      <c r="B214" s="10"/>
      <c r="C214" s="31" t="str">
        <f aca="false">IF(B214="","",TEXT(B214,"ddd"))</f>
        <v/>
      </c>
      <c r="D214" s="11"/>
      <c r="E214" s="8" t="str">
        <f aca="false">IF(D214="","",IFERROR(INDEX(ProjNumbers,MATCH(D214,ProjNames,0)),""))</f>
        <v/>
      </c>
      <c r="F214" s="8" t="str">
        <f aca="false">IF(D214="","",IFERROR(INDEX(ProjCodes,MATCH(D214,ProjNames,0)),""))</f>
        <v/>
      </c>
      <c r="G214" s="32"/>
      <c r="H214" s="11"/>
      <c r="I214" s="33"/>
      <c r="J214" s="8" t="str">
        <f aca="false">IF(COUNTA(B214,D214,G214,H214,I214)=0,"",IF(B214="","Enter date",IF(OR(B214&lt;$AC$2,B214&gt;$AC$3),"Date not in August",IF(D214="","Pick project",IF(ISNA(MATCH(D214,ProjNames,0)),"Project not in list",IF(G214="","Add task description",IF(H214="","Pick NTIME or P6",IF(N(I214)&lt;=0,"Enter hours",IF(AND(AllowOT&lt;&gt;"Yes",SUMIF($B$7:$B$256,B214,$I$7:$I$256)&gt;INDEX($O$58:$O$88,DAY(B214))),"Day over "&amp;INDEX($O$58:$O$88,DAY(B214))&amp;" h","✓")))))))))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5" hidden="false" customHeight="false" outlineLevel="0" collapsed="false">
      <c r="A215" s="1"/>
      <c r="B215" s="10"/>
      <c r="C215" s="31" t="str">
        <f aca="false">IF(B215="","",TEXT(B215,"ddd"))</f>
        <v/>
      </c>
      <c r="D215" s="11"/>
      <c r="E215" s="8" t="str">
        <f aca="false">IF(D215="","",IFERROR(INDEX(ProjNumbers,MATCH(D215,ProjNames,0)),""))</f>
        <v/>
      </c>
      <c r="F215" s="8" t="str">
        <f aca="false">IF(D215="","",IFERROR(INDEX(ProjCodes,MATCH(D215,ProjNames,0)),""))</f>
        <v/>
      </c>
      <c r="G215" s="32"/>
      <c r="H215" s="11"/>
      <c r="I215" s="33"/>
      <c r="J215" s="8" t="str">
        <f aca="false">IF(COUNTA(B215,D215,G215,H215,I215)=0,"",IF(B215="","Enter date",IF(OR(B215&lt;$AC$2,B215&gt;$AC$3),"Date not in August",IF(D215="","Pick project",IF(ISNA(MATCH(D215,ProjNames,0)),"Project not in list",IF(G215="","Add task description",IF(H215="","Pick NTIME or P6",IF(N(I215)&lt;=0,"Enter hours",IF(AND(AllowOT&lt;&gt;"Yes",SUMIF($B$7:$B$256,B215,$I$7:$I$256)&gt;INDEX($O$58:$O$88,DAY(B215))),"Day over "&amp;INDEX($O$58:$O$88,DAY(B215))&amp;" h","✓")))))))))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5" hidden="false" customHeight="false" outlineLevel="0" collapsed="false">
      <c r="A216" s="1"/>
      <c r="B216" s="10"/>
      <c r="C216" s="31" t="str">
        <f aca="false">IF(B216="","",TEXT(B216,"ddd"))</f>
        <v/>
      </c>
      <c r="D216" s="11"/>
      <c r="E216" s="8" t="str">
        <f aca="false">IF(D216="","",IFERROR(INDEX(ProjNumbers,MATCH(D216,ProjNames,0)),""))</f>
        <v/>
      </c>
      <c r="F216" s="8" t="str">
        <f aca="false">IF(D216="","",IFERROR(INDEX(ProjCodes,MATCH(D216,ProjNames,0)),""))</f>
        <v/>
      </c>
      <c r="G216" s="32"/>
      <c r="H216" s="11"/>
      <c r="I216" s="33"/>
      <c r="J216" s="8" t="str">
        <f aca="false">IF(COUNTA(B216,D216,G216,H216,I216)=0,"",IF(B216="","Enter date",IF(OR(B216&lt;$AC$2,B216&gt;$AC$3),"Date not in August",IF(D216="","Pick project",IF(ISNA(MATCH(D216,ProjNames,0)),"Project not in list",IF(G216="","Add task description",IF(H216="","Pick NTIME or P6",IF(N(I216)&lt;=0,"Enter hours",IF(AND(AllowOT&lt;&gt;"Yes",SUMIF($B$7:$B$256,B216,$I$7:$I$256)&gt;INDEX($O$58:$O$88,DAY(B216))),"Day over "&amp;INDEX($O$58:$O$88,DAY(B216))&amp;" h","✓")))))))))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5" hidden="false" customHeight="false" outlineLevel="0" collapsed="false">
      <c r="A217" s="1"/>
      <c r="B217" s="10"/>
      <c r="C217" s="31" t="str">
        <f aca="false">IF(B217="","",TEXT(B217,"ddd"))</f>
        <v/>
      </c>
      <c r="D217" s="11"/>
      <c r="E217" s="8" t="str">
        <f aca="false">IF(D217="","",IFERROR(INDEX(ProjNumbers,MATCH(D217,ProjNames,0)),""))</f>
        <v/>
      </c>
      <c r="F217" s="8" t="str">
        <f aca="false">IF(D217="","",IFERROR(INDEX(ProjCodes,MATCH(D217,ProjNames,0)),""))</f>
        <v/>
      </c>
      <c r="G217" s="32"/>
      <c r="H217" s="11"/>
      <c r="I217" s="33"/>
      <c r="J217" s="8" t="str">
        <f aca="false">IF(COUNTA(B217,D217,G217,H217,I217)=0,"",IF(B217="","Enter date",IF(OR(B217&lt;$AC$2,B217&gt;$AC$3),"Date not in August",IF(D217="","Pick project",IF(ISNA(MATCH(D217,ProjNames,0)),"Project not in list",IF(G217="","Add task description",IF(H217="","Pick NTIME or P6",IF(N(I217)&lt;=0,"Enter hours",IF(AND(AllowOT&lt;&gt;"Yes",SUMIF($B$7:$B$256,B217,$I$7:$I$256)&gt;INDEX($O$58:$O$88,DAY(B217))),"Day over "&amp;INDEX($O$58:$O$88,DAY(B217))&amp;" h","✓")))))))))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5" hidden="false" customHeight="false" outlineLevel="0" collapsed="false">
      <c r="A218" s="1"/>
      <c r="B218" s="10"/>
      <c r="C218" s="31" t="str">
        <f aca="false">IF(B218="","",TEXT(B218,"ddd"))</f>
        <v/>
      </c>
      <c r="D218" s="11"/>
      <c r="E218" s="8" t="str">
        <f aca="false">IF(D218="","",IFERROR(INDEX(ProjNumbers,MATCH(D218,ProjNames,0)),""))</f>
        <v/>
      </c>
      <c r="F218" s="8" t="str">
        <f aca="false">IF(D218="","",IFERROR(INDEX(ProjCodes,MATCH(D218,ProjNames,0)),""))</f>
        <v/>
      </c>
      <c r="G218" s="32"/>
      <c r="H218" s="11"/>
      <c r="I218" s="33"/>
      <c r="J218" s="8" t="str">
        <f aca="false">IF(COUNTA(B218,D218,G218,H218,I218)=0,"",IF(B218="","Enter date",IF(OR(B218&lt;$AC$2,B218&gt;$AC$3),"Date not in August",IF(D218="","Pick project",IF(ISNA(MATCH(D218,ProjNames,0)),"Project not in list",IF(G218="","Add task description",IF(H218="","Pick NTIME or P6",IF(N(I218)&lt;=0,"Enter hours",IF(AND(AllowOT&lt;&gt;"Yes",SUMIF($B$7:$B$256,B218,$I$7:$I$256)&gt;INDEX($O$58:$O$88,DAY(B218))),"Day over "&amp;INDEX($O$58:$O$88,DAY(B218))&amp;" h","✓")))))))))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5" hidden="false" customHeight="false" outlineLevel="0" collapsed="false">
      <c r="A219" s="1"/>
      <c r="B219" s="10"/>
      <c r="C219" s="31" t="str">
        <f aca="false">IF(B219="","",TEXT(B219,"ddd"))</f>
        <v/>
      </c>
      <c r="D219" s="11"/>
      <c r="E219" s="8" t="str">
        <f aca="false">IF(D219="","",IFERROR(INDEX(ProjNumbers,MATCH(D219,ProjNames,0)),""))</f>
        <v/>
      </c>
      <c r="F219" s="8" t="str">
        <f aca="false">IF(D219="","",IFERROR(INDEX(ProjCodes,MATCH(D219,ProjNames,0)),""))</f>
        <v/>
      </c>
      <c r="G219" s="32"/>
      <c r="H219" s="11"/>
      <c r="I219" s="33"/>
      <c r="J219" s="8" t="str">
        <f aca="false">IF(COUNTA(B219,D219,G219,H219,I219)=0,"",IF(B219="","Enter date",IF(OR(B219&lt;$AC$2,B219&gt;$AC$3),"Date not in August",IF(D219="","Pick project",IF(ISNA(MATCH(D219,ProjNames,0)),"Project not in list",IF(G219="","Add task description",IF(H219="","Pick NTIME or P6",IF(N(I219)&lt;=0,"Enter hours",IF(AND(AllowOT&lt;&gt;"Yes",SUMIF($B$7:$B$256,B219,$I$7:$I$256)&gt;INDEX($O$58:$O$88,DAY(B219))),"Day over "&amp;INDEX($O$58:$O$88,DAY(B219))&amp;" h","✓")))))))))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5" hidden="false" customHeight="false" outlineLevel="0" collapsed="false">
      <c r="A220" s="1"/>
      <c r="B220" s="10"/>
      <c r="C220" s="31" t="str">
        <f aca="false">IF(B220="","",TEXT(B220,"ddd"))</f>
        <v/>
      </c>
      <c r="D220" s="11"/>
      <c r="E220" s="8" t="str">
        <f aca="false">IF(D220="","",IFERROR(INDEX(ProjNumbers,MATCH(D220,ProjNames,0)),""))</f>
        <v/>
      </c>
      <c r="F220" s="8" t="str">
        <f aca="false">IF(D220="","",IFERROR(INDEX(ProjCodes,MATCH(D220,ProjNames,0)),""))</f>
        <v/>
      </c>
      <c r="G220" s="32"/>
      <c r="H220" s="11"/>
      <c r="I220" s="33"/>
      <c r="J220" s="8" t="str">
        <f aca="false">IF(COUNTA(B220,D220,G220,H220,I220)=0,"",IF(B220="","Enter date",IF(OR(B220&lt;$AC$2,B220&gt;$AC$3),"Date not in August",IF(D220="","Pick project",IF(ISNA(MATCH(D220,ProjNames,0)),"Project not in list",IF(G220="","Add task description",IF(H220="","Pick NTIME or P6",IF(N(I220)&lt;=0,"Enter hours",IF(AND(AllowOT&lt;&gt;"Yes",SUMIF($B$7:$B$256,B220,$I$7:$I$256)&gt;INDEX($O$58:$O$88,DAY(B220))),"Day over "&amp;INDEX($O$58:$O$88,DAY(B220))&amp;" h","✓")))))))))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5" hidden="false" customHeight="false" outlineLevel="0" collapsed="false">
      <c r="A221" s="1"/>
      <c r="B221" s="10"/>
      <c r="C221" s="31" t="str">
        <f aca="false">IF(B221="","",TEXT(B221,"ddd"))</f>
        <v/>
      </c>
      <c r="D221" s="11"/>
      <c r="E221" s="8" t="str">
        <f aca="false">IF(D221="","",IFERROR(INDEX(ProjNumbers,MATCH(D221,ProjNames,0)),""))</f>
        <v/>
      </c>
      <c r="F221" s="8" t="str">
        <f aca="false">IF(D221="","",IFERROR(INDEX(ProjCodes,MATCH(D221,ProjNames,0)),""))</f>
        <v/>
      </c>
      <c r="G221" s="32"/>
      <c r="H221" s="11"/>
      <c r="I221" s="33"/>
      <c r="J221" s="8" t="str">
        <f aca="false">IF(COUNTA(B221,D221,G221,H221,I221)=0,"",IF(B221="","Enter date",IF(OR(B221&lt;$AC$2,B221&gt;$AC$3),"Date not in August",IF(D221="","Pick project",IF(ISNA(MATCH(D221,ProjNames,0)),"Project not in list",IF(G221="","Add task description",IF(H221="","Pick NTIME or P6",IF(N(I221)&lt;=0,"Enter hours",IF(AND(AllowOT&lt;&gt;"Yes",SUMIF($B$7:$B$256,B221,$I$7:$I$256)&gt;INDEX($O$58:$O$88,DAY(B221))),"Day over "&amp;INDEX($O$58:$O$88,DAY(B221))&amp;" h","✓")))))))))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5" hidden="false" customHeight="false" outlineLevel="0" collapsed="false">
      <c r="A222" s="1"/>
      <c r="B222" s="10"/>
      <c r="C222" s="31" t="str">
        <f aca="false">IF(B222="","",TEXT(B222,"ddd"))</f>
        <v/>
      </c>
      <c r="D222" s="11"/>
      <c r="E222" s="8" t="str">
        <f aca="false">IF(D222="","",IFERROR(INDEX(ProjNumbers,MATCH(D222,ProjNames,0)),""))</f>
        <v/>
      </c>
      <c r="F222" s="8" t="str">
        <f aca="false">IF(D222="","",IFERROR(INDEX(ProjCodes,MATCH(D222,ProjNames,0)),""))</f>
        <v/>
      </c>
      <c r="G222" s="32"/>
      <c r="H222" s="11"/>
      <c r="I222" s="33"/>
      <c r="J222" s="8" t="str">
        <f aca="false">IF(COUNTA(B222,D222,G222,H222,I222)=0,"",IF(B222="","Enter date",IF(OR(B222&lt;$AC$2,B222&gt;$AC$3),"Date not in August",IF(D222="","Pick project",IF(ISNA(MATCH(D222,ProjNames,0)),"Project not in list",IF(G222="","Add task description",IF(H222="","Pick NTIME or P6",IF(N(I222)&lt;=0,"Enter hours",IF(AND(AllowOT&lt;&gt;"Yes",SUMIF($B$7:$B$256,B222,$I$7:$I$256)&gt;INDEX($O$58:$O$88,DAY(B222))),"Day over "&amp;INDEX($O$58:$O$88,DAY(B222))&amp;" h","✓")))))))))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5" hidden="false" customHeight="false" outlineLevel="0" collapsed="false">
      <c r="A223" s="1"/>
      <c r="B223" s="10"/>
      <c r="C223" s="31" t="str">
        <f aca="false">IF(B223="","",TEXT(B223,"ddd"))</f>
        <v/>
      </c>
      <c r="D223" s="11"/>
      <c r="E223" s="8" t="str">
        <f aca="false">IF(D223="","",IFERROR(INDEX(ProjNumbers,MATCH(D223,ProjNames,0)),""))</f>
        <v/>
      </c>
      <c r="F223" s="8" t="str">
        <f aca="false">IF(D223="","",IFERROR(INDEX(ProjCodes,MATCH(D223,ProjNames,0)),""))</f>
        <v/>
      </c>
      <c r="G223" s="32"/>
      <c r="H223" s="11"/>
      <c r="I223" s="33"/>
      <c r="J223" s="8" t="str">
        <f aca="false">IF(COUNTA(B223,D223,G223,H223,I223)=0,"",IF(B223="","Enter date",IF(OR(B223&lt;$AC$2,B223&gt;$AC$3),"Date not in August",IF(D223="","Pick project",IF(ISNA(MATCH(D223,ProjNames,0)),"Project not in list",IF(G223="","Add task description",IF(H223="","Pick NTIME or P6",IF(N(I223)&lt;=0,"Enter hours",IF(AND(AllowOT&lt;&gt;"Yes",SUMIF($B$7:$B$256,B223,$I$7:$I$256)&gt;INDEX($O$58:$O$88,DAY(B223))),"Day over "&amp;INDEX($O$58:$O$88,DAY(B223))&amp;" h","✓")))))))))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5" hidden="false" customHeight="false" outlineLevel="0" collapsed="false">
      <c r="A224" s="1"/>
      <c r="B224" s="10"/>
      <c r="C224" s="31" t="str">
        <f aca="false">IF(B224="","",TEXT(B224,"ddd"))</f>
        <v/>
      </c>
      <c r="D224" s="11"/>
      <c r="E224" s="8" t="str">
        <f aca="false">IF(D224="","",IFERROR(INDEX(ProjNumbers,MATCH(D224,ProjNames,0)),""))</f>
        <v/>
      </c>
      <c r="F224" s="8" t="str">
        <f aca="false">IF(D224="","",IFERROR(INDEX(ProjCodes,MATCH(D224,ProjNames,0)),""))</f>
        <v/>
      </c>
      <c r="G224" s="32"/>
      <c r="H224" s="11"/>
      <c r="I224" s="33"/>
      <c r="J224" s="8" t="str">
        <f aca="false">IF(COUNTA(B224,D224,G224,H224,I224)=0,"",IF(B224="","Enter date",IF(OR(B224&lt;$AC$2,B224&gt;$AC$3),"Date not in August",IF(D224="","Pick project",IF(ISNA(MATCH(D224,ProjNames,0)),"Project not in list",IF(G224="","Add task description",IF(H224="","Pick NTIME or P6",IF(N(I224)&lt;=0,"Enter hours",IF(AND(AllowOT&lt;&gt;"Yes",SUMIF($B$7:$B$256,B224,$I$7:$I$256)&gt;INDEX($O$58:$O$88,DAY(B224))),"Day over "&amp;INDEX($O$58:$O$88,DAY(B224))&amp;" h","✓")))))))))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5" hidden="false" customHeight="false" outlineLevel="0" collapsed="false">
      <c r="A225" s="1"/>
      <c r="B225" s="10"/>
      <c r="C225" s="31" t="str">
        <f aca="false">IF(B225="","",TEXT(B225,"ddd"))</f>
        <v/>
      </c>
      <c r="D225" s="11"/>
      <c r="E225" s="8" t="str">
        <f aca="false">IF(D225="","",IFERROR(INDEX(ProjNumbers,MATCH(D225,ProjNames,0)),""))</f>
        <v/>
      </c>
      <c r="F225" s="8" t="str">
        <f aca="false">IF(D225="","",IFERROR(INDEX(ProjCodes,MATCH(D225,ProjNames,0)),""))</f>
        <v/>
      </c>
      <c r="G225" s="32"/>
      <c r="H225" s="11"/>
      <c r="I225" s="33"/>
      <c r="J225" s="8" t="str">
        <f aca="false">IF(COUNTA(B225,D225,G225,H225,I225)=0,"",IF(B225="","Enter date",IF(OR(B225&lt;$AC$2,B225&gt;$AC$3),"Date not in August",IF(D225="","Pick project",IF(ISNA(MATCH(D225,ProjNames,0)),"Project not in list",IF(G225="","Add task description",IF(H225="","Pick NTIME or P6",IF(N(I225)&lt;=0,"Enter hours",IF(AND(AllowOT&lt;&gt;"Yes",SUMIF($B$7:$B$256,B225,$I$7:$I$256)&gt;INDEX($O$58:$O$88,DAY(B225))),"Day over "&amp;INDEX($O$58:$O$88,DAY(B225))&amp;" h","✓")))))))))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5" hidden="false" customHeight="false" outlineLevel="0" collapsed="false">
      <c r="A226" s="1"/>
      <c r="B226" s="10"/>
      <c r="C226" s="31" t="str">
        <f aca="false">IF(B226="","",TEXT(B226,"ddd"))</f>
        <v/>
      </c>
      <c r="D226" s="11"/>
      <c r="E226" s="8" t="str">
        <f aca="false">IF(D226="","",IFERROR(INDEX(ProjNumbers,MATCH(D226,ProjNames,0)),""))</f>
        <v/>
      </c>
      <c r="F226" s="8" t="str">
        <f aca="false">IF(D226="","",IFERROR(INDEX(ProjCodes,MATCH(D226,ProjNames,0)),""))</f>
        <v/>
      </c>
      <c r="G226" s="32"/>
      <c r="H226" s="11"/>
      <c r="I226" s="33"/>
      <c r="J226" s="8" t="str">
        <f aca="false">IF(COUNTA(B226,D226,G226,H226,I226)=0,"",IF(B226="","Enter date",IF(OR(B226&lt;$AC$2,B226&gt;$AC$3),"Date not in August",IF(D226="","Pick project",IF(ISNA(MATCH(D226,ProjNames,0)),"Project not in list",IF(G226="","Add task description",IF(H226="","Pick NTIME or P6",IF(N(I226)&lt;=0,"Enter hours",IF(AND(AllowOT&lt;&gt;"Yes",SUMIF($B$7:$B$256,B226,$I$7:$I$256)&gt;INDEX($O$58:$O$88,DAY(B226))),"Day over "&amp;INDEX($O$58:$O$88,DAY(B226))&amp;" h","✓")))))))))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5" hidden="false" customHeight="false" outlineLevel="0" collapsed="false">
      <c r="A227" s="1"/>
      <c r="B227" s="10"/>
      <c r="C227" s="31" t="str">
        <f aca="false">IF(B227="","",TEXT(B227,"ddd"))</f>
        <v/>
      </c>
      <c r="D227" s="11"/>
      <c r="E227" s="8" t="str">
        <f aca="false">IF(D227="","",IFERROR(INDEX(ProjNumbers,MATCH(D227,ProjNames,0)),""))</f>
        <v/>
      </c>
      <c r="F227" s="8" t="str">
        <f aca="false">IF(D227="","",IFERROR(INDEX(ProjCodes,MATCH(D227,ProjNames,0)),""))</f>
        <v/>
      </c>
      <c r="G227" s="32"/>
      <c r="H227" s="11"/>
      <c r="I227" s="33"/>
      <c r="J227" s="8" t="str">
        <f aca="false">IF(COUNTA(B227,D227,G227,H227,I227)=0,"",IF(B227="","Enter date",IF(OR(B227&lt;$AC$2,B227&gt;$AC$3),"Date not in August",IF(D227="","Pick project",IF(ISNA(MATCH(D227,ProjNames,0)),"Project not in list",IF(G227="","Add task description",IF(H227="","Pick NTIME or P6",IF(N(I227)&lt;=0,"Enter hours",IF(AND(AllowOT&lt;&gt;"Yes",SUMIF($B$7:$B$256,B227,$I$7:$I$256)&gt;INDEX($O$58:$O$88,DAY(B227))),"Day over "&amp;INDEX($O$58:$O$88,DAY(B227))&amp;" h","✓")))))))))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5" hidden="false" customHeight="false" outlineLevel="0" collapsed="false">
      <c r="A228" s="1"/>
      <c r="B228" s="10"/>
      <c r="C228" s="31" t="str">
        <f aca="false">IF(B228="","",TEXT(B228,"ddd"))</f>
        <v/>
      </c>
      <c r="D228" s="11"/>
      <c r="E228" s="8" t="str">
        <f aca="false">IF(D228="","",IFERROR(INDEX(ProjNumbers,MATCH(D228,ProjNames,0)),""))</f>
        <v/>
      </c>
      <c r="F228" s="8" t="str">
        <f aca="false">IF(D228="","",IFERROR(INDEX(ProjCodes,MATCH(D228,ProjNames,0)),""))</f>
        <v/>
      </c>
      <c r="G228" s="32"/>
      <c r="H228" s="11"/>
      <c r="I228" s="33"/>
      <c r="J228" s="8" t="str">
        <f aca="false">IF(COUNTA(B228,D228,G228,H228,I228)=0,"",IF(B228="","Enter date",IF(OR(B228&lt;$AC$2,B228&gt;$AC$3),"Date not in August",IF(D228="","Pick project",IF(ISNA(MATCH(D228,ProjNames,0)),"Project not in list",IF(G228="","Add task description",IF(H228="","Pick NTIME or P6",IF(N(I228)&lt;=0,"Enter hours",IF(AND(AllowOT&lt;&gt;"Yes",SUMIF($B$7:$B$256,B228,$I$7:$I$256)&gt;INDEX($O$58:$O$88,DAY(B228))),"Day over "&amp;INDEX($O$58:$O$88,DAY(B228))&amp;" h","✓")))))))))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5" hidden="false" customHeight="false" outlineLevel="0" collapsed="false">
      <c r="A229" s="1"/>
      <c r="B229" s="10"/>
      <c r="C229" s="31" t="str">
        <f aca="false">IF(B229="","",TEXT(B229,"ddd"))</f>
        <v/>
      </c>
      <c r="D229" s="11"/>
      <c r="E229" s="8" t="str">
        <f aca="false">IF(D229="","",IFERROR(INDEX(ProjNumbers,MATCH(D229,ProjNames,0)),""))</f>
        <v/>
      </c>
      <c r="F229" s="8" t="str">
        <f aca="false">IF(D229="","",IFERROR(INDEX(ProjCodes,MATCH(D229,ProjNames,0)),""))</f>
        <v/>
      </c>
      <c r="G229" s="32"/>
      <c r="H229" s="11"/>
      <c r="I229" s="33"/>
      <c r="J229" s="8" t="str">
        <f aca="false">IF(COUNTA(B229,D229,G229,H229,I229)=0,"",IF(B229="","Enter date",IF(OR(B229&lt;$AC$2,B229&gt;$AC$3),"Date not in August",IF(D229="","Pick project",IF(ISNA(MATCH(D229,ProjNames,0)),"Project not in list",IF(G229="","Add task description",IF(H229="","Pick NTIME or P6",IF(N(I229)&lt;=0,"Enter hours",IF(AND(AllowOT&lt;&gt;"Yes",SUMIF($B$7:$B$256,B229,$I$7:$I$256)&gt;INDEX($O$58:$O$88,DAY(B229))),"Day over "&amp;INDEX($O$58:$O$88,DAY(B229))&amp;" h","✓")))))))))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5" hidden="false" customHeight="false" outlineLevel="0" collapsed="false">
      <c r="A230" s="1"/>
      <c r="B230" s="10"/>
      <c r="C230" s="31" t="str">
        <f aca="false">IF(B230="","",TEXT(B230,"ddd"))</f>
        <v/>
      </c>
      <c r="D230" s="11"/>
      <c r="E230" s="8" t="str">
        <f aca="false">IF(D230="","",IFERROR(INDEX(ProjNumbers,MATCH(D230,ProjNames,0)),""))</f>
        <v/>
      </c>
      <c r="F230" s="8" t="str">
        <f aca="false">IF(D230="","",IFERROR(INDEX(ProjCodes,MATCH(D230,ProjNames,0)),""))</f>
        <v/>
      </c>
      <c r="G230" s="32"/>
      <c r="H230" s="11"/>
      <c r="I230" s="33"/>
      <c r="J230" s="8" t="str">
        <f aca="false">IF(COUNTA(B230,D230,G230,H230,I230)=0,"",IF(B230="","Enter date",IF(OR(B230&lt;$AC$2,B230&gt;$AC$3),"Date not in August",IF(D230="","Pick project",IF(ISNA(MATCH(D230,ProjNames,0)),"Project not in list",IF(G230="","Add task description",IF(H230="","Pick NTIME or P6",IF(N(I230)&lt;=0,"Enter hours",IF(AND(AllowOT&lt;&gt;"Yes",SUMIF($B$7:$B$256,B230,$I$7:$I$256)&gt;INDEX($O$58:$O$88,DAY(B230))),"Day over "&amp;INDEX($O$58:$O$88,DAY(B230))&amp;" h","✓")))))))))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5" hidden="false" customHeight="false" outlineLevel="0" collapsed="false">
      <c r="A231" s="1"/>
      <c r="B231" s="10"/>
      <c r="C231" s="31" t="str">
        <f aca="false">IF(B231="","",TEXT(B231,"ddd"))</f>
        <v/>
      </c>
      <c r="D231" s="11"/>
      <c r="E231" s="8" t="str">
        <f aca="false">IF(D231="","",IFERROR(INDEX(ProjNumbers,MATCH(D231,ProjNames,0)),""))</f>
        <v/>
      </c>
      <c r="F231" s="8" t="str">
        <f aca="false">IF(D231="","",IFERROR(INDEX(ProjCodes,MATCH(D231,ProjNames,0)),""))</f>
        <v/>
      </c>
      <c r="G231" s="32"/>
      <c r="H231" s="11"/>
      <c r="I231" s="33"/>
      <c r="J231" s="8" t="str">
        <f aca="false">IF(COUNTA(B231,D231,G231,H231,I231)=0,"",IF(B231="","Enter date",IF(OR(B231&lt;$AC$2,B231&gt;$AC$3),"Date not in August",IF(D231="","Pick project",IF(ISNA(MATCH(D231,ProjNames,0)),"Project not in list",IF(G231="","Add task description",IF(H231="","Pick NTIME or P6",IF(N(I231)&lt;=0,"Enter hours",IF(AND(AllowOT&lt;&gt;"Yes",SUMIF($B$7:$B$256,B231,$I$7:$I$256)&gt;INDEX($O$58:$O$88,DAY(B231))),"Day over "&amp;INDEX($O$58:$O$88,DAY(B231))&amp;" h","✓")))))))))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5" hidden="false" customHeight="false" outlineLevel="0" collapsed="false">
      <c r="A232" s="1"/>
      <c r="B232" s="10"/>
      <c r="C232" s="31" t="str">
        <f aca="false">IF(B232="","",TEXT(B232,"ddd"))</f>
        <v/>
      </c>
      <c r="D232" s="11"/>
      <c r="E232" s="8" t="str">
        <f aca="false">IF(D232="","",IFERROR(INDEX(ProjNumbers,MATCH(D232,ProjNames,0)),""))</f>
        <v/>
      </c>
      <c r="F232" s="8" t="str">
        <f aca="false">IF(D232="","",IFERROR(INDEX(ProjCodes,MATCH(D232,ProjNames,0)),""))</f>
        <v/>
      </c>
      <c r="G232" s="32"/>
      <c r="H232" s="11"/>
      <c r="I232" s="33"/>
      <c r="J232" s="8" t="str">
        <f aca="false">IF(COUNTA(B232,D232,G232,H232,I232)=0,"",IF(B232="","Enter date",IF(OR(B232&lt;$AC$2,B232&gt;$AC$3),"Date not in August",IF(D232="","Pick project",IF(ISNA(MATCH(D232,ProjNames,0)),"Project not in list",IF(G232="","Add task description",IF(H232="","Pick NTIME or P6",IF(N(I232)&lt;=0,"Enter hours",IF(AND(AllowOT&lt;&gt;"Yes",SUMIF($B$7:$B$256,B232,$I$7:$I$256)&gt;INDEX($O$58:$O$88,DAY(B232))),"Day over "&amp;INDEX($O$58:$O$88,DAY(B232))&amp;" h","✓")))))))))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5" hidden="false" customHeight="false" outlineLevel="0" collapsed="false">
      <c r="A233" s="1"/>
      <c r="B233" s="10"/>
      <c r="C233" s="31" t="str">
        <f aca="false">IF(B233="","",TEXT(B233,"ddd"))</f>
        <v/>
      </c>
      <c r="D233" s="11"/>
      <c r="E233" s="8" t="str">
        <f aca="false">IF(D233="","",IFERROR(INDEX(ProjNumbers,MATCH(D233,ProjNames,0)),""))</f>
        <v/>
      </c>
      <c r="F233" s="8" t="str">
        <f aca="false">IF(D233="","",IFERROR(INDEX(ProjCodes,MATCH(D233,ProjNames,0)),""))</f>
        <v/>
      </c>
      <c r="G233" s="32"/>
      <c r="H233" s="11"/>
      <c r="I233" s="33"/>
      <c r="J233" s="8" t="str">
        <f aca="false">IF(COUNTA(B233,D233,G233,H233,I233)=0,"",IF(B233="","Enter date",IF(OR(B233&lt;$AC$2,B233&gt;$AC$3),"Date not in August",IF(D233="","Pick project",IF(ISNA(MATCH(D233,ProjNames,0)),"Project not in list",IF(G233="","Add task description",IF(H233="","Pick NTIME or P6",IF(N(I233)&lt;=0,"Enter hours",IF(AND(AllowOT&lt;&gt;"Yes",SUMIF($B$7:$B$256,B233,$I$7:$I$256)&gt;INDEX($O$58:$O$88,DAY(B233))),"Day over "&amp;INDEX($O$58:$O$88,DAY(B233))&amp;" h","✓")))))))))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5" hidden="false" customHeight="false" outlineLevel="0" collapsed="false">
      <c r="A234" s="1"/>
      <c r="B234" s="10"/>
      <c r="C234" s="31" t="str">
        <f aca="false">IF(B234="","",TEXT(B234,"ddd"))</f>
        <v/>
      </c>
      <c r="D234" s="11"/>
      <c r="E234" s="8" t="str">
        <f aca="false">IF(D234="","",IFERROR(INDEX(ProjNumbers,MATCH(D234,ProjNames,0)),""))</f>
        <v/>
      </c>
      <c r="F234" s="8" t="str">
        <f aca="false">IF(D234="","",IFERROR(INDEX(ProjCodes,MATCH(D234,ProjNames,0)),""))</f>
        <v/>
      </c>
      <c r="G234" s="32"/>
      <c r="H234" s="11"/>
      <c r="I234" s="33"/>
      <c r="J234" s="8" t="str">
        <f aca="false">IF(COUNTA(B234,D234,G234,H234,I234)=0,"",IF(B234="","Enter date",IF(OR(B234&lt;$AC$2,B234&gt;$AC$3),"Date not in August",IF(D234="","Pick project",IF(ISNA(MATCH(D234,ProjNames,0)),"Project not in list",IF(G234="","Add task description",IF(H234="","Pick NTIME or P6",IF(N(I234)&lt;=0,"Enter hours",IF(AND(AllowOT&lt;&gt;"Yes",SUMIF($B$7:$B$256,B234,$I$7:$I$256)&gt;INDEX($O$58:$O$88,DAY(B234))),"Day over "&amp;INDEX($O$58:$O$88,DAY(B234))&amp;" h","✓")))))))))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5" hidden="false" customHeight="false" outlineLevel="0" collapsed="false">
      <c r="A235" s="1"/>
      <c r="B235" s="10"/>
      <c r="C235" s="31" t="str">
        <f aca="false">IF(B235="","",TEXT(B235,"ddd"))</f>
        <v/>
      </c>
      <c r="D235" s="11"/>
      <c r="E235" s="8" t="str">
        <f aca="false">IF(D235="","",IFERROR(INDEX(ProjNumbers,MATCH(D235,ProjNames,0)),""))</f>
        <v/>
      </c>
      <c r="F235" s="8" t="str">
        <f aca="false">IF(D235="","",IFERROR(INDEX(ProjCodes,MATCH(D235,ProjNames,0)),""))</f>
        <v/>
      </c>
      <c r="G235" s="32"/>
      <c r="H235" s="11"/>
      <c r="I235" s="33"/>
      <c r="J235" s="8" t="str">
        <f aca="false">IF(COUNTA(B235,D235,G235,H235,I235)=0,"",IF(B235="","Enter date",IF(OR(B235&lt;$AC$2,B235&gt;$AC$3),"Date not in August",IF(D235="","Pick project",IF(ISNA(MATCH(D235,ProjNames,0)),"Project not in list",IF(G235="","Add task description",IF(H235="","Pick NTIME or P6",IF(N(I235)&lt;=0,"Enter hours",IF(AND(AllowOT&lt;&gt;"Yes",SUMIF($B$7:$B$256,B235,$I$7:$I$256)&gt;INDEX($O$58:$O$88,DAY(B235))),"Day over "&amp;INDEX($O$58:$O$88,DAY(B235))&amp;" h","✓")))))))))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5" hidden="false" customHeight="false" outlineLevel="0" collapsed="false">
      <c r="A236" s="1"/>
      <c r="B236" s="10"/>
      <c r="C236" s="31" t="str">
        <f aca="false">IF(B236="","",TEXT(B236,"ddd"))</f>
        <v/>
      </c>
      <c r="D236" s="11"/>
      <c r="E236" s="8" t="str">
        <f aca="false">IF(D236="","",IFERROR(INDEX(ProjNumbers,MATCH(D236,ProjNames,0)),""))</f>
        <v/>
      </c>
      <c r="F236" s="8" t="str">
        <f aca="false">IF(D236="","",IFERROR(INDEX(ProjCodes,MATCH(D236,ProjNames,0)),""))</f>
        <v/>
      </c>
      <c r="G236" s="32"/>
      <c r="H236" s="11"/>
      <c r="I236" s="33"/>
      <c r="J236" s="8" t="str">
        <f aca="false">IF(COUNTA(B236,D236,G236,H236,I236)=0,"",IF(B236="","Enter date",IF(OR(B236&lt;$AC$2,B236&gt;$AC$3),"Date not in August",IF(D236="","Pick project",IF(ISNA(MATCH(D236,ProjNames,0)),"Project not in list",IF(G236="","Add task description",IF(H236="","Pick NTIME or P6",IF(N(I236)&lt;=0,"Enter hours",IF(AND(AllowOT&lt;&gt;"Yes",SUMIF($B$7:$B$256,B236,$I$7:$I$256)&gt;INDEX($O$58:$O$88,DAY(B236))),"Day over "&amp;INDEX($O$58:$O$88,DAY(B236))&amp;" h","✓")))))))))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5" hidden="false" customHeight="false" outlineLevel="0" collapsed="false">
      <c r="A237" s="1"/>
      <c r="B237" s="10"/>
      <c r="C237" s="31" t="str">
        <f aca="false">IF(B237="","",TEXT(B237,"ddd"))</f>
        <v/>
      </c>
      <c r="D237" s="11"/>
      <c r="E237" s="8" t="str">
        <f aca="false">IF(D237="","",IFERROR(INDEX(ProjNumbers,MATCH(D237,ProjNames,0)),""))</f>
        <v/>
      </c>
      <c r="F237" s="8" t="str">
        <f aca="false">IF(D237="","",IFERROR(INDEX(ProjCodes,MATCH(D237,ProjNames,0)),""))</f>
        <v/>
      </c>
      <c r="G237" s="32"/>
      <c r="H237" s="11"/>
      <c r="I237" s="33"/>
      <c r="J237" s="8" t="str">
        <f aca="false">IF(COUNTA(B237,D237,G237,H237,I237)=0,"",IF(B237="","Enter date",IF(OR(B237&lt;$AC$2,B237&gt;$AC$3),"Date not in August",IF(D237="","Pick project",IF(ISNA(MATCH(D237,ProjNames,0)),"Project not in list",IF(G237="","Add task description",IF(H237="","Pick NTIME or P6",IF(N(I237)&lt;=0,"Enter hours",IF(AND(AllowOT&lt;&gt;"Yes",SUMIF($B$7:$B$256,B237,$I$7:$I$256)&gt;INDEX($O$58:$O$88,DAY(B237))),"Day over "&amp;INDEX($O$58:$O$88,DAY(B237))&amp;" h","✓")))))))))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5" hidden="false" customHeight="false" outlineLevel="0" collapsed="false">
      <c r="A238" s="1"/>
      <c r="B238" s="10"/>
      <c r="C238" s="31" t="str">
        <f aca="false">IF(B238="","",TEXT(B238,"ddd"))</f>
        <v/>
      </c>
      <c r="D238" s="11"/>
      <c r="E238" s="8" t="str">
        <f aca="false">IF(D238="","",IFERROR(INDEX(ProjNumbers,MATCH(D238,ProjNames,0)),""))</f>
        <v/>
      </c>
      <c r="F238" s="8" t="str">
        <f aca="false">IF(D238="","",IFERROR(INDEX(ProjCodes,MATCH(D238,ProjNames,0)),""))</f>
        <v/>
      </c>
      <c r="G238" s="32"/>
      <c r="H238" s="11"/>
      <c r="I238" s="33"/>
      <c r="J238" s="8" t="str">
        <f aca="false">IF(COUNTA(B238,D238,G238,H238,I238)=0,"",IF(B238="","Enter date",IF(OR(B238&lt;$AC$2,B238&gt;$AC$3),"Date not in August",IF(D238="","Pick project",IF(ISNA(MATCH(D238,ProjNames,0)),"Project not in list",IF(G238="","Add task description",IF(H238="","Pick NTIME or P6",IF(N(I238)&lt;=0,"Enter hours",IF(AND(AllowOT&lt;&gt;"Yes",SUMIF($B$7:$B$256,B238,$I$7:$I$256)&gt;INDEX($O$58:$O$88,DAY(B238))),"Day over "&amp;INDEX($O$58:$O$88,DAY(B238))&amp;" h","✓")))))))))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5" hidden="false" customHeight="false" outlineLevel="0" collapsed="false">
      <c r="A239" s="1"/>
      <c r="B239" s="10"/>
      <c r="C239" s="31" t="str">
        <f aca="false">IF(B239="","",TEXT(B239,"ddd"))</f>
        <v/>
      </c>
      <c r="D239" s="11"/>
      <c r="E239" s="8" t="str">
        <f aca="false">IF(D239="","",IFERROR(INDEX(ProjNumbers,MATCH(D239,ProjNames,0)),""))</f>
        <v/>
      </c>
      <c r="F239" s="8" t="str">
        <f aca="false">IF(D239="","",IFERROR(INDEX(ProjCodes,MATCH(D239,ProjNames,0)),""))</f>
        <v/>
      </c>
      <c r="G239" s="32"/>
      <c r="H239" s="11"/>
      <c r="I239" s="33"/>
      <c r="J239" s="8" t="str">
        <f aca="false">IF(COUNTA(B239,D239,G239,H239,I239)=0,"",IF(B239="","Enter date",IF(OR(B239&lt;$AC$2,B239&gt;$AC$3),"Date not in August",IF(D239="","Pick project",IF(ISNA(MATCH(D239,ProjNames,0)),"Project not in list",IF(G239="","Add task description",IF(H239="","Pick NTIME or P6",IF(N(I239)&lt;=0,"Enter hours",IF(AND(AllowOT&lt;&gt;"Yes",SUMIF($B$7:$B$256,B239,$I$7:$I$256)&gt;INDEX($O$58:$O$88,DAY(B239))),"Day over "&amp;INDEX($O$58:$O$88,DAY(B239))&amp;" h","✓")))))))))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5" hidden="false" customHeight="false" outlineLevel="0" collapsed="false">
      <c r="A240" s="1"/>
      <c r="B240" s="10"/>
      <c r="C240" s="31" t="str">
        <f aca="false">IF(B240="","",TEXT(B240,"ddd"))</f>
        <v/>
      </c>
      <c r="D240" s="11"/>
      <c r="E240" s="8" t="str">
        <f aca="false">IF(D240="","",IFERROR(INDEX(ProjNumbers,MATCH(D240,ProjNames,0)),""))</f>
        <v/>
      </c>
      <c r="F240" s="8" t="str">
        <f aca="false">IF(D240="","",IFERROR(INDEX(ProjCodes,MATCH(D240,ProjNames,0)),""))</f>
        <v/>
      </c>
      <c r="G240" s="32"/>
      <c r="H240" s="11"/>
      <c r="I240" s="33"/>
      <c r="J240" s="8" t="str">
        <f aca="false">IF(COUNTA(B240,D240,G240,H240,I240)=0,"",IF(B240="","Enter date",IF(OR(B240&lt;$AC$2,B240&gt;$AC$3),"Date not in August",IF(D240="","Pick project",IF(ISNA(MATCH(D240,ProjNames,0)),"Project not in list",IF(G240="","Add task description",IF(H240="","Pick NTIME or P6",IF(N(I240)&lt;=0,"Enter hours",IF(AND(AllowOT&lt;&gt;"Yes",SUMIF($B$7:$B$256,B240,$I$7:$I$256)&gt;INDEX($O$58:$O$88,DAY(B240))),"Day over "&amp;INDEX($O$58:$O$88,DAY(B240))&amp;" h","✓")))))))))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5" hidden="false" customHeight="false" outlineLevel="0" collapsed="false">
      <c r="A241" s="1"/>
      <c r="B241" s="10"/>
      <c r="C241" s="31" t="str">
        <f aca="false">IF(B241="","",TEXT(B241,"ddd"))</f>
        <v/>
      </c>
      <c r="D241" s="11"/>
      <c r="E241" s="8" t="str">
        <f aca="false">IF(D241="","",IFERROR(INDEX(ProjNumbers,MATCH(D241,ProjNames,0)),""))</f>
        <v/>
      </c>
      <c r="F241" s="8" t="str">
        <f aca="false">IF(D241="","",IFERROR(INDEX(ProjCodes,MATCH(D241,ProjNames,0)),""))</f>
        <v/>
      </c>
      <c r="G241" s="32"/>
      <c r="H241" s="11"/>
      <c r="I241" s="33"/>
      <c r="J241" s="8" t="str">
        <f aca="false">IF(COUNTA(B241,D241,G241,H241,I241)=0,"",IF(B241="","Enter date",IF(OR(B241&lt;$AC$2,B241&gt;$AC$3),"Date not in August",IF(D241="","Pick project",IF(ISNA(MATCH(D241,ProjNames,0)),"Project not in list",IF(G241="","Add task description",IF(H241="","Pick NTIME or P6",IF(N(I241)&lt;=0,"Enter hours",IF(AND(AllowOT&lt;&gt;"Yes",SUMIF($B$7:$B$256,B241,$I$7:$I$256)&gt;INDEX($O$58:$O$88,DAY(B241))),"Day over "&amp;INDEX($O$58:$O$88,DAY(B241))&amp;" h","✓")))))))))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5" hidden="false" customHeight="false" outlineLevel="0" collapsed="false">
      <c r="A242" s="1"/>
      <c r="B242" s="10"/>
      <c r="C242" s="31" t="str">
        <f aca="false">IF(B242="","",TEXT(B242,"ddd"))</f>
        <v/>
      </c>
      <c r="D242" s="11"/>
      <c r="E242" s="8" t="str">
        <f aca="false">IF(D242="","",IFERROR(INDEX(ProjNumbers,MATCH(D242,ProjNames,0)),""))</f>
        <v/>
      </c>
      <c r="F242" s="8" t="str">
        <f aca="false">IF(D242="","",IFERROR(INDEX(ProjCodes,MATCH(D242,ProjNames,0)),""))</f>
        <v/>
      </c>
      <c r="G242" s="32"/>
      <c r="H242" s="11"/>
      <c r="I242" s="33"/>
      <c r="J242" s="8" t="str">
        <f aca="false">IF(COUNTA(B242,D242,G242,H242,I242)=0,"",IF(B242="","Enter date",IF(OR(B242&lt;$AC$2,B242&gt;$AC$3),"Date not in August",IF(D242="","Pick project",IF(ISNA(MATCH(D242,ProjNames,0)),"Project not in list",IF(G242="","Add task description",IF(H242="","Pick NTIME or P6",IF(N(I242)&lt;=0,"Enter hours",IF(AND(AllowOT&lt;&gt;"Yes",SUMIF($B$7:$B$256,B242,$I$7:$I$256)&gt;INDEX($O$58:$O$88,DAY(B242))),"Day over "&amp;INDEX($O$58:$O$88,DAY(B242))&amp;" h","✓")))))))))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5" hidden="false" customHeight="false" outlineLevel="0" collapsed="false">
      <c r="A243" s="1"/>
      <c r="B243" s="10"/>
      <c r="C243" s="31" t="str">
        <f aca="false">IF(B243="","",TEXT(B243,"ddd"))</f>
        <v/>
      </c>
      <c r="D243" s="11"/>
      <c r="E243" s="8" t="str">
        <f aca="false">IF(D243="","",IFERROR(INDEX(ProjNumbers,MATCH(D243,ProjNames,0)),""))</f>
        <v/>
      </c>
      <c r="F243" s="8" t="str">
        <f aca="false">IF(D243="","",IFERROR(INDEX(ProjCodes,MATCH(D243,ProjNames,0)),""))</f>
        <v/>
      </c>
      <c r="G243" s="32"/>
      <c r="H243" s="11"/>
      <c r="I243" s="33"/>
      <c r="J243" s="8" t="str">
        <f aca="false">IF(COUNTA(B243,D243,G243,H243,I243)=0,"",IF(B243="","Enter date",IF(OR(B243&lt;$AC$2,B243&gt;$AC$3),"Date not in August",IF(D243="","Pick project",IF(ISNA(MATCH(D243,ProjNames,0)),"Project not in list",IF(G243="","Add task description",IF(H243="","Pick NTIME or P6",IF(N(I243)&lt;=0,"Enter hours",IF(AND(AllowOT&lt;&gt;"Yes",SUMIF($B$7:$B$256,B243,$I$7:$I$256)&gt;INDEX($O$58:$O$88,DAY(B243))),"Day over "&amp;INDEX($O$58:$O$88,DAY(B243))&amp;" h","✓")))))))))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5" hidden="false" customHeight="false" outlineLevel="0" collapsed="false">
      <c r="A244" s="1"/>
      <c r="B244" s="10"/>
      <c r="C244" s="31" t="str">
        <f aca="false">IF(B244="","",TEXT(B244,"ddd"))</f>
        <v/>
      </c>
      <c r="D244" s="11"/>
      <c r="E244" s="8" t="str">
        <f aca="false">IF(D244="","",IFERROR(INDEX(ProjNumbers,MATCH(D244,ProjNames,0)),""))</f>
        <v/>
      </c>
      <c r="F244" s="8" t="str">
        <f aca="false">IF(D244="","",IFERROR(INDEX(ProjCodes,MATCH(D244,ProjNames,0)),""))</f>
        <v/>
      </c>
      <c r="G244" s="32"/>
      <c r="H244" s="11"/>
      <c r="I244" s="33"/>
      <c r="J244" s="8" t="str">
        <f aca="false">IF(COUNTA(B244,D244,G244,H244,I244)=0,"",IF(B244="","Enter date",IF(OR(B244&lt;$AC$2,B244&gt;$AC$3),"Date not in August",IF(D244="","Pick project",IF(ISNA(MATCH(D244,ProjNames,0)),"Project not in list",IF(G244="","Add task description",IF(H244="","Pick NTIME or P6",IF(N(I244)&lt;=0,"Enter hours",IF(AND(AllowOT&lt;&gt;"Yes",SUMIF($B$7:$B$256,B244,$I$7:$I$256)&gt;INDEX($O$58:$O$88,DAY(B244))),"Day over "&amp;INDEX($O$58:$O$88,DAY(B244))&amp;" h","✓")))))))))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5" hidden="false" customHeight="false" outlineLevel="0" collapsed="false">
      <c r="A245" s="1"/>
      <c r="B245" s="10"/>
      <c r="C245" s="31" t="str">
        <f aca="false">IF(B245="","",TEXT(B245,"ddd"))</f>
        <v/>
      </c>
      <c r="D245" s="11"/>
      <c r="E245" s="8" t="str">
        <f aca="false">IF(D245="","",IFERROR(INDEX(ProjNumbers,MATCH(D245,ProjNames,0)),""))</f>
        <v/>
      </c>
      <c r="F245" s="8" t="str">
        <f aca="false">IF(D245="","",IFERROR(INDEX(ProjCodes,MATCH(D245,ProjNames,0)),""))</f>
        <v/>
      </c>
      <c r="G245" s="32"/>
      <c r="H245" s="11"/>
      <c r="I245" s="33"/>
      <c r="J245" s="8" t="str">
        <f aca="false">IF(COUNTA(B245,D245,G245,H245,I245)=0,"",IF(B245="","Enter date",IF(OR(B245&lt;$AC$2,B245&gt;$AC$3),"Date not in August",IF(D245="","Pick project",IF(ISNA(MATCH(D245,ProjNames,0)),"Project not in list",IF(G245="","Add task description",IF(H245="","Pick NTIME or P6",IF(N(I245)&lt;=0,"Enter hours",IF(AND(AllowOT&lt;&gt;"Yes",SUMIF($B$7:$B$256,B245,$I$7:$I$256)&gt;INDEX($O$58:$O$88,DAY(B245))),"Day over "&amp;INDEX($O$58:$O$88,DAY(B245))&amp;" h","✓")))))))))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5" hidden="false" customHeight="false" outlineLevel="0" collapsed="false">
      <c r="A246" s="1"/>
      <c r="B246" s="10"/>
      <c r="C246" s="31" t="str">
        <f aca="false">IF(B246="","",TEXT(B246,"ddd"))</f>
        <v/>
      </c>
      <c r="D246" s="11"/>
      <c r="E246" s="8" t="str">
        <f aca="false">IF(D246="","",IFERROR(INDEX(ProjNumbers,MATCH(D246,ProjNames,0)),""))</f>
        <v/>
      </c>
      <c r="F246" s="8" t="str">
        <f aca="false">IF(D246="","",IFERROR(INDEX(ProjCodes,MATCH(D246,ProjNames,0)),""))</f>
        <v/>
      </c>
      <c r="G246" s="32"/>
      <c r="H246" s="11"/>
      <c r="I246" s="33"/>
      <c r="J246" s="8" t="str">
        <f aca="false">IF(COUNTA(B246,D246,G246,H246,I246)=0,"",IF(B246="","Enter date",IF(OR(B246&lt;$AC$2,B246&gt;$AC$3),"Date not in August",IF(D246="","Pick project",IF(ISNA(MATCH(D246,ProjNames,0)),"Project not in list",IF(G246="","Add task description",IF(H246="","Pick NTIME or P6",IF(N(I246)&lt;=0,"Enter hours",IF(AND(AllowOT&lt;&gt;"Yes",SUMIF($B$7:$B$256,B246,$I$7:$I$256)&gt;INDEX($O$58:$O$88,DAY(B246))),"Day over "&amp;INDEX($O$58:$O$88,DAY(B246))&amp;" h","✓")))))))))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5" hidden="false" customHeight="false" outlineLevel="0" collapsed="false">
      <c r="A247" s="1"/>
      <c r="B247" s="10"/>
      <c r="C247" s="31" t="str">
        <f aca="false">IF(B247="","",TEXT(B247,"ddd"))</f>
        <v/>
      </c>
      <c r="D247" s="11"/>
      <c r="E247" s="8" t="str">
        <f aca="false">IF(D247="","",IFERROR(INDEX(ProjNumbers,MATCH(D247,ProjNames,0)),""))</f>
        <v/>
      </c>
      <c r="F247" s="8" t="str">
        <f aca="false">IF(D247="","",IFERROR(INDEX(ProjCodes,MATCH(D247,ProjNames,0)),""))</f>
        <v/>
      </c>
      <c r="G247" s="32"/>
      <c r="H247" s="11"/>
      <c r="I247" s="33"/>
      <c r="J247" s="8" t="str">
        <f aca="false">IF(COUNTA(B247,D247,G247,H247,I247)=0,"",IF(B247="","Enter date",IF(OR(B247&lt;$AC$2,B247&gt;$AC$3),"Date not in August",IF(D247="","Pick project",IF(ISNA(MATCH(D247,ProjNames,0)),"Project not in list",IF(G247="","Add task description",IF(H247="","Pick NTIME or P6",IF(N(I247)&lt;=0,"Enter hours",IF(AND(AllowOT&lt;&gt;"Yes",SUMIF($B$7:$B$256,B247,$I$7:$I$256)&gt;INDEX($O$58:$O$88,DAY(B247))),"Day over "&amp;INDEX($O$58:$O$88,DAY(B247))&amp;" h","✓")))))))))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5" hidden="false" customHeight="false" outlineLevel="0" collapsed="false">
      <c r="A248" s="1"/>
      <c r="B248" s="10"/>
      <c r="C248" s="31" t="str">
        <f aca="false">IF(B248="","",TEXT(B248,"ddd"))</f>
        <v/>
      </c>
      <c r="D248" s="11"/>
      <c r="E248" s="8" t="str">
        <f aca="false">IF(D248="","",IFERROR(INDEX(ProjNumbers,MATCH(D248,ProjNames,0)),""))</f>
        <v/>
      </c>
      <c r="F248" s="8" t="str">
        <f aca="false">IF(D248="","",IFERROR(INDEX(ProjCodes,MATCH(D248,ProjNames,0)),""))</f>
        <v/>
      </c>
      <c r="G248" s="32"/>
      <c r="H248" s="11"/>
      <c r="I248" s="33"/>
      <c r="J248" s="8" t="str">
        <f aca="false">IF(COUNTA(B248,D248,G248,H248,I248)=0,"",IF(B248="","Enter date",IF(OR(B248&lt;$AC$2,B248&gt;$AC$3),"Date not in August",IF(D248="","Pick project",IF(ISNA(MATCH(D248,ProjNames,0)),"Project not in list",IF(G248="","Add task description",IF(H248="","Pick NTIME or P6",IF(N(I248)&lt;=0,"Enter hours",IF(AND(AllowOT&lt;&gt;"Yes",SUMIF($B$7:$B$256,B248,$I$7:$I$256)&gt;INDEX($O$58:$O$88,DAY(B248))),"Day over "&amp;INDEX($O$58:$O$88,DAY(B248))&amp;" h","✓")))))))))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5" hidden="false" customHeight="false" outlineLevel="0" collapsed="false">
      <c r="A249" s="1"/>
      <c r="B249" s="10"/>
      <c r="C249" s="31" t="str">
        <f aca="false">IF(B249="","",TEXT(B249,"ddd"))</f>
        <v/>
      </c>
      <c r="D249" s="11"/>
      <c r="E249" s="8" t="str">
        <f aca="false">IF(D249="","",IFERROR(INDEX(ProjNumbers,MATCH(D249,ProjNames,0)),""))</f>
        <v/>
      </c>
      <c r="F249" s="8" t="str">
        <f aca="false">IF(D249="","",IFERROR(INDEX(ProjCodes,MATCH(D249,ProjNames,0)),""))</f>
        <v/>
      </c>
      <c r="G249" s="32"/>
      <c r="H249" s="11"/>
      <c r="I249" s="33"/>
      <c r="J249" s="8" t="str">
        <f aca="false">IF(COUNTA(B249,D249,G249,H249,I249)=0,"",IF(B249="","Enter date",IF(OR(B249&lt;$AC$2,B249&gt;$AC$3),"Date not in August",IF(D249="","Pick project",IF(ISNA(MATCH(D249,ProjNames,0)),"Project not in list",IF(G249="","Add task description",IF(H249="","Pick NTIME or P6",IF(N(I249)&lt;=0,"Enter hours",IF(AND(AllowOT&lt;&gt;"Yes",SUMIF($B$7:$B$256,B249,$I$7:$I$256)&gt;INDEX($O$58:$O$88,DAY(B249))),"Day over "&amp;INDEX($O$58:$O$88,DAY(B249))&amp;" h","✓")))))))))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5" hidden="false" customHeight="false" outlineLevel="0" collapsed="false">
      <c r="A250" s="1"/>
      <c r="B250" s="10"/>
      <c r="C250" s="31" t="str">
        <f aca="false">IF(B250="","",TEXT(B250,"ddd"))</f>
        <v/>
      </c>
      <c r="D250" s="11"/>
      <c r="E250" s="8" t="str">
        <f aca="false">IF(D250="","",IFERROR(INDEX(ProjNumbers,MATCH(D250,ProjNames,0)),""))</f>
        <v/>
      </c>
      <c r="F250" s="8" t="str">
        <f aca="false">IF(D250="","",IFERROR(INDEX(ProjCodes,MATCH(D250,ProjNames,0)),""))</f>
        <v/>
      </c>
      <c r="G250" s="32"/>
      <c r="H250" s="11"/>
      <c r="I250" s="33"/>
      <c r="J250" s="8" t="str">
        <f aca="false">IF(COUNTA(B250,D250,G250,H250,I250)=0,"",IF(B250="","Enter date",IF(OR(B250&lt;$AC$2,B250&gt;$AC$3),"Date not in August",IF(D250="","Pick project",IF(ISNA(MATCH(D250,ProjNames,0)),"Project not in list",IF(G250="","Add task description",IF(H250="","Pick NTIME or P6",IF(N(I250)&lt;=0,"Enter hours",IF(AND(AllowOT&lt;&gt;"Yes",SUMIF($B$7:$B$256,B250,$I$7:$I$256)&gt;INDEX($O$58:$O$88,DAY(B250))),"Day over "&amp;INDEX($O$58:$O$88,DAY(B250))&amp;" h","✓")))))))))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5" hidden="false" customHeight="false" outlineLevel="0" collapsed="false">
      <c r="A251" s="1"/>
      <c r="B251" s="10"/>
      <c r="C251" s="31" t="str">
        <f aca="false">IF(B251="","",TEXT(B251,"ddd"))</f>
        <v/>
      </c>
      <c r="D251" s="11"/>
      <c r="E251" s="8" t="str">
        <f aca="false">IF(D251="","",IFERROR(INDEX(ProjNumbers,MATCH(D251,ProjNames,0)),""))</f>
        <v/>
      </c>
      <c r="F251" s="8" t="str">
        <f aca="false">IF(D251="","",IFERROR(INDEX(ProjCodes,MATCH(D251,ProjNames,0)),""))</f>
        <v/>
      </c>
      <c r="G251" s="32"/>
      <c r="H251" s="11"/>
      <c r="I251" s="33"/>
      <c r="J251" s="8" t="str">
        <f aca="false">IF(COUNTA(B251,D251,G251,H251,I251)=0,"",IF(B251="","Enter date",IF(OR(B251&lt;$AC$2,B251&gt;$AC$3),"Date not in August",IF(D251="","Pick project",IF(ISNA(MATCH(D251,ProjNames,0)),"Project not in list",IF(G251="","Add task description",IF(H251="","Pick NTIME or P6",IF(N(I251)&lt;=0,"Enter hours",IF(AND(AllowOT&lt;&gt;"Yes",SUMIF($B$7:$B$256,B251,$I$7:$I$256)&gt;INDEX($O$58:$O$88,DAY(B251))),"Day over "&amp;INDEX($O$58:$O$88,DAY(B251))&amp;" h","✓")))))))))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5" hidden="false" customHeight="false" outlineLevel="0" collapsed="false">
      <c r="A252" s="1"/>
      <c r="B252" s="10"/>
      <c r="C252" s="31" t="str">
        <f aca="false">IF(B252="","",TEXT(B252,"ddd"))</f>
        <v/>
      </c>
      <c r="D252" s="11"/>
      <c r="E252" s="8" t="str">
        <f aca="false">IF(D252="","",IFERROR(INDEX(ProjNumbers,MATCH(D252,ProjNames,0)),""))</f>
        <v/>
      </c>
      <c r="F252" s="8" t="str">
        <f aca="false">IF(D252="","",IFERROR(INDEX(ProjCodes,MATCH(D252,ProjNames,0)),""))</f>
        <v/>
      </c>
      <c r="G252" s="32"/>
      <c r="H252" s="11"/>
      <c r="I252" s="33"/>
      <c r="J252" s="8" t="str">
        <f aca="false">IF(COUNTA(B252,D252,G252,H252,I252)=0,"",IF(B252="","Enter date",IF(OR(B252&lt;$AC$2,B252&gt;$AC$3),"Date not in August",IF(D252="","Pick project",IF(ISNA(MATCH(D252,ProjNames,0)),"Project not in list",IF(G252="","Add task description",IF(H252="","Pick NTIME or P6",IF(N(I252)&lt;=0,"Enter hours",IF(AND(AllowOT&lt;&gt;"Yes",SUMIF($B$7:$B$256,B252,$I$7:$I$256)&gt;INDEX($O$58:$O$88,DAY(B252))),"Day over "&amp;INDEX($O$58:$O$88,DAY(B252))&amp;" h","✓")))))))))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5" hidden="false" customHeight="false" outlineLevel="0" collapsed="false">
      <c r="A253" s="1"/>
      <c r="B253" s="10"/>
      <c r="C253" s="31" t="str">
        <f aca="false">IF(B253="","",TEXT(B253,"ddd"))</f>
        <v/>
      </c>
      <c r="D253" s="11"/>
      <c r="E253" s="8" t="str">
        <f aca="false">IF(D253="","",IFERROR(INDEX(ProjNumbers,MATCH(D253,ProjNames,0)),""))</f>
        <v/>
      </c>
      <c r="F253" s="8" t="str">
        <f aca="false">IF(D253="","",IFERROR(INDEX(ProjCodes,MATCH(D253,ProjNames,0)),""))</f>
        <v/>
      </c>
      <c r="G253" s="32"/>
      <c r="H253" s="11"/>
      <c r="I253" s="33"/>
      <c r="J253" s="8" t="str">
        <f aca="false">IF(COUNTA(B253,D253,G253,H253,I253)=0,"",IF(B253="","Enter date",IF(OR(B253&lt;$AC$2,B253&gt;$AC$3),"Date not in August",IF(D253="","Pick project",IF(ISNA(MATCH(D253,ProjNames,0)),"Project not in list",IF(G253="","Add task description",IF(H253="","Pick NTIME or P6",IF(N(I253)&lt;=0,"Enter hours",IF(AND(AllowOT&lt;&gt;"Yes",SUMIF($B$7:$B$256,B253,$I$7:$I$256)&gt;INDEX($O$58:$O$88,DAY(B253))),"Day over "&amp;INDEX($O$58:$O$88,DAY(B253))&amp;" h","✓")))))))))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5" hidden="false" customHeight="false" outlineLevel="0" collapsed="false">
      <c r="A254" s="1"/>
      <c r="B254" s="10"/>
      <c r="C254" s="31" t="str">
        <f aca="false">IF(B254="","",TEXT(B254,"ddd"))</f>
        <v/>
      </c>
      <c r="D254" s="11"/>
      <c r="E254" s="8" t="str">
        <f aca="false">IF(D254="","",IFERROR(INDEX(ProjNumbers,MATCH(D254,ProjNames,0)),""))</f>
        <v/>
      </c>
      <c r="F254" s="8" t="str">
        <f aca="false">IF(D254="","",IFERROR(INDEX(ProjCodes,MATCH(D254,ProjNames,0)),""))</f>
        <v/>
      </c>
      <c r="G254" s="32"/>
      <c r="H254" s="11"/>
      <c r="I254" s="33"/>
      <c r="J254" s="8" t="str">
        <f aca="false">IF(COUNTA(B254,D254,G254,H254,I254)=0,"",IF(B254="","Enter date",IF(OR(B254&lt;$AC$2,B254&gt;$AC$3),"Date not in August",IF(D254="","Pick project",IF(ISNA(MATCH(D254,ProjNames,0)),"Project not in list",IF(G254="","Add task description",IF(H254="","Pick NTIME or P6",IF(N(I254)&lt;=0,"Enter hours",IF(AND(AllowOT&lt;&gt;"Yes",SUMIF($B$7:$B$256,B254,$I$7:$I$256)&gt;INDEX($O$58:$O$88,DAY(B254))),"Day over "&amp;INDEX($O$58:$O$88,DAY(B254))&amp;" h","✓")))))))))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5" hidden="false" customHeight="false" outlineLevel="0" collapsed="false">
      <c r="A255" s="1"/>
      <c r="B255" s="10"/>
      <c r="C255" s="31" t="str">
        <f aca="false">IF(B255="","",TEXT(B255,"ddd"))</f>
        <v/>
      </c>
      <c r="D255" s="11"/>
      <c r="E255" s="8" t="str">
        <f aca="false">IF(D255="","",IFERROR(INDEX(ProjNumbers,MATCH(D255,ProjNames,0)),""))</f>
        <v/>
      </c>
      <c r="F255" s="8" t="str">
        <f aca="false">IF(D255="","",IFERROR(INDEX(ProjCodes,MATCH(D255,ProjNames,0)),""))</f>
        <v/>
      </c>
      <c r="G255" s="32"/>
      <c r="H255" s="11"/>
      <c r="I255" s="33"/>
      <c r="J255" s="8" t="str">
        <f aca="false">IF(COUNTA(B255,D255,G255,H255,I255)=0,"",IF(B255="","Enter date",IF(OR(B255&lt;$AC$2,B255&gt;$AC$3),"Date not in August",IF(D255="","Pick project",IF(ISNA(MATCH(D255,ProjNames,0)),"Project not in list",IF(G255="","Add task description",IF(H255="","Pick NTIME or P6",IF(N(I255)&lt;=0,"Enter hours",IF(AND(AllowOT&lt;&gt;"Yes",SUMIF($B$7:$B$256,B255,$I$7:$I$256)&gt;INDEX($O$58:$O$88,DAY(B255))),"Day over "&amp;INDEX($O$58:$O$88,DAY(B255))&amp;" h","✓")))))))))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5" hidden="false" customHeight="false" outlineLevel="0" collapsed="false">
      <c r="A256" s="1"/>
      <c r="B256" s="10"/>
      <c r="C256" s="31" t="str">
        <f aca="false">IF(B256="","",TEXT(B256,"ddd"))</f>
        <v/>
      </c>
      <c r="D256" s="11"/>
      <c r="E256" s="8" t="str">
        <f aca="false">IF(D256="","",IFERROR(INDEX(ProjNumbers,MATCH(D256,ProjNames,0)),""))</f>
        <v/>
      </c>
      <c r="F256" s="8" t="str">
        <f aca="false">IF(D256="","",IFERROR(INDEX(ProjCodes,MATCH(D256,ProjNames,0)),""))</f>
        <v/>
      </c>
      <c r="G256" s="32"/>
      <c r="H256" s="11"/>
      <c r="I256" s="33"/>
      <c r="J256" s="8" t="str">
        <f aca="false">IF(COUNTA(B256,D256,G256,H256,I256)=0,"",IF(B256="","Enter date",IF(OR(B256&lt;$AC$2,B256&gt;$AC$3),"Date not in August",IF(D256="","Pick project",IF(ISNA(MATCH(D256,ProjNames,0)),"Project not in list",IF(G256="","Add task description",IF(H256="","Pick NTIME or P6",IF(N(I256)&lt;=0,"Enter hours",IF(AND(AllowOT&lt;&gt;"Yes",SUMIF($B$7:$B$256,B256,$I$7:$I$256)&gt;INDEX($O$58:$O$88,DAY(B256))),"Day over "&amp;INDEX($O$58:$O$88,DAY(B256))&amp;" h","✓")))))))))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</sheetData>
  <conditionalFormatting sqref="J7:J256">
    <cfRule type="expression" priority="2" aboveAverage="0" equalAverage="0" bottom="0" percent="0" rank="0" text="" dxfId="0">
      <formula>AND(J7&lt;&gt;"",J7&lt;&gt;"✓")</formula>
    </cfRule>
  </conditionalFormatting>
  <conditionalFormatting sqref="H7:H256">
    <cfRule type="expression" priority="3" aboveAverage="0" equalAverage="0" bottom="0" percent="0" rank="0" text="" dxfId="1">
      <formula>H7="NTIME"</formula>
    </cfRule>
    <cfRule type="expression" priority="4" aboveAverage="0" equalAverage="0" bottom="0" percent="0" rank="0" text="" dxfId="2">
      <formula>H7="P6"</formula>
    </cfRule>
  </conditionalFormatting>
  <conditionalFormatting sqref="S5">
    <cfRule type="expression" priority="5" aboveAverage="0" equalAverage="0" bottom="0" percent="0" rank="0" text="" dxfId="3">
      <formula>S5&gt;0</formula>
    </cfRule>
  </conditionalFormatting>
  <conditionalFormatting sqref="L52:R52">
    <cfRule type="expression" priority="6" aboveAverage="0" equalAverage="0" bottom="0" percent="0" rank="0" text="" dxfId="4">
      <formula>$Q$52&gt;0</formula>
    </cfRule>
  </conditionalFormatting>
  <conditionalFormatting sqref="L58:U88">
    <cfRule type="expression" priority="7" aboveAverage="0" equalAverage="0" bottom="0" percent="0" rank="0" text="" dxfId="5">
      <formula>$L58=TODAY()</formula>
    </cfRule>
    <cfRule type="expression" priority="8" aboveAverage="0" equalAverage="0" bottom="0" percent="0" rank="0" text="" dxfId="6">
      <formula>OR($N58="Weekend",$N58="Leave",$N58="Public Holiday")</formula>
    </cfRule>
  </conditionalFormatting>
  <conditionalFormatting sqref="U58:U88">
    <cfRule type="expression" priority="9" aboveAverage="0" equalAverage="0" bottom="0" percent="0" rank="0" text="" dxfId="7">
      <formula>OR(U58="Not logged",LEFT(U58,5)="Over ",LEFT(U58,7)="Entries")</formula>
    </cfRule>
    <cfRule type="expression" priority="10" aboveAverage="0" equalAverage="0" bottom="0" percent="0" rank="0" text="" dxfId="8">
      <formula>LEFT(U58,1)="✓"</formula>
    </cfRule>
  </conditionalFormatting>
  <dataValidations count="7">
    <dataValidation allowBlank="false" error="Hours must be more than 0 and at most 24." errorStyle="stop" operator="between" showDropDown="false" showErrorMessage="true" showInputMessage="false" sqref="I7:I256" type="decimal">
      <formula1>0.01</formula1>
      <formula2>24</formula2>
    </dataValidation>
    <dataValidation allowBlank="false" error="Keep the task description to 200 characters." errorStyle="stop" operator="lessThanOrEqual" showDropDown="false" showErrorMessage="true" showInputMessage="false" sqref="G7:G256" type="textLength">
      <formula1>200</formula1>
      <formula2>0</formula2>
    </dataValidation>
    <dataValidation allowBlank="false" errorStyle="stop" operator="between" showDropDown="false" showErrorMessage="true" showInputMessage="false" sqref="O58:O88" type="decimal">
      <formula1>0</formula1>
      <formula2>24</formula2>
    </dataValidation>
    <dataValidation allowBlank="false" error="Enter a date in August 2026." errorStyle="stop" errorTitle="Date" operator="between" showDropDown="false" showErrorMessage="true" showInputMessage="false" sqref="B7:B256" type="date">
      <formula1>DATE(2026,8,1)</formula1>
      <formula2>DATE(2026,8,31)</formula2>
    </dataValidation>
    <dataValidation allowBlank="false" error="Pick a project from the list. Add new projects on the Projects sheet first." errorStyle="stop" errorTitle="Project" operator="between" showDropDown="false" showErrorMessage="true" showInputMessage="false" sqref="D7:D256" type="list">
      <formula1>ProjNames</formula1>
      <formula2>0</formula2>
    </dataValidation>
    <dataValidation allowBlank="false" errorStyle="stop" operator="between" showDropDown="false" showErrorMessage="true" showInputMessage="false" sqref="H7:H256" type="list">
      <formula1>"NTIME,P6"</formula1>
      <formula2>0</formula2>
    </dataValidation>
    <dataValidation allowBlank="false" errorStyle="stop" operator="between" showDropDown="false" showErrorMessage="true" showInputMessage="false" sqref="N58:N88" type="list">
      <formula1>"Working,Overhead only,Leave,Public Holiday,Weekend"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true"/>
  </sheetPr>
  <dimension ref="A1:AH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9" min="15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true" outlineLevel="0" max="34" min="23" style="0" width="13"/>
  </cols>
  <sheetData>
    <row r="1" customFormat="false" ht="22.05" hidden="false" customHeight="false" outlineLevel="0" collapsed="false">
      <c r="A1" s="1"/>
      <c r="B1" s="2" t="s">
        <v>102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75</v>
      </c>
      <c r="AD1" s="1"/>
      <c r="AE1" s="1"/>
      <c r="AF1" s="1"/>
      <c r="AG1" s="1"/>
      <c r="AH1" s="1"/>
    </row>
    <row r="2" customFormat="false" ht="15" hidden="false" customHeight="false" outlineLevel="0" collapsed="false">
      <c r="A2" s="1"/>
      <c r="B2" s="3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0" t="n">
        <v>46266</v>
      </c>
      <c r="AD2" s="1"/>
      <c r="AE2" s="1"/>
      <c r="AF2" s="1"/>
      <c r="AG2" s="1"/>
      <c r="AH2" s="1"/>
    </row>
    <row r="3" customFormat="false" ht="15" hidden="false" customHeight="false" outlineLevel="0" collapsed="false">
      <c r="A3" s="1"/>
      <c r="B3" s="4" t="s">
        <v>77</v>
      </c>
      <c r="C3" s="1"/>
      <c r="D3" s="1"/>
      <c r="E3" s="1"/>
      <c r="F3" s="1"/>
      <c r="G3" s="1"/>
      <c r="H3" s="1"/>
      <c r="I3" s="1"/>
      <c r="J3" s="1"/>
      <c r="K3" s="1"/>
      <c r="L3" s="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0" t="n">
        <v>46295</v>
      </c>
      <c r="AD3" s="1"/>
      <c r="AE3" s="1"/>
      <c r="AF3" s="1"/>
      <c r="AG3" s="1"/>
      <c r="AH3" s="1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3" t="s">
        <v>50</v>
      </c>
      <c r="M4" s="13" t="str">
        <f aca="false">IF(OHSystem="NTIME","NTIME (incl. overhead)","NTIME")</f>
        <v>NTIME</v>
      </c>
      <c r="N4" s="13" t="str">
        <f aca="false">IF(OHSystem="P6","P6 (incl. overhead)","P6")</f>
        <v>P6</v>
      </c>
      <c r="O4" s="13" t="s">
        <v>15</v>
      </c>
      <c r="P4" s="13" t="s">
        <v>24</v>
      </c>
      <c r="Q4" s="13" t="s">
        <v>51</v>
      </c>
      <c r="R4" s="13" t="s">
        <v>52</v>
      </c>
      <c r="S4" s="13" t="s">
        <v>53</v>
      </c>
      <c r="T4" s="1"/>
      <c r="U4" s="1"/>
      <c r="V4" s="1"/>
      <c r="W4" s="1"/>
      <c r="X4" s="1"/>
      <c r="Y4" s="1"/>
      <c r="Z4" s="1"/>
      <c r="AA4" s="1"/>
      <c r="AB4" s="1"/>
      <c r="AC4" s="30" t="n">
        <f aca="false">AC2-MOD(WEEKDAY(AC2,2)-WeekStartNum,7)</f>
        <v>46265</v>
      </c>
      <c r="AD4" s="1"/>
      <c r="AE4" s="1"/>
      <c r="AF4" s="1"/>
      <c r="AG4" s="1"/>
      <c r="AH4" s="1"/>
    </row>
    <row r="5" customFormat="false" ht="30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 t="n">
        <f aca="false">SUM($T$58:$T$87)</f>
        <v>0</v>
      </c>
      <c r="M5" s="15" t="n">
        <f aca="false">SUM($P$58:$P$87)+IF(OHSystem="NTIME",SUM($R$58:$R$87),0)</f>
        <v>0</v>
      </c>
      <c r="N5" s="16" t="n">
        <f aca="false">SUM($Q$58:$Q$87)+IF(OHSystem="P6",SUM($R$58:$R$87),0)</f>
        <v>0</v>
      </c>
      <c r="O5" s="17" t="n">
        <f aca="false">SUM($R$58:$R$87)</f>
        <v>0</v>
      </c>
      <c r="P5" s="14" t="n">
        <f aca="false">SUM($S$58:$S$87)</f>
        <v>0</v>
      </c>
      <c r="Q5" s="18" t="str">
        <f aca="false">IF(L5=0,"-",(SUM($P$58:$P$87)+SUM($Q$58:$Q$87))/L5)</f>
        <v>-</v>
      </c>
      <c r="R5" s="19" t="n">
        <f aca="false">SUMPRODUCT(($N$58:$N$87="Working")*(($P$58:$P$87+$Q$58:$Q$87)&gt;0))+COUNTIF($N$58:$N$87,"Overhead only")</f>
        <v>0</v>
      </c>
      <c r="S5" s="19" t="n">
        <f aca="false">COUNTIF($U$58:$U$87,"Not logged")</f>
        <v>22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5" hidden="false" customHeight="false" outlineLevel="0" collapsed="false">
      <c r="A6" s="1"/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5" hidden="false" customHeight="false" outlineLevel="0" collapsed="false">
      <c r="A7" s="1"/>
      <c r="B7" s="10"/>
      <c r="C7" s="31" t="str">
        <f aca="false">IF(B7="","",TEXT(B7,"ddd"))</f>
        <v/>
      </c>
      <c r="D7" s="11"/>
      <c r="E7" s="8" t="str">
        <f aca="false">IF(D7="","",IFERROR(INDEX(ProjNumbers,MATCH(D7,ProjNames,0)),""))</f>
        <v/>
      </c>
      <c r="F7" s="8" t="str">
        <f aca="false">IF(D7="","",IFERROR(INDEX(ProjCodes,MATCH(D7,ProjNames,0)),""))</f>
        <v/>
      </c>
      <c r="G7" s="32"/>
      <c r="H7" s="11"/>
      <c r="I7" s="33"/>
      <c r="J7" s="8" t="str">
        <f aca="false">IF(COUNTA(B7,D7,G7,H7,I7)=0,"",IF(B7="","Enter date",IF(OR(B7&lt;$AC$2,B7&gt;$AC$3),"Date not in September",IF(D7="","Pick project",IF(ISNA(MATCH(D7,ProjNames,0)),"Project not in list",IF(G7="","Add task description",IF(H7="","Pick NTIME or P6",IF(N(I7)&lt;=0,"Enter hours",IF(AND(AllowOT&lt;&gt;"Yes",SUMIF($B$7:$B$256,B7,$I$7:$I$256)&gt;INDEX($O$58:$O$87,DAY(B7))),"Day over "&amp;INDEX($O$58:$O$87,DAY(B7))&amp;" h","✓")))))))))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tr">
        <f aca="false">IF(Projects!B5="","",Projects!B5)</f>
        <v>Project A</v>
      </c>
      <c r="X7" s="1" t="n">
        <f aca="false">IF(W7="",0,SUMIFS($I$7:$I$256,$D$7:$D$256,W7,$H$7:$H$256,"NTIME"))</f>
        <v>0</v>
      </c>
      <c r="Y7" s="1" t="n">
        <f aca="false">IF(W7="",0,SUMIFS($I$7:$I$256,$D$7:$D$256,W7,$H$7:$H$256,"P6"))</f>
        <v>0</v>
      </c>
      <c r="Z7" s="1" t="n">
        <f aca="false">X7+Y7</f>
        <v>0</v>
      </c>
      <c r="AA7" s="1" t="n">
        <f aca="false">IF(Z7&gt;0,Z7+(201-1)/10^6,0)</f>
        <v>0</v>
      </c>
      <c r="AB7" s="1"/>
      <c r="AC7" s="1"/>
      <c r="AD7" s="1"/>
      <c r="AE7" s="1"/>
      <c r="AF7" s="1"/>
      <c r="AG7" s="1"/>
      <c r="AH7" s="1"/>
    </row>
    <row r="8" customFormat="false" ht="15" hidden="false" customHeight="false" outlineLevel="0" collapsed="false">
      <c r="A8" s="1"/>
      <c r="B8" s="10"/>
      <c r="C8" s="31" t="str">
        <f aca="false">IF(B8="","",TEXT(B8,"ddd"))</f>
        <v/>
      </c>
      <c r="D8" s="11"/>
      <c r="E8" s="8" t="str">
        <f aca="false">IF(D8="","",IFERROR(INDEX(ProjNumbers,MATCH(D8,ProjNames,0)),""))</f>
        <v/>
      </c>
      <c r="F8" s="8" t="str">
        <f aca="false">IF(D8="","",IFERROR(INDEX(ProjCodes,MATCH(D8,ProjNames,0)),""))</f>
        <v/>
      </c>
      <c r="G8" s="32"/>
      <c r="H8" s="11"/>
      <c r="I8" s="33"/>
      <c r="J8" s="8" t="str">
        <f aca="false">IF(COUNTA(B8,D8,G8,H8,I8)=0,"",IF(B8="","Enter date",IF(OR(B8&lt;$AC$2,B8&gt;$AC$3),"Date not in September",IF(D8="","Pick project",IF(ISNA(MATCH(D8,ProjNames,0)),"Project not in list",IF(G8="","Add task description",IF(H8="","Pick NTIME or P6",IF(N(I8)&lt;=0,"Enter hours",IF(AND(AllowOT&lt;&gt;"Yes",SUMIF($B$7:$B$256,B8,$I$7:$I$256)&gt;INDEX($O$58:$O$87,DAY(B8))),"Day over "&amp;INDEX($O$58:$O$87,DAY(B8))&amp;" h","✓")))))))))</f>
        <v/>
      </c>
      <c r="K8" s="1"/>
      <c r="L8" s="4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f aca="false">IF(Projects!B6="","",Projects!B6)</f>
        <v/>
      </c>
      <c r="X8" s="1" t="n">
        <f aca="false">IF(W8="",0,SUMIFS($I$7:$I$256,$D$7:$D$256,W8,$H$7:$H$256,"NTIME"))</f>
        <v>0</v>
      </c>
      <c r="Y8" s="1" t="n">
        <f aca="false">IF(W8="",0,SUMIFS($I$7:$I$256,$D$7:$D$256,W8,$H$7:$H$256,"P6"))</f>
        <v>0</v>
      </c>
      <c r="Z8" s="1" t="n">
        <f aca="false">X8+Y8</f>
        <v>0</v>
      </c>
      <c r="AA8" s="1" t="n">
        <f aca="false">IF(Z8&gt;0,Z8+(201-2)/10^6,0)</f>
        <v>0</v>
      </c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/>
      <c r="B9" s="10"/>
      <c r="C9" s="31" t="str">
        <f aca="false">IF(B9="","",TEXT(B9,"ddd"))</f>
        <v/>
      </c>
      <c r="D9" s="11"/>
      <c r="E9" s="8" t="str">
        <f aca="false">IF(D9="","",IFERROR(INDEX(ProjNumbers,MATCH(D9,ProjNames,0)),""))</f>
        <v/>
      </c>
      <c r="F9" s="8" t="str">
        <f aca="false">IF(D9="","",IFERROR(INDEX(ProjCodes,MATCH(D9,ProjNames,0)),""))</f>
        <v/>
      </c>
      <c r="G9" s="32"/>
      <c r="H9" s="11"/>
      <c r="I9" s="33"/>
      <c r="J9" s="8" t="str">
        <f aca="false">IF(COUNTA(B9,D9,G9,H9,I9)=0,"",IF(B9="","Enter date",IF(OR(B9&lt;$AC$2,B9&gt;$AC$3),"Date not in September",IF(D9="","Pick project",IF(ISNA(MATCH(D9,ProjNames,0)),"Project not in list",IF(G9="","Add task description",IF(H9="","Pick NTIME or P6",IF(N(I9)&lt;=0,"Enter hours",IF(AND(AllowOT&lt;&gt;"Yes",SUMIF($B$7:$B$256,B9,$I$7:$I$256)&gt;INDEX($O$58:$O$87,DAY(B9))),"Day over "&amp;INDEX($O$58:$O$87,DAY(B9))&amp;" h","✓")))))))))</f>
        <v/>
      </c>
      <c r="K9" s="1"/>
      <c r="L9" s="9" t="s">
        <v>81</v>
      </c>
      <c r="M9" s="9" t="s">
        <v>82</v>
      </c>
      <c r="N9" s="9" t="s">
        <v>83</v>
      </c>
      <c r="O9" s="20" t="s">
        <v>46</v>
      </c>
      <c r="P9" s="21" t="s">
        <v>56</v>
      </c>
      <c r="Q9" s="22" t="s">
        <v>15</v>
      </c>
      <c r="R9" s="9" t="s">
        <v>24</v>
      </c>
      <c r="S9" s="9" t="s">
        <v>57</v>
      </c>
      <c r="T9" s="1"/>
      <c r="U9" s="1"/>
      <c r="V9" s="1"/>
      <c r="W9" s="1" t="str">
        <f aca="false">IF(Projects!B7="","",Projects!B7)</f>
        <v/>
      </c>
      <c r="X9" s="1" t="n">
        <f aca="false">IF(W9="",0,SUMIFS($I$7:$I$256,$D$7:$D$256,W9,$H$7:$H$256,"NTIME"))</f>
        <v>0</v>
      </c>
      <c r="Y9" s="1" t="n">
        <f aca="false">IF(W9="",0,SUMIFS($I$7:$I$256,$D$7:$D$256,W9,$H$7:$H$256,"P6"))</f>
        <v>0</v>
      </c>
      <c r="Z9" s="1" t="n">
        <f aca="false">X9+Y9</f>
        <v>0</v>
      </c>
      <c r="AA9" s="1" t="n">
        <f aca="false">IF(Z9&gt;0,Z9+(201-3)/10^6,0)</f>
        <v>0</v>
      </c>
      <c r="AB9" s="1"/>
      <c r="AC9" s="1"/>
      <c r="AD9" s="1"/>
      <c r="AE9" s="1"/>
      <c r="AF9" s="1" t="s">
        <v>46</v>
      </c>
      <c r="AG9" s="1" t="s">
        <v>56</v>
      </c>
      <c r="AH9" s="1" t="s">
        <v>15</v>
      </c>
    </row>
    <row r="10" customFormat="false" ht="15" hidden="false" customHeight="false" outlineLevel="0" collapsed="false">
      <c r="A10" s="1"/>
      <c r="B10" s="10"/>
      <c r="C10" s="31" t="str">
        <f aca="false">IF(B10="","",TEXT(B10,"ddd"))</f>
        <v/>
      </c>
      <c r="D10" s="11"/>
      <c r="E10" s="8" t="str">
        <f aca="false">IF(D10="","",IFERROR(INDEX(ProjNumbers,MATCH(D10,ProjNames,0)),""))</f>
        <v/>
      </c>
      <c r="F10" s="8" t="str">
        <f aca="false">IF(D10="","",IFERROR(INDEX(ProjCodes,MATCH(D10,ProjNames,0)),""))</f>
        <v/>
      </c>
      <c r="G10" s="32"/>
      <c r="H10" s="11"/>
      <c r="I10" s="33"/>
      <c r="J10" s="8" t="str">
        <f aca="false">IF(COUNTA(B10,D10,G10,H10,I10)=0,"",IF(B10="","Enter date",IF(OR(B10&lt;$AC$2,B10&gt;$AC$3),"Date not in September",IF(D10="","Pick project",IF(ISNA(MATCH(D10,ProjNames,0)),"Project not in list",IF(G10="","Add task description",IF(H10="","Pick NTIME or P6",IF(N(I10)&lt;=0,"Enter hours",IF(AND(AllowOT&lt;&gt;"Yes",SUMIF($B$7:$B$256,B10,$I$7:$I$256)&gt;INDEX($O$58:$O$87,DAY(B10))),"Day over "&amp;INDEX($O$58:$O$87,DAY(B10))&amp;" h","✓")))))))))</f>
        <v/>
      </c>
      <c r="K10" s="1"/>
      <c r="L10" s="24" t="str">
        <f aca="false">"Week 1"&amp;IF(M10="",""," ("&amp;DAY(M10)&amp;"–"&amp;DAY(N10)&amp;")")</f>
        <v>Week 1 (1–6)</v>
      </c>
      <c r="M10" s="34" t="n">
        <f aca="false">IF($AC$4+7*0&gt;$AC$3,"",MAX($AC$2,$AC$4+7*0))</f>
        <v>46266</v>
      </c>
      <c r="N10" s="34" t="n">
        <f aca="false">IF(M10="","",MIN($AC$3,$AC$4+7*1-1))</f>
        <v>46271</v>
      </c>
      <c r="O10" s="24" t="n">
        <f aca="false">IF($M10="","",AF10+IF(OHSystem="NTIME",AH10,0))</f>
        <v>0</v>
      </c>
      <c r="P10" s="24" t="n">
        <f aca="false">IF($M10="","",AG10+IF(OHSystem="P6",AH10,0))</f>
        <v>0</v>
      </c>
      <c r="Q10" s="24" t="n">
        <f aca="false">IF($M10="","",AH10)</f>
        <v>0</v>
      </c>
      <c r="R10" s="24" t="n">
        <f aca="false">IF($M10="","",SUMIFS($S$58:$S$87,$L$58:$L$87,"&gt;="&amp;$M10,$L$58:$L$87,"&lt;="&amp;$N10))</f>
        <v>0</v>
      </c>
      <c r="S10" s="24" t="n">
        <f aca="false">IF($M10="","",SUMIFS($T$58:$T$87,$L$58:$L$87,"&gt;="&amp;$M10,$L$58:$L$87,"&lt;="&amp;$N10))</f>
        <v>0</v>
      </c>
      <c r="T10" s="1"/>
      <c r="U10" s="1"/>
      <c r="V10" s="1"/>
      <c r="W10" s="1" t="str">
        <f aca="false">IF(Projects!B8="","",Projects!B8)</f>
        <v/>
      </c>
      <c r="X10" s="1" t="n">
        <f aca="false">IF(W10="",0,SUMIFS($I$7:$I$256,$D$7:$D$256,W10,$H$7:$H$256,"NTIME"))</f>
        <v>0</v>
      </c>
      <c r="Y10" s="1" t="n">
        <f aca="false">IF(W10="",0,SUMIFS($I$7:$I$256,$D$7:$D$256,W10,$H$7:$H$256,"P6"))</f>
        <v>0</v>
      </c>
      <c r="Z10" s="1" t="n">
        <f aca="false">X10+Y10</f>
        <v>0</v>
      </c>
      <c r="AA10" s="1" t="n">
        <f aca="false">IF(Z10&gt;0,Z10+(201-4)/10^6,0)</f>
        <v>0</v>
      </c>
      <c r="AB10" s="1"/>
      <c r="AC10" s="1"/>
      <c r="AD10" s="1"/>
      <c r="AE10" s="1"/>
      <c r="AF10" s="1" t="n">
        <f aca="false">IF($M10="",0,SUMIFS($P$58:$P$87,$L$58:$L$87,"&gt;="&amp;$M10,$L$58:$L$87,"&lt;="&amp;$N10))</f>
        <v>0</v>
      </c>
      <c r="AG10" s="1" t="n">
        <f aca="false">IF($M10="",0,SUMIFS($Q$58:$Q$87,$L$58:$L$87,"&gt;="&amp;$M10,$L$58:$L$87,"&lt;="&amp;$N10))</f>
        <v>0</v>
      </c>
      <c r="AH10" s="1" t="n">
        <f aca="false">IF($M10="",0,SUMIFS($R$58:$R$87,$L$58:$L$87,"&gt;="&amp;$M10,$L$58:$L$87,"&lt;="&amp;$N10))</f>
        <v>0</v>
      </c>
    </row>
    <row r="11" customFormat="false" ht="15" hidden="false" customHeight="false" outlineLevel="0" collapsed="false">
      <c r="A11" s="1"/>
      <c r="B11" s="10"/>
      <c r="C11" s="31" t="str">
        <f aca="false">IF(B11="","",TEXT(B11,"ddd"))</f>
        <v/>
      </c>
      <c r="D11" s="11"/>
      <c r="E11" s="8" t="str">
        <f aca="false">IF(D11="","",IFERROR(INDEX(ProjNumbers,MATCH(D11,ProjNames,0)),""))</f>
        <v/>
      </c>
      <c r="F11" s="8" t="str">
        <f aca="false">IF(D11="","",IFERROR(INDEX(ProjCodes,MATCH(D11,ProjNames,0)),""))</f>
        <v/>
      </c>
      <c r="G11" s="32"/>
      <c r="H11" s="11"/>
      <c r="I11" s="33"/>
      <c r="J11" s="8" t="str">
        <f aca="false">IF(COUNTA(B11,D11,G11,H11,I11)=0,"",IF(B11="","Enter date",IF(OR(B11&lt;$AC$2,B11&gt;$AC$3),"Date not in September",IF(D11="","Pick project",IF(ISNA(MATCH(D11,ProjNames,0)),"Project not in list",IF(G11="","Add task description",IF(H11="","Pick NTIME or P6",IF(N(I11)&lt;=0,"Enter hours",IF(AND(AllowOT&lt;&gt;"Yes",SUMIF($B$7:$B$256,B11,$I$7:$I$256)&gt;INDEX($O$58:$O$87,DAY(B11))),"Day over "&amp;INDEX($O$58:$O$87,DAY(B11))&amp;" h","✓")))))))))</f>
        <v/>
      </c>
      <c r="K11" s="1"/>
      <c r="L11" s="24" t="str">
        <f aca="false">"Week 2"&amp;IF(M11="",""," ("&amp;DAY(M11)&amp;"–"&amp;DAY(N11)&amp;")")</f>
        <v>Week 2 (7–13)</v>
      </c>
      <c r="M11" s="34" t="n">
        <f aca="false">IF($AC$4+7*1&gt;$AC$3,"",MAX($AC$2,$AC$4+7*1))</f>
        <v>46272</v>
      </c>
      <c r="N11" s="34" t="n">
        <f aca="false">IF(M11="","",MIN($AC$3,$AC$4+7*2-1))</f>
        <v>46278</v>
      </c>
      <c r="O11" s="24" t="n">
        <f aca="false">IF($M11="","",AF11+IF(OHSystem="NTIME",AH11,0))</f>
        <v>0</v>
      </c>
      <c r="P11" s="24" t="n">
        <f aca="false">IF($M11="","",AG11+IF(OHSystem="P6",AH11,0))</f>
        <v>0</v>
      </c>
      <c r="Q11" s="24" t="n">
        <f aca="false">IF($M11="","",AH11)</f>
        <v>0</v>
      </c>
      <c r="R11" s="24" t="n">
        <f aca="false">IF($M11="","",SUMIFS($S$58:$S$87,$L$58:$L$87,"&gt;="&amp;$M11,$L$58:$L$87,"&lt;="&amp;$N11))</f>
        <v>0</v>
      </c>
      <c r="S11" s="24" t="n">
        <f aca="false">IF($M11="","",SUMIFS($T$58:$T$87,$L$58:$L$87,"&gt;="&amp;$M11,$L$58:$L$87,"&lt;="&amp;$N11))</f>
        <v>0</v>
      </c>
      <c r="T11" s="1"/>
      <c r="U11" s="1"/>
      <c r="V11" s="1"/>
      <c r="W11" s="1" t="str">
        <f aca="false">IF(Projects!B9="","",Projects!B9)</f>
        <v/>
      </c>
      <c r="X11" s="1" t="n">
        <f aca="false">IF(W11="",0,SUMIFS($I$7:$I$256,$D$7:$D$256,W11,$H$7:$H$256,"NTIME"))</f>
        <v>0</v>
      </c>
      <c r="Y11" s="1" t="n">
        <f aca="false">IF(W11="",0,SUMIFS($I$7:$I$256,$D$7:$D$256,W11,$H$7:$H$256,"P6"))</f>
        <v>0</v>
      </c>
      <c r="Z11" s="1" t="n">
        <f aca="false">X11+Y11</f>
        <v>0</v>
      </c>
      <c r="AA11" s="1" t="n">
        <f aca="false">IF(Z11&gt;0,Z11+(201-5)/10^6,0)</f>
        <v>0</v>
      </c>
      <c r="AB11" s="1"/>
      <c r="AC11" s="1"/>
      <c r="AD11" s="1"/>
      <c r="AE11" s="1"/>
      <c r="AF11" s="1" t="n">
        <f aca="false">IF($M11="",0,SUMIFS($P$58:$P$87,$L$58:$L$87,"&gt;="&amp;$M11,$L$58:$L$87,"&lt;="&amp;$N11))</f>
        <v>0</v>
      </c>
      <c r="AG11" s="1" t="n">
        <f aca="false">IF($M11="",0,SUMIFS($Q$58:$Q$87,$L$58:$L$87,"&gt;="&amp;$M11,$L$58:$L$87,"&lt;="&amp;$N11))</f>
        <v>0</v>
      </c>
      <c r="AH11" s="1" t="n">
        <f aca="false">IF($M11="",0,SUMIFS($R$58:$R$87,$L$58:$L$87,"&gt;="&amp;$M11,$L$58:$L$87,"&lt;="&amp;$N11))</f>
        <v>0</v>
      </c>
    </row>
    <row r="12" customFormat="false" ht="15" hidden="false" customHeight="false" outlineLevel="0" collapsed="false">
      <c r="A12" s="1"/>
      <c r="B12" s="10"/>
      <c r="C12" s="31" t="str">
        <f aca="false">IF(B12="","",TEXT(B12,"ddd"))</f>
        <v/>
      </c>
      <c r="D12" s="11"/>
      <c r="E12" s="8" t="str">
        <f aca="false">IF(D12="","",IFERROR(INDEX(ProjNumbers,MATCH(D12,ProjNames,0)),""))</f>
        <v/>
      </c>
      <c r="F12" s="8" t="str">
        <f aca="false">IF(D12="","",IFERROR(INDEX(ProjCodes,MATCH(D12,ProjNames,0)),""))</f>
        <v/>
      </c>
      <c r="G12" s="32"/>
      <c r="H12" s="11"/>
      <c r="I12" s="33"/>
      <c r="J12" s="8" t="str">
        <f aca="false">IF(COUNTA(B12,D12,G12,H12,I12)=0,"",IF(B12="","Enter date",IF(OR(B12&lt;$AC$2,B12&gt;$AC$3),"Date not in September",IF(D12="","Pick project",IF(ISNA(MATCH(D12,ProjNames,0)),"Project not in list",IF(G12="","Add task description",IF(H12="","Pick NTIME or P6",IF(N(I12)&lt;=0,"Enter hours",IF(AND(AllowOT&lt;&gt;"Yes",SUMIF($B$7:$B$256,B12,$I$7:$I$256)&gt;INDEX($O$58:$O$87,DAY(B12))),"Day over "&amp;INDEX($O$58:$O$87,DAY(B12))&amp;" h","✓")))))))))</f>
        <v/>
      </c>
      <c r="K12" s="1"/>
      <c r="L12" s="24" t="str">
        <f aca="false">"Week 3"&amp;IF(M12="",""," ("&amp;DAY(M12)&amp;"–"&amp;DAY(N12)&amp;")")</f>
        <v>Week 3 (14–20)</v>
      </c>
      <c r="M12" s="34" t="n">
        <f aca="false">IF($AC$4+7*2&gt;$AC$3,"",MAX($AC$2,$AC$4+7*2))</f>
        <v>46279</v>
      </c>
      <c r="N12" s="34" t="n">
        <f aca="false">IF(M12="","",MIN($AC$3,$AC$4+7*3-1))</f>
        <v>46285</v>
      </c>
      <c r="O12" s="24" t="n">
        <f aca="false">IF($M12="","",AF12+IF(OHSystem="NTIME",AH12,0))</f>
        <v>0</v>
      </c>
      <c r="P12" s="24" t="n">
        <f aca="false">IF($M12="","",AG12+IF(OHSystem="P6",AH12,0))</f>
        <v>0</v>
      </c>
      <c r="Q12" s="24" t="n">
        <f aca="false">IF($M12="","",AH12)</f>
        <v>0</v>
      </c>
      <c r="R12" s="24" t="n">
        <f aca="false">IF($M12="","",SUMIFS($S$58:$S$87,$L$58:$L$87,"&gt;="&amp;$M12,$L$58:$L$87,"&lt;="&amp;$N12))</f>
        <v>0</v>
      </c>
      <c r="S12" s="24" t="n">
        <f aca="false">IF($M12="","",SUMIFS($T$58:$T$87,$L$58:$L$87,"&gt;="&amp;$M12,$L$58:$L$87,"&lt;="&amp;$N12))</f>
        <v>0</v>
      </c>
      <c r="T12" s="1"/>
      <c r="U12" s="1"/>
      <c r="V12" s="1"/>
      <c r="W12" s="1" t="str">
        <f aca="false">IF(Projects!B10="","",Projects!B10)</f>
        <v/>
      </c>
      <c r="X12" s="1" t="n">
        <f aca="false">IF(W12="",0,SUMIFS($I$7:$I$256,$D$7:$D$256,W12,$H$7:$H$256,"NTIME"))</f>
        <v>0</v>
      </c>
      <c r="Y12" s="1" t="n">
        <f aca="false">IF(W12="",0,SUMIFS($I$7:$I$256,$D$7:$D$256,W12,$H$7:$H$256,"P6"))</f>
        <v>0</v>
      </c>
      <c r="Z12" s="1" t="n">
        <f aca="false">X12+Y12</f>
        <v>0</v>
      </c>
      <c r="AA12" s="1" t="n">
        <f aca="false">IF(Z12&gt;0,Z12+(201-6)/10^6,0)</f>
        <v>0</v>
      </c>
      <c r="AB12" s="1"/>
      <c r="AC12" s="1"/>
      <c r="AD12" s="1"/>
      <c r="AE12" s="1"/>
      <c r="AF12" s="1" t="n">
        <f aca="false">IF($M12="",0,SUMIFS($P$58:$P$87,$L$58:$L$87,"&gt;="&amp;$M12,$L$58:$L$87,"&lt;="&amp;$N12))</f>
        <v>0</v>
      </c>
      <c r="AG12" s="1" t="n">
        <f aca="false">IF($M12="",0,SUMIFS($Q$58:$Q$87,$L$58:$L$87,"&gt;="&amp;$M12,$L$58:$L$87,"&lt;="&amp;$N12))</f>
        <v>0</v>
      </c>
      <c r="AH12" s="1" t="n">
        <f aca="false">IF($M12="",0,SUMIFS($R$58:$R$87,$L$58:$L$87,"&gt;="&amp;$M12,$L$58:$L$87,"&lt;="&amp;$N12))</f>
        <v>0</v>
      </c>
    </row>
    <row r="13" customFormat="false" ht="15" hidden="false" customHeight="false" outlineLevel="0" collapsed="false">
      <c r="A13" s="1"/>
      <c r="B13" s="10"/>
      <c r="C13" s="31" t="str">
        <f aca="false">IF(B13="","",TEXT(B13,"ddd"))</f>
        <v/>
      </c>
      <c r="D13" s="11"/>
      <c r="E13" s="8" t="str">
        <f aca="false">IF(D13="","",IFERROR(INDEX(ProjNumbers,MATCH(D13,ProjNames,0)),""))</f>
        <v/>
      </c>
      <c r="F13" s="8" t="str">
        <f aca="false">IF(D13="","",IFERROR(INDEX(ProjCodes,MATCH(D13,ProjNames,0)),""))</f>
        <v/>
      </c>
      <c r="G13" s="32"/>
      <c r="H13" s="11"/>
      <c r="I13" s="33"/>
      <c r="J13" s="8" t="str">
        <f aca="false">IF(COUNTA(B13,D13,G13,H13,I13)=0,"",IF(B13="","Enter date",IF(OR(B13&lt;$AC$2,B13&gt;$AC$3),"Date not in September",IF(D13="","Pick project",IF(ISNA(MATCH(D13,ProjNames,0)),"Project not in list",IF(G13="","Add task description",IF(H13="","Pick NTIME or P6",IF(N(I13)&lt;=0,"Enter hours",IF(AND(AllowOT&lt;&gt;"Yes",SUMIF($B$7:$B$256,B13,$I$7:$I$256)&gt;INDEX($O$58:$O$87,DAY(B13))),"Day over "&amp;INDEX($O$58:$O$87,DAY(B13))&amp;" h","✓")))))))))</f>
        <v/>
      </c>
      <c r="K13" s="1"/>
      <c r="L13" s="24" t="str">
        <f aca="false">"Week 4"&amp;IF(M13="",""," ("&amp;DAY(M13)&amp;"–"&amp;DAY(N13)&amp;")")</f>
        <v>Week 4 (21–27)</v>
      </c>
      <c r="M13" s="34" t="n">
        <f aca="false">IF($AC$4+7*3&gt;$AC$3,"",MAX($AC$2,$AC$4+7*3))</f>
        <v>46286</v>
      </c>
      <c r="N13" s="34" t="n">
        <f aca="false">IF(M13="","",MIN($AC$3,$AC$4+7*4-1))</f>
        <v>46292</v>
      </c>
      <c r="O13" s="24" t="n">
        <f aca="false">IF($M13="","",AF13+IF(OHSystem="NTIME",AH13,0))</f>
        <v>0</v>
      </c>
      <c r="P13" s="24" t="n">
        <f aca="false">IF($M13="","",AG13+IF(OHSystem="P6",AH13,0))</f>
        <v>0</v>
      </c>
      <c r="Q13" s="24" t="n">
        <f aca="false">IF($M13="","",AH13)</f>
        <v>0</v>
      </c>
      <c r="R13" s="24" t="n">
        <f aca="false">IF($M13="","",SUMIFS($S$58:$S$87,$L$58:$L$87,"&gt;="&amp;$M13,$L$58:$L$87,"&lt;="&amp;$N13))</f>
        <v>0</v>
      </c>
      <c r="S13" s="24" t="n">
        <f aca="false">IF($M13="","",SUMIFS($T$58:$T$87,$L$58:$L$87,"&gt;="&amp;$M13,$L$58:$L$87,"&lt;="&amp;$N13))</f>
        <v>0</v>
      </c>
      <c r="T13" s="1"/>
      <c r="U13" s="1"/>
      <c r="V13" s="1"/>
      <c r="W13" s="1" t="str">
        <f aca="false">IF(Projects!B11="","",Projects!B11)</f>
        <v/>
      </c>
      <c r="X13" s="1" t="n">
        <f aca="false">IF(W13="",0,SUMIFS($I$7:$I$256,$D$7:$D$256,W13,$H$7:$H$256,"NTIME"))</f>
        <v>0</v>
      </c>
      <c r="Y13" s="1" t="n">
        <f aca="false">IF(W13="",0,SUMIFS($I$7:$I$256,$D$7:$D$256,W13,$H$7:$H$256,"P6"))</f>
        <v>0</v>
      </c>
      <c r="Z13" s="1" t="n">
        <f aca="false">X13+Y13</f>
        <v>0</v>
      </c>
      <c r="AA13" s="1" t="n">
        <f aca="false">IF(Z13&gt;0,Z13+(201-7)/10^6,0)</f>
        <v>0</v>
      </c>
      <c r="AB13" s="1"/>
      <c r="AC13" s="1"/>
      <c r="AD13" s="1"/>
      <c r="AE13" s="1"/>
      <c r="AF13" s="1" t="n">
        <f aca="false">IF($M13="",0,SUMIFS($P$58:$P$87,$L$58:$L$87,"&gt;="&amp;$M13,$L$58:$L$87,"&lt;="&amp;$N13))</f>
        <v>0</v>
      </c>
      <c r="AG13" s="1" t="n">
        <f aca="false">IF($M13="",0,SUMIFS($Q$58:$Q$87,$L$58:$L$87,"&gt;="&amp;$M13,$L$58:$L$87,"&lt;="&amp;$N13))</f>
        <v>0</v>
      </c>
      <c r="AH13" s="1" t="n">
        <f aca="false">IF($M13="",0,SUMIFS($R$58:$R$87,$L$58:$L$87,"&gt;="&amp;$M13,$L$58:$L$87,"&lt;="&amp;$N13))</f>
        <v>0</v>
      </c>
    </row>
    <row r="14" customFormat="false" ht="15" hidden="false" customHeight="false" outlineLevel="0" collapsed="false">
      <c r="A14" s="1"/>
      <c r="B14" s="10"/>
      <c r="C14" s="31" t="str">
        <f aca="false">IF(B14="","",TEXT(B14,"ddd"))</f>
        <v/>
      </c>
      <c r="D14" s="11"/>
      <c r="E14" s="8" t="str">
        <f aca="false">IF(D14="","",IFERROR(INDEX(ProjNumbers,MATCH(D14,ProjNames,0)),""))</f>
        <v/>
      </c>
      <c r="F14" s="8" t="str">
        <f aca="false">IF(D14="","",IFERROR(INDEX(ProjCodes,MATCH(D14,ProjNames,0)),""))</f>
        <v/>
      </c>
      <c r="G14" s="32"/>
      <c r="H14" s="11"/>
      <c r="I14" s="33"/>
      <c r="J14" s="8" t="str">
        <f aca="false">IF(COUNTA(B14,D14,G14,H14,I14)=0,"",IF(B14="","Enter date",IF(OR(B14&lt;$AC$2,B14&gt;$AC$3),"Date not in September",IF(D14="","Pick project",IF(ISNA(MATCH(D14,ProjNames,0)),"Project not in list",IF(G14="","Add task description",IF(H14="","Pick NTIME or P6",IF(N(I14)&lt;=0,"Enter hours",IF(AND(AllowOT&lt;&gt;"Yes",SUMIF($B$7:$B$256,B14,$I$7:$I$256)&gt;INDEX($O$58:$O$87,DAY(B14))),"Day over "&amp;INDEX($O$58:$O$87,DAY(B14))&amp;" h","✓")))))))))</f>
        <v/>
      </c>
      <c r="K14" s="1"/>
      <c r="L14" s="24" t="str">
        <f aca="false">"Week 5"&amp;IF(M14="",""," ("&amp;DAY(M14)&amp;"–"&amp;DAY(N14)&amp;")")</f>
        <v>Week 5 (28–30)</v>
      </c>
      <c r="M14" s="34" t="n">
        <f aca="false">IF($AC$4+7*4&gt;$AC$3,"",MAX($AC$2,$AC$4+7*4))</f>
        <v>46293</v>
      </c>
      <c r="N14" s="34" t="n">
        <f aca="false">IF(M14="","",MIN($AC$3,$AC$4+7*5-1))</f>
        <v>46295</v>
      </c>
      <c r="O14" s="24" t="n">
        <f aca="false">IF($M14="","",AF14+IF(OHSystem="NTIME",AH14,0))</f>
        <v>0</v>
      </c>
      <c r="P14" s="24" t="n">
        <f aca="false">IF($M14="","",AG14+IF(OHSystem="P6",AH14,0))</f>
        <v>0</v>
      </c>
      <c r="Q14" s="24" t="n">
        <f aca="false">IF($M14="","",AH14)</f>
        <v>0</v>
      </c>
      <c r="R14" s="24" t="n">
        <f aca="false">IF($M14="","",SUMIFS($S$58:$S$87,$L$58:$L$87,"&gt;="&amp;$M14,$L$58:$L$87,"&lt;="&amp;$N14))</f>
        <v>0</v>
      </c>
      <c r="S14" s="24" t="n">
        <f aca="false">IF($M14="","",SUMIFS($T$58:$T$87,$L$58:$L$87,"&gt;="&amp;$M14,$L$58:$L$87,"&lt;="&amp;$N14))</f>
        <v>0</v>
      </c>
      <c r="T14" s="1"/>
      <c r="U14" s="1"/>
      <c r="V14" s="1"/>
      <c r="W14" s="1" t="str">
        <f aca="false">IF(Projects!B12="","",Projects!B12)</f>
        <v/>
      </c>
      <c r="X14" s="1" t="n">
        <f aca="false">IF(W14="",0,SUMIFS($I$7:$I$256,$D$7:$D$256,W14,$H$7:$H$256,"NTIME"))</f>
        <v>0</v>
      </c>
      <c r="Y14" s="1" t="n">
        <f aca="false">IF(W14="",0,SUMIFS($I$7:$I$256,$D$7:$D$256,W14,$H$7:$H$256,"P6"))</f>
        <v>0</v>
      </c>
      <c r="Z14" s="1" t="n">
        <f aca="false">X14+Y14</f>
        <v>0</v>
      </c>
      <c r="AA14" s="1" t="n">
        <f aca="false">IF(Z14&gt;0,Z14+(201-8)/10^6,0)</f>
        <v>0</v>
      </c>
      <c r="AB14" s="1"/>
      <c r="AC14" s="1"/>
      <c r="AD14" s="1"/>
      <c r="AE14" s="1"/>
      <c r="AF14" s="1" t="n">
        <f aca="false">IF($M14="",0,SUMIFS($P$58:$P$87,$L$58:$L$87,"&gt;="&amp;$M14,$L$58:$L$87,"&lt;="&amp;$N14))</f>
        <v>0</v>
      </c>
      <c r="AG14" s="1" t="n">
        <f aca="false">IF($M14="",0,SUMIFS($Q$58:$Q$87,$L$58:$L$87,"&gt;="&amp;$M14,$L$58:$L$87,"&lt;="&amp;$N14))</f>
        <v>0</v>
      </c>
      <c r="AH14" s="1" t="n">
        <f aca="false">IF($M14="",0,SUMIFS($R$58:$R$87,$L$58:$L$87,"&gt;="&amp;$M14,$L$58:$L$87,"&lt;="&amp;$N14))</f>
        <v>0</v>
      </c>
    </row>
    <row r="15" customFormat="false" ht="15" hidden="false" customHeight="false" outlineLevel="0" collapsed="false">
      <c r="A15" s="1"/>
      <c r="B15" s="10"/>
      <c r="C15" s="31" t="str">
        <f aca="false">IF(B15="","",TEXT(B15,"ddd"))</f>
        <v/>
      </c>
      <c r="D15" s="11"/>
      <c r="E15" s="8" t="str">
        <f aca="false">IF(D15="","",IFERROR(INDEX(ProjNumbers,MATCH(D15,ProjNames,0)),""))</f>
        <v/>
      </c>
      <c r="F15" s="8" t="str">
        <f aca="false">IF(D15="","",IFERROR(INDEX(ProjCodes,MATCH(D15,ProjNames,0)),""))</f>
        <v/>
      </c>
      <c r="G15" s="32"/>
      <c r="H15" s="11"/>
      <c r="I15" s="33"/>
      <c r="J15" s="8" t="str">
        <f aca="false">IF(COUNTA(B15,D15,G15,H15,I15)=0,"",IF(B15="","Enter date",IF(OR(B15&lt;$AC$2,B15&gt;$AC$3),"Date not in September",IF(D15="","Pick project",IF(ISNA(MATCH(D15,ProjNames,0)),"Project not in list",IF(G15="","Add task description",IF(H15="","Pick NTIME or P6",IF(N(I15)&lt;=0,"Enter hours",IF(AND(AllowOT&lt;&gt;"Yes",SUMIF($B$7:$B$256,B15,$I$7:$I$256)&gt;INDEX($O$58:$O$87,DAY(B15))),"Day over "&amp;INDEX($O$58:$O$87,DAY(B15))&amp;" h","✓")))))))))</f>
        <v/>
      </c>
      <c r="K15" s="1"/>
      <c r="L15" s="24" t="str">
        <f aca="false">"Week 6"&amp;IF(M15="",""," ("&amp;DAY(M15)&amp;"–"&amp;DAY(N15)&amp;")")</f>
        <v>Week 6</v>
      </c>
      <c r="M15" s="34" t="str">
        <f aca="false">IF($AC$4+7*5&gt;$AC$3,"",MAX($AC$2,$AC$4+7*5))</f>
        <v/>
      </c>
      <c r="N15" s="34" t="str">
        <f aca="false">IF(M15="","",MIN($AC$3,$AC$4+7*6-1))</f>
        <v/>
      </c>
      <c r="O15" s="24" t="str">
        <f aca="false">IF($M15="","",AF15+IF(OHSystem="NTIME",AH15,0))</f>
        <v/>
      </c>
      <c r="P15" s="24" t="str">
        <f aca="false">IF($M15="","",AG15+IF(OHSystem="P6",AH15,0))</f>
        <v/>
      </c>
      <c r="Q15" s="24" t="str">
        <f aca="false">IF($M15="","",AH15)</f>
        <v/>
      </c>
      <c r="R15" s="24" t="str">
        <f aca="false">IF($M15="","",SUMIFS($S$58:$S$87,$L$58:$L$87,"&gt;="&amp;$M15,$L$58:$L$87,"&lt;="&amp;$N15))</f>
        <v/>
      </c>
      <c r="S15" s="24" t="str">
        <f aca="false">IF($M15="","",SUMIFS($T$58:$T$87,$L$58:$L$87,"&gt;="&amp;$M15,$L$58:$L$87,"&lt;="&amp;$N15))</f>
        <v/>
      </c>
      <c r="T15" s="1"/>
      <c r="U15" s="1"/>
      <c r="V15" s="1"/>
      <c r="W15" s="1" t="str">
        <f aca="false">IF(Projects!B13="","",Projects!B13)</f>
        <v/>
      </c>
      <c r="X15" s="1" t="n">
        <f aca="false">IF(W15="",0,SUMIFS($I$7:$I$256,$D$7:$D$256,W15,$H$7:$H$256,"NTIME"))</f>
        <v>0</v>
      </c>
      <c r="Y15" s="1" t="n">
        <f aca="false">IF(W15="",0,SUMIFS($I$7:$I$256,$D$7:$D$256,W15,$H$7:$H$256,"P6"))</f>
        <v>0</v>
      </c>
      <c r="Z15" s="1" t="n">
        <f aca="false">X15+Y15</f>
        <v>0</v>
      </c>
      <c r="AA15" s="1" t="n">
        <f aca="false">IF(Z15&gt;0,Z15+(201-9)/10^6,0)</f>
        <v>0</v>
      </c>
      <c r="AB15" s="1"/>
      <c r="AC15" s="1"/>
      <c r="AD15" s="1"/>
      <c r="AE15" s="1"/>
      <c r="AF15" s="1" t="n">
        <f aca="false">IF($M15="",0,SUMIFS($P$58:$P$87,$L$58:$L$87,"&gt;="&amp;$M15,$L$58:$L$87,"&lt;="&amp;$N15))</f>
        <v>0</v>
      </c>
      <c r="AG15" s="1" t="n">
        <f aca="false">IF($M15="",0,SUMIFS($Q$58:$Q$87,$L$58:$L$87,"&gt;="&amp;$M15,$L$58:$L$87,"&lt;="&amp;$N15))</f>
        <v>0</v>
      </c>
      <c r="AH15" s="1" t="n">
        <f aca="false">IF($M15="",0,SUMIFS($R$58:$R$87,$L$58:$L$87,"&gt;="&amp;$M15,$L$58:$L$87,"&lt;="&amp;$N15))</f>
        <v>0</v>
      </c>
    </row>
    <row r="16" customFormat="false" ht="15" hidden="false" customHeight="false" outlineLevel="0" collapsed="false">
      <c r="A16" s="1"/>
      <c r="B16" s="10"/>
      <c r="C16" s="31" t="str">
        <f aca="false">IF(B16="","",TEXT(B16,"ddd"))</f>
        <v/>
      </c>
      <c r="D16" s="11"/>
      <c r="E16" s="8" t="str">
        <f aca="false">IF(D16="","",IFERROR(INDEX(ProjNumbers,MATCH(D16,ProjNames,0)),""))</f>
        <v/>
      </c>
      <c r="F16" s="8" t="str">
        <f aca="false">IF(D16="","",IFERROR(INDEX(ProjCodes,MATCH(D16,ProjNames,0)),""))</f>
        <v/>
      </c>
      <c r="G16" s="32"/>
      <c r="H16" s="11"/>
      <c r="I16" s="33"/>
      <c r="J16" s="8" t="str">
        <f aca="false">IF(COUNTA(B16,D16,G16,H16,I16)=0,"",IF(B16="","Enter date",IF(OR(B16&lt;$AC$2,B16&gt;$AC$3),"Date not in September",IF(D16="","Pick project",IF(ISNA(MATCH(D16,ProjNames,0)),"Project not in list",IF(G16="","Add task description",IF(H16="","Pick NTIME or P6",IF(N(I16)&lt;=0,"Enter hours",IF(AND(AllowOT&lt;&gt;"Yes",SUMIF($B$7:$B$256,B16,$I$7:$I$256)&gt;INDEX($O$58:$O$87,DAY(B16))),"Day over "&amp;INDEX($O$58:$O$87,DAY(B16))&amp;" h","✓")))))))))</f>
        <v/>
      </c>
      <c r="K16" s="1"/>
      <c r="L16" s="27" t="s">
        <v>84</v>
      </c>
      <c r="M16" s="27"/>
      <c r="N16" s="27"/>
      <c r="O16" s="27" t="n">
        <f aca="false">SUM(O10:O15)</f>
        <v>0</v>
      </c>
      <c r="P16" s="27" t="n">
        <f aca="false">SUM(P10:P15)</f>
        <v>0</v>
      </c>
      <c r="Q16" s="27" t="n">
        <f aca="false">SUM(Q10:Q15)</f>
        <v>0</v>
      </c>
      <c r="R16" s="27" t="n">
        <f aca="false">SUM(R10:R15)</f>
        <v>0</v>
      </c>
      <c r="S16" s="27" t="n">
        <f aca="false">SUM(S10:S15)</f>
        <v>0</v>
      </c>
      <c r="T16" s="1"/>
      <c r="U16" s="1"/>
      <c r="V16" s="1"/>
      <c r="W16" s="1" t="str">
        <f aca="false">IF(Projects!B14="","",Projects!B14)</f>
        <v/>
      </c>
      <c r="X16" s="1" t="n">
        <f aca="false">IF(W16="",0,SUMIFS($I$7:$I$256,$D$7:$D$256,W16,$H$7:$H$256,"NTIME"))</f>
        <v>0</v>
      </c>
      <c r="Y16" s="1" t="n">
        <f aca="false">IF(W16="",0,SUMIFS($I$7:$I$256,$D$7:$D$256,W16,$H$7:$H$256,"P6"))</f>
        <v>0</v>
      </c>
      <c r="Z16" s="1" t="n">
        <f aca="false">X16+Y16</f>
        <v>0</v>
      </c>
      <c r="AA16" s="1" t="n">
        <f aca="false">IF(Z16&gt;0,Z16+(201-10)/10^6,0)</f>
        <v>0</v>
      </c>
      <c r="AB16" s="1"/>
      <c r="AC16" s="1"/>
      <c r="AD16" s="1"/>
      <c r="AE16" s="1"/>
      <c r="AF16" s="1" t="n">
        <f aca="false">SUM(AF10:AF15)</f>
        <v>0</v>
      </c>
      <c r="AG16" s="1" t="n">
        <f aca="false">SUM(AG10:AG15)</f>
        <v>0</v>
      </c>
      <c r="AH16" s="1" t="n">
        <f aca="false">SUM(AH10:AH15)</f>
        <v>0</v>
      </c>
    </row>
    <row r="17" customFormat="false" ht="15" hidden="false" customHeight="false" outlineLevel="0" collapsed="false">
      <c r="A17" s="1"/>
      <c r="B17" s="10"/>
      <c r="C17" s="31" t="str">
        <f aca="false">IF(B17="","",TEXT(B17,"ddd"))</f>
        <v/>
      </c>
      <c r="D17" s="11"/>
      <c r="E17" s="8" t="str">
        <f aca="false">IF(D17="","",IFERROR(INDEX(ProjNumbers,MATCH(D17,ProjNames,0)),""))</f>
        <v/>
      </c>
      <c r="F17" s="8" t="str">
        <f aca="false">IF(D17="","",IFERROR(INDEX(ProjCodes,MATCH(D17,ProjNames,0)),""))</f>
        <v/>
      </c>
      <c r="G17" s="32"/>
      <c r="H17" s="11"/>
      <c r="I17" s="33"/>
      <c r="J17" s="8" t="str">
        <f aca="false">IF(COUNTA(B17,D17,G17,H17,I17)=0,"",IF(B17="","Enter date",IF(OR(B17&lt;$AC$2,B17&gt;$AC$3),"Date not in September",IF(D17="","Pick project",IF(ISNA(MATCH(D17,ProjNames,0)),"Project not in list",IF(G17="","Add task description",IF(H17="","Pick NTIME or P6",IF(N(I17)&lt;=0,"Enter hours",IF(AND(AllowOT&lt;&gt;"Yes",SUMIF($B$7:$B$256,B17,$I$7:$I$256)&gt;INDEX($O$58:$O$87,DAY(B17))),"Day over "&amp;INDEX($O$58:$O$87,DAY(B17))&amp;" h","✓")))))))))</f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tr">
        <f aca="false">IF(Projects!B15="","",Projects!B15)</f>
        <v/>
      </c>
      <c r="X17" s="1" t="n">
        <f aca="false">IF(W17="",0,SUMIFS($I$7:$I$256,$D$7:$D$256,W17,$H$7:$H$256,"NTIME"))</f>
        <v>0</v>
      </c>
      <c r="Y17" s="1" t="n">
        <f aca="false">IF(W17="",0,SUMIFS($I$7:$I$256,$D$7:$D$256,W17,$H$7:$H$256,"P6"))</f>
        <v>0</v>
      </c>
      <c r="Z17" s="1" t="n">
        <f aca="false">X17+Y17</f>
        <v>0</v>
      </c>
      <c r="AA17" s="1" t="n">
        <f aca="false">IF(Z17&gt;0,Z17+(201-11)/10^6,0)</f>
        <v>0</v>
      </c>
      <c r="AB17" s="1"/>
      <c r="AC17" s="1"/>
      <c r="AD17" s="1"/>
      <c r="AE17" s="1"/>
      <c r="AF17" s="1"/>
      <c r="AG17" s="1"/>
      <c r="AH17" s="1"/>
    </row>
    <row r="18" customFormat="false" ht="15" hidden="false" customHeight="false" outlineLevel="0" collapsed="false">
      <c r="A18" s="1"/>
      <c r="B18" s="10"/>
      <c r="C18" s="31" t="str">
        <f aca="false">IF(B18="","",TEXT(B18,"ddd"))</f>
        <v/>
      </c>
      <c r="D18" s="11"/>
      <c r="E18" s="8" t="str">
        <f aca="false">IF(D18="","",IFERROR(INDEX(ProjNumbers,MATCH(D18,ProjNames,0)),""))</f>
        <v/>
      </c>
      <c r="F18" s="8" t="str">
        <f aca="false">IF(D18="","",IFERROR(INDEX(ProjCodes,MATCH(D18,ProjNames,0)),""))</f>
        <v/>
      </c>
      <c r="G18" s="32"/>
      <c r="H18" s="11"/>
      <c r="I18" s="33"/>
      <c r="J18" s="8" t="str">
        <f aca="false">IF(COUNTA(B18,D18,G18,H18,I18)=0,"",IF(B18="","Enter date",IF(OR(B18&lt;$AC$2,B18&gt;$AC$3),"Date not in September",IF(D18="","Pick project",IF(ISNA(MATCH(D18,ProjNames,0)),"Project not in list",IF(G18="","Add task description",IF(H18="","Pick NTIME or P6",IF(N(I18)&lt;=0,"Enter hours",IF(AND(AllowOT&lt;&gt;"Yes",SUMIF($B$7:$B$256,B18,$I$7:$I$256)&gt;INDEX($O$58:$O$87,DAY(B18))),"Day over "&amp;INDEX($O$58:$O$87,DAY(B18))&amp;" h","✓")))))))))</f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 aca="false">IF(Projects!B16="","",Projects!B16)</f>
        <v/>
      </c>
      <c r="X18" s="1" t="n">
        <f aca="false">IF(W18="",0,SUMIFS($I$7:$I$256,$D$7:$D$256,W18,$H$7:$H$256,"NTIME"))</f>
        <v>0</v>
      </c>
      <c r="Y18" s="1" t="n">
        <f aca="false">IF(W18="",0,SUMIFS($I$7:$I$256,$D$7:$D$256,W18,$H$7:$H$256,"P6"))</f>
        <v>0</v>
      </c>
      <c r="Z18" s="1" t="n">
        <f aca="false">X18+Y18</f>
        <v>0</v>
      </c>
      <c r="AA18" s="1" t="n">
        <f aca="false">IF(Z18&gt;0,Z18+(201-12)/10^6,0)</f>
        <v>0</v>
      </c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/>
      <c r="B19" s="10"/>
      <c r="C19" s="31" t="str">
        <f aca="false">IF(B19="","",TEXT(B19,"ddd"))</f>
        <v/>
      </c>
      <c r="D19" s="11"/>
      <c r="E19" s="8" t="str">
        <f aca="false">IF(D19="","",IFERROR(INDEX(ProjNumbers,MATCH(D19,ProjNames,0)),""))</f>
        <v/>
      </c>
      <c r="F19" s="8" t="str">
        <f aca="false">IF(D19="","",IFERROR(INDEX(ProjCodes,MATCH(D19,ProjNames,0)),""))</f>
        <v/>
      </c>
      <c r="G19" s="32"/>
      <c r="H19" s="11"/>
      <c r="I19" s="33"/>
      <c r="J19" s="8" t="str">
        <f aca="false">IF(COUNTA(B19,D19,G19,H19,I19)=0,"",IF(B19="","Enter date",IF(OR(B19&lt;$AC$2,B19&gt;$AC$3),"Date not in September",IF(D19="","Pick project",IF(ISNA(MATCH(D19,ProjNames,0)),"Project not in list",IF(G19="","Add task description",IF(H19="","Pick NTIME or P6",IF(N(I19)&lt;=0,"Enter hours",IF(AND(AllowOT&lt;&gt;"Yes",SUMIF($B$7:$B$256,B19,$I$7:$I$256)&gt;INDEX($O$58:$O$87,DAY(B19))),"Day over "&amp;INDEX($O$58:$O$87,DAY(B19))&amp;" h","✓")))))))))</f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tr">
        <f aca="false">IF(Projects!B17="","",Projects!B17)</f>
        <v/>
      </c>
      <c r="X19" s="1" t="n">
        <f aca="false">IF(W19="",0,SUMIFS($I$7:$I$256,$D$7:$D$256,W19,$H$7:$H$256,"NTIME"))</f>
        <v>0</v>
      </c>
      <c r="Y19" s="1" t="n">
        <f aca="false">IF(W19="",0,SUMIFS($I$7:$I$256,$D$7:$D$256,W19,$H$7:$H$256,"P6"))</f>
        <v>0</v>
      </c>
      <c r="Z19" s="1" t="n">
        <f aca="false">X19+Y19</f>
        <v>0</v>
      </c>
      <c r="AA19" s="1" t="n">
        <f aca="false">IF(Z19&gt;0,Z19+(201-13)/10^6,0)</f>
        <v>0</v>
      </c>
      <c r="AB19" s="1"/>
      <c r="AC19" s="1"/>
      <c r="AD19" s="1"/>
      <c r="AE19" s="1"/>
      <c r="AF19" s="1"/>
      <c r="AG19" s="1"/>
      <c r="AH19" s="1"/>
    </row>
    <row r="20" customFormat="false" ht="15" hidden="false" customHeight="false" outlineLevel="0" collapsed="false">
      <c r="A20" s="1"/>
      <c r="B20" s="10"/>
      <c r="C20" s="31" t="str">
        <f aca="false">IF(B20="","",TEXT(B20,"ddd"))</f>
        <v/>
      </c>
      <c r="D20" s="11"/>
      <c r="E20" s="8" t="str">
        <f aca="false">IF(D20="","",IFERROR(INDEX(ProjNumbers,MATCH(D20,ProjNames,0)),""))</f>
        <v/>
      </c>
      <c r="F20" s="8" t="str">
        <f aca="false">IF(D20="","",IFERROR(INDEX(ProjCodes,MATCH(D20,ProjNames,0)),""))</f>
        <v/>
      </c>
      <c r="G20" s="32"/>
      <c r="H20" s="11"/>
      <c r="I20" s="33"/>
      <c r="J20" s="8" t="str">
        <f aca="false">IF(COUNTA(B20,D20,G20,H20,I20)=0,"",IF(B20="","Enter date",IF(OR(B20&lt;$AC$2,B20&gt;$AC$3),"Date not in September",IF(D20="","Pick project",IF(ISNA(MATCH(D20,ProjNames,0)),"Project not in list",IF(G20="","Add task description",IF(H20="","Pick NTIME or P6",IF(N(I20)&lt;=0,"Enter hours",IF(AND(AllowOT&lt;&gt;"Yes",SUMIF($B$7:$B$256,B20,$I$7:$I$256)&gt;INDEX($O$58:$O$87,DAY(B20))),"Day over "&amp;INDEX($O$58:$O$87,DAY(B20))&amp;" h","✓")))))))))</f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tr">
        <f aca="false">IF(Projects!B18="","",Projects!B18)</f>
        <v/>
      </c>
      <c r="X20" s="1" t="n">
        <f aca="false">IF(W20="",0,SUMIFS($I$7:$I$256,$D$7:$D$256,W20,$H$7:$H$256,"NTIME"))</f>
        <v>0</v>
      </c>
      <c r="Y20" s="1" t="n">
        <f aca="false">IF(W20="",0,SUMIFS($I$7:$I$256,$D$7:$D$256,W20,$H$7:$H$256,"P6"))</f>
        <v>0</v>
      </c>
      <c r="Z20" s="1" t="n">
        <f aca="false">X20+Y20</f>
        <v>0</v>
      </c>
      <c r="AA20" s="1" t="n">
        <f aca="false">IF(Z20&gt;0,Z20+(201-14)/10^6,0)</f>
        <v>0</v>
      </c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/>
      <c r="B21" s="10"/>
      <c r="C21" s="31" t="str">
        <f aca="false">IF(B21="","",TEXT(B21,"ddd"))</f>
        <v/>
      </c>
      <c r="D21" s="11"/>
      <c r="E21" s="8" t="str">
        <f aca="false">IF(D21="","",IFERROR(INDEX(ProjNumbers,MATCH(D21,ProjNames,0)),""))</f>
        <v/>
      </c>
      <c r="F21" s="8" t="str">
        <f aca="false">IF(D21="","",IFERROR(INDEX(ProjCodes,MATCH(D21,ProjNames,0)),""))</f>
        <v/>
      </c>
      <c r="G21" s="32"/>
      <c r="H21" s="11"/>
      <c r="I21" s="33"/>
      <c r="J21" s="8" t="str">
        <f aca="false">IF(COUNTA(B21,D21,G21,H21,I21)=0,"",IF(B21="","Enter date",IF(OR(B21&lt;$AC$2,B21&gt;$AC$3),"Date not in September",IF(D21="","Pick project",IF(ISNA(MATCH(D21,ProjNames,0)),"Project not in list",IF(G21="","Add task description",IF(H21="","Pick NTIME or P6",IF(N(I21)&lt;=0,"Enter hours",IF(AND(AllowOT&lt;&gt;"Yes",SUMIF($B$7:$B$256,B21,$I$7:$I$256)&gt;INDEX($O$58:$O$87,DAY(B21))),"Day over "&amp;INDEX($O$58:$O$87,DAY(B21))&amp;" h","✓")))))))))</f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tr">
        <f aca="false">IF(Projects!B19="","",Projects!B19)</f>
        <v/>
      </c>
      <c r="X21" s="1" t="n">
        <f aca="false">IF(W21="",0,SUMIFS($I$7:$I$256,$D$7:$D$256,W21,$H$7:$H$256,"NTIME"))</f>
        <v>0</v>
      </c>
      <c r="Y21" s="1" t="n">
        <f aca="false">IF(W21="",0,SUMIFS($I$7:$I$256,$D$7:$D$256,W21,$H$7:$H$256,"P6"))</f>
        <v>0</v>
      </c>
      <c r="Z21" s="1" t="n">
        <f aca="false">X21+Y21</f>
        <v>0</v>
      </c>
      <c r="AA21" s="1" t="n">
        <f aca="false">IF(Z21&gt;0,Z21+(201-15)/10^6,0)</f>
        <v>0</v>
      </c>
      <c r="AB21" s="1"/>
      <c r="AC21" s="1"/>
      <c r="AD21" s="1"/>
      <c r="AE21" s="1"/>
      <c r="AF21" s="1"/>
      <c r="AG21" s="1"/>
      <c r="AH21" s="1"/>
    </row>
    <row r="22" customFormat="false" ht="15" hidden="false" customHeight="false" outlineLevel="0" collapsed="false">
      <c r="A22" s="1"/>
      <c r="B22" s="10"/>
      <c r="C22" s="31" t="str">
        <f aca="false">IF(B22="","",TEXT(B22,"ddd"))</f>
        <v/>
      </c>
      <c r="D22" s="11"/>
      <c r="E22" s="8" t="str">
        <f aca="false">IF(D22="","",IFERROR(INDEX(ProjNumbers,MATCH(D22,ProjNames,0)),""))</f>
        <v/>
      </c>
      <c r="F22" s="8" t="str">
        <f aca="false">IF(D22="","",IFERROR(INDEX(ProjCodes,MATCH(D22,ProjNames,0)),""))</f>
        <v/>
      </c>
      <c r="G22" s="32"/>
      <c r="H22" s="11"/>
      <c r="I22" s="33"/>
      <c r="J22" s="8" t="str">
        <f aca="false">IF(COUNTA(B22,D22,G22,H22,I22)=0,"",IF(B22="","Enter date",IF(OR(B22&lt;$AC$2,B22&gt;$AC$3),"Date not in September",IF(D22="","Pick project",IF(ISNA(MATCH(D22,ProjNames,0)),"Project not in list",IF(G22="","Add task description",IF(H22="","Pick NTIME or P6",IF(N(I22)&lt;=0,"Enter hours",IF(AND(AllowOT&lt;&gt;"Yes",SUMIF($B$7:$B$256,B22,$I$7:$I$256)&gt;INDEX($O$58:$O$87,DAY(B22))),"Day over "&amp;INDEX($O$58:$O$87,DAY(B22))&amp;" h","✓")))))))))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tr">
        <f aca="false">IF(Projects!B20="","",Projects!B20)</f>
        <v/>
      </c>
      <c r="X22" s="1" t="n">
        <f aca="false">IF(W22="",0,SUMIFS($I$7:$I$256,$D$7:$D$256,W22,$H$7:$H$256,"NTIME"))</f>
        <v>0</v>
      </c>
      <c r="Y22" s="1" t="n">
        <f aca="false">IF(W22="",0,SUMIFS($I$7:$I$256,$D$7:$D$256,W22,$H$7:$H$256,"P6"))</f>
        <v>0</v>
      </c>
      <c r="Z22" s="1" t="n">
        <f aca="false">X22+Y22</f>
        <v>0</v>
      </c>
      <c r="AA22" s="1" t="n">
        <f aca="false">IF(Z22&gt;0,Z22+(201-16)/10^6,0)</f>
        <v>0</v>
      </c>
      <c r="AB22" s="1"/>
      <c r="AC22" s="1"/>
      <c r="AD22" s="1"/>
      <c r="AE22" s="1"/>
      <c r="AF22" s="1"/>
      <c r="AG22" s="1"/>
      <c r="AH22" s="1"/>
    </row>
    <row r="23" customFormat="false" ht="15" hidden="false" customHeight="false" outlineLevel="0" collapsed="false">
      <c r="A23" s="1"/>
      <c r="B23" s="10"/>
      <c r="C23" s="31" t="str">
        <f aca="false">IF(B23="","",TEXT(B23,"ddd"))</f>
        <v/>
      </c>
      <c r="D23" s="11"/>
      <c r="E23" s="8" t="str">
        <f aca="false">IF(D23="","",IFERROR(INDEX(ProjNumbers,MATCH(D23,ProjNames,0)),""))</f>
        <v/>
      </c>
      <c r="F23" s="8" t="str">
        <f aca="false">IF(D23="","",IFERROR(INDEX(ProjCodes,MATCH(D23,ProjNames,0)),""))</f>
        <v/>
      </c>
      <c r="G23" s="32"/>
      <c r="H23" s="11"/>
      <c r="I23" s="33"/>
      <c r="J23" s="8" t="str">
        <f aca="false">IF(COUNTA(B23,D23,G23,H23,I23)=0,"",IF(B23="","Enter date",IF(OR(B23&lt;$AC$2,B23&gt;$AC$3),"Date not in September",IF(D23="","Pick project",IF(ISNA(MATCH(D23,ProjNames,0)),"Project not in list",IF(G23="","Add task description",IF(H23="","Pick NTIME or P6",IF(N(I23)&lt;=0,"Enter hours",IF(AND(AllowOT&lt;&gt;"Yes",SUMIF($B$7:$B$256,B23,$I$7:$I$256)&gt;INDEX($O$58:$O$87,DAY(B23))),"Day over "&amp;INDEX($O$58:$O$87,DAY(B23))&amp;" h","✓")))))))))</f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tr">
        <f aca="false">IF(Projects!B21="","",Projects!B21)</f>
        <v/>
      </c>
      <c r="X23" s="1" t="n">
        <f aca="false">IF(W23="",0,SUMIFS($I$7:$I$256,$D$7:$D$256,W23,$H$7:$H$256,"NTIME"))</f>
        <v>0</v>
      </c>
      <c r="Y23" s="1" t="n">
        <f aca="false">IF(W23="",0,SUMIFS($I$7:$I$256,$D$7:$D$256,W23,$H$7:$H$256,"P6"))</f>
        <v>0</v>
      </c>
      <c r="Z23" s="1" t="n">
        <f aca="false">X23+Y23</f>
        <v>0</v>
      </c>
      <c r="AA23" s="1" t="n">
        <f aca="false">IF(Z23&gt;0,Z23+(201-17)/10^6,0)</f>
        <v>0</v>
      </c>
      <c r="AB23" s="1"/>
      <c r="AC23" s="1"/>
      <c r="AD23" s="1"/>
      <c r="AE23" s="1"/>
      <c r="AF23" s="1"/>
      <c r="AG23" s="1"/>
      <c r="AH23" s="1"/>
    </row>
    <row r="24" customFormat="false" ht="15" hidden="false" customHeight="false" outlineLevel="0" collapsed="false">
      <c r="A24" s="1"/>
      <c r="B24" s="10"/>
      <c r="C24" s="31" t="str">
        <f aca="false">IF(B24="","",TEXT(B24,"ddd"))</f>
        <v/>
      </c>
      <c r="D24" s="11"/>
      <c r="E24" s="8" t="str">
        <f aca="false">IF(D24="","",IFERROR(INDEX(ProjNumbers,MATCH(D24,ProjNames,0)),""))</f>
        <v/>
      </c>
      <c r="F24" s="8" t="str">
        <f aca="false">IF(D24="","",IFERROR(INDEX(ProjCodes,MATCH(D24,ProjNames,0)),""))</f>
        <v/>
      </c>
      <c r="G24" s="32"/>
      <c r="H24" s="11"/>
      <c r="I24" s="33"/>
      <c r="J24" s="8" t="str">
        <f aca="false">IF(COUNTA(B24,D24,G24,H24,I24)=0,"",IF(B24="","Enter date",IF(OR(B24&lt;$AC$2,B24&gt;$AC$3),"Date not in September",IF(D24="","Pick project",IF(ISNA(MATCH(D24,ProjNames,0)),"Project not in list",IF(G24="","Add task description",IF(H24="","Pick NTIME or P6",IF(N(I24)&lt;=0,"Enter hours",IF(AND(AllowOT&lt;&gt;"Yes",SUMIF($B$7:$B$256,B24,$I$7:$I$256)&gt;INDEX($O$58:$O$87,DAY(B24))),"Day over "&amp;INDEX($O$58:$O$87,DAY(B24))&amp;" h","✓")))))))))</f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tr">
        <f aca="false">IF(Projects!B22="","",Projects!B22)</f>
        <v/>
      </c>
      <c r="X24" s="1" t="n">
        <f aca="false">IF(W24="",0,SUMIFS($I$7:$I$256,$D$7:$D$256,W24,$H$7:$H$256,"NTIME"))</f>
        <v>0</v>
      </c>
      <c r="Y24" s="1" t="n">
        <f aca="false">IF(W24="",0,SUMIFS($I$7:$I$256,$D$7:$D$256,W24,$H$7:$H$256,"P6"))</f>
        <v>0</v>
      </c>
      <c r="Z24" s="1" t="n">
        <f aca="false">X24+Y24</f>
        <v>0</v>
      </c>
      <c r="AA24" s="1" t="n">
        <f aca="false">IF(Z24&gt;0,Z24+(201-18)/10^6,0)</f>
        <v>0</v>
      </c>
      <c r="AB24" s="1"/>
      <c r="AC24" s="1"/>
      <c r="AD24" s="1"/>
      <c r="AE24" s="1"/>
      <c r="AF24" s="1"/>
      <c r="AG24" s="1"/>
      <c r="AH24" s="1"/>
    </row>
    <row r="25" customFormat="false" ht="15" hidden="false" customHeight="false" outlineLevel="0" collapsed="false">
      <c r="A25" s="1"/>
      <c r="B25" s="10"/>
      <c r="C25" s="31" t="str">
        <f aca="false">IF(B25="","",TEXT(B25,"ddd"))</f>
        <v/>
      </c>
      <c r="D25" s="11"/>
      <c r="E25" s="8" t="str">
        <f aca="false">IF(D25="","",IFERROR(INDEX(ProjNumbers,MATCH(D25,ProjNames,0)),""))</f>
        <v/>
      </c>
      <c r="F25" s="8" t="str">
        <f aca="false">IF(D25="","",IFERROR(INDEX(ProjCodes,MATCH(D25,ProjNames,0)),""))</f>
        <v/>
      </c>
      <c r="G25" s="32"/>
      <c r="H25" s="11"/>
      <c r="I25" s="33"/>
      <c r="J25" s="8" t="str">
        <f aca="false">IF(COUNTA(B25,D25,G25,H25,I25)=0,"",IF(B25="","Enter date",IF(OR(B25&lt;$AC$2,B25&gt;$AC$3),"Date not in September",IF(D25="","Pick project",IF(ISNA(MATCH(D25,ProjNames,0)),"Project not in list",IF(G25="","Add task description",IF(H25="","Pick NTIME or P6",IF(N(I25)&lt;=0,"Enter hours",IF(AND(AllowOT&lt;&gt;"Yes",SUMIF($B$7:$B$256,B25,$I$7:$I$256)&gt;INDEX($O$58:$O$87,DAY(B25))),"Day over "&amp;INDEX($O$58:$O$87,DAY(B25))&amp;" h","✓")))))))))</f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tr">
        <f aca="false">IF(Projects!B23="","",Projects!B23)</f>
        <v/>
      </c>
      <c r="X25" s="1" t="n">
        <f aca="false">IF(W25="",0,SUMIFS($I$7:$I$256,$D$7:$D$256,W25,$H$7:$H$256,"NTIME"))</f>
        <v>0</v>
      </c>
      <c r="Y25" s="1" t="n">
        <f aca="false">IF(W25="",0,SUMIFS($I$7:$I$256,$D$7:$D$256,W25,$H$7:$H$256,"P6"))</f>
        <v>0</v>
      </c>
      <c r="Z25" s="1" t="n">
        <f aca="false">X25+Y25</f>
        <v>0</v>
      </c>
      <c r="AA25" s="1" t="n">
        <f aca="false">IF(Z25&gt;0,Z25+(201-19)/10^6,0)</f>
        <v>0</v>
      </c>
      <c r="AB25" s="1"/>
      <c r="AC25" s="1"/>
      <c r="AD25" s="1"/>
      <c r="AE25" s="1"/>
      <c r="AF25" s="1"/>
      <c r="AG25" s="1"/>
      <c r="AH25" s="1"/>
    </row>
    <row r="26" customFormat="false" ht="15" hidden="false" customHeight="false" outlineLevel="0" collapsed="false">
      <c r="A26" s="1"/>
      <c r="B26" s="10"/>
      <c r="C26" s="31" t="str">
        <f aca="false">IF(B26="","",TEXT(B26,"ddd"))</f>
        <v/>
      </c>
      <c r="D26" s="11"/>
      <c r="E26" s="8" t="str">
        <f aca="false">IF(D26="","",IFERROR(INDEX(ProjNumbers,MATCH(D26,ProjNames,0)),""))</f>
        <v/>
      </c>
      <c r="F26" s="8" t="str">
        <f aca="false">IF(D26="","",IFERROR(INDEX(ProjCodes,MATCH(D26,ProjNames,0)),""))</f>
        <v/>
      </c>
      <c r="G26" s="32"/>
      <c r="H26" s="11"/>
      <c r="I26" s="33"/>
      <c r="J26" s="8" t="str">
        <f aca="false">IF(COUNTA(B26,D26,G26,H26,I26)=0,"",IF(B26="","Enter date",IF(OR(B26&lt;$AC$2,B26&gt;$AC$3),"Date not in September",IF(D26="","Pick project",IF(ISNA(MATCH(D26,ProjNames,0)),"Project not in list",IF(G26="","Add task description",IF(H26="","Pick NTIME or P6",IF(N(I26)&lt;=0,"Enter hours",IF(AND(AllowOT&lt;&gt;"Yes",SUMIF($B$7:$B$256,B26,$I$7:$I$256)&gt;INDEX($O$58:$O$87,DAY(B26))),"Day over "&amp;INDEX($O$58:$O$87,DAY(B26))&amp;" h","✓")))))))))</f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tr">
        <f aca="false">IF(Projects!B24="","",Projects!B24)</f>
        <v/>
      </c>
      <c r="X26" s="1" t="n">
        <f aca="false">IF(W26="",0,SUMIFS($I$7:$I$256,$D$7:$D$256,W26,$H$7:$H$256,"NTIME"))</f>
        <v>0</v>
      </c>
      <c r="Y26" s="1" t="n">
        <f aca="false">IF(W26="",0,SUMIFS($I$7:$I$256,$D$7:$D$256,W26,$H$7:$H$256,"P6"))</f>
        <v>0</v>
      </c>
      <c r="Z26" s="1" t="n">
        <f aca="false">X26+Y26</f>
        <v>0</v>
      </c>
      <c r="AA26" s="1" t="n">
        <f aca="false">IF(Z26&gt;0,Z26+(201-20)/10^6,0)</f>
        <v>0</v>
      </c>
      <c r="AB26" s="1"/>
      <c r="AC26" s="1"/>
      <c r="AD26" s="1"/>
      <c r="AE26" s="1"/>
      <c r="AF26" s="1"/>
      <c r="AG26" s="1"/>
      <c r="AH26" s="1"/>
    </row>
    <row r="27" customFormat="false" ht="15" hidden="false" customHeight="false" outlineLevel="0" collapsed="false">
      <c r="A27" s="1"/>
      <c r="B27" s="10"/>
      <c r="C27" s="31" t="str">
        <f aca="false">IF(B27="","",TEXT(B27,"ddd"))</f>
        <v/>
      </c>
      <c r="D27" s="11"/>
      <c r="E27" s="8" t="str">
        <f aca="false">IF(D27="","",IFERROR(INDEX(ProjNumbers,MATCH(D27,ProjNames,0)),""))</f>
        <v/>
      </c>
      <c r="F27" s="8" t="str">
        <f aca="false">IF(D27="","",IFERROR(INDEX(ProjCodes,MATCH(D27,ProjNames,0)),""))</f>
        <v/>
      </c>
      <c r="G27" s="32"/>
      <c r="H27" s="11"/>
      <c r="I27" s="33"/>
      <c r="J27" s="8" t="str">
        <f aca="false">IF(COUNTA(B27,D27,G27,H27,I27)=0,"",IF(B27="","Enter date",IF(OR(B27&lt;$AC$2,B27&gt;$AC$3),"Date not in September",IF(D27="","Pick project",IF(ISNA(MATCH(D27,ProjNames,0)),"Project not in list",IF(G27="","Add task description",IF(H27="","Pick NTIME or P6",IF(N(I27)&lt;=0,"Enter hours",IF(AND(AllowOT&lt;&gt;"Yes",SUMIF($B$7:$B$256,B27,$I$7:$I$256)&gt;INDEX($O$58:$O$87,DAY(B27))),"Day over "&amp;INDEX($O$58:$O$87,DAY(B27))&amp;" h","✓")))))))))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aca="false">IF(Projects!B25="","",Projects!B25)</f>
        <v/>
      </c>
      <c r="X27" s="1" t="n">
        <f aca="false">IF(W27="",0,SUMIFS($I$7:$I$256,$D$7:$D$256,W27,$H$7:$H$256,"NTIME"))</f>
        <v>0</v>
      </c>
      <c r="Y27" s="1" t="n">
        <f aca="false">IF(W27="",0,SUMIFS($I$7:$I$256,$D$7:$D$256,W27,$H$7:$H$256,"P6"))</f>
        <v>0</v>
      </c>
      <c r="Z27" s="1" t="n">
        <f aca="false">X27+Y27</f>
        <v>0</v>
      </c>
      <c r="AA27" s="1" t="n">
        <f aca="false">IF(Z27&gt;0,Z27+(201-21)/10^6,0)</f>
        <v>0</v>
      </c>
      <c r="AB27" s="1"/>
      <c r="AC27" s="1"/>
      <c r="AD27" s="1"/>
      <c r="AE27" s="1"/>
      <c r="AF27" s="1"/>
      <c r="AG27" s="1"/>
      <c r="AH27" s="1"/>
    </row>
    <row r="28" customFormat="false" ht="15" hidden="false" customHeight="false" outlineLevel="0" collapsed="false">
      <c r="A28" s="1"/>
      <c r="B28" s="10"/>
      <c r="C28" s="31" t="str">
        <f aca="false">IF(B28="","",TEXT(B28,"ddd"))</f>
        <v/>
      </c>
      <c r="D28" s="11"/>
      <c r="E28" s="8" t="str">
        <f aca="false">IF(D28="","",IFERROR(INDEX(ProjNumbers,MATCH(D28,ProjNames,0)),""))</f>
        <v/>
      </c>
      <c r="F28" s="8" t="str">
        <f aca="false">IF(D28="","",IFERROR(INDEX(ProjCodes,MATCH(D28,ProjNames,0)),""))</f>
        <v/>
      </c>
      <c r="G28" s="32"/>
      <c r="H28" s="11"/>
      <c r="I28" s="33"/>
      <c r="J28" s="8" t="str">
        <f aca="false">IF(COUNTA(B28,D28,G28,H28,I28)=0,"",IF(B28="","Enter date",IF(OR(B28&lt;$AC$2,B28&gt;$AC$3),"Date not in September",IF(D28="","Pick project",IF(ISNA(MATCH(D28,ProjNames,0)),"Project not in list",IF(G28="","Add task description",IF(H28="","Pick NTIME or P6",IF(N(I28)&lt;=0,"Enter hours",IF(AND(AllowOT&lt;&gt;"Yes",SUMIF($B$7:$B$256,B28,$I$7:$I$256)&gt;INDEX($O$58:$O$87,DAY(B28))),"Day over "&amp;INDEX($O$58:$O$87,DAY(B28))&amp;" h","✓")))))))))</f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tr">
        <f aca="false">IF(Projects!B26="","",Projects!B26)</f>
        <v/>
      </c>
      <c r="X28" s="1" t="n">
        <f aca="false">IF(W28="",0,SUMIFS($I$7:$I$256,$D$7:$D$256,W28,$H$7:$H$256,"NTIME"))</f>
        <v>0</v>
      </c>
      <c r="Y28" s="1" t="n">
        <f aca="false">IF(W28="",0,SUMIFS($I$7:$I$256,$D$7:$D$256,W28,$H$7:$H$256,"P6"))</f>
        <v>0</v>
      </c>
      <c r="Z28" s="1" t="n">
        <f aca="false">X28+Y28</f>
        <v>0</v>
      </c>
      <c r="AA28" s="1" t="n">
        <f aca="false">IF(Z28&gt;0,Z28+(201-22)/10^6,0)</f>
        <v>0</v>
      </c>
      <c r="AB28" s="1"/>
      <c r="AC28" s="1"/>
      <c r="AD28" s="1"/>
      <c r="AE28" s="1"/>
      <c r="AF28" s="1"/>
      <c r="AG28" s="1"/>
      <c r="AH28" s="1"/>
    </row>
    <row r="29" customFormat="false" ht="15" hidden="false" customHeight="false" outlineLevel="0" collapsed="false">
      <c r="A29" s="1"/>
      <c r="B29" s="10"/>
      <c r="C29" s="31" t="str">
        <f aca="false">IF(B29="","",TEXT(B29,"ddd"))</f>
        <v/>
      </c>
      <c r="D29" s="11"/>
      <c r="E29" s="8" t="str">
        <f aca="false">IF(D29="","",IFERROR(INDEX(ProjNumbers,MATCH(D29,ProjNames,0)),""))</f>
        <v/>
      </c>
      <c r="F29" s="8" t="str">
        <f aca="false">IF(D29="","",IFERROR(INDEX(ProjCodes,MATCH(D29,ProjNames,0)),""))</f>
        <v/>
      </c>
      <c r="G29" s="32"/>
      <c r="H29" s="11"/>
      <c r="I29" s="33"/>
      <c r="J29" s="8" t="str">
        <f aca="false">IF(COUNTA(B29,D29,G29,H29,I29)=0,"",IF(B29="","Enter date",IF(OR(B29&lt;$AC$2,B29&gt;$AC$3),"Date not in September",IF(D29="","Pick project",IF(ISNA(MATCH(D29,ProjNames,0)),"Project not in list",IF(G29="","Add task description",IF(H29="","Pick NTIME or P6",IF(N(I29)&lt;=0,"Enter hours",IF(AND(AllowOT&lt;&gt;"Yes",SUMIF($B$7:$B$256,B29,$I$7:$I$256)&gt;INDEX($O$58:$O$87,DAY(B29))),"Day over "&amp;INDEX($O$58:$O$87,DAY(B29))&amp;" h","✓")))))))))</f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tr">
        <f aca="false">IF(Projects!B27="","",Projects!B27)</f>
        <v/>
      </c>
      <c r="X29" s="1" t="n">
        <f aca="false">IF(W29="",0,SUMIFS($I$7:$I$256,$D$7:$D$256,W29,$H$7:$H$256,"NTIME"))</f>
        <v>0</v>
      </c>
      <c r="Y29" s="1" t="n">
        <f aca="false">IF(W29="",0,SUMIFS($I$7:$I$256,$D$7:$D$256,W29,$H$7:$H$256,"P6"))</f>
        <v>0</v>
      </c>
      <c r="Z29" s="1" t="n">
        <f aca="false">X29+Y29</f>
        <v>0</v>
      </c>
      <c r="AA29" s="1" t="n">
        <f aca="false">IF(Z29&gt;0,Z29+(201-23)/10^6,0)</f>
        <v>0</v>
      </c>
      <c r="AB29" s="1"/>
      <c r="AC29" s="1"/>
      <c r="AD29" s="1"/>
      <c r="AE29" s="1"/>
      <c r="AF29" s="1"/>
      <c r="AG29" s="1"/>
      <c r="AH29" s="1"/>
    </row>
    <row r="30" customFormat="false" ht="15" hidden="false" customHeight="false" outlineLevel="0" collapsed="false">
      <c r="A30" s="1"/>
      <c r="B30" s="10"/>
      <c r="C30" s="31" t="str">
        <f aca="false">IF(B30="","",TEXT(B30,"ddd"))</f>
        <v/>
      </c>
      <c r="D30" s="11"/>
      <c r="E30" s="8" t="str">
        <f aca="false">IF(D30="","",IFERROR(INDEX(ProjNumbers,MATCH(D30,ProjNames,0)),""))</f>
        <v/>
      </c>
      <c r="F30" s="8" t="str">
        <f aca="false">IF(D30="","",IFERROR(INDEX(ProjCodes,MATCH(D30,ProjNames,0)),""))</f>
        <v/>
      </c>
      <c r="G30" s="32"/>
      <c r="H30" s="11"/>
      <c r="I30" s="33"/>
      <c r="J30" s="8" t="str">
        <f aca="false">IF(COUNTA(B30,D30,G30,H30,I30)=0,"",IF(B30="","Enter date",IF(OR(B30&lt;$AC$2,B30&gt;$AC$3),"Date not in September",IF(D30="","Pick project",IF(ISNA(MATCH(D30,ProjNames,0)),"Project not in list",IF(G30="","Add task description",IF(H30="","Pick NTIME or P6",IF(N(I30)&lt;=0,"Enter hours",IF(AND(AllowOT&lt;&gt;"Yes",SUMIF($B$7:$B$256,B30,$I$7:$I$256)&gt;INDEX($O$58:$O$87,DAY(B30))),"Day over "&amp;INDEX($O$58:$O$87,DAY(B30))&amp;" h","✓")))))))))</f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tr">
        <f aca="false">IF(Projects!B28="","",Projects!B28)</f>
        <v/>
      </c>
      <c r="X30" s="1" t="n">
        <f aca="false">IF(W30="",0,SUMIFS($I$7:$I$256,$D$7:$D$256,W30,$H$7:$H$256,"NTIME"))</f>
        <v>0</v>
      </c>
      <c r="Y30" s="1" t="n">
        <f aca="false">IF(W30="",0,SUMIFS($I$7:$I$256,$D$7:$D$256,W30,$H$7:$H$256,"P6"))</f>
        <v>0</v>
      </c>
      <c r="Z30" s="1" t="n">
        <f aca="false">X30+Y30</f>
        <v>0</v>
      </c>
      <c r="AA30" s="1" t="n">
        <f aca="false">IF(Z30&gt;0,Z30+(201-24)/10^6,0)</f>
        <v>0</v>
      </c>
      <c r="AB30" s="1"/>
      <c r="AC30" s="1"/>
      <c r="AD30" s="1"/>
      <c r="AE30" s="1"/>
      <c r="AF30" s="1"/>
      <c r="AG30" s="1"/>
      <c r="AH30" s="1"/>
    </row>
    <row r="31" customFormat="false" ht="15" hidden="false" customHeight="false" outlineLevel="0" collapsed="false">
      <c r="A31" s="1"/>
      <c r="B31" s="10"/>
      <c r="C31" s="31" t="str">
        <f aca="false">IF(B31="","",TEXT(B31,"ddd"))</f>
        <v/>
      </c>
      <c r="D31" s="11"/>
      <c r="E31" s="8" t="str">
        <f aca="false">IF(D31="","",IFERROR(INDEX(ProjNumbers,MATCH(D31,ProjNames,0)),""))</f>
        <v/>
      </c>
      <c r="F31" s="8" t="str">
        <f aca="false">IF(D31="","",IFERROR(INDEX(ProjCodes,MATCH(D31,ProjNames,0)),""))</f>
        <v/>
      </c>
      <c r="G31" s="32"/>
      <c r="H31" s="11"/>
      <c r="I31" s="33"/>
      <c r="J31" s="8" t="str">
        <f aca="false">IF(COUNTA(B31,D31,G31,H31,I31)=0,"",IF(B31="","Enter date",IF(OR(B31&lt;$AC$2,B31&gt;$AC$3),"Date not in September",IF(D31="","Pick project",IF(ISNA(MATCH(D31,ProjNames,0)),"Project not in list",IF(G31="","Add task description",IF(H31="","Pick NTIME or P6",IF(N(I31)&lt;=0,"Enter hours",IF(AND(AllowOT&lt;&gt;"Yes",SUMIF($B$7:$B$256,B31,$I$7:$I$256)&gt;INDEX($O$58:$O$87,DAY(B31))),"Day over "&amp;INDEX($O$58:$O$87,DAY(B31))&amp;" h","✓")))))))))</f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tr">
        <f aca="false">IF(Projects!B29="","",Projects!B29)</f>
        <v/>
      </c>
      <c r="X31" s="1" t="n">
        <f aca="false">IF(W31="",0,SUMIFS($I$7:$I$256,$D$7:$D$256,W31,$H$7:$H$256,"NTIME"))</f>
        <v>0</v>
      </c>
      <c r="Y31" s="1" t="n">
        <f aca="false">IF(W31="",0,SUMIFS($I$7:$I$256,$D$7:$D$256,W31,$H$7:$H$256,"P6"))</f>
        <v>0</v>
      </c>
      <c r="Z31" s="1" t="n">
        <f aca="false">X31+Y31</f>
        <v>0</v>
      </c>
      <c r="AA31" s="1" t="n">
        <f aca="false">IF(Z31&gt;0,Z31+(201-25)/10^6,0)</f>
        <v>0</v>
      </c>
      <c r="AB31" s="1"/>
      <c r="AC31" s="1"/>
      <c r="AD31" s="1"/>
      <c r="AE31" s="1"/>
      <c r="AF31" s="1"/>
      <c r="AG31" s="1"/>
      <c r="AH31" s="1"/>
    </row>
    <row r="32" customFormat="false" ht="15" hidden="false" customHeight="false" outlineLevel="0" collapsed="false">
      <c r="A32" s="1"/>
      <c r="B32" s="10"/>
      <c r="C32" s="31" t="str">
        <f aca="false">IF(B32="","",TEXT(B32,"ddd"))</f>
        <v/>
      </c>
      <c r="D32" s="11"/>
      <c r="E32" s="8" t="str">
        <f aca="false">IF(D32="","",IFERROR(INDEX(ProjNumbers,MATCH(D32,ProjNames,0)),""))</f>
        <v/>
      </c>
      <c r="F32" s="8" t="str">
        <f aca="false">IF(D32="","",IFERROR(INDEX(ProjCodes,MATCH(D32,ProjNames,0)),""))</f>
        <v/>
      </c>
      <c r="G32" s="32"/>
      <c r="H32" s="11"/>
      <c r="I32" s="33"/>
      <c r="J32" s="8" t="str">
        <f aca="false">IF(COUNTA(B32,D32,G32,H32,I32)=0,"",IF(B32="","Enter date",IF(OR(B32&lt;$AC$2,B32&gt;$AC$3),"Date not in September",IF(D32="","Pick project",IF(ISNA(MATCH(D32,ProjNames,0)),"Project not in list",IF(G32="","Add task description",IF(H32="","Pick NTIME or P6",IF(N(I32)&lt;=0,"Enter hours",IF(AND(AllowOT&lt;&gt;"Yes",SUMIF($B$7:$B$256,B32,$I$7:$I$256)&gt;INDEX($O$58:$O$87,DAY(B32))),"Day over "&amp;INDEX($O$58:$O$87,DAY(B32))&amp;" h","✓")))))))))</f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tr">
        <f aca="false">IF(Projects!B30="","",Projects!B30)</f>
        <v/>
      </c>
      <c r="X32" s="1" t="n">
        <f aca="false">IF(W32="",0,SUMIFS($I$7:$I$256,$D$7:$D$256,W32,$H$7:$H$256,"NTIME"))</f>
        <v>0</v>
      </c>
      <c r="Y32" s="1" t="n">
        <f aca="false">IF(W32="",0,SUMIFS($I$7:$I$256,$D$7:$D$256,W32,$H$7:$H$256,"P6"))</f>
        <v>0</v>
      </c>
      <c r="Z32" s="1" t="n">
        <f aca="false">X32+Y32</f>
        <v>0</v>
      </c>
      <c r="AA32" s="1" t="n">
        <f aca="false">IF(Z32&gt;0,Z32+(201-26)/10^6,0)</f>
        <v>0</v>
      </c>
      <c r="AB32" s="1"/>
      <c r="AC32" s="1"/>
      <c r="AD32" s="1"/>
      <c r="AE32" s="1"/>
      <c r="AF32" s="1"/>
      <c r="AG32" s="1"/>
      <c r="AH32" s="1"/>
    </row>
    <row r="33" customFormat="false" ht="15" hidden="false" customHeight="false" outlineLevel="0" collapsed="false">
      <c r="A33" s="1"/>
      <c r="B33" s="10"/>
      <c r="C33" s="31" t="str">
        <f aca="false">IF(B33="","",TEXT(B33,"ddd"))</f>
        <v/>
      </c>
      <c r="D33" s="11"/>
      <c r="E33" s="8" t="str">
        <f aca="false">IF(D33="","",IFERROR(INDEX(ProjNumbers,MATCH(D33,ProjNames,0)),""))</f>
        <v/>
      </c>
      <c r="F33" s="8" t="str">
        <f aca="false">IF(D33="","",IFERROR(INDEX(ProjCodes,MATCH(D33,ProjNames,0)),""))</f>
        <v/>
      </c>
      <c r="G33" s="32"/>
      <c r="H33" s="11"/>
      <c r="I33" s="33"/>
      <c r="J33" s="8" t="str">
        <f aca="false">IF(COUNTA(B33,D33,G33,H33,I33)=0,"",IF(B33="","Enter date",IF(OR(B33&lt;$AC$2,B33&gt;$AC$3),"Date not in September",IF(D33="","Pick project",IF(ISNA(MATCH(D33,ProjNames,0)),"Project not in list",IF(G33="","Add task description",IF(H33="","Pick NTIME or P6",IF(N(I33)&lt;=0,"Enter hours",IF(AND(AllowOT&lt;&gt;"Yes",SUMIF($B$7:$B$256,B33,$I$7:$I$256)&gt;INDEX($O$58:$O$87,DAY(B33))),"Day over "&amp;INDEX($O$58:$O$87,DAY(B33))&amp;" h","✓")))))))))</f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tr">
        <f aca="false">IF(Projects!B31="","",Projects!B31)</f>
        <v/>
      </c>
      <c r="X33" s="1" t="n">
        <f aca="false">IF(W33="",0,SUMIFS($I$7:$I$256,$D$7:$D$256,W33,$H$7:$H$256,"NTIME"))</f>
        <v>0</v>
      </c>
      <c r="Y33" s="1" t="n">
        <f aca="false">IF(W33="",0,SUMIFS($I$7:$I$256,$D$7:$D$256,W33,$H$7:$H$256,"P6"))</f>
        <v>0</v>
      </c>
      <c r="Z33" s="1" t="n">
        <f aca="false">X33+Y33</f>
        <v>0</v>
      </c>
      <c r="AA33" s="1" t="n">
        <f aca="false">IF(Z33&gt;0,Z33+(201-27)/10^6,0)</f>
        <v>0</v>
      </c>
      <c r="AB33" s="1"/>
      <c r="AC33" s="1"/>
      <c r="AD33" s="1"/>
      <c r="AE33" s="1"/>
      <c r="AF33" s="1"/>
      <c r="AG33" s="1"/>
      <c r="AH33" s="1"/>
    </row>
    <row r="34" customFormat="false" ht="15" hidden="false" customHeight="false" outlineLevel="0" collapsed="false">
      <c r="A34" s="1"/>
      <c r="B34" s="10"/>
      <c r="C34" s="31" t="str">
        <f aca="false">IF(B34="","",TEXT(B34,"ddd"))</f>
        <v/>
      </c>
      <c r="D34" s="11"/>
      <c r="E34" s="8" t="str">
        <f aca="false">IF(D34="","",IFERROR(INDEX(ProjNumbers,MATCH(D34,ProjNames,0)),""))</f>
        <v/>
      </c>
      <c r="F34" s="8" t="str">
        <f aca="false">IF(D34="","",IFERROR(INDEX(ProjCodes,MATCH(D34,ProjNames,0)),""))</f>
        <v/>
      </c>
      <c r="G34" s="32"/>
      <c r="H34" s="11"/>
      <c r="I34" s="33"/>
      <c r="J34" s="8" t="str">
        <f aca="false">IF(COUNTA(B34,D34,G34,H34,I34)=0,"",IF(B34="","Enter date",IF(OR(B34&lt;$AC$2,B34&gt;$AC$3),"Date not in September",IF(D34="","Pick project",IF(ISNA(MATCH(D34,ProjNames,0)),"Project not in list",IF(G34="","Add task description",IF(H34="","Pick NTIME or P6",IF(N(I34)&lt;=0,"Enter hours",IF(AND(AllowOT&lt;&gt;"Yes",SUMIF($B$7:$B$256,B34,$I$7:$I$256)&gt;INDEX($O$58:$O$87,DAY(B34))),"Day over "&amp;INDEX($O$58:$O$87,DAY(B34))&amp;" h","✓")))))))))</f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tr">
        <f aca="false">IF(Projects!B32="","",Projects!B32)</f>
        <v/>
      </c>
      <c r="X34" s="1" t="n">
        <f aca="false">IF(W34="",0,SUMIFS($I$7:$I$256,$D$7:$D$256,W34,$H$7:$H$256,"NTIME"))</f>
        <v>0</v>
      </c>
      <c r="Y34" s="1" t="n">
        <f aca="false">IF(W34="",0,SUMIFS($I$7:$I$256,$D$7:$D$256,W34,$H$7:$H$256,"P6"))</f>
        <v>0</v>
      </c>
      <c r="Z34" s="1" t="n">
        <f aca="false">X34+Y34</f>
        <v>0</v>
      </c>
      <c r="AA34" s="1" t="n">
        <f aca="false">IF(Z34&gt;0,Z34+(201-28)/10^6,0)</f>
        <v>0</v>
      </c>
      <c r="AB34" s="1"/>
      <c r="AC34" s="1"/>
      <c r="AD34" s="1"/>
      <c r="AE34" s="1"/>
      <c r="AF34" s="1"/>
      <c r="AG34" s="1"/>
      <c r="AH34" s="1"/>
    </row>
    <row r="35" customFormat="false" ht="15" hidden="false" customHeight="false" outlineLevel="0" collapsed="false">
      <c r="A35" s="1"/>
      <c r="B35" s="10"/>
      <c r="C35" s="31" t="str">
        <f aca="false">IF(B35="","",TEXT(B35,"ddd"))</f>
        <v/>
      </c>
      <c r="D35" s="11"/>
      <c r="E35" s="8" t="str">
        <f aca="false">IF(D35="","",IFERROR(INDEX(ProjNumbers,MATCH(D35,ProjNames,0)),""))</f>
        <v/>
      </c>
      <c r="F35" s="8" t="str">
        <f aca="false">IF(D35="","",IFERROR(INDEX(ProjCodes,MATCH(D35,ProjNames,0)),""))</f>
        <v/>
      </c>
      <c r="G35" s="32"/>
      <c r="H35" s="11"/>
      <c r="I35" s="33"/>
      <c r="J35" s="8" t="str">
        <f aca="false">IF(COUNTA(B35,D35,G35,H35,I35)=0,"",IF(B35="","Enter date",IF(OR(B35&lt;$AC$2,B35&gt;$AC$3),"Date not in September",IF(D35="","Pick project",IF(ISNA(MATCH(D35,ProjNames,0)),"Project not in list",IF(G35="","Add task description",IF(H35="","Pick NTIME or P6",IF(N(I35)&lt;=0,"Enter hours",IF(AND(AllowOT&lt;&gt;"Yes",SUMIF($B$7:$B$256,B35,$I$7:$I$256)&gt;INDEX($O$58:$O$87,DAY(B35))),"Day over "&amp;INDEX($O$58:$O$87,DAY(B35))&amp;" h","✓")))))))))</f>
        <v/>
      </c>
      <c r="K35" s="1"/>
      <c r="L35" s="4" t="s">
        <v>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 t="str">
        <f aca="false">IF(Projects!B33="","",Projects!B33)</f>
        <v/>
      </c>
      <c r="X35" s="1" t="n">
        <f aca="false">IF(W35="",0,SUMIFS($I$7:$I$256,$D$7:$D$256,W35,$H$7:$H$256,"NTIME"))</f>
        <v>0</v>
      </c>
      <c r="Y35" s="1" t="n">
        <f aca="false">IF(W35="",0,SUMIFS($I$7:$I$256,$D$7:$D$256,W35,$H$7:$H$256,"P6"))</f>
        <v>0</v>
      </c>
      <c r="Z35" s="1" t="n">
        <f aca="false">X35+Y35</f>
        <v>0</v>
      </c>
      <c r="AA35" s="1" t="n">
        <f aca="false">IF(Z35&gt;0,Z35+(201-29)/10^6,0)</f>
        <v>0</v>
      </c>
      <c r="AB35" s="1"/>
      <c r="AC35" s="1"/>
      <c r="AD35" s="1"/>
      <c r="AE35" s="1"/>
      <c r="AF35" s="1"/>
      <c r="AG35" s="1"/>
      <c r="AH35" s="1"/>
    </row>
    <row r="36" customFormat="false" ht="23.85" hidden="false" customHeight="false" outlineLevel="0" collapsed="false">
      <c r="A36" s="1"/>
      <c r="B36" s="10"/>
      <c r="C36" s="31" t="str">
        <f aca="false">IF(B36="","",TEXT(B36,"ddd"))</f>
        <v/>
      </c>
      <c r="D36" s="11"/>
      <c r="E36" s="8" t="str">
        <f aca="false">IF(D36="","",IFERROR(INDEX(ProjNumbers,MATCH(D36,ProjNames,0)),""))</f>
        <v/>
      </c>
      <c r="F36" s="8" t="str">
        <f aca="false">IF(D36="","",IFERROR(INDEX(ProjCodes,MATCH(D36,ProjNames,0)),""))</f>
        <v/>
      </c>
      <c r="G36" s="32"/>
      <c r="H36" s="11"/>
      <c r="I36" s="33"/>
      <c r="J36" s="8" t="str">
        <f aca="false">IF(COUNTA(B36,D36,G36,H36,I36)=0,"",IF(B36="","Enter date",IF(OR(B36&lt;$AC$2,B36&gt;$AC$3),"Date not in September",IF(D36="","Pick project",IF(ISNA(MATCH(D36,ProjNames,0)),"Project not in list",IF(G36="","Add task description",IF(H36="","Pick NTIME or P6",IF(N(I36)&lt;=0,"Enter hours",IF(AND(AllowOT&lt;&gt;"Yes",SUMIF($B$7:$B$256,B36,$I$7:$I$256)&gt;INDEX($O$58:$O$87,DAY(B36))),"Day over "&amp;INDEX($O$58:$O$87,DAY(B36))&amp;" h","✓")))))))))</f>
        <v/>
      </c>
      <c r="K36" s="1"/>
      <c r="L36" s="9" t="s">
        <v>72</v>
      </c>
      <c r="M36" s="9" t="s">
        <v>36</v>
      </c>
      <c r="N36" s="9" t="s">
        <v>37</v>
      </c>
      <c r="O36" s="20" t="s">
        <v>46</v>
      </c>
      <c r="P36" s="21" t="s">
        <v>56</v>
      </c>
      <c r="Q36" s="9" t="s">
        <v>57</v>
      </c>
      <c r="R36" s="9" t="s">
        <v>86</v>
      </c>
      <c r="S36" s="1"/>
      <c r="T36" s="1"/>
      <c r="U36" s="1"/>
      <c r="V36" s="1"/>
      <c r="W36" s="1" t="str">
        <f aca="false">IF(Projects!B34="","",Projects!B34)</f>
        <v/>
      </c>
      <c r="X36" s="1" t="n">
        <f aca="false">IF(W36="",0,SUMIFS($I$7:$I$256,$D$7:$D$256,W36,$H$7:$H$256,"NTIME"))</f>
        <v>0</v>
      </c>
      <c r="Y36" s="1" t="n">
        <f aca="false">IF(W36="",0,SUMIFS($I$7:$I$256,$D$7:$D$256,W36,$H$7:$H$256,"P6"))</f>
        <v>0</v>
      </c>
      <c r="Z36" s="1" t="n">
        <f aca="false">X36+Y36</f>
        <v>0</v>
      </c>
      <c r="AA36" s="1" t="n">
        <f aca="false">IF(Z36&gt;0,Z36+(201-30)/10^6,0)</f>
        <v>0</v>
      </c>
      <c r="AB36" s="1"/>
      <c r="AC36" s="1"/>
      <c r="AD36" s="1"/>
      <c r="AE36" s="1"/>
      <c r="AF36" s="1"/>
      <c r="AG36" s="1"/>
      <c r="AH36" s="1"/>
    </row>
    <row r="37" customFormat="false" ht="15" hidden="false" customHeight="false" outlineLevel="0" collapsed="false">
      <c r="A37" s="1"/>
      <c r="B37" s="10"/>
      <c r="C37" s="31" t="str">
        <f aca="false">IF(B37="","",TEXT(B37,"ddd"))</f>
        <v/>
      </c>
      <c r="D37" s="11"/>
      <c r="E37" s="8" t="str">
        <f aca="false">IF(D37="","",IFERROR(INDEX(ProjNumbers,MATCH(D37,ProjNames,0)),""))</f>
        <v/>
      </c>
      <c r="F37" s="8" t="str">
        <f aca="false">IF(D37="","",IFERROR(INDEX(ProjCodes,MATCH(D37,ProjNames,0)),""))</f>
        <v/>
      </c>
      <c r="G37" s="32"/>
      <c r="H37" s="11"/>
      <c r="I37" s="33"/>
      <c r="J37" s="8" t="str">
        <f aca="false">IF(COUNTA(B37,D37,G37,H37,I37)=0,"",IF(B37="","Enter date",IF(OR(B37&lt;$AC$2,B37&gt;$AC$3),"Date not in September",IF(D37="","Pick project",IF(ISNA(MATCH(D37,ProjNames,0)),"Project not in list",IF(G37="","Add task description",IF(H37="","Pick NTIME or P6",IF(N(I37)&lt;=0,"Enter hours",IF(AND(AllowOT&lt;&gt;"Yes",SUMIF($B$7:$B$256,B37,$I$7:$I$256)&gt;INDEX($O$58:$O$87,DAY(B37))),"Day over "&amp;INDEX($O$58:$O$87,DAY(B37))&amp;" h","✓")))))))))</f>
        <v/>
      </c>
      <c r="K37" s="1"/>
      <c r="L37" s="24" t="str">
        <f aca="false">IF($AD37=0,"",INDEX($W$7:$W$206,$AD37))</f>
        <v/>
      </c>
      <c r="M37" s="24" t="str">
        <f aca="false">IF($AD37=0,"",INDEX(ProjNumbers,$AD37))</f>
        <v/>
      </c>
      <c r="N37" s="24" t="str">
        <f aca="false">IF($AD37=0,"",INDEX(ProjCodes,$AD37))</f>
        <v/>
      </c>
      <c r="O37" s="24" t="str">
        <f aca="false">IF($AD37=0,"",INDEX($X$7:$X$206,$AD37))</f>
        <v/>
      </c>
      <c r="P37" s="24" t="str">
        <f aca="false">IF($AD37=0,"",INDEX($Y$7:$Y$206,$AD37))</f>
        <v/>
      </c>
      <c r="Q37" s="24" t="str">
        <f aca="false">IF($AD37=0,"",INDEX($Z$7:$Z$206,$AD37))</f>
        <v/>
      </c>
      <c r="R37" s="25" t="str">
        <f aca="false">IF(OR($AD37=0,$L$5=0),"",Q37/$L$5)</f>
        <v/>
      </c>
      <c r="S37" s="1"/>
      <c r="T37" s="1"/>
      <c r="U37" s="1"/>
      <c r="V37" s="1"/>
      <c r="W37" s="1" t="str">
        <f aca="false">IF(Projects!B35="","",Projects!B35)</f>
        <v/>
      </c>
      <c r="X37" s="1" t="n">
        <f aca="false">IF(W37="",0,SUMIFS($I$7:$I$256,$D$7:$D$256,W37,$H$7:$H$256,"NTIME"))</f>
        <v>0</v>
      </c>
      <c r="Y37" s="1" t="n">
        <f aca="false">IF(W37="",0,SUMIFS($I$7:$I$256,$D$7:$D$256,W37,$H$7:$H$256,"P6"))</f>
        <v>0</v>
      </c>
      <c r="Z37" s="1" t="n">
        <f aca="false">X37+Y37</f>
        <v>0</v>
      </c>
      <c r="AA37" s="1" t="n">
        <f aca="false">IF(Z37&gt;0,Z37+(201-31)/10^6,0)</f>
        <v>0</v>
      </c>
      <c r="AB37" s="1"/>
      <c r="AC37" s="1"/>
      <c r="AD37" s="1" t="n">
        <f aca="false">IF(LARGE($AA$7:$AA$206,1)&lt;=0,0,MATCH(LARGE($AA$7:$AA$206,1),$AA$7:$AA$206,0))</f>
        <v>0</v>
      </c>
      <c r="AE37" s="1"/>
      <c r="AF37" s="1"/>
      <c r="AG37" s="1"/>
      <c r="AH37" s="1"/>
    </row>
    <row r="38" customFormat="false" ht="15" hidden="false" customHeight="false" outlineLevel="0" collapsed="false">
      <c r="A38" s="1"/>
      <c r="B38" s="10"/>
      <c r="C38" s="31" t="str">
        <f aca="false">IF(B38="","",TEXT(B38,"ddd"))</f>
        <v/>
      </c>
      <c r="D38" s="11"/>
      <c r="E38" s="8" t="str">
        <f aca="false">IF(D38="","",IFERROR(INDEX(ProjNumbers,MATCH(D38,ProjNames,0)),""))</f>
        <v/>
      </c>
      <c r="F38" s="8" t="str">
        <f aca="false">IF(D38="","",IFERROR(INDEX(ProjCodes,MATCH(D38,ProjNames,0)),""))</f>
        <v/>
      </c>
      <c r="G38" s="32"/>
      <c r="H38" s="11"/>
      <c r="I38" s="33"/>
      <c r="J38" s="8" t="str">
        <f aca="false">IF(COUNTA(B38,D38,G38,H38,I38)=0,"",IF(B38="","Enter date",IF(OR(B38&lt;$AC$2,B38&gt;$AC$3),"Date not in September",IF(D38="","Pick project",IF(ISNA(MATCH(D38,ProjNames,0)),"Project not in list",IF(G38="","Add task description",IF(H38="","Pick NTIME or P6",IF(N(I38)&lt;=0,"Enter hours",IF(AND(AllowOT&lt;&gt;"Yes",SUMIF($B$7:$B$256,B38,$I$7:$I$256)&gt;INDEX($O$58:$O$87,DAY(B38))),"Day over "&amp;INDEX($O$58:$O$87,DAY(B38))&amp;" h","✓")))))))))</f>
        <v/>
      </c>
      <c r="K38" s="1"/>
      <c r="L38" s="24" t="str">
        <f aca="false">IF($AD38=0,"",INDEX($W$7:$W$206,$AD38))</f>
        <v/>
      </c>
      <c r="M38" s="24" t="str">
        <f aca="false">IF($AD38=0,"",INDEX(ProjNumbers,$AD38))</f>
        <v/>
      </c>
      <c r="N38" s="24" t="str">
        <f aca="false">IF($AD38=0,"",INDEX(ProjCodes,$AD38))</f>
        <v/>
      </c>
      <c r="O38" s="24" t="str">
        <f aca="false">IF($AD38=0,"",INDEX($X$7:$X$206,$AD38))</f>
        <v/>
      </c>
      <c r="P38" s="24" t="str">
        <f aca="false">IF($AD38=0,"",INDEX($Y$7:$Y$206,$AD38))</f>
        <v/>
      </c>
      <c r="Q38" s="24" t="str">
        <f aca="false">IF($AD38=0,"",INDEX($Z$7:$Z$206,$AD38))</f>
        <v/>
      </c>
      <c r="R38" s="25" t="str">
        <f aca="false">IF(OR($AD38=0,$L$5=0),"",Q38/$L$5)</f>
        <v/>
      </c>
      <c r="S38" s="1"/>
      <c r="T38" s="1"/>
      <c r="U38" s="1"/>
      <c r="V38" s="1"/>
      <c r="W38" s="1" t="str">
        <f aca="false">IF(Projects!B36="","",Projects!B36)</f>
        <v/>
      </c>
      <c r="X38" s="1" t="n">
        <f aca="false">IF(W38="",0,SUMIFS($I$7:$I$256,$D$7:$D$256,W38,$H$7:$H$256,"NTIME"))</f>
        <v>0</v>
      </c>
      <c r="Y38" s="1" t="n">
        <f aca="false">IF(W38="",0,SUMIFS($I$7:$I$256,$D$7:$D$256,W38,$H$7:$H$256,"P6"))</f>
        <v>0</v>
      </c>
      <c r="Z38" s="1" t="n">
        <f aca="false">X38+Y38</f>
        <v>0</v>
      </c>
      <c r="AA38" s="1" t="n">
        <f aca="false">IF(Z38&gt;0,Z38+(201-32)/10^6,0)</f>
        <v>0</v>
      </c>
      <c r="AB38" s="1"/>
      <c r="AC38" s="1"/>
      <c r="AD38" s="1" t="n">
        <f aca="false">IF(LARGE($AA$7:$AA$206,2)&lt;=0,0,MATCH(LARGE($AA$7:$AA$206,2),$AA$7:$AA$206,0))</f>
        <v>0</v>
      </c>
      <c r="AE38" s="1"/>
      <c r="AF38" s="1"/>
      <c r="AG38" s="1"/>
      <c r="AH38" s="1"/>
    </row>
    <row r="39" customFormat="false" ht="15" hidden="false" customHeight="false" outlineLevel="0" collapsed="false">
      <c r="A39" s="1"/>
      <c r="B39" s="10"/>
      <c r="C39" s="31" t="str">
        <f aca="false">IF(B39="","",TEXT(B39,"ddd"))</f>
        <v/>
      </c>
      <c r="D39" s="11"/>
      <c r="E39" s="8" t="str">
        <f aca="false">IF(D39="","",IFERROR(INDEX(ProjNumbers,MATCH(D39,ProjNames,0)),""))</f>
        <v/>
      </c>
      <c r="F39" s="8" t="str">
        <f aca="false">IF(D39="","",IFERROR(INDEX(ProjCodes,MATCH(D39,ProjNames,0)),""))</f>
        <v/>
      </c>
      <c r="G39" s="32"/>
      <c r="H39" s="11"/>
      <c r="I39" s="33"/>
      <c r="J39" s="8" t="str">
        <f aca="false">IF(COUNTA(B39,D39,G39,H39,I39)=0,"",IF(B39="","Enter date",IF(OR(B39&lt;$AC$2,B39&gt;$AC$3),"Date not in September",IF(D39="","Pick project",IF(ISNA(MATCH(D39,ProjNames,0)),"Project not in list",IF(G39="","Add task description",IF(H39="","Pick NTIME or P6",IF(N(I39)&lt;=0,"Enter hours",IF(AND(AllowOT&lt;&gt;"Yes",SUMIF($B$7:$B$256,B39,$I$7:$I$256)&gt;INDEX($O$58:$O$87,DAY(B39))),"Day over "&amp;INDEX($O$58:$O$87,DAY(B39))&amp;" h","✓")))))))))</f>
        <v/>
      </c>
      <c r="K39" s="1"/>
      <c r="L39" s="24" t="str">
        <f aca="false">IF($AD39=0,"",INDEX($W$7:$W$206,$AD39))</f>
        <v/>
      </c>
      <c r="M39" s="24" t="str">
        <f aca="false">IF($AD39=0,"",INDEX(ProjNumbers,$AD39))</f>
        <v/>
      </c>
      <c r="N39" s="24" t="str">
        <f aca="false">IF($AD39=0,"",INDEX(ProjCodes,$AD39))</f>
        <v/>
      </c>
      <c r="O39" s="24" t="str">
        <f aca="false">IF($AD39=0,"",INDEX($X$7:$X$206,$AD39))</f>
        <v/>
      </c>
      <c r="P39" s="24" t="str">
        <f aca="false">IF($AD39=0,"",INDEX($Y$7:$Y$206,$AD39))</f>
        <v/>
      </c>
      <c r="Q39" s="24" t="str">
        <f aca="false">IF($AD39=0,"",INDEX($Z$7:$Z$206,$AD39))</f>
        <v/>
      </c>
      <c r="R39" s="25" t="str">
        <f aca="false">IF(OR($AD39=0,$L$5=0),"",Q39/$L$5)</f>
        <v/>
      </c>
      <c r="S39" s="1"/>
      <c r="T39" s="1"/>
      <c r="U39" s="1"/>
      <c r="V39" s="1"/>
      <c r="W39" s="1" t="str">
        <f aca="false">IF(Projects!B37="","",Projects!B37)</f>
        <v/>
      </c>
      <c r="X39" s="1" t="n">
        <f aca="false">IF(W39="",0,SUMIFS($I$7:$I$256,$D$7:$D$256,W39,$H$7:$H$256,"NTIME"))</f>
        <v>0</v>
      </c>
      <c r="Y39" s="1" t="n">
        <f aca="false">IF(W39="",0,SUMIFS($I$7:$I$256,$D$7:$D$256,W39,$H$7:$H$256,"P6"))</f>
        <v>0</v>
      </c>
      <c r="Z39" s="1" t="n">
        <f aca="false">X39+Y39</f>
        <v>0</v>
      </c>
      <c r="AA39" s="1" t="n">
        <f aca="false">IF(Z39&gt;0,Z39+(201-33)/10^6,0)</f>
        <v>0</v>
      </c>
      <c r="AB39" s="1"/>
      <c r="AC39" s="1"/>
      <c r="AD39" s="1" t="n">
        <f aca="false">IF(LARGE($AA$7:$AA$206,3)&lt;=0,0,MATCH(LARGE($AA$7:$AA$206,3),$AA$7:$AA$206,0))</f>
        <v>0</v>
      </c>
      <c r="AE39" s="1"/>
      <c r="AF39" s="1"/>
      <c r="AG39" s="1"/>
      <c r="AH39" s="1"/>
    </row>
    <row r="40" customFormat="false" ht="15" hidden="false" customHeight="false" outlineLevel="0" collapsed="false">
      <c r="A40" s="1"/>
      <c r="B40" s="10"/>
      <c r="C40" s="31" t="str">
        <f aca="false">IF(B40="","",TEXT(B40,"ddd"))</f>
        <v/>
      </c>
      <c r="D40" s="11"/>
      <c r="E40" s="8" t="str">
        <f aca="false">IF(D40="","",IFERROR(INDEX(ProjNumbers,MATCH(D40,ProjNames,0)),""))</f>
        <v/>
      </c>
      <c r="F40" s="8" t="str">
        <f aca="false">IF(D40="","",IFERROR(INDEX(ProjCodes,MATCH(D40,ProjNames,0)),""))</f>
        <v/>
      </c>
      <c r="G40" s="32"/>
      <c r="H40" s="11"/>
      <c r="I40" s="33"/>
      <c r="J40" s="8" t="str">
        <f aca="false">IF(COUNTA(B40,D40,G40,H40,I40)=0,"",IF(B40="","Enter date",IF(OR(B40&lt;$AC$2,B40&gt;$AC$3),"Date not in September",IF(D40="","Pick project",IF(ISNA(MATCH(D40,ProjNames,0)),"Project not in list",IF(G40="","Add task description",IF(H40="","Pick NTIME or P6",IF(N(I40)&lt;=0,"Enter hours",IF(AND(AllowOT&lt;&gt;"Yes",SUMIF($B$7:$B$256,B40,$I$7:$I$256)&gt;INDEX($O$58:$O$87,DAY(B40))),"Day over "&amp;INDEX($O$58:$O$87,DAY(B40))&amp;" h","✓")))))))))</f>
        <v/>
      </c>
      <c r="K40" s="1"/>
      <c r="L40" s="24" t="str">
        <f aca="false">IF($AD40=0,"",INDEX($W$7:$W$206,$AD40))</f>
        <v/>
      </c>
      <c r="M40" s="24" t="str">
        <f aca="false">IF($AD40=0,"",INDEX(ProjNumbers,$AD40))</f>
        <v/>
      </c>
      <c r="N40" s="24" t="str">
        <f aca="false">IF($AD40=0,"",INDEX(ProjCodes,$AD40))</f>
        <v/>
      </c>
      <c r="O40" s="24" t="str">
        <f aca="false">IF($AD40=0,"",INDEX($X$7:$X$206,$AD40))</f>
        <v/>
      </c>
      <c r="P40" s="24" t="str">
        <f aca="false">IF($AD40=0,"",INDEX($Y$7:$Y$206,$AD40))</f>
        <v/>
      </c>
      <c r="Q40" s="24" t="str">
        <f aca="false">IF($AD40=0,"",INDEX($Z$7:$Z$206,$AD40))</f>
        <v/>
      </c>
      <c r="R40" s="25" t="str">
        <f aca="false">IF(OR($AD40=0,$L$5=0),"",Q40/$L$5)</f>
        <v/>
      </c>
      <c r="S40" s="1"/>
      <c r="T40" s="1"/>
      <c r="U40" s="1"/>
      <c r="V40" s="1"/>
      <c r="W40" s="1" t="str">
        <f aca="false">IF(Projects!B38="","",Projects!B38)</f>
        <v/>
      </c>
      <c r="X40" s="1" t="n">
        <f aca="false">IF(W40="",0,SUMIFS($I$7:$I$256,$D$7:$D$256,W40,$H$7:$H$256,"NTIME"))</f>
        <v>0</v>
      </c>
      <c r="Y40" s="1" t="n">
        <f aca="false">IF(W40="",0,SUMIFS($I$7:$I$256,$D$7:$D$256,W40,$H$7:$H$256,"P6"))</f>
        <v>0</v>
      </c>
      <c r="Z40" s="1" t="n">
        <f aca="false">X40+Y40</f>
        <v>0</v>
      </c>
      <c r="AA40" s="1" t="n">
        <f aca="false">IF(Z40&gt;0,Z40+(201-34)/10^6,0)</f>
        <v>0</v>
      </c>
      <c r="AB40" s="1"/>
      <c r="AC40" s="1"/>
      <c r="AD40" s="1" t="n">
        <f aca="false">IF(LARGE($AA$7:$AA$206,4)&lt;=0,0,MATCH(LARGE($AA$7:$AA$206,4),$AA$7:$AA$206,0))</f>
        <v>0</v>
      </c>
      <c r="AE40" s="1"/>
      <c r="AF40" s="1"/>
      <c r="AG40" s="1"/>
      <c r="AH40" s="1"/>
    </row>
    <row r="41" customFormat="false" ht="15" hidden="false" customHeight="false" outlineLevel="0" collapsed="false">
      <c r="A41" s="1"/>
      <c r="B41" s="10"/>
      <c r="C41" s="31" t="str">
        <f aca="false">IF(B41="","",TEXT(B41,"ddd"))</f>
        <v/>
      </c>
      <c r="D41" s="11"/>
      <c r="E41" s="8" t="str">
        <f aca="false">IF(D41="","",IFERROR(INDEX(ProjNumbers,MATCH(D41,ProjNames,0)),""))</f>
        <v/>
      </c>
      <c r="F41" s="8" t="str">
        <f aca="false">IF(D41="","",IFERROR(INDEX(ProjCodes,MATCH(D41,ProjNames,0)),""))</f>
        <v/>
      </c>
      <c r="G41" s="32"/>
      <c r="H41" s="11"/>
      <c r="I41" s="33"/>
      <c r="J41" s="8" t="str">
        <f aca="false">IF(COUNTA(B41,D41,G41,H41,I41)=0,"",IF(B41="","Enter date",IF(OR(B41&lt;$AC$2,B41&gt;$AC$3),"Date not in September",IF(D41="","Pick project",IF(ISNA(MATCH(D41,ProjNames,0)),"Project not in list",IF(G41="","Add task description",IF(H41="","Pick NTIME or P6",IF(N(I41)&lt;=0,"Enter hours",IF(AND(AllowOT&lt;&gt;"Yes",SUMIF($B$7:$B$256,B41,$I$7:$I$256)&gt;INDEX($O$58:$O$87,DAY(B41))),"Day over "&amp;INDEX($O$58:$O$87,DAY(B41))&amp;" h","✓")))))))))</f>
        <v/>
      </c>
      <c r="K41" s="1"/>
      <c r="L41" s="24" t="str">
        <f aca="false">IF($AD41=0,"",INDEX($W$7:$W$206,$AD41))</f>
        <v/>
      </c>
      <c r="M41" s="24" t="str">
        <f aca="false">IF($AD41=0,"",INDEX(ProjNumbers,$AD41))</f>
        <v/>
      </c>
      <c r="N41" s="24" t="str">
        <f aca="false">IF($AD41=0,"",INDEX(ProjCodes,$AD41))</f>
        <v/>
      </c>
      <c r="O41" s="24" t="str">
        <f aca="false">IF($AD41=0,"",INDEX($X$7:$X$206,$AD41))</f>
        <v/>
      </c>
      <c r="P41" s="24" t="str">
        <f aca="false">IF($AD41=0,"",INDEX($Y$7:$Y$206,$AD41))</f>
        <v/>
      </c>
      <c r="Q41" s="24" t="str">
        <f aca="false">IF($AD41=0,"",INDEX($Z$7:$Z$206,$AD41))</f>
        <v/>
      </c>
      <c r="R41" s="25" t="str">
        <f aca="false">IF(OR($AD41=0,$L$5=0),"",Q41/$L$5)</f>
        <v/>
      </c>
      <c r="S41" s="1"/>
      <c r="T41" s="1"/>
      <c r="U41" s="1"/>
      <c r="V41" s="1"/>
      <c r="W41" s="1" t="str">
        <f aca="false">IF(Projects!B39="","",Projects!B39)</f>
        <v/>
      </c>
      <c r="X41" s="1" t="n">
        <f aca="false">IF(W41="",0,SUMIFS($I$7:$I$256,$D$7:$D$256,W41,$H$7:$H$256,"NTIME"))</f>
        <v>0</v>
      </c>
      <c r="Y41" s="1" t="n">
        <f aca="false">IF(W41="",0,SUMIFS($I$7:$I$256,$D$7:$D$256,W41,$H$7:$H$256,"P6"))</f>
        <v>0</v>
      </c>
      <c r="Z41" s="1" t="n">
        <f aca="false">X41+Y41</f>
        <v>0</v>
      </c>
      <c r="AA41" s="1" t="n">
        <f aca="false">IF(Z41&gt;0,Z41+(201-35)/10^6,0)</f>
        <v>0</v>
      </c>
      <c r="AB41" s="1"/>
      <c r="AC41" s="1"/>
      <c r="AD41" s="1" t="n">
        <f aca="false">IF(LARGE($AA$7:$AA$206,5)&lt;=0,0,MATCH(LARGE($AA$7:$AA$206,5),$AA$7:$AA$206,0))</f>
        <v>0</v>
      </c>
      <c r="AE41" s="1"/>
      <c r="AF41" s="1"/>
      <c r="AG41" s="1"/>
      <c r="AH41" s="1"/>
    </row>
    <row r="42" customFormat="false" ht="15" hidden="false" customHeight="false" outlineLevel="0" collapsed="false">
      <c r="A42" s="1"/>
      <c r="B42" s="10"/>
      <c r="C42" s="31" t="str">
        <f aca="false">IF(B42="","",TEXT(B42,"ddd"))</f>
        <v/>
      </c>
      <c r="D42" s="11"/>
      <c r="E42" s="8" t="str">
        <f aca="false">IF(D42="","",IFERROR(INDEX(ProjNumbers,MATCH(D42,ProjNames,0)),""))</f>
        <v/>
      </c>
      <c r="F42" s="8" t="str">
        <f aca="false">IF(D42="","",IFERROR(INDEX(ProjCodes,MATCH(D42,ProjNames,0)),""))</f>
        <v/>
      </c>
      <c r="G42" s="32"/>
      <c r="H42" s="11"/>
      <c r="I42" s="33"/>
      <c r="J42" s="8" t="str">
        <f aca="false">IF(COUNTA(B42,D42,G42,H42,I42)=0,"",IF(B42="","Enter date",IF(OR(B42&lt;$AC$2,B42&gt;$AC$3),"Date not in September",IF(D42="","Pick project",IF(ISNA(MATCH(D42,ProjNames,0)),"Project not in list",IF(G42="","Add task description",IF(H42="","Pick NTIME or P6",IF(N(I42)&lt;=0,"Enter hours",IF(AND(AllowOT&lt;&gt;"Yes",SUMIF($B$7:$B$256,B42,$I$7:$I$256)&gt;INDEX($O$58:$O$87,DAY(B42))),"Day over "&amp;INDEX($O$58:$O$87,DAY(B42))&amp;" h","✓")))))))))</f>
        <v/>
      </c>
      <c r="K42" s="1"/>
      <c r="L42" s="24" t="str">
        <f aca="false">IF($AD42=0,"",INDEX($W$7:$W$206,$AD42))</f>
        <v/>
      </c>
      <c r="M42" s="24" t="str">
        <f aca="false">IF($AD42=0,"",INDEX(ProjNumbers,$AD42))</f>
        <v/>
      </c>
      <c r="N42" s="24" t="str">
        <f aca="false">IF($AD42=0,"",INDEX(ProjCodes,$AD42))</f>
        <v/>
      </c>
      <c r="O42" s="24" t="str">
        <f aca="false">IF($AD42=0,"",INDEX($X$7:$X$206,$AD42))</f>
        <v/>
      </c>
      <c r="P42" s="24" t="str">
        <f aca="false">IF($AD42=0,"",INDEX($Y$7:$Y$206,$AD42))</f>
        <v/>
      </c>
      <c r="Q42" s="24" t="str">
        <f aca="false">IF($AD42=0,"",INDEX($Z$7:$Z$206,$AD42))</f>
        <v/>
      </c>
      <c r="R42" s="25" t="str">
        <f aca="false">IF(OR($AD42=0,$L$5=0),"",Q42/$L$5)</f>
        <v/>
      </c>
      <c r="S42" s="1"/>
      <c r="T42" s="1"/>
      <c r="U42" s="1"/>
      <c r="V42" s="1"/>
      <c r="W42" s="1" t="str">
        <f aca="false">IF(Projects!B40="","",Projects!B40)</f>
        <v/>
      </c>
      <c r="X42" s="1" t="n">
        <f aca="false">IF(W42="",0,SUMIFS($I$7:$I$256,$D$7:$D$256,W42,$H$7:$H$256,"NTIME"))</f>
        <v>0</v>
      </c>
      <c r="Y42" s="1" t="n">
        <f aca="false">IF(W42="",0,SUMIFS($I$7:$I$256,$D$7:$D$256,W42,$H$7:$H$256,"P6"))</f>
        <v>0</v>
      </c>
      <c r="Z42" s="1" t="n">
        <f aca="false">X42+Y42</f>
        <v>0</v>
      </c>
      <c r="AA42" s="1" t="n">
        <f aca="false">IF(Z42&gt;0,Z42+(201-36)/10^6,0)</f>
        <v>0</v>
      </c>
      <c r="AB42" s="1"/>
      <c r="AC42" s="1"/>
      <c r="AD42" s="1" t="n">
        <f aca="false">IF(LARGE($AA$7:$AA$206,6)&lt;=0,0,MATCH(LARGE($AA$7:$AA$206,6),$AA$7:$AA$206,0))</f>
        <v>0</v>
      </c>
      <c r="AE42" s="1"/>
      <c r="AF42" s="1"/>
      <c r="AG42" s="1"/>
      <c r="AH42" s="1"/>
    </row>
    <row r="43" customFormat="false" ht="15" hidden="false" customHeight="false" outlineLevel="0" collapsed="false">
      <c r="A43" s="1"/>
      <c r="B43" s="10"/>
      <c r="C43" s="31" t="str">
        <f aca="false">IF(B43="","",TEXT(B43,"ddd"))</f>
        <v/>
      </c>
      <c r="D43" s="11"/>
      <c r="E43" s="8" t="str">
        <f aca="false">IF(D43="","",IFERROR(INDEX(ProjNumbers,MATCH(D43,ProjNames,0)),""))</f>
        <v/>
      </c>
      <c r="F43" s="8" t="str">
        <f aca="false">IF(D43="","",IFERROR(INDEX(ProjCodes,MATCH(D43,ProjNames,0)),""))</f>
        <v/>
      </c>
      <c r="G43" s="32"/>
      <c r="H43" s="11"/>
      <c r="I43" s="33"/>
      <c r="J43" s="8" t="str">
        <f aca="false">IF(COUNTA(B43,D43,G43,H43,I43)=0,"",IF(B43="","Enter date",IF(OR(B43&lt;$AC$2,B43&gt;$AC$3),"Date not in September",IF(D43="","Pick project",IF(ISNA(MATCH(D43,ProjNames,0)),"Project not in list",IF(G43="","Add task description",IF(H43="","Pick NTIME or P6",IF(N(I43)&lt;=0,"Enter hours",IF(AND(AllowOT&lt;&gt;"Yes",SUMIF($B$7:$B$256,B43,$I$7:$I$256)&gt;INDEX($O$58:$O$87,DAY(B43))),"Day over "&amp;INDEX($O$58:$O$87,DAY(B43))&amp;" h","✓")))))))))</f>
        <v/>
      </c>
      <c r="K43" s="1"/>
      <c r="L43" s="24" t="str">
        <f aca="false">IF($AD43=0,"",INDEX($W$7:$W$206,$AD43))</f>
        <v/>
      </c>
      <c r="M43" s="24" t="str">
        <f aca="false">IF($AD43=0,"",INDEX(ProjNumbers,$AD43))</f>
        <v/>
      </c>
      <c r="N43" s="24" t="str">
        <f aca="false">IF($AD43=0,"",INDEX(ProjCodes,$AD43))</f>
        <v/>
      </c>
      <c r="O43" s="24" t="str">
        <f aca="false">IF($AD43=0,"",INDEX($X$7:$X$206,$AD43))</f>
        <v/>
      </c>
      <c r="P43" s="24" t="str">
        <f aca="false">IF($AD43=0,"",INDEX($Y$7:$Y$206,$AD43))</f>
        <v/>
      </c>
      <c r="Q43" s="24" t="str">
        <f aca="false">IF($AD43=0,"",INDEX($Z$7:$Z$206,$AD43))</f>
        <v/>
      </c>
      <c r="R43" s="25" t="str">
        <f aca="false">IF(OR($AD43=0,$L$5=0),"",Q43/$L$5)</f>
        <v/>
      </c>
      <c r="S43" s="1"/>
      <c r="T43" s="1"/>
      <c r="U43" s="1"/>
      <c r="V43" s="1"/>
      <c r="W43" s="1" t="str">
        <f aca="false">IF(Projects!B41="","",Projects!B41)</f>
        <v/>
      </c>
      <c r="X43" s="1" t="n">
        <f aca="false">IF(W43="",0,SUMIFS($I$7:$I$256,$D$7:$D$256,W43,$H$7:$H$256,"NTIME"))</f>
        <v>0</v>
      </c>
      <c r="Y43" s="1" t="n">
        <f aca="false">IF(W43="",0,SUMIFS($I$7:$I$256,$D$7:$D$256,W43,$H$7:$H$256,"P6"))</f>
        <v>0</v>
      </c>
      <c r="Z43" s="1" t="n">
        <f aca="false">X43+Y43</f>
        <v>0</v>
      </c>
      <c r="AA43" s="1" t="n">
        <f aca="false">IF(Z43&gt;0,Z43+(201-37)/10^6,0)</f>
        <v>0</v>
      </c>
      <c r="AB43" s="1"/>
      <c r="AC43" s="1"/>
      <c r="AD43" s="1" t="n">
        <f aca="false">IF(LARGE($AA$7:$AA$206,7)&lt;=0,0,MATCH(LARGE($AA$7:$AA$206,7),$AA$7:$AA$206,0))</f>
        <v>0</v>
      </c>
      <c r="AE43" s="1"/>
      <c r="AF43" s="1"/>
      <c r="AG43" s="1"/>
      <c r="AH43" s="1"/>
    </row>
    <row r="44" customFormat="false" ht="15" hidden="false" customHeight="false" outlineLevel="0" collapsed="false">
      <c r="A44" s="1"/>
      <c r="B44" s="10"/>
      <c r="C44" s="31" t="str">
        <f aca="false">IF(B44="","",TEXT(B44,"ddd"))</f>
        <v/>
      </c>
      <c r="D44" s="11"/>
      <c r="E44" s="8" t="str">
        <f aca="false">IF(D44="","",IFERROR(INDEX(ProjNumbers,MATCH(D44,ProjNames,0)),""))</f>
        <v/>
      </c>
      <c r="F44" s="8" t="str">
        <f aca="false">IF(D44="","",IFERROR(INDEX(ProjCodes,MATCH(D44,ProjNames,0)),""))</f>
        <v/>
      </c>
      <c r="G44" s="32"/>
      <c r="H44" s="11"/>
      <c r="I44" s="33"/>
      <c r="J44" s="8" t="str">
        <f aca="false">IF(COUNTA(B44,D44,G44,H44,I44)=0,"",IF(B44="","Enter date",IF(OR(B44&lt;$AC$2,B44&gt;$AC$3),"Date not in September",IF(D44="","Pick project",IF(ISNA(MATCH(D44,ProjNames,0)),"Project not in list",IF(G44="","Add task description",IF(H44="","Pick NTIME or P6",IF(N(I44)&lt;=0,"Enter hours",IF(AND(AllowOT&lt;&gt;"Yes",SUMIF($B$7:$B$256,B44,$I$7:$I$256)&gt;INDEX($O$58:$O$87,DAY(B44))),"Day over "&amp;INDEX($O$58:$O$87,DAY(B44))&amp;" h","✓")))))))))</f>
        <v/>
      </c>
      <c r="K44" s="1"/>
      <c r="L44" s="24" t="str">
        <f aca="false">IF($AD44=0,"",INDEX($W$7:$W$206,$AD44))</f>
        <v/>
      </c>
      <c r="M44" s="24" t="str">
        <f aca="false">IF($AD44=0,"",INDEX(ProjNumbers,$AD44))</f>
        <v/>
      </c>
      <c r="N44" s="24" t="str">
        <f aca="false">IF($AD44=0,"",INDEX(ProjCodes,$AD44))</f>
        <v/>
      </c>
      <c r="O44" s="24" t="str">
        <f aca="false">IF($AD44=0,"",INDEX($X$7:$X$206,$AD44))</f>
        <v/>
      </c>
      <c r="P44" s="24" t="str">
        <f aca="false">IF($AD44=0,"",INDEX($Y$7:$Y$206,$AD44))</f>
        <v/>
      </c>
      <c r="Q44" s="24" t="str">
        <f aca="false">IF($AD44=0,"",INDEX($Z$7:$Z$206,$AD44))</f>
        <v/>
      </c>
      <c r="R44" s="25" t="str">
        <f aca="false">IF(OR($AD44=0,$L$5=0),"",Q44/$L$5)</f>
        <v/>
      </c>
      <c r="S44" s="1"/>
      <c r="T44" s="1"/>
      <c r="U44" s="1"/>
      <c r="V44" s="1"/>
      <c r="W44" s="1" t="str">
        <f aca="false">IF(Projects!B42="","",Projects!B42)</f>
        <v/>
      </c>
      <c r="X44" s="1" t="n">
        <f aca="false">IF(W44="",0,SUMIFS($I$7:$I$256,$D$7:$D$256,W44,$H$7:$H$256,"NTIME"))</f>
        <v>0</v>
      </c>
      <c r="Y44" s="1" t="n">
        <f aca="false">IF(W44="",0,SUMIFS($I$7:$I$256,$D$7:$D$256,W44,$H$7:$H$256,"P6"))</f>
        <v>0</v>
      </c>
      <c r="Z44" s="1" t="n">
        <f aca="false">X44+Y44</f>
        <v>0</v>
      </c>
      <c r="AA44" s="1" t="n">
        <f aca="false">IF(Z44&gt;0,Z44+(201-38)/10^6,0)</f>
        <v>0</v>
      </c>
      <c r="AB44" s="1"/>
      <c r="AC44" s="1"/>
      <c r="AD44" s="1" t="n">
        <f aca="false">IF(LARGE($AA$7:$AA$206,8)&lt;=0,0,MATCH(LARGE($AA$7:$AA$206,8),$AA$7:$AA$206,0))</f>
        <v>0</v>
      </c>
      <c r="AE44" s="1"/>
      <c r="AF44" s="1"/>
      <c r="AG44" s="1"/>
      <c r="AH44" s="1"/>
    </row>
    <row r="45" customFormat="false" ht="15" hidden="false" customHeight="false" outlineLevel="0" collapsed="false">
      <c r="A45" s="1"/>
      <c r="B45" s="10"/>
      <c r="C45" s="31" t="str">
        <f aca="false">IF(B45="","",TEXT(B45,"ddd"))</f>
        <v/>
      </c>
      <c r="D45" s="11"/>
      <c r="E45" s="8" t="str">
        <f aca="false">IF(D45="","",IFERROR(INDEX(ProjNumbers,MATCH(D45,ProjNames,0)),""))</f>
        <v/>
      </c>
      <c r="F45" s="8" t="str">
        <f aca="false">IF(D45="","",IFERROR(INDEX(ProjCodes,MATCH(D45,ProjNames,0)),""))</f>
        <v/>
      </c>
      <c r="G45" s="32"/>
      <c r="H45" s="11"/>
      <c r="I45" s="33"/>
      <c r="J45" s="8" t="str">
        <f aca="false">IF(COUNTA(B45,D45,G45,H45,I45)=0,"",IF(B45="","Enter date",IF(OR(B45&lt;$AC$2,B45&gt;$AC$3),"Date not in September",IF(D45="","Pick project",IF(ISNA(MATCH(D45,ProjNames,0)),"Project not in list",IF(G45="","Add task description",IF(H45="","Pick NTIME or P6",IF(N(I45)&lt;=0,"Enter hours",IF(AND(AllowOT&lt;&gt;"Yes",SUMIF($B$7:$B$256,B45,$I$7:$I$256)&gt;INDEX($O$58:$O$87,DAY(B45))),"Day over "&amp;INDEX($O$58:$O$87,DAY(B45))&amp;" h","✓")))))))))</f>
        <v/>
      </c>
      <c r="K45" s="1"/>
      <c r="L45" s="24" t="str">
        <f aca="false">IF($AD45=0,"",INDEX($W$7:$W$206,$AD45))</f>
        <v/>
      </c>
      <c r="M45" s="24" t="str">
        <f aca="false">IF($AD45=0,"",INDEX(ProjNumbers,$AD45))</f>
        <v/>
      </c>
      <c r="N45" s="24" t="str">
        <f aca="false">IF($AD45=0,"",INDEX(ProjCodes,$AD45))</f>
        <v/>
      </c>
      <c r="O45" s="24" t="str">
        <f aca="false">IF($AD45=0,"",INDEX($X$7:$X$206,$AD45))</f>
        <v/>
      </c>
      <c r="P45" s="24" t="str">
        <f aca="false">IF($AD45=0,"",INDEX($Y$7:$Y$206,$AD45))</f>
        <v/>
      </c>
      <c r="Q45" s="24" t="str">
        <f aca="false">IF($AD45=0,"",INDEX($Z$7:$Z$206,$AD45))</f>
        <v/>
      </c>
      <c r="R45" s="25" t="str">
        <f aca="false">IF(OR($AD45=0,$L$5=0),"",Q45/$L$5)</f>
        <v/>
      </c>
      <c r="S45" s="1"/>
      <c r="T45" s="1"/>
      <c r="U45" s="1"/>
      <c r="V45" s="1"/>
      <c r="W45" s="1" t="str">
        <f aca="false">IF(Projects!B43="","",Projects!B43)</f>
        <v/>
      </c>
      <c r="X45" s="1" t="n">
        <f aca="false">IF(W45="",0,SUMIFS($I$7:$I$256,$D$7:$D$256,W45,$H$7:$H$256,"NTIME"))</f>
        <v>0</v>
      </c>
      <c r="Y45" s="1" t="n">
        <f aca="false">IF(W45="",0,SUMIFS($I$7:$I$256,$D$7:$D$256,W45,$H$7:$H$256,"P6"))</f>
        <v>0</v>
      </c>
      <c r="Z45" s="1" t="n">
        <f aca="false">X45+Y45</f>
        <v>0</v>
      </c>
      <c r="AA45" s="1" t="n">
        <f aca="false">IF(Z45&gt;0,Z45+(201-39)/10^6,0)</f>
        <v>0</v>
      </c>
      <c r="AB45" s="1"/>
      <c r="AC45" s="1"/>
      <c r="AD45" s="1" t="n">
        <f aca="false">IF(LARGE($AA$7:$AA$206,9)&lt;=0,0,MATCH(LARGE($AA$7:$AA$206,9),$AA$7:$AA$206,0))</f>
        <v>0</v>
      </c>
      <c r="AE45" s="1"/>
      <c r="AF45" s="1"/>
      <c r="AG45" s="1"/>
      <c r="AH45" s="1"/>
    </row>
    <row r="46" customFormat="false" ht="15" hidden="false" customHeight="false" outlineLevel="0" collapsed="false">
      <c r="A46" s="1"/>
      <c r="B46" s="10"/>
      <c r="C46" s="31" t="str">
        <f aca="false">IF(B46="","",TEXT(B46,"ddd"))</f>
        <v/>
      </c>
      <c r="D46" s="11"/>
      <c r="E46" s="8" t="str">
        <f aca="false">IF(D46="","",IFERROR(INDEX(ProjNumbers,MATCH(D46,ProjNames,0)),""))</f>
        <v/>
      </c>
      <c r="F46" s="8" t="str">
        <f aca="false">IF(D46="","",IFERROR(INDEX(ProjCodes,MATCH(D46,ProjNames,0)),""))</f>
        <v/>
      </c>
      <c r="G46" s="32"/>
      <c r="H46" s="11"/>
      <c r="I46" s="33"/>
      <c r="J46" s="8" t="str">
        <f aca="false">IF(COUNTA(B46,D46,G46,H46,I46)=0,"",IF(B46="","Enter date",IF(OR(B46&lt;$AC$2,B46&gt;$AC$3),"Date not in September",IF(D46="","Pick project",IF(ISNA(MATCH(D46,ProjNames,0)),"Project not in list",IF(G46="","Add task description",IF(H46="","Pick NTIME or P6",IF(N(I46)&lt;=0,"Enter hours",IF(AND(AllowOT&lt;&gt;"Yes",SUMIF($B$7:$B$256,B46,$I$7:$I$256)&gt;INDEX($O$58:$O$87,DAY(B46))),"Day over "&amp;INDEX($O$58:$O$87,DAY(B46))&amp;" h","✓")))))))))</f>
        <v/>
      </c>
      <c r="K46" s="1"/>
      <c r="L46" s="24" t="str">
        <f aca="false">IF($AD46=0,"",INDEX($W$7:$W$206,$AD46))</f>
        <v/>
      </c>
      <c r="M46" s="24" t="str">
        <f aca="false">IF($AD46=0,"",INDEX(ProjNumbers,$AD46))</f>
        <v/>
      </c>
      <c r="N46" s="24" t="str">
        <f aca="false">IF($AD46=0,"",INDEX(ProjCodes,$AD46))</f>
        <v/>
      </c>
      <c r="O46" s="24" t="str">
        <f aca="false">IF($AD46=0,"",INDEX($X$7:$X$206,$AD46))</f>
        <v/>
      </c>
      <c r="P46" s="24" t="str">
        <f aca="false">IF($AD46=0,"",INDEX($Y$7:$Y$206,$AD46))</f>
        <v/>
      </c>
      <c r="Q46" s="24" t="str">
        <f aca="false">IF($AD46=0,"",INDEX($Z$7:$Z$206,$AD46))</f>
        <v/>
      </c>
      <c r="R46" s="25" t="str">
        <f aca="false">IF(OR($AD46=0,$L$5=0),"",Q46/$L$5)</f>
        <v/>
      </c>
      <c r="S46" s="1"/>
      <c r="T46" s="1"/>
      <c r="U46" s="1"/>
      <c r="V46" s="1"/>
      <c r="W46" s="1" t="str">
        <f aca="false">IF(Projects!B44="","",Projects!B44)</f>
        <v/>
      </c>
      <c r="X46" s="1" t="n">
        <f aca="false">IF(W46="",0,SUMIFS($I$7:$I$256,$D$7:$D$256,W46,$H$7:$H$256,"NTIME"))</f>
        <v>0</v>
      </c>
      <c r="Y46" s="1" t="n">
        <f aca="false">IF(W46="",0,SUMIFS($I$7:$I$256,$D$7:$D$256,W46,$H$7:$H$256,"P6"))</f>
        <v>0</v>
      </c>
      <c r="Z46" s="1" t="n">
        <f aca="false">X46+Y46</f>
        <v>0</v>
      </c>
      <c r="AA46" s="1" t="n">
        <f aca="false">IF(Z46&gt;0,Z46+(201-40)/10^6,0)</f>
        <v>0</v>
      </c>
      <c r="AB46" s="1"/>
      <c r="AC46" s="1"/>
      <c r="AD46" s="1" t="n">
        <f aca="false">IF(LARGE($AA$7:$AA$206,10)&lt;=0,0,MATCH(LARGE($AA$7:$AA$206,10),$AA$7:$AA$206,0))</f>
        <v>0</v>
      </c>
      <c r="AE46" s="1"/>
      <c r="AF46" s="1"/>
      <c r="AG46" s="1"/>
      <c r="AH46" s="1"/>
    </row>
    <row r="47" customFormat="false" ht="15" hidden="false" customHeight="false" outlineLevel="0" collapsed="false">
      <c r="A47" s="1"/>
      <c r="B47" s="10"/>
      <c r="C47" s="31" t="str">
        <f aca="false">IF(B47="","",TEXT(B47,"ddd"))</f>
        <v/>
      </c>
      <c r="D47" s="11"/>
      <c r="E47" s="8" t="str">
        <f aca="false">IF(D47="","",IFERROR(INDEX(ProjNumbers,MATCH(D47,ProjNames,0)),""))</f>
        <v/>
      </c>
      <c r="F47" s="8" t="str">
        <f aca="false">IF(D47="","",IFERROR(INDEX(ProjCodes,MATCH(D47,ProjNames,0)),""))</f>
        <v/>
      </c>
      <c r="G47" s="32"/>
      <c r="H47" s="11"/>
      <c r="I47" s="33"/>
      <c r="J47" s="8" t="str">
        <f aca="false">IF(COUNTA(B47,D47,G47,H47,I47)=0,"",IF(B47="","Enter date",IF(OR(B47&lt;$AC$2,B47&gt;$AC$3),"Date not in September",IF(D47="","Pick project",IF(ISNA(MATCH(D47,ProjNames,0)),"Project not in list",IF(G47="","Add task description",IF(H47="","Pick NTIME or P6",IF(N(I47)&lt;=0,"Enter hours",IF(AND(AllowOT&lt;&gt;"Yes",SUMIF($B$7:$B$256,B47,$I$7:$I$256)&gt;INDEX($O$58:$O$87,DAY(B47))),"Day over "&amp;INDEX($O$58:$O$87,DAY(B47))&amp;" h","✓")))))))))</f>
        <v/>
      </c>
      <c r="K47" s="1"/>
      <c r="L47" s="24" t="str">
        <f aca="false">IF($AD47=0,"",INDEX($W$7:$W$206,$AD47))</f>
        <v/>
      </c>
      <c r="M47" s="24" t="str">
        <f aca="false">IF($AD47=0,"",INDEX(ProjNumbers,$AD47))</f>
        <v/>
      </c>
      <c r="N47" s="24" t="str">
        <f aca="false">IF($AD47=0,"",INDEX(ProjCodes,$AD47))</f>
        <v/>
      </c>
      <c r="O47" s="24" t="str">
        <f aca="false">IF($AD47=0,"",INDEX($X$7:$X$206,$AD47))</f>
        <v/>
      </c>
      <c r="P47" s="24" t="str">
        <f aca="false">IF($AD47=0,"",INDEX($Y$7:$Y$206,$AD47))</f>
        <v/>
      </c>
      <c r="Q47" s="24" t="str">
        <f aca="false">IF($AD47=0,"",INDEX($Z$7:$Z$206,$AD47))</f>
        <v/>
      </c>
      <c r="R47" s="25" t="str">
        <f aca="false">IF(OR($AD47=0,$L$5=0),"",Q47/$L$5)</f>
        <v/>
      </c>
      <c r="S47" s="1"/>
      <c r="T47" s="1"/>
      <c r="U47" s="1"/>
      <c r="V47" s="1"/>
      <c r="W47" s="1" t="str">
        <f aca="false">IF(Projects!B45="","",Projects!B45)</f>
        <v/>
      </c>
      <c r="X47" s="1" t="n">
        <f aca="false">IF(W47="",0,SUMIFS($I$7:$I$256,$D$7:$D$256,W47,$H$7:$H$256,"NTIME"))</f>
        <v>0</v>
      </c>
      <c r="Y47" s="1" t="n">
        <f aca="false">IF(W47="",0,SUMIFS($I$7:$I$256,$D$7:$D$256,W47,$H$7:$H$256,"P6"))</f>
        <v>0</v>
      </c>
      <c r="Z47" s="1" t="n">
        <f aca="false">X47+Y47</f>
        <v>0</v>
      </c>
      <c r="AA47" s="1" t="n">
        <f aca="false">IF(Z47&gt;0,Z47+(201-41)/10^6,0)</f>
        <v>0</v>
      </c>
      <c r="AB47" s="1"/>
      <c r="AC47" s="1"/>
      <c r="AD47" s="1" t="n">
        <f aca="false">IF(LARGE($AA$7:$AA$206,11)&lt;=0,0,MATCH(LARGE($AA$7:$AA$206,11),$AA$7:$AA$206,0))</f>
        <v>0</v>
      </c>
      <c r="AE47" s="1"/>
      <c r="AF47" s="1"/>
      <c r="AG47" s="1"/>
      <c r="AH47" s="1"/>
    </row>
    <row r="48" customFormat="false" ht="15" hidden="false" customHeight="false" outlineLevel="0" collapsed="false">
      <c r="A48" s="1"/>
      <c r="B48" s="10"/>
      <c r="C48" s="31" t="str">
        <f aca="false">IF(B48="","",TEXT(B48,"ddd"))</f>
        <v/>
      </c>
      <c r="D48" s="11"/>
      <c r="E48" s="8" t="str">
        <f aca="false">IF(D48="","",IFERROR(INDEX(ProjNumbers,MATCH(D48,ProjNames,0)),""))</f>
        <v/>
      </c>
      <c r="F48" s="8" t="str">
        <f aca="false">IF(D48="","",IFERROR(INDEX(ProjCodes,MATCH(D48,ProjNames,0)),""))</f>
        <v/>
      </c>
      <c r="G48" s="32"/>
      <c r="H48" s="11"/>
      <c r="I48" s="33"/>
      <c r="J48" s="8" t="str">
        <f aca="false">IF(COUNTA(B48,D48,G48,H48,I48)=0,"",IF(B48="","Enter date",IF(OR(B48&lt;$AC$2,B48&gt;$AC$3),"Date not in September",IF(D48="","Pick project",IF(ISNA(MATCH(D48,ProjNames,0)),"Project not in list",IF(G48="","Add task description",IF(H48="","Pick NTIME or P6",IF(N(I48)&lt;=0,"Enter hours",IF(AND(AllowOT&lt;&gt;"Yes",SUMIF($B$7:$B$256,B48,$I$7:$I$256)&gt;INDEX($O$58:$O$87,DAY(B48))),"Day over "&amp;INDEX($O$58:$O$87,DAY(B48))&amp;" h","✓")))))))))</f>
        <v/>
      </c>
      <c r="K48" s="1"/>
      <c r="L48" s="24" t="str">
        <f aca="false">IF($AD48=0,"",INDEX($W$7:$W$206,$AD48))</f>
        <v/>
      </c>
      <c r="M48" s="24" t="str">
        <f aca="false">IF($AD48=0,"",INDEX(ProjNumbers,$AD48))</f>
        <v/>
      </c>
      <c r="N48" s="24" t="str">
        <f aca="false">IF($AD48=0,"",INDEX(ProjCodes,$AD48))</f>
        <v/>
      </c>
      <c r="O48" s="24" t="str">
        <f aca="false">IF($AD48=0,"",INDEX($X$7:$X$206,$AD48))</f>
        <v/>
      </c>
      <c r="P48" s="24" t="str">
        <f aca="false">IF($AD48=0,"",INDEX($Y$7:$Y$206,$AD48))</f>
        <v/>
      </c>
      <c r="Q48" s="24" t="str">
        <f aca="false">IF($AD48=0,"",INDEX($Z$7:$Z$206,$AD48))</f>
        <v/>
      </c>
      <c r="R48" s="25" t="str">
        <f aca="false">IF(OR($AD48=0,$L$5=0),"",Q48/$L$5)</f>
        <v/>
      </c>
      <c r="S48" s="1"/>
      <c r="T48" s="1"/>
      <c r="U48" s="1"/>
      <c r="V48" s="1"/>
      <c r="W48" s="1" t="str">
        <f aca="false">IF(Projects!B46="","",Projects!B46)</f>
        <v/>
      </c>
      <c r="X48" s="1" t="n">
        <f aca="false">IF(W48="",0,SUMIFS($I$7:$I$256,$D$7:$D$256,W48,$H$7:$H$256,"NTIME"))</f>
        <v>0</v>
      </c>
      <c r="Y48" s="1" t="n">
        <f aca="false">IF(W48="",0,SUMIFS($I$7:$I$256,$D$7:$D$256,W48,$H$7:$H$256,"P6"))</f>
        <v>0</v>
      </c>
      <c r="Z48" s="1" t="n">
        <f aca="false">X48+Y48</f>
        <v>0</v>
      </c>
      <c r="AA48" s="1" t="n">
        <f aca="false">IF(Z48&gt;0,Z48+(201-42)/10^6,0)</f>
        <v>0</v>
      </c>
      <c r="AB48" s="1"/>
      <c r="AC48" s="1"/>
      <c r="AD48" s="1" t="n">
        <f aca="false">IF(LARGE($AA$7:$AA$206,12)&lt;=0,0,MATCH(LARGE($AA$7:$AA$206,12),$AA$7:$AA$206,0))</f>
        <v>0</v>
      </c>
      <c r="AE48" s="1"/>
      <c r="AF48" s="1"/>
      <c r="AG48" s="1"/>
      <c r="AH48" s="1"/>
    </row>
    <row r="49" customFormat="false" ht="15" hidden="false" customHeight="false" outlineLevel="0" collapsed="false">
      <c r="A49" s="1"/>
      <c r="B49" s="10"/>
      <c r="C49" s="31" t="str">
        <f aca="false">IF(B49="","",TEXT(B49,"ddd"))</f>
        <v/>
      </c>
      <c r="D49" s="11"/>
      <c r="E49" s="8" t="str">
        <f aca="false">IF(D49="","",IFERROR(INDEX(ProjNumbers,MATCH(D49,ProjNames,0)),""))</f>
        <v/>
      </c>
      <c r="F49" s="8" t="str">
        <f aca="false">IF(D49="","",IFERROR(INDEX(ProjCodes,MATCH(D49,ProjNames,0)),""))</f>
        <v/>
      </c>
      <c r="G49" s="32"/>
      <c r="H49" s="11"/>
      <c r="I49" s="33"/>
      <c r="J49" s="8" t="str">
        <f aca="false">IF(COUNTA(B49,D49,G49,H49,I49)=0,"",IF(B49="","Enter date",IF(OR(B49&lt;$AC$2,B49&gt;$AC$3),"Date not in September",IF(D49="","Pick project",IF(ISNA(MATCH(D49,ProjNames,0)),"Project not in list",IF(G49="","Add task description",IF(H49="","Pick NTIME or P6",IF(N(I49)&lt;=0,"Enter hours",IF(AND(AllowOT&lt;&gt;"Yes",SUMIF($B$7:$B$256,B49,$I$7:$I$256)&gt;INDEX($O$58:$O$87,DAY(B49))),"Day over "&amp;INDEX($O$58:$O$87,DAY(B49))&amp;" h","✓")))))))))</f>
        <v/>
      </c>
      <c r="K49" s="1"/>
      <c r="L49" s="24" t="str">
        <f aca="false">IF($AD49=0,"",INDEX($W$7:$W$206,$AD49))</f>
        <v/>
      </c>
      <c r="M49" s="24" t="str">
        <f aca="false">IF($AD49=0,"",INDEX(ProjNumbers,$AD49))</f>
        <v/>
      </c>
      <c r="N49" s="24" t="str">
        <f aca="false">IF($AD49=0,"",INDEX(ProjCodes,$AD49))</f>
        <v/>
      </c>
      <c r="O49" s="24" t="str">
        <f aca="false">IF($AD49=0,"",INDEX($X$7:$X$206,$AD49))</f>
        <v/>
      </c>
      <c r="P49" s="24" t="str">
        <f aca="false">IF($AD49=0,"",INDEX($Y$7:$Y$206,$AD49))</f>
        <v/>
      </c>
      <c r="Q49" s="24" t="str">
        <f aca="false">IF($AD49=0,"",INDEX($Z$7:$Z$206,$AD49))</f>
        <v/>
      </c>
      <c r="R49" s="25" t="str">
        <f aca="false">IF(OR($AD49=0,$L$5=0),"",Q49/$L$5)</f>
        <v/>
      </c>
      <c r="S49" s="1"/>
      <c r="T49" s="1"/>
      <c r="U49" s="1"/>
      <c r="V49" s="1"/>
      <c r="W49" s="1" t="str">
        <f aca="false">IF(Projects!B47="","",Projects!B47)</f>
        <v/>
      </c>
      <c r="X49" s="1" t="n">
        <f aca="false">IF(W49="",0,SUMIFS($I$7:$I$256,$D$7:$D$256,W49,$H$7:$H$256,"NTIME"))</f>
        <v>0</v>
      </c>
      <c r="Y49" s="1" t="n">
        <f aca="false">IF(W49="",0,SUMIFS($I$7:$I$256,$D$7:$D$256,W49,$H$7:$H$256,"P6"))</f>
        <v>0</v>
      </c>
      <c r="Z49" s="1" t="n">
        <f aca="false">X49+Y49</f>
        <v>0</v>
      </c>
      <c r="AA49" s="1" t="n">
        <f aca="false">IF(Z49&gt;0,Z49+(201-43)/10^6,0)</f>
        <v>0</v>
      </c>
      <c r="AB49" s="1"/>
      <c r="AC49" s="1"/>
      <c r="AD49" s="1" t="n">
        <f aca="false">IF(LARGE($AA$7:$AA$206,13)&lt;=0,0,MATCH(LARGE($AA$7:$AA$206,13),$AA$7:$AA$206,0))</f>
        <v>0</v>
      </c>
      <c r="AE49" s="1"/>
      <c r="AF49" s="1"/>
      <c r="AG49" s="1"/>
      <c r="AH49" s="1"/>
    </row>
    <row r="50" customFormat="false" ht="15" hidden="false" customHeight="false" outlineLevel="0" collapsed="false">
      <c r="A50" s="1"/>
      <c r="B50" s="10"/>
      <c r="C50" s="31" t="str">
        <f aca="false">IF(B50="","",TEXT(B50,"ddd"))</f>
        <v/>
      </c>
      <c r="D50" s="11"/>
      <c r="E50" s="8" t="str">
        <f aca="false">IF(D50="","",IFERROR(INDEX(ProjNumbers,MATCH(D50,ProjNames,0)),""))</f>
        <v/>
      </c>
      <c r="F50" s="8" t="str">
        <f aca="false">IF(D50="","",IFERROR(INDEX(ProjCodes,MATCH(D50,ProjNames,0)),""))</f>
        <v/>
      </c>
      <c r="G50" s="32"/>
      <c r="H50" s="11"/>
      <c r="I50" s="33"/>
      <c r="J50" s="8" t="str">
        <f aca="false">IF(COUNTA(B50,D50,G50,H50,I50)=0,"",IF(B50="","Enter date",IF(OR(B50&lt;$AC$2,B50&gt;$AC$3),"Date not in September",IF(D50="","Pick project",IF(ISNA(MATCH(D50,ProjNames,0)),"Project not in list",IF(G50="","Add task description",IF(H50="","Pick NTIME or P6",IF(N(I50)&lt;=0,"Enter hours",IF(AND(AllowOT&lt;&gt;"Yes",SUMIF($B$7:$B$256,B50,$I$7:$I$256)&gt;INDEX($O$58:$O$87,DAY(B50))),"Day over "&amp;INDEX($O$58:$O$87,DAY(B50))&amp;" h","✓")))))))))</f>
        <v/>
      </c>
      <c r="K50" s="1"/>
      <c r="L50" s="24" t="str">
        <f aca="false">IF($AD50=0,"",INDEX($W$7:$W$206,$AD50))</f>
        <v/>
      </c>
      <c r="M50" s="24" t="str">
        <f aca="false">IF($AD50=0,"",INDEX(ProjNumbers,$AD50))</f>
        <v/>
      </c>
      <c r="N50" s="24" t="str">
        <f aca="false">IF($AD50=0,"",INDEX(ProjCodes,$AD50))</f>
        <v/>
      </c>
      <c r="O50" s="24" t="str">
        <f aca="false">IF($AD50=0,"",INDEX($X$7:$X$206,$AD50))</f>
        <v/>
      </c>
      <c r="P50" s="24" t="str">
        <f aca="false">IF($AD50=0,"",INDEX($Y$7:$Y$206,$AD50))</f>
        <v/>
      </c>
      <c r="Q50" s="24" t="str">
        <f aca="false">IF($AD50=0,"",INDEX($Z$7:$Z$206,$AD50))</f>
        <v/>
      </c>
      <c r="R50" s="25" t="str">
        <f aca="false">IF(OR($AD50=0,$L$5=0),"",Q50/$L$5)</f>
        <v/>
      </c>
      <c r="S50" s="1"/>
      <c r="T50" s="1"/>
      <c r="U50" s="1"/>
      <c r="V50" s="1"/>
      <c r="W50" s="1" t="str">
        <f aca="false">IF(Projects!B48="","",Projects!B48)</f>
        <v/>
      </c>
      <c r="X50" s="1" t="n">
        <f aca="false">IF(W50="",0,SUMIFS($I$7:$I$256,$D$7:$D$256,W50,$H$7:$H$256,"NTIME"))</f>
        <v>0</v>
      </c>
      <c r="Y50" s="1" t="n">
        <f aca="false">IF(W50="",0,SUMIFS($I$7:$I$256,$D$7:$D$256,W50,$H$7:$H$256,"P6"))</f>
        <v>0</v>
      </c>
      <c r="Z50" s="1" t="n">
        <f aca="false">X50+Y50</f>
        <v>0</v>
      </c>
      <c r="AA50" s="1" t="n">
        <f aca="false">IF(Z50&gt;0,Z50+(201-44)/10^6,0)</f>
        <v>0</v>
      </c>
      <c r="AB50" s="1"/>
      <c r="AC50" s="1"/>
      <c r="AD50" s="1" t="n">
        <f aca="false">IF(LARGE($AA$7:$AA$206,14)&lt;=0,0,MATCH(LARGE($AA$7:$AA$206,14),$AA$7:$AA$206,0))</f>
        <v>0</v>
      </c>
      <c r="AE50" s="1"/>
      <c r="AF50" s="1"/>
      <c r="AG50" s="1"/>
      <c r="AH50" s="1"/>
    </row>
    <row r="51" customFormat="false" ht="15" hidden="false" customHeight="false" outlineLevel="0" collapsed="false">
      <c r="A51" s="1"/>
      <c r="B51" s="10"/>
      <c r="C51" s="31" t="str">
        <f aca="false">IF(B51="","",TEXT(B51,"ddd"))</f>
        <v/>
      </c>
      <c r="D51" s="11"/>
      <c r="E51" s="8" t="str">
        <f aca="false">IF(D51="","",IFERROR(INDEX(ProjNumbers,MATCH(D51,ProjNames,0)),""))</f>
        <v/>
      </c>
      <c r="F51" s="8" t="str">
        <f aca="false">IF(D51="","",IFERROR(INDEX(ProjCodes,MATCH(D51,ProjNames,0)),""))</f>
        <v/>
      </c>
      <c r="G51" s="32"/>
      <c r="H51" s="11"/>
      <c r="I51" s="33"/>
      <c r="J51" s="8" t="str">
        <f aca="false">IF(COUNTA(B51,D51,G51,H51,I51)=0,"",IF(B51="","Enter date",IF(OR(B51&lt;$AC$2,B51&gt;$AC$3),"Date not in September",IF(D51="","Pick project",IF(ISNA(MATCH(D51,ProjNames,0)),"Project not in list",IF(G51="","Add task description",IF(H51="","Pick NTIME or P6",IF(N(I51)&lt;=0,"Enter hours",IF(AND(AllowOT&lt;&gt;"Yes",SUMIF($B$7:$B$256,B51,$I$7:$I$256)&gt;INDEX($O$58:$O$87,DAY(B51))),"Day over "&amp;INDEX($O$58:$O$87,DAY(B51))&amp;" h","✓")))))))))</f>
        <v/>
      </c>
      <c r="K51" s="1"/>
      <c r="L51" s="24" t="str">
        <f aca="false">IF($AD51=0,"",INDEX($W$7:$W$206,$AD51))</f>
        <v/>
      </c>
      <c r="M51" s="24" t="str">
        <f aca="false">IF($AD51=0,"",INDEX(ProjNumbers,$AD51))</f>
        <v/>
      </c>
      <c r="N51" s="24" t="str">
        <f aca="false">IF($AD51=0,"",INDEX(ProjCodes,$AD51))</f>
        <v/>
      </c>
      <c r="O51" s="24" t="str">
        <f aca="false">IF($AD51=0,"",INDEX($X$7:$X$206,$AD51))</f>
        <v/>
      </c>
      <c r="P51" s="24" t="str">
        <f aca="false">IF($AD51=0,"",INDEX($Y$7:$Y$206,$AD51))</f>
        <v/>
      </c>
      <c r="Q51" s="24" t="str">
        <f aca="false">IF($AD51=0,"",INDEX($Z$7:$Z$206,$AD51))</f>
        <v/>
      </c>
      <c r="R51" s="25" t="str">
        <f aca="false">IF(OR($AD51=0,$L$5=0),"",Q51/$L$5)</f>
        <v/>
      </c>
      <c r="S51" s="1"/>
      <c r="T51" s="1"/>
      <c r="U51" s="1"/>
      <c r="V51" s="1"/>
      <c r="W51" s="1" t="str">
        <f aca="false">IF(Projects!B49="","",Projects!B49)</f>
        <v/>
      </c>
      <c r="X51" s="1" t="n">
        <f aca="false">IF(W51="",0,SUMIFS($I$7:$I$256,$D$7:$D$256,W51,$H$7:$H$256,"NTIME"))</f>
        <v>0</v>
      </c>
      <c r="Y51" s="1" t="n">
        <f aca="false">IF(W51="",0,SUMIFS($I$7:$I$256,$D$7:$D$256,W51,$H$7:$H$256,"P6"))</f>
        <v>0</v>
      </c>
      <c r="Z51" s="1" t="n">
        <f aca="false">X51+Y51</f>
        <v>0</v>
      </c>
      <c r="AA51" s="1" t="n">
        <f aca="false">IF(Z51&gt;0,Z51+(201-45)/10^6,0)</f>
        <v>0</v>
      </c>
      <c r="AB51" s="1"/>
      <c r="AC51" s="1"/>
      <c r="AD51" s="1" t="n">
        <f aca="false">IF(LARGE($AA$7:$AA$206,15)&lt;=0,0,MATCH(LARGE($AA$7:$AA$206,15),$AA$7:$AA$206,0))</f>
        <v>0</v>
      </c>
      <c r="AE51" s="1"/>
      <c r="AF51" s="1"/>
      <c r="AG51" s="1"/>
      <c r="AH51" s="1"/>
    </row>
    <row r="52" customFormat="false" ht="15" hidden="false" customHeight="false" outlineLevel="0" collapsed="false">
      <c r="A52" s="1"/>
      <c r="B52" s="10"/>
      <c r="C52" s="31" t="str">
        <f aca="false">IF(B52="","",TEXT(B52,"ddd"))</f>
        <v/>
      </c>
      <c r="D52" s="11"/>
      <c r="E52" s="8" t="str">
        <f aca="false">IF(D52="","",IFERROR(INDEX(ProjNumbers,MATCH(D52,ProjNames,0)),""))</f>
        <v/>
      </c>
      <c r="F52" s="8" t="str">
        <f aca="false">IF(D52="","",IFERROR(INDEX(ProjCodes,MATCH(D52,ProjNames,0)),""))</f>
        <v/>
      </c>
      <c r="G52" s="32"/>
      <c r="H52" s="11"/>
      <c r="I52" s="33"/>
      <c r="J52" s="8" t="str">
        <f aca="false">IF(COUNTA(B52,D52,G52,H52,I52)=0,"",IF(B52="","Enter date",IF(OR(B52&lt;$AC$2,B52&gt;$AC$3),"Date not in September",IF(D52="","Pick project",IF(ISNA(MATCH(D52,ProjNames,0)),"Project not in list",IF(G52="","Add task description",IF(H52="","Pick NTIME or P6",IF(N(I52)&lt;=0,"Enter hours",IF(AND(AllowOT&lt;&gt;"Yes",SUMIF($B$7:$B$256,B52,$I$7:$I$256)&gt;INDEX($O$58:$O$87,DAY(B52))),"Day over "&amp;INDEX($O$58:$O$87,DAY(B52))&amp;" h","✓")))))))))</f>
        <v/>
      </c>
      <c r="K52" s="1"/>
      <c r="L52" s="24" t="s">
        <v>87</v>
      </c>
      <c r="M52" s="24"/>
      <c r="N52" s="24"/>
      <c r="O52" s="24" t="n">
        <f aca="false">SUM($P$58:$P$87)-SUM($X$7:$X$206)</f>
        <v>0</v>
      </c>
      <c r="P52" s="24" t="n">
        <f aca="false">SUM($Q$58:$Q$87)-SUM($Y$7:$Y$206)</f>
        <v>0</v>
      </c>
      <c r="Q52" s="24" t="n">
        <f aca="false">O52+P52</f>
        <v>0</v>
      </c>
      <c r="R52" s="25" t="str">
        <f aca="false">IF($L$5=0,"",Q52/$L$5)</f>
        <v/>
      </c>
      <c r="S52" s="1"/>
      <c r="T52" s="1"/>
      <c r="U52" s="1"/>
      <c r="V52" s="1"/>
      <c r="W52" s="1" t="str">
        <f aca="false">IF(Projects!B50="","",Projects!B50)</f>
        <v/>
      </c>
      <c r="X52" s="1" t="n">
        <f aca="false">IF(W52="",0,SUMIFS($I$7:$I$256,$D$7:$D$256,W52,$H$7:$H$256,"NTIME"))</f>
        <v>0</v>
      </c>
      <c r="Y52" s="1" t="n">
        <f aca="false">IF(W52="",0,SUMIFS($I$7:$I$256,$D$7:$D$256,W52,$H$7:$H$256,"P6"))</f>
        <v>0</v>
      </c>
      <c r="Z52" s="1" t="n">
        <f aca="false">X52+Y52</f>
        <v>0</v>
      </c>
      <c r="AA52" s="1" t="n">
        <f aca="false">IF(Z52&gt;0,Z52+(201-46)/10^6,0)</f>
        <v>0</v>
      </c>
      <c r="AB52" s="1"/>
      <c r="AC52" s="1"/>
      <c r="AD52" s="1"/>
      <c r="AE52" s="1"/>
      <c r="AF52" s="1"/>
      <c r="AG52" s="1"/>
      <c r="AH52" s="1"/>
    </row>
    <row r="53" customFormat="false" ht="15" hidden="false" customHeight="false" outlineLevel="0" collapsed="false">
      <c r="A53" s="1"/>
      <c r="B53" s="10"/>
      <c r="C53" s="31" t="str">
        <f aca="false">IF(B53="","",TEXT(B53,"ddd"))</f>
        <v/>
      </c>
      <c r="D53" s="11"/>
      <c r="E53" s="8" t="str">
        <f aca="false">IF(D53="","",IFERROR(INDEX(ProjNumbers,MATCH(D53,ProjNames,0)),""))</f>
        <v/>
      </c>
      <c r="F53" s="8" t="str">
        <f aca="false">IF(D53="","",IFERROR(INDEX(ProjCodes,MATCH(D53,ProjNames,0)),""))</f>
        <v/>
      </c>
      <c r="G53" s="32"/>
      <c r="H53" s="11"/>
      <c r="I53" s="33"/>
      <c r="J53" s="8" t="str">
        <f aca="false">IF(COUNTA(B53,D53,G53,H53,I53)=0,"",IF(B53="","Enter date",IF(OR(B53&lt;$AC$2,B53&gt;$AC$3),"Date not in September",IF(D53="","Pick project",IF(ISNA(MATCH(D53,ProjNames,0)),"Project not in list",IF(G53="","Add task description",IF(H53="","Pick NTIME or P6",IF(N(I53)&lt;=0,"Enter hours",IF(AND(AllowOT&lt;&gt;"Yes",SUMIF($B$7:$B$256,B53,$I$7:$I$256)&gt;INDEX($O$58:$O$87,DAY(B53))),"Day over "&amp;INDEX($O$58:$O$87,DAY(B53))&amp;" h","✓")))))))))</f>
        <v/>
      </c>
      <c r="K53" s="1"/>
      <c r="L53" s="24" t="s">
        <v>15</v>
      </c>
      <c r="M53" s="24" t="s">
        <v>88</v>
      </c>
      <c r="N53" s="24"/>
      <c r="O53" s="24" t="str">
        <f aca="false">IF(OHSystem="NTIME",O5,"")</f>
        <v/>
      </c>
      <c r="P53" s="24" t="str">
        <f aca="false">IF(OHSystem="P6",O5,"")</f>
        <v/>
      </c>
      <c r="Q53" s="24" t="n">
        <f aca="false">O5</f>
        <v>0</v>
      </c>
      <c r="R53" s="25" t="str">
        <f aca="false">IF($L$5=0,"",Q53/$L$5)</f>
        <v/>
      </c>
      <c r="S53" s="1"/>
      <c r="T53" s="1"/>
      <c r="U53" s="1"/>
      <c r="V53" s="1"/>
      <c r="W53" s="1" t="str">
        <f aca="false">IF(Projects!B51="","",Projects!B51)</f>
        <v/>
      </c>
      <c r="X53" s="1" t="n">
        <f aca="false">IF(W53="",0,SUMIFS($I$7:$I$256,$D$7:$D$256,W53,$H$7:$H$256,"NTIME"))</f>
        <v>0</v>
      </c>
      <c r="Y53" s="1" t="n">
        <f aca="false">IF(W53="",0,SUMIFS($I$7:$I$256,$D$7:$D$256,W53,$H$7:$H$256,"P6"))</f>
        <v>0</v>
      </c>
      <c r="Z53" s="1" t="n">
        <f aca="false">X53+Y53</f>
        <v>0</v>
      </c>
      <c r="AA53" s="1" t="n">
        <f aca="false">IF(Z53&gt;0,Z53+(201-47)/10^6,0)</f>
        <v>0</v>
      </c>
      <c r="AB53" s="1"/>
      <c r="AC53" s="1"/>
      <c r="AD53" s="1"/>
      <c r="AE53" s="1"/>
      <c r="AF53" s="1"/>
      <c r="AG53" s="1"/>
      <c r="AH53" s="1"/>
    </row>
    <row r="54" customFormat="false" ht="15" hidden="false" customHeight="false" outlineLevel="0" collapsed="false">
      <c r="A54" s="1"/>
      <c r="B54" s="10"/>
      <c r="C54" s="31" t="str">
        <f aca="false">IF(B54="","",TEXT(B54,"ddd"))</f>
        <v/>
      </c>
      <c r="D54" s="11"/>
      <c r="E54" s="8" t="str">
        <f aca="false">IF(D54="","",IFERROR(INDEX(ProjNumbers,MATCH(D54,ProjNames,0)),""))</f>
        <v/>
      </c>
      <c r="F54" s="8" t="str">
        <f aca="false">IF(D54="","",IFERROR(INDEX(ProjCodes,MATCH(D54,ProjNames,0)),""))</f>
        <v/>
      </c>
      <c r="G54" s="32"/>
      <c r="H54" s="11"/>
      <c r="I54" s="33"/>
      <c r="J54" s="8" t="str">
        <f aca="false">IF(COUNTA(B54,D54,G54,H54,I54)=0,"",IF(B54="","Enter date",IF(OR(B54&lt;$AC$2,B54&gt;$AC$3),"Date not in September",IF(D54="","Pick project",IF(ISNA(MATCH(D54,ProjNames,0)),"Project not in list",IF(G54="","Add task description",IF(H54="","Pick NTIME or P6",IF(N(I54)&lt;=0,"Enter hours",IF(AND(AllowOT&lt;&gt;"Yes",SUMIF($B$7:$B$256,B54,$I$7:$I$256)&gt;INDEX($O$58:$O$87,DAY(B54))),"Day over "&amp;INDEX($O$58:$O$87,DAY(B54))&amp;" h","✓")))))))))</f>
        <v/>
      </c>
      <c r="K54" s="1"/>
      <c r="L54" s="27" t="s">
        <v>57</v>
      </c>
      <c r="M54" s="27"/>
      <c r="N54" s="27"/>
      <c r="O54" s="27" t="n">
        <f aca="false">M5</f>
        <v>0</v>
      </c>
      <c r="P54" s="27" t="n">
        <f aca="false">N5</f>
        <v>0</v>
      </c>
      <c r="Q54" s="27" t="n">
        <f aca="false">L5</f>
        <v>0</v>
      </c>
      <c r="R54" s="27"/>
      <c r="S54" s="1"/>
      <c r="T54" s="1"/>
      <c r="U54" s="1"/>
      <c r="V54" s="1"/>
      <c r="W54" s="1" t="str">
        <f aca="false">IF(Projects!B52="","",Projects!B52)</f>
        <v/>
      </c>
      <c r="X54" s="1" t="n">
        <f aca="false">IF(W54="",0,SUMIFS($I$7:$I$256,$D$7:$D$256,W54,$H$7:$H$256,"NTIME"))</f>
        <v>0</v>
      </c>
      <c r="Y54" s="1" t="n">
        <f aca="false">IF(W54="",0,SUMIFS($I$7:$I$256,$D$7:$D$256,W54,$H$7:$H$256,"P6"))</f>
        <v>0</v>
      </c>
      <c r="Z54" s="1" t="n">
        <f aca="false">X54+Y54</f>
        <v>0</v>
      </c>
      <c r="AA54" s="1" t="n">
        <f aca="false">IF(Z54&gt;0,Z54+(201-48)/10^6,0)</f>
        <v>0</v>
      </c>
      <c r="AB54" s="1"/>
      <c r="AC54" s="1"/>
      <c r="AD54" s="1"/>
      <c r="AE54" s="1"/>
      <c r="AF54" s="1"/>
      <c r="AG54" s="1"/>
      <c r="AH54" s="1"/>
    </row>
    <row r="55" customFormat="false" ht="15" hidden="false" customHeight="false" outlineLevel="0" collapsed="false">
      <c r="A55" s="1"/>
      <c r="B55" s="10"/>
      <c r="C55" s="31" t="str">
        <f aca="false">IF(B55="","",TEXT(B55,"ddd"))</f>
        <v/>
      </c>
      <c r="D55" s="11"/>
      <c r="E55" s="8" t="str">
        <f aca="false">IF(D55="","",IFERROR(INDEX(ProjNumbers,MATCH(D55,ProjNames,0)),""))</f>
        <v/>
      </c>
      <c r="F55" s="8" t="str">
        <f aca="false">IF(D55="","",IFERROR(INDEX(ProjCodes,MATCH(D55,ProjNames,0)),""))</f>
        <v/>
      </c>
      <c r="G55" s="32"/>
      <c r="H55" s="11"/>
      <c r="I55" s="33"/>
      <c r="J55" s="8" t="str">
        <f aca="false">IF(COUNTA(B55,D55,G55,H55,I55)=0,"",IF(B55="","Enter date",IF(OR(B55&lt;$AC$2,B55&gt;$AC$3),"Date not in September",IF(D55="","Pick project",IF(ISNA(MATCH(D55,ProjNames,0)),"Project not in list",IF(G55="","Add task description",IF(H55="","Pick NTIME or P6",IF(N(I55)&lt;=0,"Enter hours",IF(AND(AllowOT&lt;&gt;"Yes",SUMIF($B$7:$B$256,B55,$I$7:$I$256)&gt;INDEX($O$58:$O$87,DAY(B55))),"Day over "&amp;INDEX($O$58:$O$87,DAY(B55))&amp;" h","✓")))))))))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tr">
        <f aca="false">IF(Projects!B53="","",Projects!B53)</f>
        <v/>
      </c>
      <c r="X55" s="1" t="n">
        <f aca="false">IF(W55="",0,SUMIFS($I$7:$I$256,$D$7:$D$256,W55,$H$7:$H$256,"NTIME"))</f>
        <v>0</v>
      </c>
      <c r="Y55" s="1" t="n">
        <f aca="false">IF(W55="",0,SUMIFS($I$7:$I$256,$D$7:$D$256,W55,$H$7:$H$256,"P6"))</f>
        <v>0</v>
      </c>
      <c r="Z55" s="1" t="n">
        <f aca="false">X55+Y55</f>
        <v>0</v>
      </c>
      <c r="AA55" s="1" t="n">
        <f aca="false">IF(Z55&gt;0,Z55+(201-49)/10^6,0)</f>
        <v>0</v>
      </c>
      <c r="AB55" s="1"/>
      <c r="AC55" s="1"/>
      <c r="AD55" s="1"/>
      <c r="AE55" s="1"/>
      <c r="AF55" s="1"/>
      <c r="AG55" s="1"/>
      <c r="AH55" s="1"/>
    </row>
    <row r="56" customFormat="false" ht="15" hidden="false" customHeight="false" outlineLevel="0" collapsed="false">
      <c r="A56" s="1"/>
      <c r="B56" s="10"/>
      <c r="C56" s="31" t="str">
        <f aca="false">IF(B56="","",TEXT(B56,"ddd"))</f>
        <v/>
      </c>
      <c r="D56" s="11"/>
      <c r="E56" s="8" t="str">
        <f aca="false">IF(D56="","",IFERROR(INDEX(ProjNumbers,MATCH(D56,ProjNames,0)),""))</f>
        <v/>
      </c>
      <c r="F56" s="8" t="str">
        <f aca="false">IF(D56="","",IFERROR(INDEX(ProjCodes,MATCH(D56,ProjNames,0)),""))</f>
        <v/>
      </c>
      <c r="G56" s="32"/>
      <c r="H56" s="11"/>
      <c r="I56" s="33"/>
      <c r="J56" s="8" t="str">
        <f aca="false">IF(COUNTA(B56,D56,G56,H56,I56)=0,"",IF(B56="","Enter date",IF(OR(B56&lt;$AC$2,B56&gt;$AC$3),"Date not in September",IF(D56="","Pick project",IF(ISNA(MATCH(D56,ProjNames,0)),"Project not in list",IF(G56="","Add task description",IF(H56="","Pick NTIME or P6",IF(N(I56)&lt;=0,"Enter hours",IF(AND(AllowOT&lt;&gt;"Yes",SUMIF($B$7:$B$256,B56,$I$7:$I$256)&gt;INDEX($O$58:$O$87,DAY(B56))),"Day over "&amp;INDEX($O$58:$O$87,DAY(B56))&amp;" h","✓")))))))))</f>
        <v/>
      </c>
      <c r="K56" s="1"/>
      <c r="L56" s="4" t="s">
        <v>89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 aca="false">IF(Projects!B54="","",Projects!B54)</f>
        <v/>
      </c>
      <c r="X56" s="1" t="n">
        <f aca="false">IF(W56="",0,SUMIFS($I$7:$I$256,$D$7:$D$256,W56,$H$7:$H$256,"NTIME"))</f>
        <v>0</v>
      </c>
      <c r="Y56" s="1" t="n">
        <f aca="false">IF(W56="",0,SUMIFS($I$7:$I$256,$D$7:$D$256,W56,$H$7:$H$256,"P6"))</f>
        <v>0</v>
      </c>
      <c r="Z56" s="1" t="n">
        <f aca="false">X56+Y56</f>
        <v>0</v>
      </c>
      <c r="AA56" s="1" t="n">
        <f aca="false">IF(Z56&gt;0,Z56+(201-50)/10^6,0)</f>
        <v>0</v>
      </c>
      <c r="AB56" s="1"/>
      <c r="AC56" s="1"/>
      <c r="AD56" s="1"/>
      <c r="AE56" s="1"/>
      <c r="AF56" s="1"/>
      <c r="AG56" s="1"/>
      <c r="AH56" s="1"/>
    </row>
    <row r="57" customFormat="false" ht="15" hidden="false" customHeight="false" outlineLevel="0" collapsed="false">
      <c r="A57" s="1"/>
      <c r="B57" s="10"/>
      <c r="C57" s="31" t="str">
        <f aca="false">IF(B57="","",TEXT(B57,"ddd"))</f>
        <v/>
      </c>
      <c r="D57" s="11"/>
      <c r="E57" s="8" t="str">
        <f aca="false">IF(D57="","",IFERROR(INDEX(ProjNumbers,MATCH(D57,ProjNames,0)),""))</f>
        <v/>
      </c>
      <c r="F57" s="8" t="str">
        <f aca="false">IF(D57="","",IFERROR(INDEX(ProjCodes,MATCH(D57,ProjNames,0)),""))</f>
        <v/>
      </c>
      <c r="G57" s="32"/>
      <c r="H57" s="11"/>
      <c r="I57" s="33"/>
      <c r="J57" s="8" t="str">
        <f aca="false">IF(COUNTA(B57,D57,G57,H57,I57)=0,"",IF(B57="","Enter date",IF(OR(B57&lt;$AC$2,B57&gt;$AC$3),"Date not in September",IF(D57="","Pick project",IF(ISNA(MATCH(D57,ProjNames,0)),"Project not in list",IF(G57="","Add task description",IF(H57="","Pick NTIME or P6",IF(N(I57)&lt;=0,"Enter hours",IF(AND(AllowOT&lt;&gt;"Yes",SUMIF($B$7:$B$256,B57,$I$7:$I$256)&gt;INDEX($O$58:$O$87,DAY(B57))),"Day over "&amp;INDEX($O$58:$O$87,DAY(B57))&amp;" h","✓")))))))))</f>
        <v/>
      </c>
      <c r="K57" s="1"/>
      <c r="L57" s="9" t="s">
        <v>33</v>
      </c>
      <c r="M57" s="9" t="s">
        <v>34</v>
      </c>
      <c r="N57" s="9" t="s">
        <v>90</v>
      </c>
      <c r="O57" s="9" t="s">
        <v>91</v>
      </c>
      <c r="P57" s="20" t="s">
        <v>46</v>
      </c>
      <c r="Q57" s="21" t="s">
        <v>56</v>
      </c>
      <c r="R57" s="22" t="s">
        <v>15</v>
      </c>
      <c r="S57" s="9" t="s">
        <v>24</v>
      </c>
      <c r="T57" s="9" t="s">
        <v>57</v>
      </c>
      <c r="U57" s="9" t="s">
        <v>92</v>
      </c>
      <c r="V57" s="1"/>
      <c r="W57" s="1" t="str">
        <f aca="false">IF(Projects!B55="","",Projects!B55)</f>
        <v/>
      </c>
      <c r="X57" s="1" t="n">
        <f aca="false">IF(W57="",0,SUMIFS($I$7:$I$256,$D$7:$D$256,W57,$H$7:$H$256,"NTIME"))</f>
        <v>0</v>
      </c>
      <c r="Y57" s="1" t="n">
        <f aca="false">IF(W57="",0,SUMIFS($I$7:$I$256,$D$7:$D$256,W57,$H$7:$H$256,"P6"))</f>
        <v>0</v>
      </c>
      <c r="Z57" s="1" t="n">
        <f aca="false">X57+Y57</f>
        <v>0</v>
      </c>
      <c r="AA57" s="1" t="n">
        <f aca="false">IF(Z57&gt;0,Z57+(201-51)/10^6,0)</f>
        <v>0</v>
      </c>
      <c r="AB57" s="1"/>
      <c r="AC57" s="1"/>
      <c r="AD57" s="1"/>
      <c r="AE57" s="1"/>
      <c r="AF57" s="1"/>
      <c r="AG57" s="1"/>
      <c r="AH57" s="1"/>
    </row>
    <row r="58" customFormat="false" ht="15" hidden="false" customHeight="false" outlineLevel="0" collapsed="false">
      <c r="A58" s="1"/>
      <c r="B58" s="10"/>
      <c r="C58" s="31" t="str">
        <f aca="false">IF(B58="","",TEXT(B58,"ddd"))</f>
        <v/>
      </c>
      <c r="D58" s="11"/>
      <c r="E58" s="8" t="str">
        <f aca="false">IF(D58="","",IFERROR(INDEX(ProjNumbers,MATCH(D58,ProjNames,0)),""))</f>
        <v/>
      </c>
      <c r="F58" s="8" t="str">
        <f aca="false">IF(D58="","",IFERROR(INDEX(ProjCodes,MATCH(D58,ProjNames,0)),""))</f>
        <v/>
      </c>
      <c r="G58" s="32"/>
      <c r="H58" s="11"/>
      <c r="I58" s="33"/>
      <c r="J58" s="8" t="str">
        <f aca="false">IF(COUNTA(B58,D58,G58,H58,I58)=0,"",IF(B58="","Enter date",IF(OR(B58&lt;$AC$2,B58&gt;$AC$3),"Date not in September",IF(D58="","Pick project",IF(ISNA(MATCH(D58,ProjNames,0)),"Project not in list",IF(G58="","Add task description",IF(H58="","Pick NTIME or P6",IF(N(I58)&lt;=0,"Enter hours",IF(AND(AllowOT&lt;&gt;"Yes",SUMIF($B$7:$B$256,B58,$I$7:$I$256)&gt;INDEX($O$58:$O$87,DAY(B58))),"Day over "&amp;INDEX($O$58:$O$87,DAY(B58))&amp;" h","✓")))))))))</f>
        <v/>
      </c>
      <c r="K58" s="1"/>
      <c r="L58" s="35" t="n">
        <v>46266</v>
      </c>
      <c r="M58" s="36" t="str">
        <f aca="false">TEXT(L58,"ddd")</f>
        <v>Tue</v>
      </c>
      <c r="N58" s="37" t="s">
        <v>93</v>
      </c>
      <c r="O58" s="37" t="n">
        <f aca="false">AvailHours</f>
        <v>8</v>
      </c>
      <c r="P58" s="24" t="n">
        <f aca="false">SUMIFS($I$7:$I$256,$B$7:$B$256,L58,$H$7:$H$256,"NTIME")</f>
        <v>0</v>
      </c>
      <c r="Q58" s="24" t="n">
        <f aca="false">SUMIFS($I$7:$I$256,$B$7:$B$256,L58,$H$7:$H$256,"P6")</f>
        <v>0</v>
      </c>
      <c r="R58" s="24" t="n">
        <f aca="false">IF(N58="Overhead only",O58,IF(AND(N58="Working",P58+Q58&gt;0),MAX(0,O58-P58-Q58),0))</f>
        <v>0</v>
      </c>
      <c r="S58" s="24" t="n">
        <f aca="false">IF(OR(N58="Working",N58="Overhead only"),MAX(0,P58+Q58-O58),0)</f>
        <v>0</v>
      </c>
      <c r="T58" s="24" t="n">
        <f aca="false">P58+Q58+R58</f>
        <v>0</v>
      </c>
      <c r="U58" s="24" t="str">
        <f aca="true">IF(N58="Working",IF(P58+Q58=0,IF(L58&lt;=TODAY(),"Not logged",""),IF(P58+Q58&gt;O58,IF(AllowOT="Yes","Overtime","Over "&amp;O58&amp;" h!"),"✓")),IF(N58="Overhead only","✓ Overhead day",IF(P58+Q58&gt;0,"Entries on "&amp;LOWER(N58)&amp;" day",N58)))</f>
        <v>Not logged</v>
      </c>
      <c r="V58" s="1"/>
      <c r="W58" s="1" t="str">
        <f aca="false">IF(Projects!B56="","",Projects!B56)</f>
        <v/>
      </c>
      <c r="X58" s="1" t="n">
        <f aca="false">IF(W58="",0,SUMIFS($I$7:$I$256,$D$7:$D$256,W58,$H$7:$H$256,"NTIME"))</f>
        <v>0</v>
      </c>
      <c r="Y58" s="1" t="n">
        <f aca="false">IF(W58="",0,SUMIFS($I$7:$I$256,$D$7:$D$256,W58,$H$7:$H$256,"P6"))</f>
        <v>0</v>
      </c>
      <c r="Z58" s="1" t="n">
        <f aca="false">X58+Y58</f>
        <v>0</v>
      </c>
      <c r="AA58" s="1" t="n">
        <f aca="false">IF(Z58&gt;0,Z58+(201-52)/10^6,0)</f>
        <v>0</v>
      </c>
      <c r="AB58" s="1"/>
      <c r="AC58" s="1"/>
      <c r="AD58" s="1"/>
      <c r="AE58" s="1"/>
      <c r="AF58" s="1"/>
      <c r="AG58" s="1"/>
      <c r="AH58" s="1"/>
    </row>
    <row r="59" customFormat="false" ht="15" hidden="false" customHeight="false" outlineLevel="0" collapsed="false">
      <c r="A59" s="1"/>
      <c r="B59" s="10"/>
      <c r="C59" s="31" t="str">
        <f aca="false">IF(B59="","",TEXT(B59,"ddd"))</f>
        <v/>
      </c>
      <c r="D59" s="11"/>
      <c r="E59" s="8" t="str">
        <f aca="false">IF(D59="","",IFERROR(INDEX(ProjNumbers,MATCH(D59,ProjNames,0)),""))</f>
        <v/>
      </c>
      <c r="F59" s="8" t="str">
        <f aca="false">IF(D59="","",IFERROR(INDEX(ProjCodes,MATCH(D59,ProjNames,0)),""))</f>
        <v/>
      </c>
      <c r="G59" s="32"/>
      <c r="H59" s="11"/>
      <c r="I59" s="33"/>
      <c r="J59" s="8" t="str">
        <f aca="false">IF(COUNTA(B59,D59,G59,H59,I59)=0,"",IF(B59="","Enter date",IF(OR(B59&lt;$AC$2,B59&gt;$AC$3),"Date not in September",IF(D59="","Pick project",IF(ISNA(MATCH(D59,ProjNames,0)),"Project not in list",IF(G59="","Add task description",IF(H59="","Pick NTIME or P6",IF(N(I59)&lt;=0,"Enter hours",IF(AND(AllowOT&lt;&gt;"Yes",SUMIF($B$7:$B$256,B59,$I$7:$I$256)&gt;INDEX($O$58:$O$87,DAY(B59))),"Day over "&amp;INDEX($O$58:$O$87,DAY(B59))&amp;" h","✓")))))))))</f>
        <v/>
      </c>
      <c r="K59" s="1"/>
      <c r="L59" s="35" t="n">
        <v>46267</v>
      </c>
      <c r="M59" s="36" t="str">
        <f aca="false">TEXT(L59,"ddd")</f>
        <v>Wed</v>
      </c>
      <c r="N59" s="37" t="s">
        <v>93</v>
      </c>
      <c r="O59" s="37" t="n">
        <f aca="false">AvailHours</f>
        <v>8</v>
      </c>
      <c r="P59" s="24" t="n">
        <f aca="false">SUMIFS($I$7:$I$256,$B$7:$B$256,L59,$H$7:$H$256,"NTIME")</f>
        <v>0</v>
      </c>
      <c r="Q59" s="24" t="n">
        <f aca="false">SUMIFS($I$7:$I$256,$B$7:$B$256,L59,$H$7:$H$256,"P6")</f>
        <v>0</v>
      </c>
      <c r="R59" s="24" t="n">
        <f aca="false">IF(N59="Overhead only",O59,IF(AND(N59="Working",P59+Q59&gt;0),MAX(0,O59-P59-Q59),0))</f>
        <v>0</v>
      </c>
      <c r="S59" s="24" t="n">
        <f aca="false">IF(OR(N59="Working",N59="Overhead only"),MAX(0,P59+Q59-O59),0)</f>
        <v>0</v>
      </c>
      <c r="T59" s="24" t="n">
        <f aca="false">P59+Q59+R59</f>
        <v>0</v>
      </c>
      <c r="U59" s="24" t="str">
        <f aca="true">IF(N59="Working",IF(P59+Q59=0,IF(L59&lt;=TODAY(),"Not logged",""),IF(P59+Q59&gt;O59,IF(AllowOT="Yes","Overtime","Over "&amp;O59&amp;" h!"),"✓")),IF(N59="Overhead only","✓ Overhead day",IF(P59+Q59&gt;0,"Entries on "&amp;LOWER(N59)&amp;" day",N59)))</f>
        <v>Not logged</v>
      </c>
      <c r="V59" s="1"/>
      <c r="W59" s="1" t="str">
        <f aca="false">IF(Projects!B57="","",Projects!B57)</f>
        <v/>
      </c>
      <c r="X59" s="1" t="n">
        <f aca="false">IF(W59="",0,SUMIFS($I$7:$I$256,$D$7:$D$256,W59,$H$7:$H$256,"NTIME"))</f>
        <v>0</v>
      </c>
      <c r="Y59" s="1" t="n">
        <f aca="false">IF(W59="",0,SUMIFS($I$7:$I$256,$D$7:$D$256,W59,$H$7:$H$256,"P6"))</f>
        <v>0</v>
      </c>
      <c r="Z59" s="1" t="n">
        <f aca="false">X59+Y59</f>
        <v>0</v>
      </c>
      <c r="AA59" s="1" t="n">
        <f aca="false">IF(Z59&gt;0,Z59+(201-53)/10^6,0)</f>
        <v>0</v>
      </c>
      <c r="AB59" s="1"/>
      <c r="AC59" s="1"/>
      <c r="AD59" s="1"/>
      <c r="AE59" s="1"/>
      <c r="AF59" s="1"/>
      <c r="AG59" s="1"/>
      <c r="AH59" s="1"/>
    </row>
    <row r="60" customFormat="false" ht="15" hidden="false" customHeight="false" outlineLevel="0" collapsed="false">
      <c r="A60" s="1"/>
      <c r="B60" s="10"/>
      <c r="C60" s="31" t="str">
        <f aca="false">IF(B60="","",TEXT(B60,"ddd"))</f>
        <v/>
      </c>
      <c r="D60" s="11"/>
      <c r="E60" s="8" t="str">
        <f aca="false">IF(D60="","",IFERROR(INDEX(ProjNumbers,MATCH(D60,ProjNames,0)),""))</f>
        <v/>
      </c>
      <c r="F60" s="8" t="str">
        <f aca="false">IF(D60="","",IFERROR(INDEX(ProjCodes,MATCH(D60,ProjNames,0)),""))</f>
        <v/>
      </c>
      <c r="G60" s="32"/>
      <c r="H60" s="11"/>
      <c r="I60" s="33"/>
      <c r="J60" s="8" t="str">
        <f aca="false">IF(COUNTA(B60,D60,G60,H60,I60)=0,"",IF(B60="","Enter date",IF(OR(B60&lt;$AC$2,B60&gt;$AC$3),"Date not in September",IF(D60="","Pick project",IF(ISNA(MATCH(D60,ProjNames,0)),"Project not in list",IF(G60="","Add task description",IF(H60="","Pick NTIME or P6",IF(N(I60)&lt;=0,"Enter hours",IF(AND(AllowOT&lt;&gt;"Yes",SUMIF($B$7:$B$256,B60,$I$7:$I$256)&gt;INDEX($O$58:$O$87,DAY(B60))),"Day over "&amp;INDEX($O$58:$O$87,DAY(B60))&amp;" h","✓")))))))))</f>
        <v/>
      </c>
      <c r="K60" s="1"/>
      <c r="L60" s="35" t="n">
        <v>46268</v>
      </c>
      <c r="M60" s="36" t="str">
        <f aca="false">TEXT(L60,"ddd")</f>
        <v>Thu</v>
      </c>
      <c r="N60" s="37" t="s">
        <v>93</v>
      </c>
      <c r="O60" s="37" t="n">
        <f aca="false">AvailHours</f>
        <v>8</v>
      </c>
      <c r="P60" s="24" t="n">
        <f aca="false">SUMIFS($I$7:$I$256,$B$7:$B$256,L60,$H$7:$H$256,"NTIME")</f>
        <v>0</v>
      </c>
      <c r="Q60" s="24" t="n">
        <f aca="false">SUMIFS($I$7:$I$256,$B$7:$B$256,L60,$H$7:$H$256,"P6")</f>
        <v>0</v>
      </c>
      <c r="R60" s="24" t="n">
        <f aca="false">IF(N60="Overhead only",O60,IF(AND(N60="Working",P60+Q60&gt;0),MAX(0,O60-P60-Q60),0))</f>
        <v>0</v>
      </c>
      <c r="S60" s="24" t="n">
        <f aca="false">IF(OR(N60="Working",N60="Overhead only"),MAX(0,P60+Q60-O60),0)</f>
        <v>0</v>
      </c>
      <c r="T60" s="24" t="n">
        <f aca="false">P60+Q60+R60</f>
        <v>0</v>
      </c>
      <c r="U60" s="24" t="str">
        <f aca="true">IF(N60="Working",IF(P60+Q60=0,IF(L60&lt;=TODAY(),"Not logged",""),IF(P60+Q60&gt;O60,IF(AllowOT="Yes","Overtime","Over "&amp;O60&amp;" h!"),"✓")),IF(N60="Overhead only","✓ Overhead day",IF(P60+Q60&gt;0,"Entries on "&amp;LOWER(N60)&amp;" day",N60)))</f>
        <v>Not logged</v>
      </c>
      <c r="V60" s="1"/>
      <c r="W60" s="1" t="str">
        <f aca="false">IF(Projects!B58="","",Projects!B58)</f>
        <v/>
      </c>
      <c r="X60" s="1" t="n">
        <f aca="false">IF(W60="",0,SUMIFS($I$7:$I$256,$D$7:$D$256,W60,$H$7:$H$256,"NTIME"))</f>
        <v>0</v>
      </c>
      <c r="Y60" s="1" t="n">
        <f aca="false">IF(W60="",0,SUMIFS($I$7:$I$256,$D$7:$D$256,W60,$H$7:$H$256,"P6"))</f>
        <v>0</v>
      </c>
      <c r="Z60" s="1" t="n">
        <f aca="false">X60+Y60</f>
        <v>0</v>
      </c>
      <c r="AA60" s="1" t="n">
        <f aca="false">IF(Z60&gt;0,Z60+(201-54)/10^6,0)</f>
        <v>0</v>
      </c>
      <c r="AB60" s="1"/>
      <c r="AC60" s="1"/>
      <c r="AD60" s="1"/>
      <c r="AE60" s="1"/>
      <c r="AF60" s="1"/>
      <c r="AG60" s="1"/>
      <c r="AH60" s="1"/>
    </row>
    <row r="61" customFormat="false" ht="15" hidden="false" customHeight="false" outlineLevel="0" collapsed="false">
      <c r="A61" s="1"/>
      <c r="B61" s="10"/>
      <c r="C61" s="31" t="str">
        <f aca="false">IF(B61="","",TEXT(B61,"ddd"))</f>
        <v/>
      </c>
      <c r="D61" s="11"/>
      <c r="E61" s="8" t="str">
        <f aca="false">IF(D61="","",IFERROR(INDEX(ProjNumbers,MATCH(D61,ProjNames,0)),""))</f>
        <v/>
      </c>
      <c r="F61" s="8" t="str">
        <f aca="false">IF(D61="","",IFERROR(INDEX(ProjCodes,MATCH(D61,ProjNames,0)),""))</f>
        <v/>
      </c>
      <c r="G61" s="32"/>
      <c r="H61" s="11"/>
      <c r="I61" s="33"/>
      <c r="J61" s="8" t="str">
        <f aca="false">IF(COUNTA(B61,D61,G61,H61,I61)=0,"",IF(B61="","Enter date",IF(OR(B61&lt;$AC$2,B61&gt;$AC$3),"Date not in September",IF(D61="","Pick project",IF(ISNA(MATCH(D61,ProjNames,0)),"Project not in list",IF(G61="","Add task description",IF(H61="","Pick NTIME or P6",IF(N(I61)&lt;=0,"Enter hours",IF(AND(AllowOT&lt;&gt;"Yes",SUMIF($B$7:$B$256,B61,$I$7:$I$256)&gt;INDEX($O$58:$O$87,DAY(B61))),"Day over "&amp;INDEX($O$58:$O$87,DAY(B61))&amp;" h","✓")))))))))</f>
        <v/>
      </c>
      <c r="K61" s="1"/>
      <c r="L61" s="35" t="n">
        <v>46269</v>
      </c>
      <c r="M61" s="36" t="str">
        <f aca="false">TEXT(L61,"ddd")</f>
        <v>Fri</v>
      </c>
      <c r="N61" s="37" t="s">
        <v>93</v>
      </c>
      <c r="O61" s="37" t="n">
        <f aca="false">AvailHours</f>
        <v>8</v>
      </c>
      <c r="P61" s="24" t="n">
        <f aca="false">SUMIFS($I$7:$I$256,$B$7:$B$256,L61,$H$7:$H$256,"NTIME")</f>
        <v>0</v>
      </c>
      <c r="Q61" s="24" t="n">
        <f aca="false">SUMIFS($I$7:$I$256,$B$7:$B$256,L61,$H$7:$H$256,"P6")</f>
        <v>0</v>
      </c>
      <c r="R61" s="24" t="n">
        <f aca="false">IF(N61="Overhead only",O61,IF(AND(N61="Working",P61+Q61&gt;0),MAX(0,O61-P61-Q61),0))</f>
        <v>0</v>
      </c>
      <c r="S61" s="24" t="n">
        <f aca="false">IF(OR(N61="Working",N61="Overhead only"),MAX(0,P61+Q61-O61),0)</f>
        <v>0</v>
      </c>
      <c r="T61" s="24" t="n">
        <f aca="false">P61+Q61+R61</f>
        <v>0</v>
      </c>
      <c r="U61" s="24" t="str">
        <f aca="true">IF(N61="Working",IF(P61+Q61=0,IF(L61&lt;=TODAY(),"Not logged",""),IF(P61+Q61&gt;O61,IF(AllowOT="Yes","Overtime","Over "&amp;O61&amp;" h!"),"✓")),IF(N61="Overhead only","✓ Overhead day",IF(P61+Q61&gt;0,"Entries on "&amp;LOWER(N61)&amp;" day",N61)))</f>
        <v>Not logged</v>
      </c>
      <c r="V61" s="1"/>
      <c r="W61" s="1" t="str">
        <f aca="false">IF(Projects!B59="","",Projects!B59)</f>
        <v/>
      </c>
      <c r="X61" s="1" t="n">
        <f aca="false">IF(W61="",0,SUMIFS($I$7:$I$256,$D$7:$D$256,W61,$H$7:$H$256,"NTIME"))</f>
        <v>0</v>
      </c>
      <c r="Y61" s="1" t="n">
        <f aca="false">IF(W61="",0,SUMIFS($I$7:$I$256,$D$7:$D$256,W61,$H$7:$H$256,"P6"))</f>
        <v>0</v>
      </c>
      <c r="Z61" s="1" t="n">
        <f aca="false">X61+Y61</f>
        <v>0</v>
      </c>
      <c r="AA61" s="1" t="n">
        <f aca="false">IF(Z61&gt;0,Z61+(201-55)/10^6,0)</f>
        <v>0</v>
      </c>
      <c r="AB61" s="1"/>
      <c r="AC61" s="1"/>
      <c r="AD61" s="1"/>
      <c r="AE61" s="1"/>
      <c r="AF61" s="1"/>
      <c r="AG61" s="1"/>
      <c r="AH61" s="1"/>
    </row>
    <row r="62" customFormat="false" ht="15" hidden="false" customHeight="false" outlineLevel="0" collapsed="false">
      <c r="A62" s="1"/>
      <c r="B62" s="10"/>
      <c r="C62" s="31" t="str">
        <f aca="false">IF(B62="","",TEXT(B62,"ddd"))</f>
        <v/>
      </c>
      <c r="D62" s="11"/>
      <c r="E62" s="8" t="str">
        <f aca="false">IF(D62="","",IFERROR(INDEX(ProjNumbers,MATCH(D62,ProjNames,0)),""))</f>
        <v/>
      </c>
      <c r="F62" s="8" t="str">
        <f aca="false">IF(D62="","",IFERROR(INDEX(ProjCodes,MATCH(D62,ProjNames,0)),""))</f>
        <v/>
      </c>
      <c r="G62" s="32"/>
      <c r="H62" s="11"/>
      <c r="I62" s="33"/>
      <c r="J62" s="8" t="str">
        <f aca="false">IF(COUNTA(B62,D62,G62,H62,I62)=0,"",IF(B62="","Enter date",IF(OR(B62&lt;$AC$2,B62&gt;$AC$3),"Date not in September",IF(D62="","Pick project",IF(ISNA(MATCH(D62,ProjNames,0)),"Project not in list",IF(G62="","Add task description",IF(H62="","Pick NTIME or P6",IF(N(I62)&lt;=0,"Enter hours",IF(AND(AllowOT&lt;&gt;"Yes",SUMIF($B$7:$B$256,B62,$I$7:$I$256)&gt;INDEX($O$58:$O$87,DAY(B62))),"Day over "&amp;INDEX($O$58:$O$87,DAY(B62))&amp;" h","✓")))))))))</f>
        <v/>
      </c>
      <c r="K62" s="1"/>
      <c r="L62" s="35" t="n">
        <v>46270</v>
      </c>
      <c r="M62" s="36" t="str">
        <f aca="false">TEXT(L62,"ddd")</f>
        <v>Sat</v>
      </c>
      <c r="N62" s="37" t="s">
        <v>94</v>
      </c>
      <c r="O62" s="37" t="n">
        <f aca="false">AvailHours</f>
        <v>8</v>
      </c>
      <c r="P62" s="24" t="n">
        <f aca="false">SUMIFS($I$7:$I$256,$B$7:$B$256,L62,$H$7:$H$256,"NTIME")</f>
        <v>0</v>
      </c>
      <c r="Q62" s="24" t="n">
        <f aca="false">SUMIFS($I$7:$I$256,$B$7:$B$256,L62,$H$7:$H$256,"P6")</f>
        <v>0</v>
      </c>
      <c r="R62" s="24" t="n">
        <f aca="false">IF(N62="Overhead only",O62,IF(AND(N62="Working",P62+Q62&gt;0),MAX(0,O62-P62-Q62),0))</f>
        <v>0</v>
      </c>
      <c r="S62" s="24" t="n">
        <f aca="false">IF(OR(N62="Working",N62="Overhead only"),MAX(0,P62+Q62-O62),0)</f>
        <v>0</v>
      </c>
      <c r="T62" s="24" t="n">
        <f aca="false">P62+Q62+R62</f>
        <v>0</v>
      </c>
      <c r="U62" s="24" t="str">
        <f aca="true">IF(N62="Working",IF(P62+Q62=0,IF(L62&lt;=TODAY(),"Not logged",""),IF(P62+Q62&gt;O62,IF(AllowOT="Yes","Overtime","Over "&amp;O62&amp;" h!"),"✓")),IF(N62="Overhead only","✓ Overhead day",IF(P62+Q62&gt;0,"Entries on "&amp;LOWER(N62)&amp;" day",N62)))</f>
        <v>Weekend</v>
      </c>
      <c r="V62" s="1"/>
      <c r="W62" s="1" t="str">
        <f aca="false">IF(Projects!B60="","",Projects!B60)</f>
        <v/>
      </c>
      <c r="X62" s="1" t="n">
        <f aca="false">IF(W62="",0,SUMIFS($I$7:$I$256,$D$7:$D$256,W62,$H$7:$H$256,"NTIME"))</f>
        <v>0</v>
      </c>
      <c r="Y62" s="1" t="n">
        <f aca="false">IF(W62="",0,SUMIFS($I$7:$I$256,$D$7:$D$256,W62,$H$7:$H$256,"P6"))</f>
        <v>0</v>
      </c>
      <c r="Z62" s="1" t="n">
        <f aca="false">X62+Y62</f>
        <v>0</v>
      </c>
      <c r="AA62" s="1" t="n">
        <f aca="false">IF(Z62&gt;0,Z62+(201-56)/10^6,0)</f>
        <v>0</v>
      </c>
      <c r="AB62" s="1"/>
      <c r="AC62" s="1"/>
      <c r="AD62" s="1"/>
      <c r="AE62" s="1"/>
      <c r="AF62" s="1"/>
      <c r="AG62" s="1"/>
      <c r="AH62" s="1"/>
    </row>
    <row r="63" customFormat="false" ht="15" hidden="false" customHeight="false" outlineLevel="0" collapsed="false">
      <c r="A63" s="1"/>
      <c r="B63" s="10"/>
      <c r="C63" s="31" t="str">
        <f aca="false">IF(B63="","",TEXT(B63,"ddd"))</f>
        <v/>
      </c>
      <c r="D63" s="11"/>
      <c r="E63" s="8" t="str">
        <f aca="false">IF(D63="","",IFERROR(INDEX(ProjNumbers,MATCH(D63,ProjNames,0)),""))</f>
        <v/>
      </c>
      <c r="F63" s="8" t="str">
        <f aca="false">IF(D63="","",IFERROR(INDEX(ProjCodes,MATCH(D63,ProjNames,0)),""))</f>
        <v/>
      </c>
      <c r="G63" s="32"/>
      <c r="H63" s="11"/>
      <c r="I63" s="33"/>
      <c r="J63" s="8" t="str">
        <f aca="false">IF(COUNTA(B63,D63,G63,H63,I63)=0,"",IF(B63="","Enter date",IF(OR(B63&lt;$AC$2,B63&gt;$AC$3),"Date not in September",IF(D63="","Pick project",IF(ISNA(MATCH(D63,ProjNames,0)),"Project not in list",IF(G63="","Add task description",IF(H63="","Pick NTIME or P6",IF(N(I63)&lt;=0,"Enter hours",IF(AND(AllowOT&lt;&gt;"Yes",SUMIF($B$7:$B$256,B63,$I$7:$I$256)&gt;INDEX($O$58:$O$87,DAY(B63))),"Day over "&amp;INDEX($O$58:$O$87,DAY(B63))&amp;" h","✓")))))))))</f>
        <v/>
      </c>
      <c r="K63" s="1"/>
      <c r="L63" s="35" t="n">
        <v>46271</v>
      </c>
      <c r="M63" s="36" t="str">
        <f aca="false">TEXT(L63,"ddd")</f>
        <v>Sun</v>
      </c>
      <c r="N63" s="37" t="s">
        <v>94</v>
      </c>
      <c r="O63" s="37" t="n">
        <f aca="false">AvailHours</f>
        <v>8</v>
      </c>
      <c r="P63" s="24" t="n">
        <f aca="false">SUMIFS($I$7:$I$256,$B$7:$B$256,L63,$H$7:$H$256,"NTIME")</f>
        <v>0</v>
      </c>
      <c r="Q63" s="24" t="n">
        <f aca="false">SUMIFS($I$7:$I$256,$B$7:$B$256,L63,$H$7:$H$256,"P6")</f>
        <v>0</v>
      </c>
      <c r="R63" s="24" t="n">
        <f aca="false">IF(N63="Overhead only",O63,IF(AND(N63="Working",P63+Q63&gt;0),MAX(0,O63-P63-Q63),0))</f>
        <v>0</v>
      </c>
      <c r="S63" s="24" t="n">
        <f aca="false">IF(OR(N63="Working",N63="Overhead only"),MAX(0,P63+Q63-O63),0)</f>
        <v>0</v>
      </c>
      <c r="T63" s="24" t="n">
        <f aca="false">P63+Q63+R63</f>
        <v>0</v>
      </c>
      <c r="U63" s="24" t="str">
        <f aca="true">IF(N63="Working",IF(P63+Q63=0,IF(L63&lt;=TODAY(),"Not logged",""),IF(P63+Q63&gt;O63,IF(AllowOT="Yes","Overtime","Over "&amp;O63&amp;" h!"),"✓")),IF(N63="Overhead only","✓ Overhead day",IF(P63+Q63&gt;0,"Entries on "&amp;LOWER(N63)&amp;" day",N63)))</f>
        <v>Weekend</v>
      </c>
      <c r="V63" s="1"/>
      <c r="W63" s="1" t="str">
        <f aca="false">IF(Projects!B61="","",Projects!B61)</f>
        <v/>
      </c>
      <c r="X63" s="1" t="n">
        <f aca="false">IF(W63="",0,SUMIFS($I$7:$I$256,$D$7:$D$256,W63,$H$7:$H$256,"NTIME"))</f>
        <v>0</v>
      </c>
      <c r="Y63" s="1" t="n">
        <f aca="false">IF(W63="",0,SUMIFS($I$7:$I$256,$D$7:$D$256,W63,$H$7:$H$256,"P6"))</f>
        <v>0</v>
      </c>
      <c r="Z63" s="1" t="n">
        <f aca="false">X63+Y63</f>
        <v>0</v>
      </c>
      <c r="AA63" s="1" t="n">
        <f aca="false">IF(Z63&gt;0,Z63+(201-57)/10^6,0)</f>
        <v>0</v>
      </c>
      <c r="AB63" s="1"/>
      <c r="AC63" s="1"/>
      <c r="AD63" s="1"/>
      <c r="AE63" s="1"/>
      <c r="AF63" s="1"/>
      <c r="AG63" s="1"/>
      <c r="AH63" s="1"/>
    </row>
    <row r="64" customFormat="false" ht="15" hidden="false" customHeight="false" outlineLevel="0" collapsed="false">
      <c r="A64" s="1"/>
      <c r="B64" s="10"/>
      <c r="C64" s="31" t="str">
        <f aca="false">IF(B64="","",TEXT(B64,"ddd"))</f>
        <v/>
      </c>
      <c r="D64" s="11"/>
      <c r="E64" s="8" t="str">
        <f aca="false">IF(D64="","",IFERROR(INDEX(ProjNumbers,MATCH(D64,ProjNames,0)),""))</f>
        <v/>
      </c>
      <c r="F64" s="8" t="str">
        <f aca="false">IF(D64="","",IFERROR(INDEX(ProjCodes,MATCH(D64,ProjNames,0)),""))</f>
        <v/>
      </c>
      <c r="G64" s="32"/>
      <c r="H64" s="11"/>
      <c r="I64" s="33"/>
      <c r="J64" s="8" t="str">
        <f aca="false">IF(COUNTA(B64,D64,G64,H64,I64)=0,"",IF(B64="","Enter date",IF(OR(B64&lt;$AC$2,B64&gt;$AC$3),"Date not in September",IF(D64="","Pick project",IF(ISNA(MATCH(D64,ProjNames,0)),"Project not in list",IF(G64="","Add task description",IF(H64="","Pick NTIME or P6",IF(N(I64)&lt;=0,"Enter hours",IF(AND(AllowOT&lt;&gt;"Yes",SUMIF($B$7:$B$256,B64,$I$7:$I$256)&gt;INDEX($O$58:$O$87,DAY(B64))),"Day over "&amp;INDEX($O$58:$O$87,DAY(B64))&amp;" h","✓")))))))))</f>
        <v/>
      </c>
      <c r="K64" s="1"/>
      <c r="L64" s="35" t="n">
        <v>46272</v>
      </c>
      <c r="M64" s="36" t="str">
        <f aca="false">TEXT(L64,"ddd")</f>
        <v>Mon</v>
      </c>
      <c r="N64" s="37" t="s">
        <v>93</v>
      </c>
      <c r="O64" s="37" t="n">
        <f aca="false">AvailHours</f>
        <v>8</v>
      </c>
      <c r="P64" s="24" t="n">
        <f aca="false">SUMIFS($I$7:$I$256,$B$7:$B$256,L64,$H$7:$H$256,"NTIME")</f>
        <v>0</v>
      </c>
      <c r="Q64" s="24" t="n">
        <f aca="false">SUMIFS($I$7:$I$256,$B$7:$B$256,L64,$H$7:$H$256,"P6")</f>
        <v>0</v>
      </c>
      <c r="R64" s="24" t="n">
        <f aca="false">IF(N64="Overhead only",O64,IF(AND(N64="Working",P64+Q64&gt;0),MAX(0,O64-P64-Q64),0))</f>
        <v>0</v>
      </c>
      <c r="S64" s="24" t="n">
        <f aca="false">IF(OR(N64="Working",N64="Overhead only"),MAX(0,P64+Q64-O64),0)</f>
        <v>0</v>
      </c>
      <c r="T64" s="24" t="n">
        <f aca="false">P64+Q64+R64</f>
        <v>0</v>
      </c>
      <c r="U64" s="24" t="str">
        <f aca="true">IF(N64="Working",IF(P64+Q64=0,IF(L64&lt;=TODAY(),"Not logged",""),IF(P64+Q64&gt;O64,IF(AllowOT="Yes","Overtime","Over "&amp;O64&amp;" h!"),"✓")),IF(N64="Overhead only","✓ Overhead day",IF(P64+Q64&gt;0,"Entries on "&amp;LOWER(N64)&amp;" day",N64)))</f>
        <v>Not logged</v>
      </c>
      <c r="V64" s="1"/>
      <c r="W64" s="1" t="str">
        <f aca="false">IF(Projects!B62="","",Projects!B62)</f>
        <v/>
      </c>
      <c r="X64" s="1" t="n">
        <f aca="false">IF(W64="",0,SUMIFS($I$7:$I$256,$D$7:$D$256,W64,$H$7:$H$256,"NTIME"))</f>
        <v>0</v>
      </c>
      <c r="Y64" s="1" t="n">
        <f aca="false">IF(W64="",0,SUMIFS($I$7:$I$256,$D$7:$D$256,W64,$H$7:$H$256,"P6"))</f>
        <v>0</v>
      </c>
      <c r="Z64" s="1" t="n">
        <f aca="false">X64+Y64</f>
        <v>0</v>
      </c>
      <c r="AA64" s="1" t="n">
        <f aca="false">IF(Z64&gt;0,Z64+(201-58)/10^6,0)</f>
        <v>0</v>
      </c>
      <c r="AB64" s="1"/>
      <c r="AC64" s="1"/>
      <c r="AD64" s="1"/>
      <c r="AE64" s="1"/>
      <c r="AF64" s="1"/>
      <c r="AG64" s="1"/>
      <c r="AH64" s="1"/>
    </row>
    <row r="65" customFormat="false" ht="15" hidden="false" customHeight="false" outlineLevel="0" collapsed="false">
      <c r="A65" s="1"/>
      <c r="B65" s="10"/>
      <c r="C65" s="31" t="str">
        <f aca="false">IF(B65="","",TEXT(B65,"ddd"))</f>
        <v/>
      </c>
      <c r="D65" s="11"/>
      <c r="E65" s="8" t="str">
        <f aca="false">IF(D65="","",IFERROR(INDEX(ProjNumbers,MATCH(D65,ProjNames,0)),""))</f>
        <v/>
      </c>
      <c r="F65" s="8" t="str">
        <f aca="false">IF(D65="","",IFERROR(INDEX(ProjCodes,MATCH(D65,ProjNames,0)),""))</f>
        <v/>
      </c>
      <c r="G65" s="32"/>
      <c r="H65" s="11"/>
      <c r="I65" s="33"/>
      <c r="J65" s="8" t="str">
        <f aca="false">IF(COUNTA(B65,D65,G65,H65,I65)=0,"",IF(B65="","Enter date",IF(OR(B65&lt;$AC$2,B65&gt;$AC$3),"Date not in September",IF(D65="","Pick project",IF(ISNA(MATCH(D65,ProjNames,0)),"Project not in list",IF(G65="","Add task description",IF(H65="","Pick NTIME or P6",IF(N(I65)&lt;=0,"Enter hours",IF(AND(AllowOT&lt;&gt;"Yes",SUMIF($B$7:$B$256,B65,$I$7:$I$256)&gt;INDEX($O$58:$O$87,DAY(B65))),"Day over "&amp;INDEX($O$58:$O$87,DAY(B65))&amp;" h","✓")))))))))</f>
        <v/>
      </c>
      <c r="K65" s="1"/>
      <c r="L65" s="35" t="n">
        <v>46273</v>
      </c>
      <c r="M65" s="36" t="str">
        <f aca="false">TEXT(L65,"ddd")</f>
        <v>Tue</v>
      </c>
      <c r="N65" s="37" t="s">
        <v>93</v>
      </c>
      <c r="O65" s="37" t="n">
        <f aca="false">AvailHours</f>
        <v>8</v>
      </c>
      <c r="P65" s="24" t="n">
        <f aca="false">SUMIFS($I$7:$I$256,$B$7:$B$256,L65,$H$7:$H$256,"NTIME")</f>
        <v>0</v>
      </c>
      <c r="Q65" s="24" t="n">
        <f aca="false">SUMIFS($I$7:$I$256,$B$7:$B$256,L65,$H$7:$H$256,"P6")</f>
        <v>0</v>
      </c>
      <c r="R65" s="24" t="n">
        <f aca="false">IF(N65="Overhead only",O65,IF(AND(N65="Working",P65+Q65&gt;0),MAX(0,O65-P65-Q65),0))</f>
        <v>0</v>
      </c>
      <c r="S65" s="24" t="n">
        <f aca="false">IF(OR(N65="Working",N65="Overhead only"),MAX(0,P65+Q65-O65),0)</f>
        <v>0</v>
      </c>
      <c r="T65" s="24" t="n">
        <f aca="false">P65+Q65+R65</f>
        <v>0</v>
      </c>
      <c r="U65" s="24" t="str">
        <f aca="true">IF(N65="Working",IF(P65+Q65=0,IF(L65&lt;=TODAY(),"Not logged",""),IF(P65+Q65&gt;O65,IF(AllowOT="Yes","Overtime","Over "&amp;O65&amp;" h!"),"✓")),IF(N65="Overhead only","✓ Overhead day",IF(P65+Q65&gt;0,"Entries on "&amp;LOWER(N65)&amp;" day",N65)))</f>
        <v>Not logged</v>
      </c>
      <c r="V65" s="1"/>
      <c r="W65" s="1" t="str">
        <f aca="false">IF(Projects!B63="","",Projects!B63)</f>
        <v/>
      </c>
      <c r="X65" s="1" t="n">
        <f aca="false">IF(W65="",0,SUMIFS($I$7:$I$256,$D$7:$D$256,W65,$H$7:$H$256,"NTIME"))</f>
        <v>0</v>
      </c>
      <c r="Y65" s="1" t="n">
        <f aca="false">IF(W65="",0,SUMIFS($I$7:$I$256,$D$7:$D$256,W65,$H$7:$H$256,"P6"))</f>
        <v>0</v>
      </c>
      <c r="Z65" s="1" t="n">
        <f aca="false">X65+Y65</f>
        <v>0</v>
      </c>
      <c r="AA65" s="1" t="n">
        <f aca="false">IF(Z65&gt;0,Z65+(201-59)/10^6,0)</f>
        <v>0</v>
      </c>
      <c r="AB65" s="1"/>
      <c r="AC65" s="1"/>
      <c r="AD65" s="1"/>
      <c r="AE65" s="1"/>
      <c r="AF65" s="1"/>
      <c r="AG65" s="1"/>
      <c r="AH65" s="1"/>
    </row>
    <row r="66" customFormat="false" ht="15" hidden="false" customHeight="false" outlineLevel="0" collapsed="false">
      <c r="A66" s="1"/>
      <c r="B66" s="10"/>
      <c r="C66" s="31" t="str">
        <f aca="false">IF(B66="","",TEXT(B66,"ddd"))</f>
        <v/>
      </c>
      <c r="D66" s="11"/>
      <c r="E66" s="8" t="str">
        <f aca="false">IF(D66="","",IFERROR(INDEX(ProjNumbers,MATCH(D66,ProjNames,0)),""))</f>
        <v/>
      </c>
      <c r="F66" s="8" t="str">
        <f aca="false">IF(D66="","",IFERROR(INDEX(ProjCodes,MATCH(D66,ProjNames,0)),""))</f>
        <v/>
      </c>
      <c r="G66" s="32"/>
      <c r="H66" s="11"/>
      <c r="I66" s="33"/>
      <c r="J66" s="8" t="str">
        <f aca="false">IF(COUNTA(B66,D66,G66,H66,I66)=0,"",IF(B66="","Enter date",IF(OR(B66&lt;$AC$2,B66&gt;$AC$3),"Date not in September",IF(D66="","Pick project",IF(ISNA(MATCH(D66,ProjNames,0)),"Project not in list",IF(G66="","Add task description",IF(H66="","Pick NTIME or P6",IF(N(I66)&lt;=0,"Enter hours",IF(AND(AllowOT&lt;&gt;"Yes",SUMIF($B$7:$B$256,B66,$I$7:$I$256)&gt;INDEX($O$58:$O$87,DAY(B66))),"Day over "&amp;INDEX($O$58:$O$87,DAY(B66))&amp;" h","✓")))))))))</f>
        <v/>
      </c>
      <c r="K66" s="1"/>
      <c r="L66" s="35" t="n">
        <v>46274</v>
      </c>
      <c r="M66" s="36" t="str">
        <f aca="false">TEXT(L66,"ddd")</f>
        <v>Wed</v>
      </c>
      <c r="N66" s="37" t="s">
        <v>93</v>
      </c>
      <c r="O66" s="37" t="n">
        <f aca="false">AvailHours</f>
        <v>8</v>
      </c>
      <c r="P66" s="24" t="n">
        <f aca="false">SUMIFS($I$7:$I$256,$B$7:$B$256,L66,$H$7:$H$256,"NTIME")</f>
        <v>0</v>
      </c>
      <c r="Q66" s="24" t="n">
        <f aca="false">SUMIFS($I$7:$I$256,$B$7:$B$256,L66,$H$7:$H$256,"P6")</f>
        <v>0</v>
      </c>
      <c r="R66" s="24" t="n">
        <f aca="false">IF(N66="Overhead only",O66,IF(AND(N66="Working",P66+Q66&gt;0),MAX(0,O66-P66-Q66),0))</f>
        <v>0</v>
      </c>
      <c r="S66" s="24" t="n">
        <f aca="false">IF(OR(N66="Working",N66="Overhead only"),MAX(0,P66+Q66-O66),0)</f>
        <v>0</v>
      </c>
      <c r="T66" s="24" t="n">
        <f aca="false">P66+Q66+R66</f>
        <v>0</v>
      </c>
      <c r="U66" s="24" t="str">
        <f aca="true">IF(N66="Working",IF(P66+Q66=0,IF(L66&lt;=TODAY(),"Not logged",""),IF(P66+Q66&gt;O66,IF(AllowOT="Yes","Overtime","Over "&amp;O66&amp;" h!"),"✓")),IF(N66="Overhead only","✓ Overhead day",IF(P66+Q66&gt;0,"Entries on "&amp;LOWER(N66)&amp;" day",N66)))</f>
        <v>Not logged</v>
      </c>
      <c r="V66" s="1"/>
      <c r="W66" s="1" t="str">
        <f aca="false">IF(Projects!B64="","",Projects!B64)</f>
        <v/>
      </c>
      <c r="X66" s="1" t="n">
        <f aca="false">IF(W66="",0,SUMIFS($I$7:$I$256,$D$7:$D$256,W66,$H$7:$H$256,"NTIME"))</f>
        <v>0</v>
      </c>
      <c r="Y66" s="1" t="n">
        <f aca="false">IF(W66="",0,SUMIFS($I$7:$I$256,$D$7:$D$256,W66,$H$7:$H$256,"P6"))</f>
        <v>0</v>
      </c>
      <c r="Z66" s="1" t="n">
        <f aca="false">X66+Y66</f>
        <v>0</v>
      </c>
      <c r="AA66" s="1" t="n">
        <f aca="false">IF(Z66&gt;0,Z66+(201-60)/10^6,0)</f>
        <v>0</v>
      </c>
      <c r="AB66" s="1"/>
      <c r="AC66" s="1"/>
      <c r="AD66" s="1"/>
      <c r="AE66" s="1"/>
      <c r="AF66" s="1"/>
      <c r="AG66" s="1"/>
      <c r="AH66" s="1"/>
    </row>
    <row r="67" customFormat="false" ht="15" hidden="false" customHeight="false" outlineLevel="0" collapsed="false">
      <c r="A67" s="1"/>
      <c r="B67" s="10"/>
      <c r="C67" s="31" t="str">
        <f aca="false">IF(B67="","",TEXT(B67,"ddd"))</f>
        <v/>
      </c>
      <c r="D67" s="11"/>
      <c r="E67" s="8" t="str">
        <f aca="false">IF(D67="","",IFERROR(INDEX(ProjNumbers,MATCH(D67,ProjNames,0)),""))</f>
        <v/>
      </c>
      <c r="F67" s="8" t="str">
        <f aca="false">IF(D67="","",IFERROR(INDEX(ProjCodes,MATCH(D67,ProjNames,0)),""))</f>
        <v/>
      </c>
      <c r="G67" s="32"/>
      <c r="H67" s="11"/>
      <c r="I67" s="33"/>
      <c r="J67" s="8" t="str">
        <f aca="false">IF(COUNTA(B67,D67,G67,H67,I67)=0,"",IF(B67="","Enter date",IF(OR(B67&lt;$AC$2,B67&gt;$AC$3),"Date not in September",IF(D67="","Pick project",IF(ISNA(MATCH(D67,ProjNames,0)),"Project not in list",IF(G67="","Add task description",IF(H67="","Pick NTIME or P6",IF(N(I67)&lt;=0,"Enter hours",IF(AND(AllowOT&lt;&gt;"Yes",SUMIF($B$7:$B$256,B67,$I$7:$I$256)&gt;INDEX($O$58:$O$87,DAY(B67))),"Day over "&amp;INDEX($O$58:$O$87,DAY(B67))&amp;" h","✓")))))))))</f>
        <v/>
      </c>
      <c r="K67" s="1"/>
      <c r="L67" s="35" t="n">
        <v>46275</v>
      </c>
      <c r="M67" s="36" t="str">
        <f aca="false">TEXT(L67,"ddd")</f>
        <v>Thu</v>
      </c>
      <c r="N67" s="37" t="s">
        <v>93</v>
      </c>
      <c r="O67" s="37" t="n">
        <f aca="false">AvailHours</f>
        <v>8</v>
      </c>
      <c r="P67" s="24" t="n">
        <f aca="false">SUMIFS($I$7:$I$256,$B$7:$B$256,L67,$H$7:$H$256,"NTIME")</f>
        <v>0</v>
      </c>
      <c r="Q67" s="24" t="n">
        <f aca="false">SUMIFS($I$7:$I$256,$B$7:$B$256,L67,$H$7:$H$256,"P6")</f>
        <v>0</v>
      </c>
      <c r="R67" s="24" t="n">
        <f aca="false">IF(N67="Overhead only",O67,IF(AND(N67="Working",P67+Q67&gt;0),MAX(0,O67-P67-Q67),0))</f>
        <v>0</v>
      </c>
      <c r="S67" s="24" t="n">
        <f aca="false">IF(OR(N67="Working",N67="Overhead only"),MAX(0,P67+Q67-O67),0)</f>
        <v>0</v>
      </c>
      <c r="T67" s="24" t="n">
        <f aca="false">P67+Q67+R67</f>
        <v>0</v>
      </c>
      <c r="U67" s="24" t="str">
        <f aca="true">IF(N67="Working",IF(P67+Q67=0,IF(L67&lt;=TODAY(),"Not logged",""),IF(P67+Q67&gt;O67,IF(AllowOT="Yes","Overtime","Over "&amp;O67&amp;" h!"),"✓")),IF(N67="Overhead only","✓ Overhead day",IF(P67+Q67&gt;0,"Entries on "&amp;LOWER(N67)&amp;" day",N67)))</f>
        <v>Not logged</v>
      </c>
      <c r="V67" s="1"/>
      <c r="W67" s="1" t="str">
        <f aca="false">IF(Projects!B65="","",Projects!B65)</f>
        <v/>
      </c>
      <c r="X67" s="1" t="n">
        <f aca="false">IF(W67="",0,SUMIFS($I$7:$I$256,$D$7:$D$256,W67,$H$7:$H$256,"NTIME"))</f>
        <v>0</v>
      </c>
      <c r="Y67" s="1" t="n">
        <f aca="false">IF(W67="",0,SUMIFS($I$7:$I$256,$D$7:$D$256,W67,$H$7:$H$256,"P6"))</f>
        <v>0</v>
      </c>
      <c r="Z67" s="1" t="n">
        <f aca="false">X67+Y67</f>
        <v>0</v>
      </c>
      <c r="AA67" s="1" t="n">
        <f aca="false">IF(Z67&gt;0,Z67+(201-61)/10^6,0)</f>
        <v>0</v>
      </c>
      <c r="AB67" s="1"/>
      <c r="AC67" s="1"/>
      <c r="AD67" s="1"/>
      <c r="AE67" s="1"/>
      <c r="AF67" s="1"/>
      <c r="AG67" s="1"/>
      <c r="AH67" s="1"/>
    </row>
    <row r="68" customFormat="false" ht="15" hidden="false" customHeight="false" outlineLevel="0" collapsed="false">
      <c r="A68" s="1"/>
      <c r="B68" s="10"/>
      <c r="C68" s="31" t="str">
        <f aca="false">IF(B68="","",TEXT(B68,"ddd"))</f>
        <v/>
      </c>
      <c r="D68" s="11"/>
      <c r="E68" s="8" t="str">
        <f aca="false">IF(D68="","",IFERROR(INDEX(ProjNumbers,MATCH(D68,ProjNames,0)),""))</f>
        <v/>
      </c>
      <c r="F68" s="8" t="str">
        <f aca="false">IF(D68="","",IFERROR(INDEX(ProjCodes,MATCH(D68,ProjNames,0)),""))</f>
        <v/>
      </c>
      <c r="G68" s="32"/>
      <c r="H68" s="11"/>
      <c r="I68" s="33"/>
      <c r="J68" s="8" t="str">
        <f aca="false">IF(COUNTA(B68,D68,G68,H68,I68)=0,"",IF(B68="","Enter date",IF(OR(B68&lt;$AC$2,B68&gt;$AC$3),"Date not in September",IF(D68="","Pick project",IF(ISNA(MATCH(D68,ProjNames,0)),"Project not in list",IF(G68="","Add task description",IF(H68="","Pick NTIME or P6",IF(N(I68)&lt;=0,"Enter hours",IF(AND(AllowOT&lt;&gt;"Yes",SUMIF($B$7:$B$256,B68,$I$7:$I$256)&gt;INDEX($O$58:$O$87,DAY(B68))),"Day over "&amp;INDEX($O$58:$O$87,DAY(B68))&amp;" h","✓")))))))))</f>
        <v/>
      </c>
      <c r="K68" s="1"/>
      <c r="L68" s="35" t="n">
        <v>46276</v>
      </c>
      <c r="M68" s="36" t="str">
        <f aca="false">TEXT(L68,"ddd")</f>
        <v>Fri</v>
      </c>
      <c r="N68" s="37" t="s">
        <v>93</v>
      </c>
      <c r="O68" s="37" t="n">
        <f aca="false">AvailHours</f>
        <v>8</v>
      </c>
      <c r="P68" s="24" t="n">
        <f aca="false">SUMIFS($I$7:$I$256,$B$7:$B$256,L68,$H$7:$H$256,"NTIME")</f>
        <v>0</v>
      </c>
      <c r="Q68" s="24" t="n">
        <f aca="false">SUMIFS($I$7:$I$256,$B$7:$B$256,L68,$H$7:$H$256,"P6")</f>
        <v>0</v>
      </c>
      <c r="R68" s="24" t="n">
        <f aca="false">IF(N68="Overhead only",O68,IF(AND(N68="Working",P68+Q68&gt;0),MAX(0,O68-P68-Q68),0))</f>
        <v>0</v>
      </c>
      <c r="S68" s="24" t="n">
        <f aca="false">IF(OR(N68="Working",N68="Overhead only"),MAX(0,P68+Q68-O68),0)</f>
        <v>0</v>
      </c>
      <c r="T68" s="24" t="n">
        <f aca="false">P68+Q68+R68</f>
        <v>0</v>
      </c>
      <c r="U68" s="24" t="str">
        <f aca="true">IF(N68="Working",IF(P68+Q68=0,IF(L68&lt;=TODAY(),"Not logged",""),IF(P68+Q68&gt;O68,IF(AllowOT="Yes","Overtime","Over "&amp;O68&amp;" h!"),"✓")),IF(N68="Overhead only","✓ Overhead day",IF(P68+Q68&gt;0,"Entries on "&amp;LOWER(N68)&amp;" day",N68)))</f>
        <v>Not logged</v>
      </c>
      <c r="V68" s="1"/>
      <c r="W68" s="1" t="str">
        <f aca="false">IF(Projects!B66="","",Projects!B66)</f>
        <v/>
      </c>
      <c r="X68" s="1" t="n">
        <f aca="false">IF(W68="",0,SUMIFS($I$7:$I$256,$D$7:$D$256,W68,$H$7:$H$256,"NTIME"))</f>
        <v>0</v>
      </c>
      <c r="Y68" s="1" t="n">
        <f aca="false">IF(W68="",0,SUMIFS($I$7:$I$256,$D$7:$D$256,W68,$H$7:$H$256,"P6"))</f>
        <v>0</v>
      </c>
      <c r="Z68" s="1" t="n">
        <f aca="false">X68+Y68</f>
        <v>0</v>
      </c>
      <c r="AA68" s="1" t="n">
        <f aca="false">IF(Z68&gt;0,Z68+(201-62)/10^6,0)</f>
        <v>0</v>
      </c>
      <c r="AB68" s="1"/>
      <c r="AC68" s="1"/>
      <c r="AD68" s="1"/>
      <c r="AE68" s="1"/>
      <c r="AF68" s="1"/>
      <c r="AG68" s="1"/>
      <c r="AH68" s="1"/>
    </row>
    <row r="69" customFormat="false" ht="15" hidden="false" customHeight="false" outlineLevel="0" collapsed="false">
      <c r="A69" s="1"/>
      <c r="B69" s="10"/>
      <c r="C69" s="31" t="str">
        <f aca="false">IF(B69="","",TEXT(B69,"ddd"))</f>
        <v/>
      </c>
      <c r="D69" s="11"/>
      <c r="E69" s="8" t="str">
        <f aca="false">IF(D69="","",IFERROR(INDEX(ProjNumbers,MATCH(D69,ProjNames,0)),""))</f>
        <v/>
      </c>
      <c r="F69" s="8" t="str">
        <f aca="false">IF(D69="","",IFERROR(INDEX(ProjCodes,MATCH(D69,ProjNames,0)),""))</f>
        <v/>
      </c>
      <c r="G69" s="32"/>
      <c r="H69" s="11"/>
      <c r="I69" s="33"/>
      <c r="J69" s="8" t="str">
        <f aca="false">IF(COUNTA(B69,D69,G69,H69,I69)=0,"",IF(B69="","Enter date",IF(OR(B69&lt;$AC$2,B69&gt;$AC$3),"Date not in September",IF(D69="","Pick project",IF(ISNA(MATCH(D69,ProjNames,0)),"Project not in list",IF(G69="","Add task description",IF(H69="","Pick NTIME or P6",IF(N(I69)&lt;=0,"Enter hours",IF(AND(AllowOT&lt;&gt;"Yes",SUMIF($B$7:$B$256,B69,$I$7:$I$256)&gt;INDEX($O$58:$O$87,DAY(B69))),"Day over "&amp;INDEX($O$58:$O$87,DAY(B69))&amp;" h","✓")))))))))</f>
        <v/>
      </c>
      <c r="K69" s="1"/>
      <c r="L69" s="35" t="n">
        <v>46277</v>
      </c>
      <c r="M69" s="36" t="str">
        <f aca="false">TEXT(L69,"ddd")</f>
        <v>Sat</v>
      </c>
      <c r="N69" s="37" t="s">
        <v>94</v>
      </c>
      <c r="O69" s="37" t="n">
        <f aca="false">AvailHours</f>
        <v>8</v>
      </c>
      <c r="P69" s="24" t="n">
        <f aca="false">SUMIFS($I$7:$I$256,$B$7:$B$256,L69,$H$7:$H$256,"NTIME")</f>
        <v>0</v>
      </c>
      <c r="Q69" s="24" t="n">
        <f aca="false">SUMIFS($I$7:$I$256,$B$7:$B$256,L69,$H$7:$H$256,"P6")</f>
        <v>0</v>
      </c>
      <c r="R69" s="24" t="n">
        <f aca="false">IF(N69="Overhead only",O69,IF(AND(N69="Working",P69+Q69&gt;0),MAX(0,O69-P69-Q69),0))</f>
        <v>0</v>
      </c>
      <c r="S69" s="24" t="n">
        <f aca="false">IF(OR(N69="Working",N69="Overhead only"),MAX(0,P69+Q69-O69),0)</f>
        <v>0</v>
      </c>
      <c r="T69" s="24" t="n">
        <f aca="false">P69+Q69+R69</f>
        <v>0</v>
      </c>
      <c r="U69" s="24" t="str">
        <f aca="true">IF(N69="Working",IF(P69+Q69=0,IF(L69&lt;=TODAY(),"Not logged",""),IF(P69+Q69&gt;O69,IF(AllowOT="Yes","Overtime","Over "&amp;O69&amp;" h!"),"✓")),IF(N69="Overhead only","✓ Overhead day",IF(P69+Q69&gt;0,"Entries on "&amp;LOWER(N69)&amp;" day",N69)))</f>
        <v>Weekend</v>
      </c>
      <c r="V69" s="1"/>
      <c r="W69" s="1" t="str">
        <f aca="false">IF(Projects!B67="","",Projects!B67)</f>
        <v/>
      </c>
      <c r="X69" s="1" t="n">
        <f aca="false">IF(W69="",0,SUMIFS($I$7:$I$256,$D$7:$D$256,W69,$H$7:$H$256,"NTIME"))</f>
        <v>0</v>
      </c>
      <c r="Y69" s="1" t="n">
        <f aca="false">IF(W69="",0,SUMIFS($I$7:$I$256,$D$7:$D$256,W69,$H$7:$H$256,"P6"))</f>
        <v>0</v>
      </c>
      <c r="Z69" s="1" t="n">
        <f aca="false">X69+Y69</f>
        <v>0</v>
      </c>
      <c r="AA69" s="1" t="n">
        <f aca="false">IF(Z69&gt;0,Z69+(201-63)/10^6,0)</f>
        <v>0</v>
      </c>
      <c r="AB69" s="1"/>
      <c r="AC69" s="1"/>
      <c r="AD69" s="1"/>
      <c r="AE69" s="1"/>
      <c r="AF69" s="1"/>
      <c r="AG69" s="1"/>
      <c r="AH69" s="1"/>
    </row>
    <row r="70" customFormat="false" ht="15" hidden="false" customHeight="false" outlineLevel="0" collapsed="false">
      <c r="A70" s="1"/>
      <c r="B70" s="10"/>
      <c r="C70" s="31" t="str">
        <f aca="false">IF(B70="","",TEXT(B70,"ddd"))</f>
        <v/>
      </c>
      <c r="D70" s="11"/>
      <c r="E70" s="8" t="str">
        <f aca="false">IF(D70="","",IFERROR(INDEX(ProjNumbers,MATCH(D70,ProjNames,0)),""))</f>
        <v/>
      </c>
      <c r="F70" s="8" t="str">
        <f aca="false">IF(D70="","",IFERROR(INDEX(ProjCodes,MATCH(D70,ProjNames,0)),""))</f>
        <v/>
      </c>
      <c r="G70" s="32"/>
      <c r="H70" s="11"/>
      <c r="I70" s="33"/>
      <c r="J70" s="8" t="str">
        <f aca="false">IF(COUNTA(B70,D70,G70,H70,I70)=0,"",IF(B70="","Enter date",IF(OR(B70&lt;$AC$2,B70&gt;$AC$3),"Date not in September",IF(D70="","Pick project",IF(ISNA(MATCH(D70,ProjNames,0)),"Project not in list",IF(G70="","Add task description",IF(H70="","Pick NTIME or P6",IF(N(I70)&lt;=0,"Enter hours",IF(AND(AllowOT&lt;&gt;"Yes",SUMIF($B$7:$B$256,B70,$I$7:$I$256)&gt;INDEX($O$58:$O$87,DAY(B70))),"Day over "&amp;INDEX($O$58:$O$87,DAY(B70))&amp;" h","✓")))))))))</f>
        <v/>
      </c>
      <c r="K70" s="1"/>
      <c r="L70" s="35" t="n">
        <v>46278</v>
      </c>
      <c r="M70" s="36" t="str">
        <f aca="false">TEXT(L70,"ddd")</f>
        <v>Sun</v>
      </c>
      <c r="N70" s="37" t="s">
        <v>94</v>
      </c>
      <c r="O70" s="37" t="n">
        <f aca="false">AvailHours</f>
        <v>8</v>
      </c>
      <c r="P70" s="24" t="n">
        <f aca="false">SUMIFS($I$7:$I$256,$B$7:$B$256,L70,$H$7:$H$256,"NTIME")</f>
        <v>0</v>
      </c>
      <c r="Q70" s="24" t="n">
        <f aca="false">SUMIFS($I$7:$I$256,$B$7:$B$256,L70,$H$7:$H$256,"P6")</f>
        <v>0</v>
      </c>
      <c r="R70" s="24" t="n">
        <f aca="false">IF(N70="Overhead only",O70,IF(AND(N70="Working",P70+Q70&gt;0),MAX(0,O70-P70-Q70),0))</f>
        <v>0</v>
      </c>
      <c r="S70" s="24" t="n">
        <f aca="false">IF(OR(N70="Working",N70="Overhead only"),MAX(0,P70+Q70-O70),0)</f>
        <v>0</v>
      </c>
      <c r="T70" s="24" t="n">
        <f aca="false">P70+Q70+R70</f>
        <v>0</v>
      </c>
      <c r="U70" s="24" t="str">
        <f aca="true">IF(N70="Working",IF(P70+Q70=0,IF(L70&lt;=TODAY(),"Not logged",""),IF(P70+Q70&gt;O70,IF(AllowOT="Yes","Overtime","Over "&amp;O70&amp;" h!"),"✓")),IF(N70="Overhead only","✓ Overhead day",IF(P70+Q70&gt;0,"Entries on "&amp;LOWER(N70)&amp;" day",N70)))</f>
        <v>Weekend</v>
      </c>
      <c r="V70" s="1"/>
      <c r="W70" s="1" t="str">
        <f aca="false">IF(Projects!B68="","",Projects!B68)</f>
        <v/>
      </c>
      <c r="X70" s="1" t="n">
        <f aca="false">IF(W70="",0,SUMIFS($I$7:$I$256,$D$7:$D$256,W70,$H$7:$H$256,"NTIME"))</f>
        <v>0</v>
      </c>
      <c r="Y70" s="1" t="n">
        <f aca="false">IF(W70="",0,SUMIFS($I$7:$I$256,$D$7:$D$256,W70,$H$7:$H$256,"P6"))</f>
        <v>0</v>
      </c>
      <c r="Z70" s="1" t="n">
        <f aca="false">X70+Y70</f>
        <v>0</v>
      </c>
      <c r="AA70" s="1" t="n">
        <f aca="false">IF(Z70&gt;0,Z70+(201-64)/10^6,0)</f>
        <v>0</v>
      </c>
      <c r="AB70" s="1"/>
      <c r="AC70" s="1"/>
      <c r="AD70" s="1"/>
      <c r="AE70" s="1"/>
      <c r="AF70" s="1"/>
      <c r="AG70" s="1"/>
      <c r="AH70" s="1"/>
    </row>
    <row r="71" customFormat="false" ht="15" hidden="false" customHeight="false" outlineLevel="0" collapsed="false">
      <c r="A71" s="1"/>
      <c r="B71" s="10"/>
      <c r="C71" s="31" t="str">
        <f aca="false">IF(B71="","",TEXT(B71,"ddd"))</f>
        <v/>
      </c>
      <c r="D71" s="11"/>
      <c r="E71" s="8" t="str">
        <f aca="false">IF(D71="","",IFERROR(INDEX(ProjNumbers,MATCH(D71,ProjNames,0)),""))</f>
        <v/>
      </c>
      <c r="F71" s="8" t="str">
        <f aca="false">IF(D71="","",IFERROR(INDEX(ProjCodes,MATCH(D71,ProjNames,0)),""))</f>
        <v/>
      </c>
      <c r="G71" s="32"/>
      <c r="H71" s="11"/>
      <c r="I71" s="33"/>
      <c r="J71" s="8" t="str">
        <f aca="false">IF(COUNTA(B71,D71,G71,H71,I71)=0,"",IF(B71="","Enter date",IF(OR(B71&lt;$AC$2,B71&gt;$AC$3),"Date not in September",IF(D71="","Pick project",IF(ISNA(MATCH(D71,ProjNames,0)),"Project not in list",IF(G71="","Add task description",IF(H71="","Pick NTIME or P6",IF(N(I71)&lt;=0,"Enter hours",IF(AND(AllowOT&lt;&gt;"Yes",SUMIF($B$7:$B$256,B71,$I$7:$I$256)&gt;INDEX($O$58:$O$87,DAY(B71))),"Day over "&amp;INDEX($O$58:$O$87,DAY(B71))&amp;" h","✓")))))))))</f>
        <v/>
      </c>
      <c r="K71" s="1"/>
      <c r="L71" s="35" t="n">
        <v>46279</v>
      </c>
      <c r="M71" s="36" t="str">
        <f aca="false">TEXT(L71,"ddd")</f>
        <v>Mon</v>
      </c>
      <c r="N71" s="37" t="s">
        <v>93</v>
      </c>
      <c r="O71" s="37" t="n">
        <f aca="false">AvailHours</f>
        <v>8</v>
      </c>
      <c r="P71" s="24" t="n">
        <f aca="false">SUMIFS($I$7:$I$256,$B$7:$B$256,L71,$H$7:$H$256,"NTIME")</f>
        <v>0</v>
      </c>
      <c r="Q71" s="24" t="n">
        <f aca="false">SUMIFS($I$7:$I$256,$B$7:$B$256,L71,$H$7:$H$256,"P6")</f>
        <v>0</v>
      </c>
      <c r="R71" s="24" t="n">
        <f aca="false">IF(N71="Overhead only",O71,IF(AND(N71="Working",P71+Q71&gt;0),MAX(0,O71-P71-Q71),0))</f>
        <v>0</v>
      </c>
      <c r="S71" s="24" t="n">
        <f aca="false">IF(OR(N71="Working",N71="Overhead only"),MAX(0,P71+Q71-O71),0)</f>
        <v>0</v>
      </c>
      <c r="T71" s="24" t="n">
        <f aca="false">P71+Q71+R71</f>
        <v>0</v>
      </c>
      <c r="U71" s="24" t="str">
        <f aca="true">IF(N71="Working",IF(P71+Q71=0,IF(L71&lt;=TODAY(),"Not logged",""),IF(P71+Q71&gt;O71,IF(AllowOT="Yes","Overtime","Over "&amp;O71&amp;" h!"),"✓")),IF(N71="Overhead only","✓ Overhead day",IF(P71+Q71&gt;0,"Entries on "&amp;LOWER(N71)&amp;" day",N71)))</f>
        <v>Not logged</v>
      </c>
      <c r="V71" s="1"/>
      <c r="W71" s="1" t="str">
        <f aca="false">IF(Projects!B69="","",Projects!B69)</f>
        <v/>
      </c>
      <c r="X71" s="1" t="n">
        <f aca="false">IF(W71="",0,SUMIFS($I$7:$I$256,$D$7:$D$256,W71,$H$7:$H$256,"NTIME"))</f>
        <v>0</v>
      </c>
      <c r="Y71" s="1" t="n">
        <f aca="false">IF(W71="",0,SUMIFS($I$7:$I$256,$D$7:$D$256,W71,$H$7:$H$256,"P6"))</f>
        <v>0</v>
      </c>
      <c r="Z71" s="1" t="n">
        <f aca="false">X71+Y71</f>
        <v>0</v>
      </c>
      <c r="AA71" s="1" t="n">
        <f aca="false">IF(Z71&gt;0,Z71+(201-65)/10^6,0)</f>
        <v>0</v>
      </c>
      <c r="AB71" s="1"/>
      <c r="AC71" s="1"/>
      <c r="AD71" s="1"/>
      <c r="AE71" s="1"/>
      <c r="AF71" s="1"/>
      <c r="AG71" s="1"/>
      <c r="AH71" s="1"/>
    </row>
    <row r="72" customFormat="false" ht="15" hidden="false" customHeight="false" outlineLevel="0" collapsed="false">
      <c r="A72" s="1"/>
      <c r="B72" s="10"/>
      <c r="C72" s="31" t="str">
        <f aca="false">IF(B72="","",TEXT(B72,"ddd"))</f>
        <v/>
      </c>
      <c r="D72" s="11"/>
      <c r="E72" s="8" t="str">
        <f aca="false">IF(D72="","",IFERROR(INDEX(ProjNumbers,MATCH(D72,ProjNames,0)),""))</f>
        <v/>
      </c>
      <c r="F72" s="8" t="str">
        <f aca="false">IF(D72="","",IFERROR(INDEX(ProjCodes,MATCH(D72,ProjNames,0)),""))</f>
        <v/>
      </c>
      <c r="G72" s="32"/>
      <c r="H72" s="11"/>
      <c r="I72" s="33"/>
      <c r="J72" s="8" t="str">
        <f aca="false">IF(COUNTA(B72,D72,G72,H72,I72)=0,"",IF(B72="","Enter date",IF(OR(B72&lt;$AC$2,B72&gt;$AC$3),"Date not in September",IF(D72="","Pick project",IF(ISNA(MATCH(D72,ProjNames,0)),"Project not in list",IF(G72="","Add task description",IF(H72="","Pick NTIME or P6",IF(N(I72)&lt;=0,"Enter hours",IF(AND(AllowOT&lt;&gt;"Yes",SUMIF($B$7:$B$256,B72,$I$7:$I$256)&gt;INDEX($O$58:$O$87,DAY(B72))),"Day over "&amp;INDEX($O$58:$O$87,DAY(B72))&amp;" h","✓")))))))))</f>
        <v/>
      </c>
      <c r="K72" s="1"/>
      <c r="L72" s="35" t="n">
        <v>46280</v>
      </c>
      <c r="M72" s="36" t="str">
        <f aca="false">TEXT(L72,"ddd")</f>
        <v>Tue</v>
      </c>
      <c r="N72" s="37" t="s">
        <v>93</v>
      </c>
      <c r="O72" s="37" t="n">
        <f aca="false">AvailHours</f>
        <v>8</v>
      </c>
      <c r="P72" s="24" t="n">
        <f aca="false">SUMIFS($I$7:$I$256,$B$7:$B$256,L72,$H$7:$H$256,"NTIME")</f>
        <v>0</v>
      </c>
      <c r="Q72" s="24" t="n">
        <f aca="false">SUMIFS($I$7:$I$256,$B$7:$B$256,L72,$H$7:$H$256,"P6")</f>
        <v>0</v>
      </c>
      <c r="R72" s="24" t="n">
        <f aca="false">IF(N72="Overhead only",O72,IF(AND(N72="Working",P72+Q72&gt;0),MAX(0,O72-P72-Q72),0))</f>
        <v>0</v>
      </c>
      <c r="S72" s="24" t="n">
        <f aca="false">IF(OR(N72="Working",N72="Overhead only"),MAX(0,P72+Q72-O72),0)</f>
        <v>0</v>
      </c>
      <c r="T72" s="24" t="n">
        <f aca="false">P72+Q72+R72</f>
        <v>0</v>
      </c>
      <c r="U72" s="24" t="str">
        <f aca="true">IF(N72="Working",IF(P72+Q72=0,IF(L72&lt;=TODAY(),"Not logged",""),IF(P72+Q72&gt;O72,IF(AllowOT="Yes","Overtime","Over "&amp;O72&amp;" h!"),"✓")),IF(N72="Overhead only","✓ Overhead day",IF(P72+Q72&gt;0,"Entries on "&amp;LOWER(N72)&amp;" day",N72)))</f>
        <v>Not logged</v>
      </c>
      <c r="V72" s="1"/>
      <c r="W72" s="1" t="str">
        <f aca="false">IF(Projects!B70="","",Projects!B70)</f>
        <v/>
      </c>
      <c r="X72" s="1" t="n">
        <f aca="false">IF(W72="",0,SUMIFS($I$7:$I$256,$D$7:$D$256,W72,$H$7:$H$256,"NTIME"))</f>
        <v>0</v>
      </c>
      <c r="Y72" s="1" t="n">
        <f aca="false">IF(W72="",0,SUMIFS($I$7:$I$256,$D$7:$D$256,W72,$H$7:$H$256,"P6"))</f>
        <v>0</v>
      </c>
      <c r="Z72" s="1" t="n">
        <f aca="false">X72+Y72</f>
        <v>0</v>
      </c>
      <c r="AA72" s="1" t="n">
        <f aca="false">IF(Z72&gt;0,Z72+(201-66)/10^6,0)</f>
        <v>0</v>
      </c>
      <c r="AB72" s="1"/>
      <c r="AC72" s="1"/>
      <c r="AD72" s="1"/>
      <c r="AE72" s="1"/>
      <c r="AF72" s="1"/>
      <c r="AG72" s="1"/>
      <c r="AH72" s="1"/>
    </row>
    <row r="73" customFormat="false" ht="15" hidden="false" customHeight="false" outlineLevel="0" collapsed="false">
      <c r="A73" s="1"/>
      <c r="B73" s="10"/>
      <c r="C73" s="31" t="str">
        <f aca="false">IF(B73="","",TEXT(B73,"ddd"))</f>
        <v/>
      </c>
      <c r="D73" s="11"/>
      <c r="E73" s="8" t="str">
        <f aca="false">IF(D73="","",IFERROR(INDEX(ProjNumbers,MATCH(D73,ProjNames,0)),""))</f>
        <v/>
      </c>
      <c r="F73" s="8" t="str">
        <f aca="false">IF(D73="","",IFERROR(INDEX(ProjCodes,MATCH(D73,ProjNames,0)),""))</f>
        <v/>
      </c>
      <c r="G73" s="32"/>
      <c r="H73" s="11"/>
      <c r="I73" s="33"/>
      <c r="J73" s="8" t="str">
        <f aca="false">IF(COUNTA(B73,D73,G73,H73,I73)=0,"",IF(B73="","Enter date",IF(OR(B73&lt;$AC$2,B73&gt;$AC$3),"Date not in September",IF(D73="","Pick project",IF(ISNA(MATCH(D73,ProjNames,0)),"Project not in list",IF(G73="","Add task description",IF(H73="","Pick NTIME or P6",IF(N(I73)&lt;=0,"Enter hours",IF(AND(AllowOT&lt;&gt;"Yes",SUMIF($B$7:$B$256,B73,$I$7:$I$256)&gt;INDEX($O$58:$O$87,DAY(B73))),"Day over "&amp;INDEX($O$58:$O$87,DAY(B73))&amp;" h","✓")))))))))</f>
        <v/>
      </c>
      <c r="K73" s="1"/>
      <c r="L73" s="35" t="n">
        <v>46281</v>
      </c>
      <c r="M73" s="36" t="str">
        <f aca="false">TEXT(L73,"ddd")</f>
        <v>Wed</v>
      </c>
      <c r="N73" s="37" t="s">
        <v>93</v>
      </c>
      <c r="O73" s="37" t="n">
        <f aca="false">AvailHours</f>
        <v>8</v>
      </c>
      <c r="P73" s="24" t="n">
        <f aca="false">SUMIFS($I$7:$I$256,$B$7:$B$256,L73,$H$7:$H$256,"NTIME")</f>
        <v>0</v>
      </c>
      <c r="Q73" s="24" t="n">
        <f aca="false">SUMIFS($I$7:$I$256,$B$7:$B$256,L73,$H$7:$H$256,"P6")</f>
        <v>0</v>
      </c>
      <c r="R73" s="24" t="n">
        <f aca="false">IF(N73="Overhead only",O73,IF(AND(N73="Working",P73+Q73&gt;0),MAX(0,O73-P73-Q73),0))</f>
        <v>0</v>
      </c>
      <c r="S73" s="24" t="n">
        <f aca="false">IF(OR(N73="Working",N73="Overhead only"),MAX(0,P73+Q73-O73),0)</f>
        <v>0</v>
      </c>
      <c r="T73" s="24" t="n">
        <f aca="false">P73+Q73+R73</f>
        <v>0</v>
      </c>
      <c r="U73" s="24" t="str">
        <f aca="true">IF(N73="Working",IF(P73+Q73=0,IF(L73&lt;=TODAY(),"Not logged",""),IF(P73+Q73&gt;O73,IF(AllowOT="Yes","Overtime","Over "&amp;O73&amp;" h!"),"✓")),IF(N73="Overhead only","✓ Overhead day",IF(P73+Q73&gt;0,"Entries on "&amp;LOWER(N73)&amp;" day",N73)))</f>
        <v>Not logged</v>
      </c>
      <c r="V73" s="1"/>
      <c r="W73" s="1" t="str">
        <f aca="false">IF(Projects!B71="","",Projects!B71)</f>
        <v/>
      </c>
      <c r="X73" s="1" t="n">
        <f aca="false">IF(W73="",0,SUMIFS($I$7:$I$256,$D$7:$D$256,W73,$H$7:$H$256,"NTIME"))</f>
        <v>0</v>
      </c>
      <c r="Y73" s="1" t="n">
        <f aca="false">IF(W73="",0,SUMIFS($I$7:$I$256,$D$7:$D$256,W73,$H$7:$H$256,"P6"))</f>
        <v>0</v>
      </c>
      <c r="Z73" s="1" t="n">
        <f aca="false">X73+Y73</f>
        <v>0</v>
      </c>
      <c r="AA73" s="1" t="n">
        <f aca="false">IF(Z73&gt;0,Z73+(201-67)/10^6,0)</f>
        <v>0</v>
      </c>
      <c r="AB73" s="1"/>
      <c r="AC73" s="1"/>
      <c r="AD73" s="1"/>
      <c r="AE73" s="1"/>
      <c r="AF73" s="1"/>
      <c r="AG73" s="1"/>
      <c r="AH73" s="1"/>
    </row>
    <row r="74" customFormat="false" ht="15" hidden="false" customHeight="false" outlineLevel="0" collapsed="false">
      <c r="A74" s="1"/>
      <c r="B74" s="10"/>
      <c r="C74" s="31" t="str">
        <f aca="false">IF(B74="","",TEXT(B74,"ddd"))</f>
        <v/>
      </c>
      <c r="D74" s="11"/>
      <c r="E74" s="8" t="str">
        <f aca="false">IF(D74="","",IFERROR(INDEX(ProjNumbers,MATCH(D74,ProjNames,0)),""))</f>
        <v/>
      </c>
      <c r="F74" s="8" t="str">
        <f aca="false">IF(D74="","",IFERROR(INDEX(ProjCodes,MATCH(D74,ProjNames,0)),""))</f>
        <v/>
      </c>
      <c r="G74" s="32"/>
      <c r="H74" s="11"/>
      <c r="I74" s="33"/>
      <c r="J74" s="8" t="str">
        <f aca="false">IF(COUNTA(B74,D74,G74,H74,I74)=0,"",IF(B74="","Enter date",IF(OR(B74&lt;$AC$2,B74&gt;$AC$3),"Date not in September",IF(D74="","Pick project",IF(ISNA(MATCH(D74,ProjNames,0)),"Project not in list",IF(G74="","Add task description",IF(H74="","Pick NTIME or P6",IF(N(I74)&lt;=0,"Enter hours",IF(AND(AllowOT&lt;&gt;"Yes",SUMIF($B$7:$B$256,B74,$I$7:$I$256)&gt;INDEX($O$58:$O$87,DAY(B74))),"Day over "&amp;INDEX($O$58:$O$87,DAY(B74))&amp;" h","✓")))))))))</f>
        <v/>
      </c>
      <c r="K74" s="1"/>
      <c r="L74" s="35" t="n">
        <v>46282</v>
      </c>
      <c r="M74" s="36" t="str">
        <f aca="false">TEXT(L74,"ddd")</f>
        <v>Thu</v>
      </c>
      <c r="N74" s="37" t="s">
        <v>93</v>
      </c>
      <c r="O74" s="37" t="n">
        <f aca="false">AvailHours</f>
        <v>8</v>
      </c>
      <c r="P74" s="24" t="n">
        <f aca="false">SUMIFS($I$7:$I$256,$B$7:$B$256,L74,$H$7:$H$256,"NTIME")</f>
        <v>0</v>
      </c>
      <c r="Q74" s="24" t="n">
        <f aca="false">SUMIFS($I$7:$I$256,$B$7:$B$256,L74,$H$7:$H$256,"P6")</f>
        <v>0</v>
      </c>
      <c r="R74" s="24" t="n">
        <f aca="false">IF(N74="Overhead only",O74,IF(AND(N74="Working",P74+Q74&gt;0),MAX(0,O74-P74-Q74),0))</f>
        <v>0</v>
      </c>
      <c r="S74" s="24" t="n">
        <f aca="false">IF(OR(N74="Working",N74="Overhead only"),MAX(0,P74+Q74-O74),0)</f>
        <v>0</v>
      </c>
      <c r="T74" s="24" t="n">
        <f aca="false">P74+Q74+R74</f>
        <v>0</v>
      </c>
      <c r="U74" s="24" t="str">
        <f aca="true">IF(N74="Working",IF(P74+Q74=0,IF(L74&lt;=TODAY(),"Not logged",""),IF(P74+Q74&gt;O74,IF(AllowOT="Yes","Overtime","Over "&amp;O74&amp;" h!"),"✓")),IF(N74="Overhead only","✓ Overhead day",IF(P74+Q74&gt;0,"Entries on "&amp;LOWER(N74)&amp;" day",N74)))</f>
        <v>Not logged</v>
      </c>
      <c r="V74" s="1"/>
      <c r="W74" s="1" t="str">
        <f aca="false">IF(Projects!B72="","",Projects!B72)</f>
        <v/>
      </c>
      <c r="X74" s="1" t="n">
        <f aca="false">IF(W74="",0,SUMIFS($I$7:$I$256,$D$7:$D$256,W74,$H$7:$H$256,"NTIME"))</f>
        <v>0</v>
      </c>
      <c r="Y74" s="1" t="n">
        <f aca="false">IF(W74="",0,SUMIFS($I$7:$I$256,$D$7:$D$256,W74,$H$7:$H$256,"P6"))</f>
        <v>0</v>
      </c>
      <c r="Z74" s="1" t="n">
        <f aca="false">X74+Y74</f>
        <v>0</v>
      </c>
      <c r="AA74" s="1" t="n">
        <f aca="false">IF(Z74&gt;0,Z74+(201-68)/10^6,0)</f>
        <v>0</v>
      </c>
      <c r="AB74" s="1"/>
      <c r="AC74" s="1"/>
      <c r="AD74" s="1"/>
      <c r="AE74" s="1"/>
      <c r="AF74" s="1"/>
      <c r="AG74" s="1"/>
      <c r="AH74" s="1"/>
    </row>
    <row r="75" customFormat="false" ht="15" hidden="false" customHeight="false" outlineLevel="0" collapsed="false">
      <c r="A75" s="1"/>
      <c r="B75" s="10"/>
      <c r="C75" s="31" t="str">
        <f aca="false">IF(B75="","",TEXT(B75,"ddd"))</f>
        <v/>
      </c>
      <c r="D75" s="11"/>
      <c r="E75" s="8" t="str">
        <f aca="false">IF(D75="","",IFERROR(INDEX(ProjNumbers,MATCH(D75,ProjNames,0)),""))</f>
        <v/>
      </c>
      <c r="F75" s="8" t="str">
        <f aca="false">IF(D75="","",IFERROR(INDEX(ProjCodes,MATCH(D75,ProjNames,0)),""))</f>
        <v/>
      </c>
      <c r="G75" s="32"/>
      <c r="H75" s="11"/>
      <c r="I75" s="33"/>
      <c r="J75" s="8" t="str">
        <f aca="false">IF(COUNTA(B75,D75,G75,H75,I75)=0,"",IF(B75="","Enter date",IF(OR(B75&lt;$AC$2,B75&gt;$AC$3),"Date not in September",IF(D75="","Pick project",IF(ISNA(MATCH(D75,ProjNames,0)),"Project not in list",IF(G75="","Add task description",IF(H75="","Pick NTIME or P6",IF(N(I75)&lt;=0,"Enter hours",IF(AND(AllowOT&lt;&gt;"Yes",SUMIF($B$7:$B$256,B75,$I$7:$I$256)&gt;INDEX($O$58:$O$87,DAY(B75))),"Day over "&amp;INDEX($O$58:$O$87,DAY(B75))&amp;" h","✓")))))))))</f>
        <v/>
      </c>
      <c r="K75" s="1"/>
      <c r="L75" s="35" t="n">
        <v>46283</v>
      </c>
      <c r="M75" s="36" t="str">
        <f aca="false">TEXT(L75,"ddd")</f>
        <v>Fri</v>
      </c>
      <c r="N75" s="37" t="s">
        <v>93</v>
      </c>
      <c r="O75" s="37" t="n">
        <f aca="false">AvailHours</f>
        <v>8</v>
      </c>
      <c r="P75" s="24" t="n">
        <f aca="false">SUMIFS($I$7:$I$256,$B$7:$B$256,L75,$H$7:$H$256,"NTIME")</f>
        <v>0</v>
      </c>
      <c r="Q75" s="24" t="n">
        <f aca="false">SUMIFS($I$7:$I$256,$B$7:$B$256,L75,$H$7:$H$256,"P6")</f>
        <v>0</v>
      </c>
      <c r="R75" s="24" t="n">
        <f aca="false">IF(N75="Overhead only",O75,IF(AND(N75="Working",P75+Q75&gt;0),MAX(0,O75-P75-Q75),0))</f>
        <v>0</v>
      </c>
      <c r="S75" s="24" t="n">
        <f aca="false">IF(OR(N75="Working",N75="Overhead only"),MAX(0,P75+Q75-O75),0)</f>
        <v>0</v>
      </c>
      <c r="T75" s="24" t="n">
        <f aca="false">P75+Q75+R75</f>
        <v>0</v>
      </c>
      <c r="U75" s="24" t="str">
        <f aca="true">IF(N75="Working",IF(P75+Q75=0,IF(L75&lt;=TODAY(),"Not logged",""),IF(P75+Q75&gt;O75,IF(AllowOT="Yes","Overtime","Over "&amp;O75&amp;" h!"),"✓")),IF(N75="Overhead only","✓ Overhead day",IF(P75+Q75&gt;0,"Entries on "&amp;LOWER(N75)&amp;" day",N75)))</f>
        <v>Not logged</v>
      </c>
      <c r="V75" s="1"/>
      <c r="W75" s="1" t="str">
        <f aca="false">IF(Projects!B73="","",Projects!B73)</f>
        <v/>
      </c>
      <c r="X75" s="1" t="n">
        <f aca="false">IF(W75="",0,SUMIFS($I$7:$I$256,$D$7:$D$256,W75,$H$7:$H$256,"NTIME"))</f>
        <v>0</v>
      </c>
      <c r="Y75" s="1" t="n">
        <f aca="false">IF(W75="",0,SUMIFS($I$7:$I$256,$D$7:$D$256,W75,$H$7:$H$256,"P6"))</f>
        <v>0</v>
      </c>
      <c r="Z75" s="1" t="n">
        <f aca="false">X75+Y75</f>
        <v>0</v>
      </c>
      <c r="AA75" s="1" t="n">
        <f aca="false">IF(Z75&gt;0,Z75+(201-69)/10^6,0)</f>
        <v>0</v>
      </c>
      <c r="AB75" s="1"/>
      <c r="AC75" s="1"/>
      <c r="AD75" s="1"/>
      <c r="AE75" s="1"/>
      <c r="AF75" s="1"/>
      <c r="AG75" s="1"/>
      <c r="AH75" s="1"/>
    </row>
    <row r="76" customFormat="false" ht="15" hidden="false" customHeight="false" outlineLevel="0" collapsed="false">
      <c r="A76" s="1"/>
      <c r="B76" s="10"/>
      <c r="C76" s="31" t="str">
        <f aca="false">IF(B76="","",TEXT(B76,"ddd"))</f>
        <v/>
      </c>
      <c r="D76" s="11"/>
      <c r="E76" s="8" t="str">
        <f aca="false">IF(D76="","",IFERROR(INDEX(ProjNumbers,MATCH(D76,ProjNames,0)),""))</f>
        <v/>
      </c>
      <c r="F76" s="8" t="str">
        <f aca="false">IF(D76="","",IFERROR(INDEX(ProjCodes,MATCH(D76,ProjNames,0)),""))</f>
        <v/>
      </c>
      <c r="G76" s="32"/>
      <c r="H76" s="11"/>
      <c r="I76" s="33"/>
      <c r="J76" s="8" t="str">
        <f aca="false">IF(COUNTA(B76,D76,G76,H76,I76)=0,"",IF(B76="","Enter date",IF(OR(B76&lt;$AC$2,B76&gt;$AC$3),"Date not in September",IF(D76="","Pick project",IF(ISNA(MATCH(D76,ProjNames,0)),"Project not in list",IF(G76="","Add task description",IF(H76="","Pick NTIME or P6",IF(N(I76)&lt;=0,"Enter hours",IF(AND(AllowOT&lt;&gt;"Yes",SUMIF($B$7:$B$256,B76,$I$7:$I$256)&gt;INDEX($O$58:$O$87,DAY(B76))),"Day over "&amp;INDEX($O$58:$O$87,DAY(B76))&amp;" h","✓")))))))))</f>
        <v/>
      </c>
      <c r="K76" s="1"/>
      <c r="L76" s="35" t="n">
        <v>46284</v>
      </c>
      <c r="M76" s="36" t="str">
        <f aca="false">TEXT(L76,"ddd")</f>
        <v>Sat</v>
      </c>
      <c r="N76" s="37" t="s">
        <v>94</v>
      </c>
      <c r="O76" s="37" t="n">
        <f aca="false">AvailHours</f>
        <v>8</v>
      </c>
      <c r="P76" s="24" t="n">
        <f aca="false">SUMIFS($I$7:$I$256,$B$7:$B$256,L76,$H$7:$H$256,"NTIME")</f>
        <v>0</v>
      </c>
      <c r="Q76" s="24" t="n">
        <f aca="false">SUMIFS($I$7:$I$256,$B$7:$B$256,L76,$H$7:$H$256,"P6")</f>
        <v>0</v>
      </c>
      <c r="R76" s="24" t="n">
        <f aca="false">IF(N76="Overhead only",O76,IF(AND(N76="Working",P76+Q76&gt;0),MAX(0,O76-P76-Q76),0))</f>
        <v>0</v>
      </c>
      <c r="S76" s="24" t="n">
        <f aca="false">IF(OR(N76="Working",N76="Overhead only"),MAX(0,P76+Q76-O76),0)</f>
        <v>0</v>
      </c>
      <c r="T76" s="24" t="n">
        <f aca="false">P76+Q76+R76</f>
        <v>0</v>
      </c>
      <c r="U76" s="24" t="str">
        <f aca="true">IF(N76="Working",IF(P76+Q76=0,IF(L76&lt;=TODAY(),"Not logged",""),IF(P76+Q76&gt;O76,IF(AllowOT="Yes","Overtime","Over "&amp;O76&amp;" h!"),"✓")),IF(N76="Overhead only","✓ Overhead day",IF(P76+Q76&gt;0,"Entries on "&amp;LOWER(N76)&amp;" day",N76)))</f>
        <v>Weekend</v>
      </c>
      <c r="V76" s="1"/>
      <c r="W76" s="1" t="str">
        <f aca="false">IF(Projects!B74="","",Projects!B74)</f>
        <v/>
      </c>
      <c r="X76" s="1" t="n">
        <f aca="false">IF(W76="",0,SUMIFS($I$7:$I$256,$D$7:$D$256,W76,$H$7:$H$256,"NTIME"))</f>
        <v>0</v>
      </c>
      <c r="Y76" s="1" t="n">
        <f aca="false">IF(W76="",0,SUMIFS($I$7:$I$256,$D$7:$D$256,W76,$H$7:$H$256,"P6"))</f>
        <v>0</v>
      </c>
      <c r="Z76" s="1" t="n">
        <f aca="false">X76+Y76</f>
        <v>0</v>
      </c>
      <c r="AA76" s="1" t="n">
        <f aca="false">IF(Z76&gt;0,Z76+(201-70)/10^6,0)</f>
        <v>0</v>
      </c>
      <c r="AB76" s="1"/>
      <c r="AC76" s="1"/>
      <c r="AD76" s="1"/>
      <c r="AE76" s="1"/>
      <c r="AF76" s="1"/>
      <c r="AG76" s="1"/>
      <c r="AH76" s="1"/>
    </row>
    <row r="77" customFormat="false" ht="15" hidden="false" customHeight="false" outlineLevel="0" collapsed="false">
      <c r="A77" s="1"/>
      <c r="B77" s="10"/>
      <c r="C77" s="31" t="str">
        <f aca="false">IF(B77="","",TEXT(B77,"ddd"))</f>
        <v/>
      </c>
      <c r="D77" s="11"/>
      <c r="E77" s="8" t="str">
        <f aca="false">IF(D77="","",IFERROR(INDEX(ProjNumbers,MATCH(D77,ProjNames,0)),""))</f>
        <v/>
      </c>
      <c r="F77" s="8" t="str">
        <f aca="false">IF(D77="","",IFERROR(INDEX(ProjCodes,MATCH(D77,ProjNames,0)),""))</f>
        <v/>
      </c>
      <c r="G77" s="32"/>
      <c r="H77" s="11"/>
      <c r="I77" s="33"/>
      <c r="J77" s="8" t="str">
        <f aca="false">IF(COUNTA(B77,D77,G77,H77,I77)=0,"",IF(B77="","Enter date",IF(OR(B77&lt;$AC$2,B77&gt;$AC$3),"Date not in September",IF(D77="","Pick project",IF(ISNA(MATCH(D77,ProjNames,0)),"Project not in list",IF(G77="","Add task description",IF(H77="","Pick NTIME or P6",IF(N(I77)&lt;=0,"Enter hours",IF(AND(AllowOT&lt;&gt;"Yes",SUMIF($B$7:$B$256,B77,$I$7:$I$256)&gt;INDEX($O$58:$O$87,DAY(B77))),"Day over "&amp;INDEX($O$58:$O$87,DAY(B77))&amp;" h","✓")))))))))</f>
        <v/>
      </c>
      <c r="K77" s="1"/>
      <c r="L77" s="35" t="n">
        <v>46285</v>
      </c>
      <c r="M77" s="36" t="str">
        <f aca="false">TEXT(L77,"ddd")</f>
        <v>Sun</v>
      </c>
      <c r="N77" s="37" t="s">
        <v>94</v>
      </c>
      <c r="O77" s="37" t="n">
        <f aca="false">AvailHours</f>
        <v>8</v>
      </c>
      <c r="P77" s="24" t="n">
        <f aca="false">SUMIFS($I$7:$I$256,$B$7:$B$256,L77,$H$7:$H$256,"NTIME")</f>
        <v>0</v>
      </c>
      <c r="Q77" s="24" t="n">
        <f aca="false">SUMIFS($I$7:$I$256,$B$7:$B$256,L77,$H$7:$H$256,"P6")</f>
        <v>0</v>
      </c>
      <c r="R77" s="24" t="n">
        <f aca="false">IF(N77="Overhead only",O77,IF(AND(N77="Working",P77+Q77&gt;0),MAX(0,O77-P77-Q77),0))</f>
        <v>0</v>
      </c>
      <c r="S77" s="24" t="n">
        <f aca="false">IF(OR(N77="Working",N77="Overhead only"),MAX(0,P77+Q77-O77),0)</f>
        <v>0</v>
      </c>
      <c r="T77" s="24" t="n">
        <f aca="false">P77+Q77+R77</f>
        <v>0</v>
      </c>
      <c r="U77" s="24" t="str">
        <f aca="true">IF(N77="Working",IF(P77+Q77=0,IF(L77&lt;=TODAY(),"Not logged",""),IF(P77+Q77&gt;O77,IF(AllowOT="Yes","Overtime","Over "&amp;O77&amp;" h!"),"✓")),IF(N77="Overhead only","✓ Overhead day",IF(P77+Q77&gt;0,"Entries on "&amp;LOWER(N77)&amp;" day",N77)))</f>
        <v>Weekend</v>
      </c>
      <c r="V77" s="1"/>
      <c r="W77" s="1" t="str">
        <f aca="false">IF(Projects!B75="","",Projects!B75)</f>
        <v/>
      </c>
      <c r="X77" s="1" t="n">
        <f aca="false">IF(W77="",0,SUMIFS($I$7:$I$256,$D$7:$D$256,W77,$H$7:$H$256,"NTIME"))</f>
        <v>0</v>
      </c>
      <c r="Y77" s="1" t="n">
        <f aca="false">IF(W77="",0,SUMIFS($I$7:$I$256,$D$7:$D$256,W77,$H$7:$H$256,"P6"))</f>
        <v>0</v>
      </c>
      <c r="Z77" s="1" t="n">
        <f aca="false">X77+Y77</f>
        <v>0</v>
      </c>
      <c r="AA77" s="1" t="n">
        <f aca="false">IF(Z77&gt;0,Z77+(201-71)/10^6,0)</f>
        <v>0</v>
      </c>
      <c r="AB77" s="1"/>
      <c r="AC77" s="1"/>
      <c r="AD77" s="1"/>
      <c r="AE77" s="1"/>
      <c r="AF77" s="1"/>
      <c r="AG77" s="1"/>
      <c r="AH77" s="1"/>
    </row>
    <row r="78" customFormat="false" ht="15" hidden="false" customHeight="false" outlineLevel="0" collapsed="false">
      <c r="A78" s="1"/>
      <c r="B78" s="10"/>
      <c r="C78" s="31" t="str">
        <f aca="false">IF(B78="","",TEXT(B78,"ddd"))</f>
        <v/>
      </c>
      <c r="D78" s="11"/>
      <c r="E78" s="8" t="str">
        <f aca="false">IF(D78="","",IFERROR(INDEX(ProjNumbers,MATCH(D78,ProjNames,0)),""))</f>
        <v/>
      </c>
      <c r="F78" s="8" t="str">
        <f aca="false">IF(D78="","",IFERROR(INDEX(ProjCodes,MATCH(D78,ProjNames,0)),""))</f>
        <v/>
      </c>
      <c r="G78" s="32"/>
      <c r="H78" s="11"/>
      <c r="I78" s="33"/>
      <c r="J78" s="8" t="str">
        <f aca="false">IF(COUNTA(B78,D78,G78,H78,I78)=0,"",IF(B78="","Enter date",IF(OR(B78&lt;$AC$2,B78&gt;$AC$3),"Date not in September",IF(D78="","Pick project",IF(ISNA(MATCH(D78,ProjNames,0)),"Project not in list",IF(G78="","Add task description",IF(H78="","Pick NTIME or P6",IF(N(I78)&lt;=0,"Enter hours",IF(AND(AllowOT&lt;&gt;"Yes",SUMIF($B$7:$B$256,B78,$I$7:$I$256)&gt;INDEX($O$58:$O$87,DAY(B78))),"Day over "&amp;INDEX($O$58:$O$87,DAY(B78))&amp;" h","✓")))))))))</f>
        <v/>
      </c>
      <c r="K78" s="1"/>
      <c r="L78" s="35" t="n">
        <v>46286</v>
      </c>
      <c r="M78" s="36" t="str">
        <f aca="false">TEXT(L78,"ddd")</f>
        <v>Mon</v>
      </c>
      <c r="N78" s="37" t="s">
        <v>93</v>
      </c>
      <c r="O78" s="37" t="n">
        <f aca="false">AvailHours</f>
        <v>8</v>
      </c>
      <c r="P78" s="24" t="n">
        <f aca="false">SUMIFS($I$7:$I$256,$B$7:$B$256,L78,$H$7:$H$256,"NTIME")</f>
        <v>0</v>
      </c>
      <c r="Q78" s="24" t="n">
        <f aca="false">SUMIFS($I$7:$I$256,$B$7:$B$256,L78,$H$7:$H$256,"P6")</f>
        <v>0</v>
      </c>
      <c r="R78" s="24" t="n">
        <f aca="false">IF(N78="Overhead only",O78,IF(AND(N78="Working",P78+Q78&gt;0),MAX(0,O78-P78-Q78),0))</f>
        <v>0</v>
      </c>
      <c r="S78" s="24" t="n">
        <f aca="false">IF(OR(N78="Working",N78="Overhead only"),MAX(0,P78+Q78-O78),0)</f>
        <v>0</v>
      </c>
      <c r="T78" s="24" t="n">
        <f aca="false">P78+Q78+R78</f>
        <v>0</v>
      </c>
      <c r="U78" s="24" t="str">
        <f aca="true">IF(N78="Working",IF(P78+Q78=0,IF(L78&lt;=TODAY(),"Not logged",""),IF(P78+Q78&gt;O78,IF(AllowOT="Yes","Overtime","Over "&amp;O78&amp;" h!"),"✓")),IF(N78="Overhead only","✓ Overhead day",IF(P78+Q78&gt;0,"Entries on "&amp;LOWER(N78)&amp;" day",N78)))</f>
        <v>Not logged</v>
      </c>
      <c r="V78" s="1"/>
      <c r="W78" s="1" t="str">
        <f aca="false">IF(Projects!B76="","",Projects!B76)</f>
        <v/>
      </c>
      <c r="X78" s="1" t="n">
        <f aca="false">IF(W78="",0,SUMIFS($I$7:$I$256,$D$7:$D$256,W78,$H$7:$H$256,"NTIME"))</f>
        <v>0</v>
      </c>
      <c r="Y78" s="1" t="n">
        <f aca="false">IF(W78="",0,SUMIFS($I$7:$I$256,$D$7:$D$256,W78,$H$7:$H$256,"P6"))</f>
        <v>0</v>
      </c>
      <c r="Z78" s="1" t="n">
        <f aca="false">X78+Y78</f>
        <v>0</v>
      </c>
      <c r="AA78" s="1" t="n">
        <f aca="false">IF(Z78&gt;0,Z78+(201-72)/10^6,0)</f>
        <v>0</v>
      </c>
      <c r="AB78" s="1"/>
      <c r="AC78" s="1"/>
      <c r="AD78" s="1"/>
      <c r="AE78" s="1"/>
      <c r="AF78" s="1"/>
      <c r="AG78" s="1"/>
      <c r="AH78" s="1"/>
    </row>
    <row r="79" customFormat="false" ht="15" hidden="false" customHeight="false" outlineLevel="0" collapsed="false">
      <c r="A79" s="1"/>
      <c r="B79" s="10"/>
      <c r="C79" s="31" t="str">
        <f aca="false">IF(B79="","",TEXT(B79,"ddd"))</f>
        <v/>
      </c>
      <c r="D79" s="11"/>
      <c r="E79" s="8" t="str">
        <f aca="false">IF(D79="","",IFERROR(INDEX(ProjNumbers,MATCH(D79,ProjNames,0)),""))</f>
        <v/>
      </c>
      <c r="F79" s="8" t="str">
        <f aca="false">IF(D79="","",IFERROR(INDEX(ProjCodes,MATCH(D79,ProjNames,0)),""))</f>
        <v/>
      </c>
      <c r="G79" s="32"/>
      <c r="H79" s="11"/>
      <c r="I79" s="33"/>
      <c r="J79" s="8" t="str">
        <f aca="false">IF(COUNTA(B79,D79,G79,H79,I79)=0,"",IF(B79="","Enter date",IF(OR(B79&lt;$AC$2,B79&gt;$AC$3),"Date not in September",IF(D79="","Pick project",IF(ISNA(MATCH(D79,ProjNames,0)),"Project not in list",IF(G79="","Add task description",IF(H79="","Pick NTIME or P6",IF(N(I79)&lt;=0,"Enter hours",IF(AND(AllowOT&lt;&gt;"Yes",SUMIF($B$7:$B$256,B79,$I$7:$I$256)&gt;INDEX($O$58:$O$87,DAY(B79))),"Day over "&amp;INDEX($O$58:$O$87,DAY(B79))&amp;" h","✓")))))))))</f>
        <v/>
      </c>
      <c r="K79" s="1"/>
      <c r="L79" s="35" t="n">
        <v>46287</v>
      </c>
      <c r="M79" s="36" t="str">
        <f aca="false">TEXT(L79,"ddd")</f>
        <v>Tue</v>
      </c>
      <c r="N79" s="37" t="s">
        <v>93</v>
      </c>
      <c r="O79" s="37" t="n">
        <f aca="false">AvailHours</f>
        <v>8</v>
      </c>
      <c r="P79" s="24" t="n">
        <f aca="false">SUMIFS($I$7:$I$256,$B$7:$B$256,L79,$H$7:$H$256,"NTIME")</f>
        <v>0</v>
      </c>
      <c r="Q79" s="24" t="n">
        <f aca="false">SUMIFS($I$7:$I$256,$B$7:$B$256,L79,$H$7:$H$256,"P6")</f>
        <v>0</v>
      </c>
      <c r="R79" s="24" t="n">
        <f aca="false">IF(N79="Overhead only",O79,IF(AND(N79="Working",P79+Q79&gt;0),MAX(0,O79-P79-Q79),0))</f>
        <v>0</v>
      </c>
      <c r="S79" s="24" t="n">
        <f aca="false">IF(OR(N79="Working",N79="Overhead only"),MAX(0,P79+Q79-O79),0)</f>
        <v>0</v>
      </c>
      <c r="T79" s="24" t="n">
        <f aca="false">P79+Q79+R79</f>
        <v>0</v>
      </c>
      <c r="U79" s="24" t="str">
        <f aca="true">IF(N79="Working",IF(P79+Q79=0,IF(L79&lt;=TODAY(),"Not logged",""),IF(P79+Q79&gt;O79,IF(AllowOT="Yes","Overtime","Over "&amp;O79&amp;" h!"),"✓")),IF(N79="Overhead only","✓ Overhead day",IF(P79+Q79&gt;0,"Entries on "&amp;LOWER(N79)&amp;" day",N79)))</f>
        <v>Not logged</v>
      </c>
      <c r="V79" s="1"/>
      <c r="W79" s="1" t="str">
        <f aca="false">IF(Projects!B77="","",Projects!B77)</f>
        <v/>
      </c>
      <c r="X79" s="1" t="n">
        <f aca="false">IF(W79="",0,SUMIFS($I$7:$I$256,$D$7:$D$256,W79,$H$7:$H$256,"NTIME"))</f>
        <v>0</v>
      </c>
      <c r="Y79" s="1" t="n">
        <f aca="false">IF(W79="",0,SUMIFS($I$7:$I$256,$D$7:$D$256,W79,$H$7:$H$256,"P6"))</f>
        <v>0</v>
      </c>
      <c r="Z79" s="1" t="n">
        <f aca="false">X79+Y79</f>
        <v>0</v>
      </c>
      <c r="AA79" s="1" t="n">
        <f aca="false">IF(Z79&gt;0,Z79+(201-73)/10^6,0)</f>
        <v>0</v>
      </c>
      <c r="AB79" s="1"/>
      <c r="AC79" s="1"/>
      <c r="AD79" s="1"/>
      <c r="AE79" s="1"/>
      <c r="AF79" s="1"/>
      <c r="AG79" s="1"/>
      <c r="AH79" s="1"/>
    </row>
    <row r="80" customFormat="false" ht="15" hidden="false" customHeight="false" outlineLevel="0" collapsed="false">
      <c r="A80" s="1"/>
      <c r="B80" s="10"/>
      <c r="C80" s="31" t="str">
        <f aca="false">IF(B80="","",TEXT(B80,"ddd"))</f>
        <v/>
      </c>
      <c r="D80" s="11"/>
      <c r="E80" s="8" t="str">
        <f aca="false">IF(D80="","",IFERROR(INDEX(ProjNumbers,MATCH(D80,ProjNames,0)),""))</f>
        <v/>
      </c>
      <c r="F80" s="8" t="str">
        <f aca="false">IF(D80="","",IFERROR(INDEX(ProjCodes,MATCH(D80,ProjNames,0)),""))</f>
        <v/>
      </c>
      <c r="G80" s="32"/>
      <c r="H80" s="11"/>
      <c r="I80" s="33"/>
      <c r="J80" s="8" t="str">
        <f aca="false">IF(COUNTA(B80,D80,G80,H80,I80)=0,"",IF(B80="","Enter date",IF(OR(B80&lt;$AC$2,B80&gt;$AC$3),"Date not in September",IF(D80="","Pick project",IF(ISNA(MATCH(D80,ProjNames,0)),"Project not in list",IF(G80="","Add task description",IF(H80="","Pick NTIME or P6",IF(N(I80)&lt;=0,"Enter hours",IF(AND(AllowOT&lt;&gt;"Yes",SUMIF($B$7:$B$256,B80,$I$7:$I$256)&gt;INDEX($O$58:$O$87,DAY(B80))),"Day over "&amp;INDEX($O$58:$O$87,DAY(B80))&amp;" h","✓")))))))))</f>
        <v/>
      </c>
      <c r="K80" s="1"/>
      <c r="L80" s="35" t="n">
        <v>46288</v>
      </c>
      <c r="M80" s="36" t="str">
        <f aca="false">TEXT(L80,"ddd")</f>
        <v>Wed</v>
      </c>
      <c r="N80" s="37" t="s">
        <v>93</v>
      </c>
      <c r="O80" s="37" t="n">
        <f aca="false">AvailHours</f>
        <v>8</v>
      </c>
      <c r="P80" s="24" t="n">
        <f aca="false">SUMIFS($I$7:$I$256,$B$7:$B$256,L80,$H$7:$H$256,"NTIME")</f>
        <v>0</v>
      </c>
      <c r="Q80" s="24" t="n">
        <f aca="false">SUMIFS($I$7:$I$256,$B$7:$B$256,L80,$H$7:$H$256,"P6")</f>
        <v>0</v>
      </c>
      <c r="R80" s="24" t="n">
        <f aca="false">IF(N80="Overhead only",O80,IF(AND(N80="Working",P80+Q80&gt;0),MAX(0,O80-P80-Q80),0))</f>
        <v>0</v>
      </c>
      <c r="S80" s="24" t="n">
        <f aca="false">IF(OR(N80="Working",N80="Overhead only"),MAX(0,P80+Q80-O80),0)</f>
        <v>0</v>
      </c>
      <c r="T80" s="24" t="n">
        <f aca="false">P80+Q80+R80</f>
        <v>0</v>
      </c>
      <c r="U80" s="24" t="str">
        <f aca="true">IF(N80="Working",IF(P80+Q80=0,IF(L80&lt;=TODAY(),"Not logged",""),IF(P80+Q80&gt;O80,IF(AllowOT="Yes","Overtime","Over "&amp;O80&amp;" h!"),"✓")),IF(N80="Overhead only","✓ Overhead day",IF(P80+Q80&gt;0,"Entries on "&amp;LOWER(N80)&amp;" day",N80)))</f>
        <v>Not logged</v>
      </c>
      <c r="V80" s="1"/>
      <c r="W80" s="1" t="str">
        <f aca="false">IF(Projects!B78="","",Projects!B78)</f>
        <v/>
      </c>
      <c r="X80" s="1" t="n">
        <f aca="false">IF(W80="",0,SUMIFS($I$7:$I$256,$D$7:$D$256,W80,$H$7:$H$256,"NTIME"))</f>
        <v>0</v>
      </c>
      <c r="Y80" s="1" t="n">
        <f aca="false">IF(W80="",0,SUMIFS($I$7:$I$256,$D$7:$D$256,W80,$H$7:$H$256,"P6"))</f>
        <v>0</v>
      </c>
      <c r="Z80" s="1" t="n">
        <f aca="false">X80+Y80</f>
        <v>0</v>
      </c>
      <c r="AA80" s="1" t="n">
        <f aca="false">IF(Z80&gt;0,Z80+(201-74)/10^6,0)</f>
        <v>0</v>
      </c>
      <c r="AB80" s="1"/>
      <c r="AC80" s="1"/>
      <c r="AD80" s="1"/>
      <c r="AE80" s="1"/>
      <c r="AF80" s="1"/>
      <c r="AG80" s="1"/>
      <c r="AH80" s="1"/>
    </row>
    <row r="81" customFormat="false" ht="15" hidden="false" customHeight="false" outlineLevel="0" collapsed="false">
      <c r="A81" s="1"/>
      <c r="B81" s="10"/>
      <c r="C81" s="31" t="str">
        <f aca="false">IF(B81="","",TEXT(B81,"ddd"))</f>
        <v/>
      </c>
      <c r="D81" s="11"/>
      <c r="E81" s="8" t="str">
        <f aca="false">IF(D81="","",IFERROR(INDEX(ProjNumbers,MATCH(D81,ProjNames,0)),""))</f>
        <v/>
      </c>
      <c r="F81" s="8" t="str">
        <f aca="false">IF(D81="","",IFERROR(INDEX(ProjCodes,MATCH(D81,ProjNames,0)),""))</f>
        <v/>
      </c>
      <c r="G81" s="32"/>
      <c r="H81" s="11"/>
      <c r="I81" s="33"/>
      <c r="J81" s="8" t="str">
        <f aca="false">IF(COUNTA(B81,D81,G81,H81,I81)=0,"",IF(B81="","Enter date",IF(OR(B81&lt;$AC$2,B81&gt;$AC$3),"Date not in September",IF(D81="","Pick project",IF(ISNA(MATCH(D81,ProjNames,0)),"Project not in list",IF(G81="","Add task description",IF(H81="","Pick NTIME or P6",IF(N(I81)&lt;=0,"Enter hours",IF(AND(AllowOT&lt;&gt;"Yes",SUMIF($B$7:$B$256,B81,$I$7:$I$256)&gt;INDEX($O$58:$O$87,DAY(B81))),"Day over "&amp;INDEX($O$58:$O$87,DAY(B81))&amp;" h","✓")))))))))</f>
        <v/>
      </c>
      <c r="K81" s="1"/>
      <c r="L81" s="35" t="n">
        <v>46289</v>
      </c>
      <c r="M81" s="36" t="str">
        <f aca="false">TEXT(L81,"ddd")</f>
        <v>Thu</v>
      </c>
      <c r="N81" s="37" t="s">
        <v>93</v>
      </c>
      <c r="O81" s="37" t="n">
        <f aca="false">AvailHours</f>
        <v>8</v>
      </c>
      <c r="P81" s="24" t="n">
        <f aca="false">SUMIFS($I$7:$I$256,$B$7:$B$256,L81,$H$7:$H$256,"NTIME")</f>
        <v>0</v>
      </c>
      <c r="Q81" s="24" t="n">
        <f aca="false">SUMIFS($I$7:$I$256,$B$7:$B$256,L81,$H$7:$H$256,"P6")</f>
        <v>0</v>
      </c>
      <c r="R81" s="24" t="n">
        <f aca="false">IF(N81="Overhead only",O81,IF(AND(N81="Working",P81+Q81&gt;0),MAX(0,O81-P81-Q81),0))</f>
        <v>0</v>
      </c>
      <c r="S81" s="24" t="n">
        <f aca="false">IF(OR(N81="Working",N81="Overhead only"),MAX(0,P81+Q81-O81),0)</f>
        <v>0</v>
      </c>
      <c r="T81" s="24" t="n">
        <f aca="false">P81+Q81+R81</f>
        <v>0</v>
      </c>
      <c r="U81" s="24" t="str">
        <f aca="true">IF(N81="Working",IF(P81+Q81=0,IF(L81&lt;=TODAY(),"Not logged",""),IF(P81+Q81&gt;O81,IF(AllowOT="Yes","Overtime","Over "&amp;O81&amp;" h!"),"✓")),IF(N81="Overhead only","✓ Overhead day",IF(P81+Q81&gt;0,"Entries on "&amp;LOWER(N81)&amp;" day",N81)))</f>
        <v>Not logged</v>
      </c>
      <c r="V81" s="1"/>
      <c r="W81" s="1" t="str">
        <f aca="false">IF(Projects!B79="","",Projects!B79)</f>
        <v/>
      </c>
      <c r="X81" s="1" t="n">
        <f aca="false">IF(W81="",0,SUMIFS($I$7:$I$256,$D$7:$D$256,W81,$H$7:$H$256,"NTIME"))</f>
        <v>0</v>
      </c>
      <c r="Y81" s="1" t="n">
        <f aca="false">IF(W81="",0,SUMIFS($I$7:$I$256,$D$7:$D$256,W81,$H$7:$H$256,"P6"))</f>
        <v>0</v>
      </c>
      <c r="Z81" s="1" t="n">
        <f aca="false">X81+Y81</f>
        <v>0</v>
      </c>
      <c r="AA81" s="1" t="n">
        <f aca="false">IF(Z81&gt;0,Z81+(201-75)/10^6,0)</f>
        <v>0</v>
      </c>
      <c r="AB81" s="1"/>
      <c r="AC81" s="1"/>
      <c r="AD81" s="1"/>
      <c r="AE81" s="1"/>
      <c r="AF81" s="1"/>
      <c r="AG81" s="1"/>
      <c r="AH81" s="1"/>
    </row>
    <row r="82" customFormat="false" ht="15" hidden="false" customHeight="false" outlineLevel="0" collapsed="false">
      <c r="A82" s="1"/>
      <c r="B82" s="10"/>
      <c r="C82" s="31" t="str">
        <f aca="false">IF(B82="","",TEXT(B82,"ddd"))</f>
        <v/>
      </c>
      <c r="D82" s="11"/>
      <c r="E82" s="8" t="str">
        <f aca="false">IF(D82="","",IFERROR(INDEX(ProjNumbers,MATCH(D82,ProjNames,0)),""))</f>
        <v/>
      </c>
      <c r="F82" s="8" t="str">
        <f aca="false">IF(D82="","",IFERROR(INDEX(ProjCodes,MATCH(D82,ProjNames,0)),""))</f>
        <v/>
      </c>
      <c r="G82" s="32"/>
      <c r="H82" s="11"/>
      <c r="I82" s="33"/>
      <c r="J82" s="8" t="str">
        <f aca="false">IF(COUNTA(B82,D82,G82,H82,I82)=0,"",IF(B82="","Enter date",IF(OR(B82&lt;$AC$2,B82&gt;$AC$3),"Date not in September",IF(D82="","Pick project",IF(ISNA(MATCH(D82,ProjNames,0)),"Project not in list",IF(G82="","Add task description",IF(H82="","Pick NTIME or P6",IF(N(I82)&lt;=0,"Enter hours",IF(AND(AllowOT&lt;&gt;"Yes",SUMIF($B$7:$B$256,B82,$I$7:$I$256)&gt;INDEX($O$58:$O$87,DAY(B82))),"Day over "&amp;INDEX($O$58:$O$87,DAY(B82))&amp;" h","✓")))))))))</f>
        <v/>
      </c>
      <c r="K82" s="1"/>
      <c r="L82" s="35" t="n">
        <v>46290</v>
      </c>
      <c r="M82" s="36" t="str">
        <f aca="false">TEXT(L82,"ddd")</f>
        <v>Fri</v>
      </c>
      <c r="N82" s="37" t="s">
        <v>93</v>
      </c>
      <c r="O82" s="37" t="n">
        <f aca="false">AvailHours</f>
        <v>8</v>
      </c>
      <c r="P82" s="24" t="n">
        <f aca="false">SUMIFS($I$7:$I$256,$B$7:$B$256,L82,$H$7:$H$256,"NTIME")</f>
        <v>0</v>
      </c>
      <c r="Q82" s="24" t="n">
        <f aca="false">SUMIFS($I$7:$I$256,$B$7:$B$256,L82,$H$7:$H$256,"P6")</f>
        <v>0</v>
      </c>
      <c r="R82" s="24" t="n">
        <f aca="false">IF(N82="Overhead only",O82,IF(AND(N82="Working",P82+Q82&gt;0),MAX(0,O82-P82-Q82),0))</f>
        <v>0</v>
      </c>
      <c r="S82" s="24" t="n">
        <f aca="false">IF(OR(N82="Working",N82="Overhead only"),MAX(0,P82+Q82-O82),0)</f>
        <v>0</v>
      </c>
      <c r="T82" s="24" t="n">
        <f aca="false">P82+Q82+R82</f>
        <v>0</v>
      </c>
      <c r="U82" s="24" t="str">
        <f aca="true">IF(N82="Working",IF(P82+Q82=0,IF(L82&lt;=TODAY(),"Not logged",""),IF(P82+Q82&gt;O82,IF(AllowOT="Yes","Overtime","Over "&amp;O82&amp;" h!"),"✓")),IF(N82="Overhead only","✓ Overhead day",IF(P82+Q82&gt;0,"Entries on "&amp;LOWER(N82)&amp;" day",N82)))</f>
        <v>Not logged</v>
      </c>
      <c r="V82" s="1"/>
      <c r="W82" s="1" t="str">
        <f aca="false">IF(Projects!B80="","",Projects!B80)</f>
        <v/>
      </c>
      <c r="X82" s="1" t="n">
        <f aca="false">IF(W82="",0,SUMIFS($I$7:$I$256,$D$7:$D$256,W82,$H$7:$H$256,"NTIME"))</f>
        <v>0</v>
      </c>
      <c r="Y82" s="1" t="n">
        <f aca="false">IF(W82="",0,SUMIFS($I$7:$I$256,$D$7:$D$256,W82,$H$7:$H$256,"P6"))</f>
        <v>0</v>
      </c>
      <c r="Z82" s="1" t="n">
        <f aca="false">X82+Y82</f>
        <v>0</v>
      </c>
      <c r="AA82" s="1" t="n">
        <f aca="false">IF(Z82&gt;0,Z82+(201-76)/10^6,0)</f>
        <v>0</v>
      </c>
      <c r="AB82" s="1"/>
      <c r="AC82" s="1"/>
      <c r="AD82" s="1"/>
      <c r="AE82" s="1"/>
      <c r="AF82" s="1"/>
      <c r="AG82" s="1"/>
      <c r="AH82" s="1"/>
    </row>
    <row r="83" customFormat="false" ht="15" hidden="false" customHeight="false" outlineLevel="0" collapsed="false">
      <c r="A83" s="1"/>
      <c r="B83" s="10"/>
      <c r="C83" s="31" t="str">
        <f aca="false">IF(B83="","",TEXT(B83,"ddd"))</f>
        <v/>
      </c>
      <c r="D83" s="11"/>
      <c r="E83" s="8" t="str">
        <f aca="false">IF(D83="","",IFERROR(INDEX(ProjNumbers,MATCH(D83,ProjNames,0)),""))</f>
        <v/>
      </c>
      <c r="F83" s="8" t="str">
        <f aca="false">IF(D83="","",IFERROR(INDEX(ProjCodes,MATCH(D83,ProjNames,0)),""))</f>
        <v/>
      </c>
      <c r="G83" s="32"/>
      <c r="H83" s="11"/>
      <c r="I83" s="33"/>
      <c r="J83" s="8" t="str">
        <f aca="false">IF(COUNTA(B83,D83,G83,H83,I83)=0,"",IF(B83="","Enter date",IF(OR(B83&lt;$AC$2,B83&gt;$AC$3),"Date not in September",IF(D83="","Pick project",IF(ISNA(MATCH(D83,ProjNames,0)),"Project not in list",IF(G83="","Add task description",IF(H83="","Pick NTIME or P6",IF(N(I83)&lt;=0,"Enter hours",IF(AND(AllowOT&lt;&gt;"Yes",SUMIF($B$7:$B$256,B83,$I$7:$I$256)&gt;INDEX($O$58:$O$87,DAY(B83))),"Day over "&amp;INDEX($O$58:$O$87,DAY(B83))&amp;" h","✓")))))))))</f>
        <v/>
      </c>
      <c r="K83" s="1"/>
      <c r="L83" s="35" t="n">
        <v>46291</v>
      </c>
      <c r="M83" s="36" t="str">
        <f aca="false">TEXT(L83,"ddd")</f>
        <v>Sat</v>
      </c>
      <c r="N83" s="37" t="s">
        <v>94</v>
      </c>
      <c r="O83" s="37" t="n">
        <f aca="false">AvailHours</f>
        <v>8</v>
      </c>
      <c r="P83" s="24" t="n">
        <f aca="false">SUMIFS($I$7:$I$256,$B$7:$B$256,L83,$H$7:$H$256,"NTIME")</f>
        <v>0</v>
      </c>
      <c r="Q83" s="24" t="n">
        <f aca="false">SUMIFS($I$7:$I$256,$B$7:$B$256,L83,$H$7:$H$256,"P6")</f>
        <v>0</v>
      </c>
      <c r="R83" s="24" t="n">
        <f aca="false">IF(N83="Overhead only",O83,IF(AND(N83="Working",P83+Q83&gt;0),MAX(0,O83-P83-Q83),0))</f>
        <v>0</v>
      </c>
      <c r="S83" s="24" t="n">
        <f aca="false">IF(OR(N83="Working",N83="Overhead only"),MAX(0,P83+Q83-O83),0)</f>
        <v>0</v>
      </c>
      <c r="T83" s="24" t="n">
        <f aca="false">P83+Q83+R83</f>
        <v>0</v>
      </c>
      <c r="U83" s="24" t="str">
        <f aca="true">IF(N83="Working",IF(P83+Q83=0,IF(L83&lt;=TODAY(),"Not logged",""),IF(P83+Q83&gt;O83,IF(AllowOT="Yes","Overtime","Over "&amp;O83&amp;" h!"),"✓")),IF(N83="Overhead only","✓ Overhead day",IF(P83+Q83&gt;0,"Entries on "&amp;LOWER(N83)&amp;" day",N83)))</f>
        <v>Weekend</v>
      </c>
      <c r="V83" s="1"/>
      <c r="W83" s="1" t="str">
        <f aca="false">IF(Projects!B81="","",Projects!B81)</f>
        <v/>
      </c>
      <c r="X83" s="1" t="n">
        <f aca="false">IF(W83="",0,SUMIFS($I$7:$I$256,$D$7:$D$256,W83,$H$7:$H$256,"NTIME"))</f>
        <v>0</v>
      </c>
      <c r="Y83" s="1" t="n">
        <f aca="false">IF(W83="",0,SUMIFS($I$7:$I$256,$D$7:$D$256,W83,$H$7:$H$256,"P6"))</f>
        <v>0</v>
      </c>
      <c r="Z83" s="1" t="n">
        <f aca="false">X83+Y83</f>
        <v>0</v>
      </c>
      <c r="AA83" s="1" t="n">
        <f aca="false">IF(Z83&gt;0,Z83+(201-77)/10^6,0)</f>
        <v>0</v>
      </c>
      <c r="AB83" s="1"/>
      <c r="AC83" s="1"/>
      <c r="AD83" s="1"/>
      <c r="AE83" s="1"/>
      <c r="AF83" s="1"/>
      <c r="AG83" s="1"/>
      <c r="AH83" s="1"/>
    </row>
    <row r="84" customFormat="false" ht="15" hidden="false" customHeight="false" outlineLevel="0" collapsed="false">
      <c r="A84" s="1"/>
      <c r="B84" s="10"/>
      <c r="C84" s="31" t="str">
        <f aca="false">IF(B84="","",TEXT(B84,"ddd"))</f>
        <v/>
      </c>
      <c r="D84" s="11"/>
      <c r="E84" s="8" t="str">
        <f aca="false">IF(D84="","",IFERROR(INDEX(ProjNumbers,MATCH(D84,ProjNames,0)),""))</f>
        <v/>
      </c>
      <c r="F84" s="8" t="str">
        <f aca="false">IF(D84="","",IFERROR(INDEX(ProjCodes,MATCH(D84,ProjNames,0)),""))</f>
        <v/>
      </c>
      <c r="G84" s="32"/>
      <c r="H84" s="11"/>
      <c r="I84" s="33"/>
      <c r="J84" s="8" t="str">
        <f aca="false">IF(COUNTA(B84,D84,G84,H84,I84)=0,"",IF(B84="","Enter date",IF(OR(B84&lt;$AC$2,B84&gt;$AC$3),"Date not in September",IF(D84="","Pick project",IF(ISNA(MATCH(D84,ProjNames,0)),"Project not in list",IF(G84="","Add task description",IF(H84="","Pick NTIME or P6",IF(N(I84)&lt;=0,"Enter hours",IF(AND(AllowOT&lt;&gt;"Yes",SUMIF($B$7:$B$256,B84,$I$7:$I$256)&gt;INDEX($O$58:$O$87,DAY(B84))),"Day over "&amp;INDEX($O$58:$O$87,DAY(B84))&amp;" h","✓")))))))))</f>
        <v/>
      </c>
      <c r="K84" s="1"/>
      <c r="L84" s="35" t="n">
        <v>46292</v>
      </c>
      <c r="M84" s="36" t="str">
        <f aca="false">TEXT(L84,"ddd")</f>
        <v>Sun</v>
      </c>
      <c r="N84" s="37" t="s">
        <v>94</v>
      </c>
      <c r="O84" s="37" t="n">
        <f aca="false">AvailHours</f>
        <v>8</v>
      </c>
      <c r="P84" s="24" t="n">
        <f aca="false">SUMIFS($I$7:$I$256,$B$7:$B$256,L84,$H$7:$H$256,"NTIME")</f>
        <v>0</v>
      </c>
      <c r="Q84" s="24" t="n">
        <f aca="false">SUMIFS($I$7:$I$256,$B$7:$B$256,L84,$H$7:$H$256,"P6")</f>
        <v>0</v>
      </c>
      <c r="R84" s="24" t="n">
        <f aca="false">IF(N84="Overhead only",O84,IF(AND(N84="Working",P84+Q84&gt;0),MAX(0,O84-P84-Q84),0))</f>
        <v>0</v>
      </c>
      <c r="S84" s="24" t="n">
        <f aca="false">IF(OR(N84="Working",N84="Overhead only"),MAX(0,P84+Q84-O84),0)</f>
        <v>0</v>
      </c>
      <c r="T84" s="24" t="n">
        <f aca="false">P84+Q84+R84</f>
        <v>0</v>
      </c>
      <c r="U84" s="24" t="str">
        <f aca="true">IF(N84="Working",IF(P84+Q84=0,IF(L84&lt;=TODAY(),"Not logged",""),IF(P84+Q84&gt;O84,IF(AllowOT="Yes","Overtime","Over "&amp;O84&amp;" h!"),"✓")),IF(N84="Overhead only","✓ Overhead day",IF(P84+Q84&gt;0,"Entries on "&amp;LOWER(N84)&amp;" day",N84)))</f>
        <v>Weekend</v>
      </c>
      <c r="V84" s="1"/>
      <c r="W84" s="1" t="str">
        <f aca="false">IF(Projects!B82="","",Projects!B82)</f>
        <v/>
      </c>
      <c r="X84" s="1" t="n">
        <f aca="false">IF(W84="",0,SUMIFS($I$7:$I$256,$D$7:$D$256,W84,$H$7:$H$256,"NTIME"))</f>
        <v>0</v>
      </c>
      <c r="Y84" s="1" t="n">
        <f aca="false">IF(W84="",0,SUMIFS($I$7:$I$256,$D$7:$D$256,W84,$H$7:$H$256,"P6"))</f>
        <v>0</v>
      </c>
      <c r="Z84" s="1" t="n">
        <f aca="false">X84+Y84</f>
        <v>0</v>
      </c>
      <c r="AA84" s="1" t="n">
        <f aca="false">IF(Z84&gt;0,Z84+(201-78)/10^6,0)</f>
        <v>0</v>
      </c>
      <c r="AB84" s="1"/>
      <c r="AC84" s="1"/>
      <c r="AD84" s="1"/>
      <c r="AE84" s="1"/>
      <c r="AF84" s="1"/>
      <c r="AG84" s="1"/>
      <c r="AH84" s="1"/>
    </row>
    <row r="85" customFormat="false" ht="15" hidden="false" customHeight="false" outlineLevel="0" collapsed="false">
      <c r="A85" s="1"/>
      <c r="B85" s="10"/>
      <c r="C85" s="31" t="str">
        <f aca="false">IF(B85="","",TEXT(B85,"ddd"))</f>
        <v/>
      </c>
      <c r="D85" s="11"/>
      <c r="E85" s="8" t="str">
        <f aca="false">IF(D85="","",IFERROR(INDEX(ProjNumbers,MATCH(D85,ProjNames,0)),""))</f>
        <v/>
      </c>
      <c r="F85" s="8" t="str">
        <f aca="false">IF(D85="","",IFERROR(INDEX(ProjCodes,MATCH(D85,ProjNames,0)),""))</f>
        <v/>
      </c>
      <c r="G85" s="32"/>
      <c r="H85" s="11"/>
      <c r="I85" s="33"/>
      <c r="J85" s="8" t="str">
        <f aca="false">IF(COUNTA(B85,D85,G85,H85,I85)=0,"",IF(B85="","Enter date",IF(OR(B85&lt;$AC$2,B85&gt;$AC$3),"Date not in September",IF(D85="","Pick project",IF(ISNA(MATCH(D85,ProjNames,0)),"Project not in list",IF(G85="","Add task description",IF(H85="","Pick NTIME or P6",IF(N(I85)&lt;=0,"Enter hours",IF(AND(AllowOT&lt;&gt;"Yes",SUMIF($B$7:$B$256,B85,$I$7:$I$256)&gt;INDEX($O$58:$O$87,DAY(B85))),"Day over "&amp;INDEX($O$58:$O$87,DAY(B85))&amp;" h","✓")))))))))</f>
        <v/>
      </c>
      <c r="K85" s="1"/>
      <c r="L85" s="35" t="n">
        <v>46293</v>
      </c>
      <c r="M85" s="36" t="str">
        <f aca="false">TEXT(L85,"ddd")</f>
        <v>Mon</v>
      </c>
      <c r="N85" s="37" t="s">
        <v>93</v>
      </c>
      <c r="O85" s="37" t="n">
        <f aca="false">AvailHours</f>
        <v>8</v>
      </c>
      <c r="P85" s="24" t="n">
        <f aca="false">SUMIFS($I$7:$I$256,$B$7:$B$256,L85,$H$7:$H$256,"NTIME")</f>
        <v>0</v>
      </c>
      <c r="Q85" s="24" t="n">
        <f aca="false">SUMIFS($I$7:$I$256,$B$7:$B$256,L85,$H$7:$H$256,"P6")</f>
        <v>0</v>
      </c>
      <c r="R85" s="24" t="n">
        <f aca="false">IF(N85="Overhead only",O85,IF(AND(N85="Working",P85+Q85&gt;0),MAX(0,O85-P85-Q85),0))</f>
        <v>0</v>
      </c>
      <c r="S85" s="24" t="n">
        <f aca="false">IF(OR(N85="Working",N85="Overhead only"),MAX(0,P85+Q85-O85),0)</f>
        <v>0</v>
      </c>
      <c r="T85" s="24" t="n">
        <f aca="false">P85+Q85+R85</f>
        <v>0</v>
      </c>
      <c r="U85" s="24" t="str">
        <f aca="true">IF(N85="Working",IF(P85+Q85=0,IF(L85&lt;=TODAY(),"Not logged",""),IF(P85+Q85&gt;O85,IF(AllowOT="Yes","Overtime","Over "&amp;O85&amp;" h!"),"✓")),IF(N85="Overhead only","✓ Overhead day",IF(P85+Q85&gt;0,"Entries on "&amp;LOWER(N85)&amp;" day",N85)))</f>
        <v>Not logged</v>
      </c>
      <c r="V85" s="1"/>
      <c r="W85" s="1" t="str">
        <f aca="false">IF(Projects!B83="","",Projects!B83)</f>
        <v/>
      </c>
      <c r="X85" s="1" t="n">
        <f aca="false">IF(W85="",0,SUMIFS($I$7:$I$256,$D$7:$D$256,W85,$H$7:$H$256,"NTIME"))</f>
        <v>0</v>
      </c>
      <c r="Y85" s="1" t="n">
        <f aca="false">IF(W85="",0,SUMIFS($I$7:$I$256,$D$7:$D$256,W85,$H$7:$H$256,"P6"))</f>
        <v>0</v>
      </c>
      <c r="Z85" s="1" t="n">
        <f aca="false">X85+Y85</f>
        <v>0</v>
      </c>
      <c r="AA85" s="1" t="n">
        <f aca="false">IF(Z85&gt;0,Z85+(201-79)/10^6,0)</f>
        <v>0</v>
      </c>
      <c r="AB85" s="1"/>
      <c r="AC85" s="1"/>
      <c r="AD85" s="1"/>
      <c r="AE85" s="1"/>
      <c r="AF85" s="1"/>
      <c r="AG85" s="1"/>
      <c r="AH85" s="1"/>
    </row>
    <row r="86" customFormat="false" ht="15" hidden="false" customHeight="false" outlineLevel="0" collapsed="false">
      <c r="A86" s="1"/>
      <c r="B86" s="10"/>
      <c r="C86" s="31" t="str">
        <f aca="false">IF(B86="","",TEXT(B86,"ddd"))</f>
        <v/>
      </c>
      <c r="D86" s="11"/>
      <c r="E86" s="8" t="str">
        <f aca="false">IF(D86="","",IFERROR(INDEX(ProjNumbers,MATCH(D86,ProjNames,0)),""))</f>
        <v/>
      </c>
      <c r="F86" s="8" t="str">
        <f aca="false">IF(D86="","",IFERROR(INDEX(ProjCodes,MATCH(D86,ProjNames,0)),""))</f>
        <v/>
      </c>
      <c r="G86" s="32"/>
      <c r="H86" s="11"/>
      <c r="I86" s="33"/>
      <c r="J86" s="8" t="str">
        <f aca="false">IF(COUNTA(B86,D86,G86,H86,I86)=0,"",IF(B86="","Enter date",IF(OR(B86&lt;$AC$2,B86&gt;$AC$3),"Date not in September",IF(D86="","Pick project",IF(ISNA(MATCH(D86,ProjNames,0)),"Project not in list",IF(G86="","Add task description",IF(H86="","Pick NTIME or P6",IF(N(I86)&lt;=0,"Enter hours",IF(AND(AllowOT&lt;&gt;"Yes",SUMIF($B$7:$B$256,B86,$I$7:$I$256)&gt;INDEX($O$58:$O$87,DAY(B86))),"Day over "&amp;INDEX($O$58:$O$87,DAY(B86))&amp;" h","✓")))))))))</f>
        <v/>
      </c>
      <c r="K86" s="1"/>
      <c r="L86" s="35" t="n">
        <v>46294</v>
      </c>
      <c r="M86" s="36" t="str">
        <f aca="false">TEXT(L86,"ddd")</f>
        <v>Tue</v>
      </c>
      <c r="N86" s="37" t="s">
        <v>93</v>
      </c>
      <c r="O86" s="37" t="n">
        <f aca="false">AvailHours</f>
        <v>8</v>
      </c>
      <c r="P86" s="24" t="n">
        <f aca="false">SUMIFS($I$7:$I$256,$B$7:$B$256,L86,$H$7:$H$256,"NTIME")</f>
        <v>0</v>
      </c>
      <c r="Q86" s="24" t="n">
        <f aca="false">SUMIFS($I$7:$I$256,$B$7:$B$256,L86,$H$7:$H$256,"P6")</f>
        <v>0</v>
      </c>
      <c r="R86" s="24" t="n">
        <f aca="false">IF(N86="Overhead only",O86,IF(AND(N86="Working",P86+Q86&gt;0),MAX(0,O86-P86-Q86),0))</f>
        <v>0</v>
      </c>
      <c r="S86" s="24" t="n">
        <f aca="false">IF(OR(N86="Working",N86="Overhead only"),MAX(0,P86+Q86-O86),0)</f>
        <v>0</v>
      </c>
      <c r="T86" s="24" t="n">
        <f aca="false">P86+Q86+R86</f>
        <v>0</v>
      </c>
      <c r="U86" s="24" t="str">
        <f aca="true">IF(N86="Working",IF(P86+Q86=0,IF(L86&lt;=TODAY(),"Not logged",""),IF(P86+Q86&gt;O86,IF(AllowOT="Yes","Overtime","Over "&amp;O86&amp;" h!"),"✓")),IF(N86="Overhead only","✓ Overhead day",IF(P86+Q86&gt;0,"Entries on "&amp;LOWER(N86)&amp;" day",N86)))</f>
        <v>Not logged</v>
      </c>
      <c r="V86" s="1"/>
      <c r="W86" s="1" t="str">
        <f aca="false">IF(Projects!B84="","",Projects!B84)</f>
        <v/>
      </c>
      <c r="X86" s="1" t="n">
        <f aca="false">IF(W86="",0,SUMIFS($I$7:$I$256,$D$7:$D$256,W86,$H$7:$H$256,"NTIME"))</f>
        <v>0</v>
      </c>
      <c r="Y86" s="1" t="n">
        <f aca="false">IF(W86="",0,SUMIFS($I$7:$I$256,$D$7:$D$256,W86,$H$7:$H$256,"P6"))</f>
        <v>0</v>
      </c>
      <c r="Z86" s="1" t="n">
        <f aca="false">X86+Y86</f>
        <v>0</v>
      </c>
      <c r="AA86" s="1" t="n">
        <f aca="false">IF(Z86&gt;0,Z86+(201-80)/10^6,0)</f>
        <v>0</v>
      </c>
      <c r="AB86" s="1"/>
      <c r="AC86" s="1"/>
      <c r="AD86" s="1"/>
      <c r="AE86" s="1"/>
      <c r="AF86" s="1"/>
      <c r="AG86" s="1"/>
      <c r="AH86" s="1"/>
    </row>
    <row r="87" customFormat="false" ht="15" hidden="false" customHeight="false" outlineLevel="0" collapsed="false">
      <c r="A87" s="1"/>
      <c r="B87" s="10"/>
      <c r="C87" s="31" t="str">
        <f aca="false">IF(B87="","",TEXT(B87,"ddd"))</f>
        <v/>
      </c>
      <c r="D87" s="11"/>
      <c r="E87" s="8" t="str">
        <f aca="false">IF(D87="","",IFERROR(INDEX(ProjNumbers,MATCH(D87,ProjNames,0)),""))</f>
        <v/>
      </c>
      <c r="F87" s="8" t="str">
        <f aca="false">IF(D87="","",IFERROR(INDEX(ProjCodes,MATCH(D87,ProjNames,0)),""))</f>
        <v/>
      </c>
      <c r="G87" s="32"/>
      <c r="H87" s="11"/>
      <c r="I87" s="33"/>
      <c r="J87" s="8" t="str">
        <f aca="false">IF(COUNTA(B87,D87,G87,H87,I87)=0,"",IF(B87="","Enter date",IF(OR(B87&lt;$AC$2,B87&gt;$AC$3),"Date not in September",IF(D87="","Pick project",IF(ISNA(MATCH(D87,ProjNames,0)),"Project not in list",IF(G87="","Add task description",IF(H87="","Pick NTIME or P6",IF(N(I87)&lt;=0,"Enter hours",IF(AND(AllowOT&lt;&gt;"Yes",SUMIF($B$7:$B$256,B87,$I$7:$I$256)&gt;INDEX($O$58:$O$87,DAY(B87))),"Day over "&amp;INDEX($O$58:$O$87,DAY(B87))&amp;" h","✓")))))))))</f>
        <v/>
      </c>
      <c r="K87" s="1"/>
      <c r="L87" s="35" t="n">
        <v>46295</v>
      </c>
      <c r="M87" s="36" t="str">
        <f aca="false">TEXT(L87,"ddd")</f>
        <v>Wed</v>
      </c>
      <c r="N87" s="37" t="s">
        <v>93</v>
      </c>
      <c r="O87" s="37" t="n">
        <f aca="false">AvailHours</f>
        <v>8</v>
      </c>
      <c r="P87" s="24" t="n">
        <f aca="false">SUMIFS($I$7:$I$256,$B$7:$B$256,L87,$H$7:$H$256,"NTIME")</f>
        <v>0</v>
      </c>
      <c r="Q87" s="24" t="n">
        <f aca="false">SUMIFS($I$7:$I$256,$B$7:$B$256,L87,$H$7:$H$256,"P6")</f>
        <v>0</v>
      </c>
      <c r="R87" s="24" t="n">
        <f aca="false">IF(N87="Overhead only",O87,IF(AND(N87="Working",P87+Q87&gt;0),MAX(0,O87-P87-Q87),0))</f>
        <v>0</v>
      </c>
      <c r="S87" s="24" t="n">
        <f aca="false">IF(OR(N87="Working",N87="Overhead only"),MAX(0,P87+Q87-O87),0)</f>
        <v>0</v>
      </c>
      <c r="T87" s="24" t="n">
        <f aca="false">P87+Q87+R87</f>
        <v>0</v>
      </c>
      <c r="U87" s="24" t="str">
        <f aca="true">IF(N87="Working",IF(P87+Q87=0,IF(L87&lt;=TODAY(),"Not logged",""),IF(P87+Q87&gt;O87,IF(AllowOT="Yes","Overtime","Over "&amp;O87&amp;" h!"),"✓")),IF(N87="Overhead only","✓ Overhead day",IF(P87+Q87&gt;0,"Entries on "&amp;LOWER(N87)&amp;" day",N87)))</f>
        <v>Not logged</v>
      </c>
      <c r="V87" s="1"/>
      <c r="W87" s="1" t="str">
        <f aca="false">IF(Projects!B85="","",Projects!B85)</f>
        <v/>
      </c>
      <c r="X87" s="1" t="n">
        <f aca="false">IF(W87="",0,SUMIFS($I$7:$I$256,$D$7:$D$256,W87,$H$7:$H$256,"NTIME"))</f>
        <v>0</v>
      </c>
      <c r="Y87" s="1" t="n">
        <f aca="false">IF(W87="",0,SUMIFS($I$7:$I$256,$D$7:$D$256,W87,$H$7:$H$256,"P6"))</f>
        <v>0</v>
      </c>
      <c r="Z87" s="1" t="n">
        <f aca="false">X87+Y87</f>
        <v>0</v>
      </c>
      <c r="AA87" s="1" t="n">
        <f aca="false">IF(Z87&gt;0,Z87+(201-81)/10^6,0)</f>
        <v>0</v>
      </c>
      <c r="AB87" s="1"/>
      <c r="AC87" s="1"/>
      <c r="AD87" s="1"/>
      <c r="AE87" s="1"/>
      <c r="AF87" s="1"/>
      <c r="AG87" s="1"/>
      <c r="AH87" s="1"/>
    </row>
    <row r="88" customFormat="false" ht="15" hidden="false" customHeight="false" outlineLevel="0" collapsed="false">
      <c r="A88" s="1"/>
      <c r="B88" s="10"/>
      <c r="C88" s="31" t="str">
        <f aca="false">IF(B88="","",TEXT(B88,"ddd"))</f>
        <v/>
      </c>
      <c r="D88" s="11"/>
      <c r="E88" s="8" t="str">
        <f aca="false">IF(D88="","",IFERROR(INDEX(ProjNumbers,MATCH(D88,ProjNames,0)),""))</f>
        <v/>
      </c>
      <c r="F88" s="8" t="str">
        <f aca="false">IF(D88="","",IFERROR(INDEX(ProjCodes,MATCH(D88,ProjNames,0)),""))</f>
        <v/>
      </c>
      <c r="G88" s="32"/>
      <c r="H88" s="11"/>
      <c r="I88" s="33"/>
      <c r="J88" s="8" t="str">
        <f aca="false">IF(COUNTA(B88,D88,G88,H88,I88)=0,"",IF(B88="","Enter date",IF(OR(B88&lt;$AC$2,B88&gt;$AC$3),"Date not in September",IF(D88="","Pick project",IF(ISNA(MATCH(D88,ProjNames,0)),"Project not in list",IF(G88="","Add task description",IF(H88="","Pick NTIME or P6",IF(N(I88)&lt;=0,"Enter hours",IF(AND(AllowOT&lt;&gt;"Yes",SUMIF($B$7:$B$256,B88,$I$7:$I$256)&gt;INDEX($O$58:$O$87,DAY(B88))),"Day over "&amp;INDEX($O$58:$O$87,DAY(B88))&amp;" h","✓")))))))))</f>
        <v/>
      </c>
      <c r="K88" s="1"/>
      <c r="L88" s="27" t="s">
        <v>84</v>
      </c>
      <c r="M88" s="27"/>
      <c r="N88" s="27"/>
      <c r="O88" s="27"/>
      <c r="P88" s="27" t="n">
        <f aca="false">SUM(P58:P87)</f>
        <v>0</v>
      </c>
      <c r="Q88" s="27" t="n">
        <f aca="false">SUM(Q58:Q87)</f>
        <v>0</v>
      </c>
      <c r="R88" s="27" t="n">
        <f aca="false">SUM(R58:R87)</f>
        <v>0</v>
      </c>
      <c r="S88" s="27" t="n">
        <f aca="false">SUM(S58:S87)</f>
        <v>0</v>
      </c>
      <c r="T88" s="27" t="n">
        <f aca="false">SUM(T58:T87)</f>
        <v>0</v>
      </c>
      <c r="U88" s="27"/>
      <c r="V88" s="1"/>
      <c r="W88" s="1" t="str">
        <f aca="false">IF(Projects!B86="","",Projects!B86)</f>
        <v/>
      </c>
      <c r="X88" s="1" t="n">
        <f aca="false">IF(W88="",0,SUMIFS($I$7:$I$256,$D$7:$D$256,W88,$H$7:$H$256,"NTIME"))</f>
        <v>0</v>
      </c>
      <c r="Y88" s="1" t="n">
        <f aca="false">IF(W88="",0,SUMIFS($I$7:$I$256,$D$7:$D$256,W88,$H$7:$H$256,"P6"))</f>
        <v>0</v>
      </c>
      <c r="Z88" s="1" t="n">
        <f aca="false">X88+Y88</f>
        <v>0</v>
      </c>
      <c r="AA88" s="1" t="n">
        <f aca="false">IF(Z88&gt;0,Z88+(201-82)/10^6,0)</f>
        <v>0</v>
      </c>
      <c r="AB88" s="1"/>
      <c r="AC88" s="1"/>
      <c r="AD88" s="1"/>
      <c r="AE88" s="1"/>
      <c r="AF88" s="1"/>
      <c r="AG88" s="1"/>
      <c r="AH88" s="1"/>
    </row>
    <row r="89" customFormat="false" ht="15" hidden="false" customHeight="false" outlineLevel="0" collapsed="false">
      <c r="A89" s="1"/>
      <c r="B89" s="10"/>
      <c r="C89" s="31" t="str">
        <f aca="false">IF(B89="","",TEXT(B89,"ddd"))</f>
        <v/>
      </c>
      <c r="D89" s="11"/>
      <c r="E89" s="8" t="str">
        <f aca="false">IF(D89="","",IFERROR(INDEX(ProjNumbers,MATCH(D89,ProjNames,0)),""))</f>
        <v/>
      </c>
      <c r="F89" s="8" t="str">
        <f aca="false">IF(D89="","",IFERROR(INDEX(ProjCodes,MATCH(D89,ProjNames,0)),""))</f>
        <v/>
      </c>
      <c r="G89" s="32"/>
      <c r="H89" s="11"/>
      <c r="I89" s="33"/>
      <c r="J89" s="8" t="str">
        <f aca="false">IF(COUNTA(B89,D89,G89,H89,I89)=0,"",IF(B89="","Enter date",IF(OR(B89&lt;$AC$2,B89&gt;$AC$3),"Date not in September",IF(D89="","Pick project",IF(ISNA(MATCH(D89,ProjNames,0)),"Project not in list",IF(G89="","Add task description",IF(H89="","Pick NTIME or P6",IF(N(I89)&lt;=0,"Enter hours",IF(AND(AllowOT&lt;&gt;"Yes",SUMIF($B$7:$B$256,B89,$I$7:$I$256)&gt;INDEX($O$58:$O$87,DAY(B89))),"Day over "&amp;INDEX($O$58:$O$87,DAY(B89))&amp;" h","✓")))))))))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 t="str">
        <f aca="false">IF(Projects!B87="","",Projects!B87)</f>
        <v/>
      </c>
      <c r="X89" s="1" t="n">
        <f aca="false">IF(W89="",0,SUMIFS($I$7:$I$256,$D$7:$D$256,W89,$H$7:$H$256,"NTIME"))</f>
        <v>0</v>
      </c>
      <c r="Y89" s="1" t="n">
        <f aca="false">IF(W89="",0,SUMIFS($I$7:$I$256,$D$7:$D$256,W89,$H$7:$H$256,"P6"))</f>
        <v>0</v>
      </c>
      <c r="Z89" s="1" t="n">
        <f aca="false">X89+Y89</f>
        <v>0</v>
      </c>
      <c r="AA89" s="1" t="n">
        <f aca="false">IF(Z89&gt;0,Z89+(201-83)/10^6,0)</f>
        <v>0</v>
      </c>
      <c r="AB89" s="1"/>
      <c r="AC89" s="1"/>
      <c r="AD89" s="1"/>
      <c r="AE89" s="1"/>
      <c r="AF89" s="1"/>
      <c r="AG89" s="1"/>
      <c r="AH89" s="1"/>
    </row>
    <row r="90" customFormat="false" ht="15" hidden="false" customHeight="false" outlineLevel="0" collapsed="false">
      <c r="A90" s="1"/>
      <c r="B90" s="10"/>
      <c r="C90" s="31" t="str">
        <f aca="false">IF(B90="","",TEXT(B90,"ddd"))</f>
        <v/>
      </c>
      <c r="D90" s="11"/>
      <c r="E90" s="8" t="str">
        <f aca="false">IF(D90="","",IFERROR(INDEX(ProjNumbers,MATCH(D90,ProjNames,0)),""))</f>
        <v/>
      </c>
      <c r="F90" s="8" t="str">
        <f aca="false">IF(D90="","",IFERROR(INDEX(ProjCodes,MATCH(D90,ProjNames,0)),""))</f>
        <v/>
      </c>
      <c r="G90" s="32"/>
      <c r="H90" s="11"/>
      <c r="I90" s="33"/>
      <c r="J90" s="8" t="str">
        <f aca="false">IF(COUNTA(B90,D90,G90,H90,I90)=0,"",IF(B90="","Enter date",IF(OR(B90&lt;$AC$2,B90&gt;$AC$3),"Date not in September",IF(D90="","Pick project",IF(ISNA(MATCH(D90,ProjNames,0)),"Project not in list",IF(G90="","Add task description",IF(H90="","Pick NTIME or P6",IF(N(I90)&lt;=0,"Enter hours",IF(AND(AllowOT&lt;&gt;"Yes",SUMIF($B$7:$B$256,B90,$I$7:$I$256)&gt;INDEX($O$58:$O$87,DAY(B90))),"Day over "&amp;INDEX($O$58:$O$87,DAY(B90))&amp;" h","✓")))))))))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tr">
        <f aca="false">IF(Projects!B88="","",Projects!B88)</f>
        <v/>
      </c>
      <c r="X90" s="1" t="n">
        <f aca="false">IF(W90="",0,SUMIFS($I$7:$I$256,$D$7:$D$256,W90,$H$7:$H$256,"NTIME"))</f>
        <v>0</v>
      </c>
      <c r="Y90" s="1" t="n">
        <f aca="false">IF(W90="",0,SUMIFS($I$7:$I$256,$D$7:$D$256,W90,$H$7:$H$256,"P6"))</f>
        <v>0</v>
      </c>
      <c r="Z90" s="1" t="n">
        <f aca="false">X90+Y90</f>
        <v>0</v>
      </c>
      <c r="AA90" s="1" t="n">
        <f aca="false">IF(Z90&gt;0,Z90+(201-84)/10^6,0)</f>
        <v>0</v>
      </c>
      <c r="AB90" s="1"/>
      <c r="AC90" s="1"/>
      <c r="AD90" s="1"/>
      <c r="AE90" s="1"/>
      <c r="AF90" s="1"/>
      <c r="AG90" s="1"/>
      <c r="AH90" s="1"/>
    </row>
    <row r="91" customFormat="false" ht="15" hidden="false" customHeight="false" outlineLevel="0" collapsed="false">
      <c r="A91" s="1"/>
      <c r="B91" s="10"/>
      <c r="C91" s="31" t="str">
        <f aca="false">IF(B91="","",TEXT(B91,"ddd"))</f>
        <v/>
      </c>
      <c r="D91" s="11"/>
      <c r="E91" s="8" t="str">
        <f aca="false">IF(D91="","",IFERROR(INDEX(ProjNumbers,MATCH(D91,ProjNames,0)),""))</f>
        <v/>
      </c>
      <c r="F91" s="8" t="str">
        <f aca="false">IF(D91="","",IFERROR(INDEX(ProjCodes,MATCH(D91,ProjNames,0)),""))</f>
        <v/>
      </c>
      <c r="G91" s="32"/>
      <c r="H91" s="11"/>
      <c r="I91" s="33"/>
      <c r="J91" s="8" t="str">
        <f aca="false">IF(COUNTA(B91,D91,G91,H91,I91)=0,"",IF(B91="","Enter date",IF(OR(B91&lt;$AC$2,B91&gt;$AC$3),"Date not in September",IF(D91="","Pick project",IF(ISNA(MATCH(D91,ProjNames,0)),"Project not in list",IF(G91="","Add task description",IF(H91="","Pick NTIME or P6",IF(N(I91)&lt;=0,"Enter hours",IF(AND(AllowOT&lt;&gt;"Yes",SUMIF($B$7:$B$256,B91,$I$7:$I$256)&gt;INDEX($O$58:$O$87,DAY(B91))),"Day over "&amp;INDEX($O$58:$O$87,DAY(B91))&amp;" h","✓")))))))))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tr">
        <f aca="false">IF(Projects!B89="","",Projects!B89)</f>
        <v/>
      </c>
      <c r="X91" s="1" t="n">
        <f aca="false">IF(W91="",0,SUMIFS($I$7:$I$256,$D$7:$D$256,W91,$H$7:$H$256,"NTIME"))</f>
        <v>0</v>
      </c>
      <c r="Y91" s="1" t="n">
        <f aca="false">IF(W91="",0,SUMIFS($I$7:$I$256,$D$7:$D$256,W91,$H$7:$H$256,"P6"))</f>
        <v>0</v>
      </c>
      <c r="Z91" s="1" t="n">
        <f aca="false">X91+Y91</f>
        <v>0</v>
      </c>
      <c r="AA91" s="1" t="n">
        <f aca="false">IF(Z91&gt;0,Z91+(201-85)/10^6,0)</f>
        <v>0</v>
      </c>
      <c r="AB91" s="1"/>
      <c r="AC91" s="1"/>
      <c r="AD91" s="1"/>
      <c r="AE91" s="1"/>
      <c r="AF91" s="1"/>
      <c r="AG91" s="1"/>
      <c r="AH91" s="1"/>
    </row>
    <row r="92" customFormat="false" ht="15" hidden="false" customHeight="false" outlineLevel="0" collapsed="false">
      <c r="A92" s="1"/>
      <c r="B92" s="10"/>
      <c r="C92" s="31" t="str">
        <f aca="false">IF(B92="","",TEXT(B92,"ddd"))</f>
        <v/>
      </c>
      <c r="D92" s="11"/>
      <c r="E92" s="8" t="str">
        <f aca="false">IF(D92="","",IFERROR(INDEX(ProjNumbers,MATCH(D92,ProjNames,0)),""))</f>
        <v/>
      </c>
      <c r="F92" s="8" t="str">
        <f aca="false">IF(D92="","",IFERROR(INDEX(ProjCodes,MATCH(D92,ProjNames,0)),""))</f>
        <v/>
      </c>
      <c r="G92" s="32"/>
      <c r="H92" s="11"/>
      <c r="I92" s="33"/>
      <c r="J92" s="8" t="str">
        <f aca="false">IF(COUNTA(B92,D92,G92,H92,I92)=0,"",IF(B92="","Enter date",IF(OR(B92&lt;$AC$2,B92&gt;$AC$3),"Date not in September",IF(D92="","Pick project",IF(ISNA(MATCH(D92,ProjNames,0)),"Project not in list",IF(G92="","Add task description",IF(H92="","Pick NTIME or P6",IF(N(I92)&lt;=0,"Enter hours",IF(AND(AllowOT&lt;&gt;"Yes",SUMIF($B$7:$B$256,B92,$I$7:$I$256)&gt;INDEX($O$58:$O$87,DAY(B92))),"Day over "&amp;INDEX($O$58:$O$87,DAY(B92))&amp;" h","✓")))))))))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tr">
        <f aca="false">IF(Projects!B90="","",Projects!B90)</f>
        <v/>
      </c>
      <c r="X92" s="1" t="n">
        <f aca="false">IF(W92="",0,SUMIFS($I$7:$I$256,$D$7:$D$256,W92,$H$7:$H$256,"NTIME"))</f>
        <v>0</v>
      </c>
      <c r="Y92" s="1" t="n">
        <f aca="false">IF(W92="",0,SUMIFS($I$7:$I$256,$D$7:$D$256,W92,$H$7:$H$256,"P6"))</f>
        <v>0</v>
      </c>
      <c r="Z92" s="1" t="n">
        <f aca="false">X92+Y92</f>
        <v>0</v>
      </c>
      <c r="AA92" s="1" t="n">
        <f aca="false">IF(Z92&gt;0,Z92+(201-86)/10^6,0)</f>
        <v>0</v>
      </c>
      <c r="AB92" s="1"/>
      <c r="AC92" s="1"/>
      <c r="AD92" s="1"/>
      <c r="AE92" s="1"/>
      <c r="AF92" s="1"/>
      <c r="AG92" s="1"/>
      <c r="AH92" s="1"/>
    </row>
    <row r="93" customFormat="false" ht="15" hidden="false" customHeight="false" outlineLevel="0" collapsed="false">
      <c r="A93" s="1"/>
      <c r="B93" s="10"/>
      <c r="C93" s="31" t="str">
        <f aca="false">IF(B93="","",TEXT(B93,"ddd"))</f>
        <v/>
      </c>
      <c r="D93" s="11"/>
      <c r="E93" s="8" t="str">
        <f aca="false">IF(D93="","",IFERROR(INDEX(ProjNumbers,MATCH(D93,ProjNames,0)),""))</f>
        <v/>
      </c>
      <c r="F93" s="8" t="str">
        <f aca="false">IF(D93="","",IFERROR(INDEX(ProjCodes,MATCH(D93,ProjNames,0)),""))</f>
        <v/>
      </c>
      <c r="G93" s="32"/>
      <c r="H93" s="11"/>
      <c r="I93" s="33"/>
      <c r="J93" s="8" t="str">
        <f aca="false">IF(COUNTA(B93,D93,G93,H93,I93)=0,"",IF(B93="","Enter date",IF(OR(B93&lt;$AC$2,B93&gt;$AC$3),"Date not in September",IF(D93="","Pick project",IF(ISNA(MATCH(D93,ProjNames,0)),"Project not in list",IF(G93="","Add task description",IF(H93="","Pick NTIME or P6",IF(N(I93)&lt;=0,"Enter hours",IF(AND(AllowOT&lt;&gt;"Yes",SUMIF($B$7:$B$256,B93,$I$7:$I$256)&gt;INDEX($O$58:$O$87,DAY(B93))),"Day over "&amp;INDEX($O$58:$O$87,DAY(B93))&amp;" h","✓")))))))))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tr">
        <f aca="false">IF(Projects!B91="","",Projects!B91)</f>
        <v/>
      </c>
      <c r="X93" s="1" t="n">
        <f aca="false">IF(W93="",0,SUMIFS($I$7:$I$256,$D$7:$D$256,W93,$H$7:$H$256,"NTIME"))</f>
        <v>0</v>
      </c>
      <c r="Y93" s="1" t="n">
        <f aca="false">IF(W93="",0,SUMIFS($I$7:$I$256,$D$7:$D$256,W93,$H$7:$H$256,"P6"))</f>
        <v>0</v>
      </c>
      <c r="Z93" s="1" t="n">
        <f aca="false">X93+Y93</f>
        <v>0</v>
      </c>
      <c r="AA93" s="1" t="n">
        <f aca="false">IF(Z93&gt;0,Z93+(201-87)/10^6,0)</f>
        <v>0</v>
      </c>
      <c r="AB93" s="1"/>
      <c r="AC93" s="1"/>
      <c r="AD93" s="1"/>
      <c r="AE93" s="1"/>
      <c r="AF93" s="1"/>
      <c r="AG93" s="1"/>
      <c r="AH93" s="1"/>
    </row>
    <row r="94" customFormat="false" ht="15" hidden="false" customHeight="false" outlineLevel="0" collapsed="false">
      <c r="A94" s="1"/>
      <c r="B94" s="10"/>
      <c r="C94" s="31" t="str">
        <f aca="false">IF(B94="","",TEXT(B94,"ddd"))</f>
        <v/>
      </c>
      <c r="D94" s="11"/>
      <c r="E94" s="8" t="str">
        <f aca="false">IF(D94="","",IFERROR(INDEX(ProjNumbers,MATCH(D94,ProjNames,0)),""))</f>
        <v/>
      </c>
      <c r="F94" s="8" t="str">
        <f aca="false">IF(D94="","",IFERROR(INDEX(ProjCodes,MATCH(D94,ProjNames,0)),""))</f>
        <v/>
      </c>
      <c r="G94" s="32"/>
      <c r="H94" s="11"/>
      <c r="I94" s="33"/>
      <c r="J94" s="8" t="str">
        <f aca="false">IF(COUNTA(B94,D94,G94,H94,I94)=0,"",IF(B94="","Enter date",IF(OR(B94&lt;$AC$2,B94&gt;$AC$3),"Date not in September",IF(D94="","Pick project",IF(ISNA(MATCH(D94,ProjNames,0)),"Project not in list",IF(G94="","Add task description",IF(H94="","Pick NTIME or P6",IF(N(I94)&lt;=0,"Enter hours",IF(AND(AllowOT&lt;&gt;"Yes",SUMIF($B$7:$B$256,B94,$I$7:$I$256)&gt;INDEX($O$58:$O$87,DAY(B94))),"Day over "&amp;INDEX($O$58:$O$87,DAY(B94))&amp;" h","✓")))))))))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tr">
        <f aca="false">IF(Projects!B92="","",Projects!B92)</f>
        <v/>
      </c>
      <c r="X94" s="1" t="n">
        <f aca="false">IF(W94="",0,SUMIFS($I$7:$I$256,$D$7:$D$256,W94,$H$7:$H$256,"NTIME"))</f>
        <v>0</v>
      </c>
      <c r="Y94" s="1" t="n">
        <f aca="false">IF(W94="",0,SUMIFS($I$7:$I$256,$D$7:$D$256,W94,$H$7:$H$256,"P6"))</f>
        <v>0</v>
      </c>
      <c r="Z94" s="1" t="n">
        <f aca="false">X94+Y94</f>
        <v>0</v>
      </c>
      <c r="AA94" s="1" t="n">
        <f aca="false">IF(Z94&gt;0,Z94+(201-88)/10^6,0)</f>
        <v>0</v>
      </c>
      <c r="AB94" s="1"/>
      <c r="AC94" s="1"/>
      <c r="AD94" s="1"/>
      <c r="AE94" s="1"/>
      <c r="AF94" s="1"/>
      <c r="AG94" s="1"/>
      <c r="AH94" s="1"/>
    </row>
    <row r="95" customFormat="false" ht="15" hidden="false" customHeight="false" outlineLevel="0" collapsed="false">
      <c r="A95" s="1"/>
      <c r="B95" s="10"/>
      <c r="C95" s="31" t="str">
        <f aca="false">IF(B95="","",TEXT(B95,"ddd"))</f>
        <v/>
      </c>
      <c r="D95" s="11"/>
      <c r="E95" s="8" t="str">
        <f aca="false">IF(D95="","",IFERROR(INDEX(ProjNumbers,MATCH(D95,ProjNames,0)),""))</f>
        <v/>
      </c>
      <c r="F95" s="8" t="str">
        <f aca="false">IF(D95="","",IFERROR(INDEX(ProjCodes,MATCH(D95,ProjNames,0)),""))</f>
        <v/>
      </c>
      <c r="G95" s="32"/>
      <c r="H95" s="11"/>
      <c r="I95" s="33"/>
      <c r="J95" s="8" t="str">
        <f aca="false">IF(COUNTA(B95,D95,G95,H95,I95)=0,"",IF(B95="","Enter date",IF(OR(B95&lt;$AC$2,B95&gt;$AC$3),"Date not in September",IF(D95="","Pick project",IF(ISNA(MATCH(D95,ProjNames,0)),"Project not in list",IF(G95="","Add task description",IF(H95="","Pick NTIME or P6",IF(N(I95)&lt;=0,"Enter hours",IF(AND(AllowOT&lt;&gt;"Yes",SUMIF($B$7:$B$256,B95,$I$7:$I$256)&gt;INDEX($O$58:$O$87,DAY(B95))),"Day over "&amp;INDEX($O$58:$O$87,DAY(B95))&amp;" h","✓")))))))))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tr">
        <f aca="false">IF(Projects!B93="","",Projects!B93)</f>
        <v/>
      </c>
      <c r="X95" s="1" t="n">
        <f aca="false">IF(W95="",0,SUMIFS($I$7:$I$256,$D$7:$D$256,W95,$H$7:$H$256,"NTIME"))</f>
        <v>0</v>
      </c>
      <c r="Y95" s="1" t="n">
        <f aca="false">IF(W95="",0,SUMIFS($I$7:$I$256,$D$7:$D$256,W95,$H$7:$H$256,"P6"))</f>
        <v>0</v>
      </c>
      <c r="Z95" s="1" t="n">
        <f aca="false">X95+Y95</f>
        <v>0</v>
      </c>
      <c r="AA95" s="1" t="n">
        <f aca="false">IF(Z95&gt;0,Z95+(201-89)/10^6,0)</f>
        <v>0</v>
      </c>
      <c r="AB95" s="1"/>
      <c r="AC95" s="1"/>
      <c r="AD95" s="1"/>
      <c r="AE95" s="1"/>
      <c r="AF95" s="1"/>
      <c r="AG95" s="1"/>
      <c r="AH95" s="1"/>
    </row>
    <row r="96" customFormat="false" ht="15" hidden="false" customHeight="false" outlineLevel="0" collapsed="false">
      <c r="A96" s="1"/>
      <c r="B96" s="10"/>
      <c r="C96" s="31" t="str">
        <f aca="false">IF(B96="","",TEXT(B96,"ddd"))</f>
        <v/>
      </c>
      <c r="D96" s="11"/>
      <c r="E96" s="8" t="str">
        <f aca="false">IF(D96="","",IFERROR(INDEX(ProjNumbers,MATCH(D96,ProjNames,0)),""))</f>
        <v/>
      </c>
      <c r="F96" s="8" t="str">
        <f aca="false">IF(D96="","",IFERROR(INDEX(ProjCodes,MATCH(D96,ProjNames,0)),""))</f>
        <v/>
      </c>
      <c r="G96" s="32"/>
      <c r="H96" s="11"/>
      <c r="I96" s="33"/>
      <c r="J96" s="8" t="str">
        <f aca="false">IF(COUNTA(B96,D96,G96,H96,I96)=0,"",IF(B96="","Enter date",IF(OR(B96&lt;$AC$2,B96&gt;$AC$3),"Date not in September",IF(D96="","Pick project",IF(ISNA(MATCH(D96,ProjNames,0)),"Project not in list",IF(G96="","Add task description",IF(H96="","Pick NTIME or P6",IF(N(I96)&lt;=0,"Enter hours",IF(AND(AllowOT&lt;&gt;"Yes",SUMIF($B$7:$B$256,B96,$I$7:$I$256)&gt;INDEX($O$58:$O$87,DAY(B96))),"Day over "&amp;INDEX($O$58:$O$87,DAY(B96))&amp;" h","✓")))))))))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tr">
        <f aca="false">IF(Projects!B94="","",Projects!B94)</f>
        <v/>
      </c>
      <c r="X96" s="1" t="n">
        <f aca="false">IF(W96="",0,SUMIFS($I$7:$I$256,$D$7:$D$256,W96,$H$7:$H$256,"NTIME"))</f>
        <v>0</v>
      </c>
      <c r="Y96" s="1" t="n">
        <f aca="false">IF(W96="",0,SUMIFS($I$7:$I$256,$D$7:$D$256,W96,$H$7:$H$256,"P6"))</f>
        <v>0</v>
      </c>
      <c r="Z96" s="1" t="n">
        <f aca="false">X96+Y96</f>
        <v>0</v>
      </c>
      <c r="AA96" s="1" t="n">
        <f aca="false">IF(Z96&gt;0,Z96+(201-90)/10^6,0)</f>
        <v>0</v>
      </c>
      <c r="AB96" s="1"/>
      <c r="AC96" s="1"/>
      <c r="AD96" s="1"/>
      <c r="AE96" s="1"/>
      <c r="AF96" s="1"/>
      <c r="AG96" s="1"/>
      <c r="AH96" s="1"/>
    </row>
    <row r="97" customFormat="false" ht="15" hidden="false" customHeight="false" outlineLevel="0" collapsed="false">
      <c r="A97" s="1"/>
      <c r="B97" s="10"/>
      <c r="C97" s="31" t="str">
        <f aca="false">IF(B97="","",TEXT(B97,"ddd"))</f>
        <v/>
      </c>
      <c r="D97" s="11"/>
      <c r="E97" s="8" t="str">
        <f aca="false">IF(D97="","",IFERROR(INDEX(ProjNumbers,MATCH(D97,ProjNames,0)),""))</f>
        <v/>
      </c>
      <c r="F97" s="8" t="str">
        <f aca="false">IF(D97="","",IFERROR(INDEX(ProjCodes,MATCH(D97,ProjNames,0)),""))</f>
        <v/>
      </c>
      <c r="G97" s="32"/>
      <c r="H97" s="11"/>
      <c r="I97" s="33"/>
      <c r="J97" s="8" t="str">
        <f aca="false">IF(COUNTA(B97,D97,G97,H97,I97)=0,"",IF(B97="","Enter date",IF(OR(B97&lt;$AC$2,B97&gt;$AC$3),"Date not in September",IF(D97="","Pick project",IF(ISNA(MATCH(D97,ProjNames,0)),"Project not in list",IF(G97="","Add task description",IF(H97="","Pick NTIME or P6",IF(N(I97)&lt;=0,"Enter hours",IF(AND(AllowOT&lt;&gt;"Yes",SUMIF($B$7:$B$256,B97,$I$7:$I$256)&gt;INDEX($O$58:$O$87,DAY(B97))),"Day over "&amp;INDEX($O$58:$O$87,DAY(B97))&amp;" h","✓")))))))))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tr">
        <f aca="false">IF(Projects!B95="","",Projects!B95)</f>
        <v/>
      </c>
      <c r="X97" s="1" t="n">
        <f aca="false">IF(W97="",0,SUMIFS($I$7:$I$256,$D$7:$D$256,W97,$H$7:$H$256,"NTIME"))</f>
        <v>0</v>
      </c>
      <c r="Y97" s="1" t="n">
        <f aca="false">IF(W97="",0,SUMIFS($I$7:$I$256,$D$7:$D$256,W97,$H$7:$H$256,"P6"))</f>
        <v>0</v>
      </c>
      <c r="Z97" s="1" t="n">
        <f aca="false">X97+Y97</f>
        <v>0</v>
      </c>
      <c r="AA97" s="1" t="n">
        <f aca="false">IF(Z97&gt;0,Z97+(201-91)/10^6,0)</f>
        <v>0</v>
      </c>
      <c r="AB97" s="1"/>
      <c r="AC97" s="1"/>
      <c r="AD97" s="1"/>
      <c r="AE97" s="1"/>
      <c r="AF97" s="1"/>
      <c r="AG97" s="1"/>
      <c r="AH97" s="1"/>
    </row>
    <row r="98" customFormat="false" ht="15" hidden="false" customHeight="false" outlineLevel="0" collapsed="false">
      <c r="A98" s="1"/>
      <c r="B98" s="10"/>
      <c r="C98" s="31" t="str">
        <f aca="false">IF(B98="","",TEXT(B98,"ddd"))</f>
        <v/>
      </c>
      <c r="D98" s="11"/>
      <c r="E98" s="8" t="str">
        <f aca="false">IF(D98="","",IFERROR(INDEX(ProjNumbers,MATCH(D98,ProjNames,0)),""))</f>
        <v/>
      </c>
      <c r="F98" s="8" t="str">
        <f aca="false">IF(D98="","",IFERROR(INDEX(ProjCodes,MATCH(D98,ProjNames,0)),""))</f>
        <v/>
      </c>
      <c r="G98" s="32"/>
      <c r="H98" s="11"/>
      <c r="I98" s="33"/>
      <c r="J98" s="8" t="str">
        <f aca="false">IF(COUNTA(B98,D98,G98,H98,I98)=0,"",IF(B98="","Enter date",IF(OR(B98&lt;$AC$2,B98&gt;$AC$3),"Date not in September",IF(D98="","Pick project",IF(ISNA(MATCH(D98,ProjNames,0)),"Project not in list",IF(G98="","Add task description",IF(H98="","Pick NTIME or P6",IF(N(I98)&lt;=0,"Enter hours",IF(AND(AllowOT&lt;&gt;"Yes",SUMIF($B$7:$B$256,B98,$I$7:$I$256)&gt;INDEX($O$58:$O$87,DAY(B98))),"Day over "&amp;INDEX($O$58:$O$87,DAY(B98))&amp;" h","✓")))))))))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tr">
        <f aca="false">IF(Projects!B96="","",Projects!B96)</f>
        <v/>
      </c>
      <c r="X98" s="1" t="n">
        <f aca="false">IF(W98="",0,SUMIFS($I$7:$I$256,$D$7:$D$256,W98,$H$7:$H$256,"NTIME"))</f>
        <v>0</v>
      </c>
      <c r="Y98" s="1" t="n">
        <f aca="false">IF(W98="",0,SUMIFS($I$7:$I$256,$D$7:$D$256,W98,$H$7:$H$256,"P6"))</f>
        <v>0</v>
      </c>
      <c r="Z98" s="1" t="n">
        <f aca="false">X98+Y98</f>
        <v>0</v>
      </c>
      <c r="AA98" s="1" t="n">
        <f aca="false">IF(Z98&gt;0,Z98+(201-92)/10^6,0)</f>
        <v>0</v>
      </c>
      <c r="AB98" s="1"/>
      <c r="AC98" s="1"/>
      <c r="AD98" s="1"/>
      <c r="AE98" s="1"/>
      <c r="AF98" s="1"/>
      <c r="AG98" s="1"/>
      <c r="AH98" s="1"/>
    </row>
    <row r="99" customFormat="false" ht="15" hidden="false" customHeight="false" outlineLevel="0" collapsed="false">
      <c r="A99" s="1"/>
      <c r="B99" s="10"/>
      <c r="C99" s="31" t="str">
        <f aca="false">IF(B99="","",TEXT(B99,"ddd"))</f>
        <v/>
      </c>
      <c r="D99" s="11"/>
      <c r="E99" s="8" t="str">
        <f aca="false">IF(D99="","",IFERROR(INDEX(ProjNumbers,MATCH(D99,ProjNames,0)),""))</f>
        <v/>
      </c>
      <c r="F99" s="8" t="str">
        <f aca="false">IF(D99="","",IFERROR(INDEX(ProjCodes,MATCH(D99,ProjNames,0)),""))</f>
        <v/>
      </c>
      <c r="G99" s="32"/>
      <c r="H99" s="11"/>
      <c r="I99" s="33"/>
      <c r="J99" s="8" t="str">
        <f aca="false">IF(COUNTA(B99,D99,G99,H99,I99)=0,"",IF(B99="","Enter date",IF(OR(B99&lt;$AC$2,B99&gt;$AC$3),"Date not in September",IF(D99="","Pick project",IF(ISNA(MATCH(D99,ProjNames,0)),"Project not in list",IF(G99="","Add task description",IF(H99="","Pick NTIME or P6",IF(N(I99)&lt;=0,"Enter hours",IF(AND(AllowOT&lt;&gt;"Yes",SUMIF($B$7:$B$256,B99,$I$7:$I$256)&gt;INDEX($O$58:$O$87,DAY(B99))),"Day over "&amp;INDEX($O$58:$O$87,DAY(B99))&amp;" h","✓")))))))))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tr">
        <f aca="false">IF(Projects!B97="","",Projects!B97)</f>
        <v/>
      </c>
      <c r="X99" s="1" t="n">
        <f aca="false">IF(W99="",0,SUMIFS($I$7:$I$256,$D$7:$D$256,W99,$H$7:$H$256,"NTIME"))</f>
        <v>0</v>
      </c>
      <c r="Y99" s="1" t="n">
        <f aca="false">IF(W99="",0,SUMIFS($I$7:$I$256,$D$7:$D$256,W99,$H$7:$H$256,"P6"))</f>
        <v>0</v>
      </c>
      <c r="Z99" s="1" t="n">
        <f aca="false">X99+Y99</f>
        <v>0</v>
      </c>
      <c r="AA99" s="1" t="n">
        <f aca="false">IF(Z99&gt;0,Z99+(201-93)/10^6,0)</f>
        <v>0</v>
      </c>
      <c r="AB99" s="1"/>
      <c r="AC99" s="1"/>
      <c r="AD99" s="1"/>
      <c r="AE99" s="1"/>
      <c r="AF99" s="1"/>
      <c r="AG99" s="1"/>
      <c r="AH99" s="1"/>
    </row>
    <row r="100" customFormat="false" ht="15" hidden="false" customHeight="false" outlineLevel="0" collapsed="false">
      <c r="A100" s="1"/>
      <c r="B100" s="10"/>
      <c r="C100" s="31" t="str">
        <f aca="false">IF(B100="","",TEXT(B100,"ddd"))</f>
        <v/>
      </c>
      <c r="D100" s="11"/>
      <c r="E100" s="8" t="str">
        <f aca="false">IF(D100="","",IFERROR(INDEX(ProjNumbers,MATCH(D100,ProjNames,0)),""))</f>
        <v/>
      </c>
      <c r="F100" s="8" t="str">
        <f aca="false">IF(D100="","",IFERROR(INDEX(ProjCodes,MATCH(D100,ProjNames,0)),""))</f>
        <v/>
      </c>
      <c r="G100" s="32"/>
      <c r="H100" s="11"/>
      <c r="I100" s="33"/>
      <c r="J100" s="8" t="str">
        <f aca="false">IF(COUNTA(B100,D100,G100,H100,I100)=0,"",IF(B100="","Enter date",IF(OR(B100&lt;$AC$2,B100&gt;$AC$3),"Date not in September",IF(D100="","Pick project",IF(ISNA(MATCH(D100,ProjNames,0)),"Project not in list",IF(G100="","Add task description",IF(H100="","Pick NTIME or P6",IF(N(I100)&lt;=0,"Enter hours",IF(AND(AllowOT&lt;&gt;"Yes",SUMIF($B$7:$B$256,B100,$I$7:$I$256)&gt;INDEX($O$58:$O$87,DAY(B100))),"Day over "&amp;INDEX($O$58:$O$87,DAY(B100))&amp;" h","✓")))))))))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tr">
        <f aca="false">IF(Projects!B98="","",Projects!B98)</f>
        <v/>
      </c>
      <c r="X100" s="1" t="n">
        <f aca="false">IF(W100="",0,SUMIFS($I$7:$I$256,$D$7:$D$256,W100,$H$7:$H$256,"NTIME"))</f>
        <v>0</v>
      </c>
      <c r="Y100" s="1" t="n">
        <f aca="false">IF(W100="",0,SUMIFS($I$7:$I$256,$D$7:$D$256,W100,$H$7:$H$256,"P6"))</f>
        <v>0</v>
      </c>
      <c r="Z100" s="1" t="n">
        <f aca="false">X100+Y100</f>
        <v>0</v>
      </c>
      <c r="AA100" s="1" t="n">
        <f aca="false">IF(Z100&gt;0,Z100+(201-94)/10^6,0)</f>
        <v>0</v>
      </c>
      <c r="AB100" s="1"/>
      <c r="AC100" s="1"/>
      <c r="AD100" s="1"/>
      <c r="AE100" s="1"/>
      <c r="AF100" s="1"/>
      <c r="AG100" s="1"/>
      <c r="AH100" s="1"/>
    </row>
    <row r="101" customFormat="false" ht="15" hidden="false" customHeight="false" outlineLevel="0" collapsed="false">
      <c r="A101" s="1"/>
      <c r="B101" s="10"/>
      <c r="C101" s="31" t="str">
        <f aca="false">IF(B101="","",TEXT(B101,"ddd"))</f>
        <v/>
      </c>
      <c r="D101" s="11"/>
      <c r="E101" s="8" t="str">
        <f aca="false">IF(D101="","",IFERROR(INDEX(ProjNumbers,MATCH(D101,ProjNames,0)),""))</f>
        <v/>
      </c>
      <c r="F101" s="8" t="str">
        <f aca="false">IF(D101="","",IFERROR(INDEX(ProjCodes,MATCH(D101,ProjNames,0)),""))</f>
        <v/>
      </c>
      <c r="G101" s="32"/>
      <c r="H101" s="11"/>
      <c r="I101" s="33"/>
      <c r="J101" s="8" t="str">
        <f aca="false">IF(COUNTA(B101,D101,G101,H101,I101)=0,"",IF(B101="","Enter date",IF(OR(B101&lt;$AC$2,B101&gt;$AC$3),"Date not in September",IF(D101="","Pick project",IF(ISNA(MATCH(D101,ProjNames,0)),"Project not in list",IF(G101="","Add task description",IF(H101="","Pick NTIME or P6",IF(N(I101)&lt;=0,"Enter hours",IF(AND(AllowOT&lt;&gt;"Yes",SUMIF($B$7:$B$256,B101,$I$7:$I$256)&gt;INDEX($O$58:$O$87,DAY(B101))),"Day over "&amp;INDEX($O$58:$O$87,DAY(B101))&amp;" h","✓")))))))))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aca="false">IF(Projects!B99="","",Projects!B99)</f>
        <v/>
      </c>
      <c r="X101" s="1" t="n">
        <f aca="false">IF(W101="",0,SUMIFS($I$7:$I$256,$D$7:$D$256,W101,$H$7:$H$256,"NTIME"))</f>
        <v>0</v>
      </c>
      <c r="Y101" s="1" t="n">
        <f aca="false">IF(W101="",0,SUMIFS($I$7:$I$256,$D$7:$D$256,W101,$H$7:$H$256,"P6"))</f>
        <v>0</v>
      </c>
      <c r="Z101" s="1" t="n">
        <f aca="false">X101+Y101</f>
        <v>0</v>
      </c>
      <c r="AA101" s="1" t="n">
        <f aca="false">IF(Z101&gt;0,Z101+(201-95)/10^6,0)</f>
        <v>0</v>
      </c>
      <c r="AB101" s="1"/>
      <c r="AC101" s="1"/>
      <c r="AD101" s="1"/>
      <c r="AE101" s="1"/>
      <c r="AF101" s="1"/>
      <c r="AG101" s="1"/>
      <c r="AH101" s="1"/>
    </row>
    <row r="102" customFormat="false" ht="15" hidden="false" customHeight="false" outlineLevel="0" collapsed="false">
      <c r="A102" s="1"/>
      <c r="B102" s="10"/>
      <c r="C102" s="31" t="str">
        <f aca="false">IF(B102="","",TEXT(B102,"ddd"))</f>
        <v/>
      </c>
      <c r="D102" s="11"/>
      <c r="E102" s="8" t="str">
        <f aca="false">IF(D102="","",IFERROR(INDEX(ProjNumbers,MATCH(D102,ProjNames,0)),""))</f>
        <v/>
      </c>
      <c r="F102" s="8" t="str">
        <f aca="false">IF(D102="","",IFERROR(INDEX(ProjCodes,MATCH(D102,ProjNames,0)),""))</f>
        <v/>
      </c>
      <c r="G102" s="32"/>
      <c r="H102" s="11"/>
      <c r="I102" s="33"/>
      <c r="J102" s="8" t="str">
        <f aca="false">IF(COUNTA(B102,D102,G102,H102,I102)=0,"",IF(B102="","Enter date",IF(OR(B102&lt;$AC$2,B102&gt;$AC$3),"Date not in September",IF(D102="","Pick project",IF(ISNA(MATCH(D102,ProjNames,0)),"Project not in list",IF(G102="","Add task description",IF(H102="","Pick NTIME or P6",IF(N(I102)&lt;=0,"Enter hours",IF(AND(AllowOT&lt;&gt;"Yes",SUMIF($B$7:$B$256,B102,$I$7:$I$256)&gt;INDEX($O$58:$O$87,DAY(B102))),"Day over "&amp;INDEX($O$58:$O$87,DAY(B102))&amp;" h","✓")))))))))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tr">
        <f aca="false">IF(Projects!B100="","",Projects!B100)</f>
        <v/>
      </c>
      <c r="X102" s="1" t="n">
        <f aca="false">IF(W102="",0,SUMIFS($I$7:$I$256,$D$7:$D$256,W102,$H$7:$H$256,"NTIME"))</f>
        <v>0</v>
      </c>
      <c r="Y102" s="1" t="n">
        <f aca="false">IF(W102="",0,SUMIFS($I$7:$I$256,$D$7:$D$256,W102,$H$7:$H$256,"P6"))</f>
        <v>0</v>
      </c>
      <c r="Z102" s="1" t="n">
        <f aca="false">X102+Y102</f>
        <v>0</v>
      </c>
      <c r="AA102" s="1" t="n">
        <f aca="false">IF(Z102&gt;0,Z102+(201-96)/10^6,0)</f>
        <v>0</v>
      </c>
      <c r="AB102" s="1"/>
      <c r="AC102" s="1"/>
      <c r="AD102" s="1"/>
      <c r="AE102" s="1"/>
      <c r="AF102" s="1"/>
      <c r="AG102" s="1"/>
      <c r="AH102" s="1"/>
    </row>
    <row r="103" customFormat="false" ht="15" hidden="false" customHeight="false" outlineLevel="0" collapsed="false">
      <c r="A103" s="1"/>
      <c r="B103" s="10"/>
      <c r="C103" s="31" t="str">
        <f aca="false">IF(B103="","",TEXT(B103,"ddd"))</f>
        <v/>
      </c>
      <c r="D103" s="11"/>
      <c r="E103" s="8" t="str">
        <f aca="false">IF(D103="","",IFERROR(INDEX(ProjNumbers,MATCH(D103,ProjNames,0)),""))</f>
        <v/>
      </c>
      <c r="F103" s="8" t="str">
        <f aca="false">IF(D103="","",IFERROR(INDEX(ProjCodes,MATCH(D103,ProjNames,0)),""))</f>
        <v/>
      </c>
      <c r="G103" s="32"/>
      <c r="H103" s="11"/>
      <c r="I103" s="33"/>
      <c r="J103" s="8" t="str">
        <f aca="false">IF(COUNTA(B103,D103,G103,H103,I103)=0,"",IF(B103="","Enter date",IF(OR(B103&lt;$AC$2,B103&gt;$AC$3),"Date not in September",IF(D103="","Pick project",IF(ISNA(MATCH(D103,ProjNames,0)),"Project not in list",IF(G103="","Add task description",IF(H103="","Pick NTIME or P6",IF(N(I103)&lt;=0,"Enter hours",IF(AND(AllowOT&lt;&gt;"Yes",SUMIF($B$7:$B$256,B103,$I$7:$I$256)&gt;INDEX($O$58:$O$87,DAY(B103))),"Day over "&amp;INDEX($O$58:$O$87,DAY(B103))&amp;" h","✓")))))))))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tr">
        <f aca="false">IF(Projects!B101="","",Projects!B101)</f>
        <v/>
      </c>
      <c r="X103" s="1" t="n">
        <f aca="false">IF(W103="",0,SUMIFS($I$7:$I$256,$D$7:$D$256,W103,$H$7:$H$256,"NTIME"))</f>
        <v>0</v>
      </c>
      <c r="Y103" s="1" t="n">
        <f aca="false">IF(W103="",0,SUMIFS($I$7:$I$256,$D$7:$D$256,W103,$H$7:$H$256,"P6"))</f>
        <v>0</v>
      </c>
      <c r="Z103" s="1" t="n">
        <f aca="false">X103+Y103</f>
        <v>0</v>
      </c>
      <c r="AA103" s="1" t="n">
        <f aca="false">IF(Z103&gt;0,Z103+(201-97)/10^6,0)</f>
        <v>0</v>
      </c>
      <c r="AB103" s="1"/>
      <c r="AC103" s="1"/>
      <c r="AD103" s="1"/>
      <c r="AE103" s="1"/>
      <c r="AF103" s="1"/>
      <c r="AG103" s="1"/>
      <c r="AH103" s="1"/>
    </row>
    <row r="104" customFormat="false" ht="15" hidden="false" customHeight="false" outlineLevel="0" collapsed="false">
      <c r="A104" s="1"/>
      <c r="B104" s="10"/>
      <c r="C104" s="31" t="str">
        <f aca="false">IF(B104="","",TEXT(B104,"ddd"))</f>
        <v/>
      </c>
      <c r="D104" s="11"/>
      <c r="E104" s="8" t="str">
        <f aca="false">IF(D104="","",IFERROR(INDEX(ProjNumbers,MATCH(D104,ProjNames,0)),""))</f>
        <v/>
      </c>
      <c r="F104" s="8" t="str">
        <f aca="false">IF(D104="","",IFERROR(INDEX(ProjCodes,MATCH(D104,ProjNames,0)),""))</f>
        <v/>
      </c>
      <c r="G104" s="32"/>
      <c r="H104" s="11"/>
      <c r="I104" s="33"/>
      <c r="J104" s="8" t="str">
        <f aca="false">IF(COUNTA(B104,D104,G104,H104,I104)=0,"",IF(B104="","Enter date",IF(OR(B104&lt;$AC$2,B104&gt;$AC$3),"Date not in September",IF(D104="","Pick project",IF(ISNA(MATCH(D104,ProjNames,0)),"Project not in list",IF(G104="","Add task description",IF(H104="","Pick NTIME or P6",IF(N(I104)&lt;=0,"Enter hours",IF(AND(AllowOT&lt;&gt;"Yes",SUMIF($B$7:$B$256,B104,$I$7:$I$256)&gt;INDEX($O$58:$O$87,DAY(B104))),"Day over "&amp;INDEX($O$58:$O$87,DAY(B104))&amp;" h","✓")))))))))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tr">
        <f aca="false">IF(Projects!B102="","",Projects!B102)</f>
        <v/>
      </c>
      <c r="X104" s="1" t="n">
        <f aca="false">IF(W104="",0,SUMIFS($I$7:$I$256,$D$7:$D$256,W104,$H$7:$H$256,"NTIME"))</f>
        <v>0</v>
      </c>
      <c r="Y104" s="1" t="n">
        <f aca="false">IF(W104="",0,SUMIFS($I$7:$I$256,$D$7:$D$256,W104,$H$7:$H$256,"P6"))</f>
        <v>0</v>
      </c>
      <c r="Z104" s="1" t="n">
        <f aca="false">X104+Y104</f>
        <v>0</v>
      </c>
      <c r="AA104" s="1" t="n">
        <f aca="false">IF(Z104&gt;0,Z104+(201-98)/10^6,0)</f>
        <v>0</v>
      </c>
      <c r="AB104" s="1"/>
      <c r="AC104" s="1"/>
      <c r="AD104" s="1"/>
      <c r="AE104" s="1"/>
      <c r="AF104" s="1"/>
      <c r="AG104" s="1"/>
      <c r="AH104" s="1"/>
    </row>
    <row r="105" customFormat="false" ht="15" hidden="false" customHeight="false" outlineLevel="0" collapsed="false">
      <c r="A105" s="1"/>
      <c r="B105" s="10"/>
      <c r="C105" s="31" t="str">
        <f aca="false">IF(B105="","",TEXT(B105,"ddd"))</f>
        <v/>
      </c>
      <c r="D105" s="11"/>
      <c r="E105" s="8" t="str">
        <f aca="false">IF(D105="","",IFERROR(INDEX(ProjNumbers,MATCH(D105,ProjNames,0)),""))</f>
        <v/>
      </c>
      <c r="F105" s="8" t="str">
        <f aca="false">IF(D105="","",IFERROR(INDEX(ProjCodes,MATCH(D105,ProjNames,0)),""))</f>
        <v/>
      </c>
      <c r="G105" s="32"/>
      <c r="H105" s="11"/>
      <c r="I105" s="33"/>
      <c r="J105" s="8" t="str">
        <f aca="false">IF(COUNTA(B105,D105,G105,H105,I105)=0,"",IF(B105="","Enter date",IF(OR(B105&lt;$AC$2,B105&gt;$AC$3),"Date not in September",IF(D105="","Pick project",IF(ISNA(MATCH(D105,ProjNames,0)),"Project not in list",IF(G105="","Add task description",IF(H105="","Pick NTIME or P6",IF(N(I105)&lt;=0,"Enter hours",IF(AND(AllowOT&lt;&gt;"Yes",SUMIF($B$7:$B$256,B105,$I$7:$I$256)&gt;INDEX($O$58:$O$87,DAY(B105))),"Day over "&amp;INDEX($O$58:$O$87,DAY(B105))&amp;" h","✓")))))))))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tr">
        <f aca="false">IF(Projects!B103="","",Projects!B103)</f>
        <v/>
      </c>
      <c r="X105" s="1" t="n">
        <f aca="false">IF(W105="",0,SUMIFS($I$7:$I$256,$D$7:$D$256,W105,$H$7:$H$256,"NTIME"))</f>
        <v>0</v>
      </c>
      <c r="Y105" s="1" t="n">
        <f aca="false">IF(W105="",0,SUMIFS($I$7:$I$256,$D$7:$D$256,W105,$H$7:$H$256,"P6"))</f>
        <v>0</v>
      </c>
      <c r="Z105" s="1" t="n">
        <f aca="false">X105+Y105</f>
        <v>0</v>
      </c>
      <c r="AA105" s="1" t="n">
        <f aca="false">IF(Z105&gt;0,Z105+(201-99)/10^6,0)</f>
        <v>0</v>
      </c>
      <c r="AB105" s="1"/>
      <c r="AC105" s="1"/>
      <c r="AD105" s="1"/>
      <c r="AE105" s="1"/>
      <c r="AF105" s="1"/>
      <c r="AG105" s="1"/>
      <c r="AH105" s="1"/>
    </row>
    <row r="106" customFormat="false" ht="15" hidden="false" customHeight="false" outlineLevel="0" collapsed="false">
      <c r="A106" s="1"/>
      <c r="B106" s="10"/>
      <c r="C106" s="31" t="str">
        <f aca="false">IF(B106="","",TEXT(B106,"ddd"))</f>
        <v/>
      </c>
      <c r="D106" s="11"/>
      <c r="E106" s="8" t="str">
        <f aca="false">IF(D106="","",IFERROR(INDEX(ProjNumbers,MATCH(D106,ProjNames,0)),""))</f>
        <v/>
      </c>
      <c r="F106" s="8" t="str">
        <f aca="false">IF(D106="","",IFERROR(INDEX(ProjCodes,MATCH(D106,ProjNames,0)),""))</f>
        <v/>
      </c>
      <c r="G106" s="32"/>
      <c r="H106" s="11"/>
      <c r="I106" s="33"/>
      <c r="J106" s="8" t="str">
        <f aca="false">IF(COUNTA(B106,D106,G106,H106,I106)=0,"",IF(B106="","Enter date",IF(OR(B106&lt;$AC$2,B106&gt;$AC$3),"Date not in September",IF(D106="","Pick project",IF(ISNA(MATCH(D106,ProjNames,0)),"Project not in list",IF(G106="","Add task description",IF(H106="","Pick NTIME or P6",IF(N(I106)&lt;=0,"Enter hours",IF(AND(AllowOT&lt;&gt;"Yes",SUMIF($B$7:$B$256,B106,$I$7:$I$256)&gt;INDEX($O$58:$O$87,DAY(B106))),"Day over "&amp;INDEX($O$58:$O$87,DAY(B106))&amp;" h","✓")))))))))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tr">
        <f aca="false">IF(Projects!B104="","",Projects!B104)</f>
        <v/>
      </c>
      <c r="X106" s="1" t="n">
        <f aca="false">IF(W106="",0,SUMIFS($I$7:$I$256,$D$7:$D$256,W106,$H$7:$H$256,"NTIME"))</f>
        <v>0</v>
      </c>
      <c r="Y106" s="1" t="n">
        <f aca="false">IF(W106="",0,SUMIFS($I$7:$I$256,$D$7:$D$256,W106,$H$7:$H$256,"P6"))</f>
        <v>0</v>
      </c>
      <c r="Z106" s="1" t="n">
        <f aca="false">X106+Y106</f>
        <v>0</v>
      </c>
      <c r="AA106" s="1" t="n">
        <f aca="false">IF(Z106&gt;0,Z106+(201-100)/10^6,0)</f>
        <v>0</v>
      </c>
      <c r="AB106" s="1"/>
      <c r="AC106" s="1"/>
      <c r="AD106" s="1"/>
      <c r="AE106" s="1"/>
      <c r="AF106" s="1"/>
      <c r="AG106" s="1"/>
      <c r="AH106" s="1"/>
    </row>
    <row r="107" customFormat="false" ht="15" hidden="false" customHeight="false" outlineLevel="0" collapsed="false">
      <c r="A107" s="1"/>
      <c r="B107" s="10"/>
      <c r="C107" s="31" t="str">
        <f aca="false">IF(B107="","",TEXT(B107,"ddd"))</f>
        <v/>
      </c>
      <c r="D107" s="11"/>
      <c r="E107" s="8" t="str">
        <f aca="false">IF(D107="","",IFERROR(INDEX(ProjNumbers,MATCH(D107,ProjNames,0)),""))</f>
        <v/>
      </c>
      <c r="F107" s="8" t="str">
        <f aca="false">IF(D107="","",IFERROR(INDEX(ProjCodes,MATCH(D107,ProjNames,0)),""))</f>
        <v/>
      </c>
      <c r="G107" s="32"/>
      <c r="H107" s="11"/>
      <c r="I107" s="33"/>
      <c r="J107" s="8" t="str">
        <f aca="false">IF(COUNTA(B107,D107,G107,H107,I107)=0,"",IF(B107="","Enter date",IF(OR(B107&lt;$AC$2,B107&gt;$AC$3),"Date not in September",IF(D107="","Pick project",IF(ISNA(MATCH(D107,ProjNames,0)),"Project not in list",IF(G107="","Add task description",IF(H107="","Pick NTIME or P6",IF(N(I107)&lt;=0,"Enter hours",IF(AND(AllowOT&lt;&gt;"Yes",SUMIF($B$7:$B$256,B107,$I$7:$I$256)&gt;INDEX($O$58:$O$87,DAY(B107))),"Day over "&amp;INDEX($O$58:$O$87,DAY(B107))&amp;" h","✓")))))))))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tr">
        <f aca="false">IF(Projects!B105="","",Projects!B105)</f>
        <v/>
      </c>
      <c r="X107" s="1" t="n">
        <f aca="false">IF(W107="",0,SUMIFS($I$7:$I$256,$D$7:$D$256,W107,$H$7:$H$256,"NTIME"))</f>
        <v>0</v>
      </c>
      <c r="Y107" s="1" t="n">
        <f aca="false">IF(W107="",0,SUMIFS($I$7:$I$256,$D$7:$D$256,W107,$H$7:$H$256,"P6"))</f>
        <v>0</v>
      </c>
      <c r="Z107" s="1" t="n">
        <f aca="false">X107+Y107</f>
        <v>0</v>
      </c>
      <c r="AA107" s="1" t="n">
        <f aca="false">IF(Z107&gt;0,Z107+(201-101)/10^6,0)</f>
        <v>0</v>
      </c>
      <c r="AB107" s="1"/>
      <c r="AC107" s="1"/>
      <c r="AD107" s="1"/>
      <c r="AE107" s="1"/>
      <c r="AF107" s="1"/>
      <c r="AG107" s="1"/>
      <c r="AH107" s="1"/>
    </row>
    <row r="108" customFormat="false" ht="15" hidden="false" customHeight="false" outlineLevel="0" collapsed="false">
      <c r="A108" s="1"/>
      <c r="B108" s="10"/>
      <c r="C108" s="31" t="str">
        <f aca="false">IF(B108="","",TEXT(B108,"ddd"))</f>
        <v/>
      </c>
      <c r="D108" s="11"/>
      <c r="E108" s="8" t="str">
        <f aca="false">IF(D108="","",IFERROR(INDEX(ProjNumbers,MATCH(D108,ProjNames,0)),""))</f>
        <v/>
      </c>
      <c r="F108" s="8" t="str">
        <f aca="false">IF(D108="","",IFERROR(INDEX(ProjCodes,MATCH(D108,ProjNames,0)),""))</f>
        <v/>
      </c>
      <c r="G108" s="32"/>
      <c r="H108" s="11"/>
      <c r="I108" s="33"/>
      <c r="J108" s="8" t="str">
        <f aca="false">IF(COUNTA(B108,D108,G108,H108,I108)=0,"",IF(B108="","Enter date",IF(OR(B108&lt;$AC$2,B108&gt;$AC$3),"Date not in September",IF(D108="","Pick project",IF(ISNA(MATCH(D108,ProjNames,0)),"Project not in list",IF(G108="","Add task description",IF(H108="","Pick NTIME or P6",IF(N(I108)&lt;=0,"Enter hours",IF(AND(AllowOT&lt;&gt;"Yes",SUMIF($B$7:$B$256,B108,$I$7:$I$256)&gt;INDEX($O$58:$O$87,DAY(B108))),"Day over "&amp;INDEX($O$58:$O$87,DAY(B108))&amp;" h","✓")))))))))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aca="false">IF(Projects!B106="","",Projects!B106)</f>
        <v/>
      </c>
      <c r="X108" s="1" t="n">
        <f aca="false">IF(W108="",0,SUMIFS($I$7:$I$256,$D$7:$D$256,W108,$H$7:$H$256,"NTIME"))</f>
        <v>0</v>
      </c>
      <c r="Y108" s="1" t="n">
        <f aca="false">IF(W108="",0,SUMIFS($I$7:$I$256,$D$7:$D$256,W108,$H$7:$H$256,"P6"))</f>
        <v>0</v>
      </c>
      <c r="Z108" s="1" t="n">
        <f aca="false">X108+Y108</f>
        <v>0</v>
      </c>
      <c r="AA108" s="1" t="n">
        <f aca="false">IF(Z108&gt;0,Z108+(201-102)/10^6,0)</f>
        <v>0</v>
      </c>
      <c r="AB108" s="1"/>
      <c r="AC108" s="1"/>
      <c r="AD108" s="1"/>
      <c r="AE108" s="1"/>
      <c r="AF108" s="1"/>
      <c r="AG108" s="1"/>
      <c r="AH108" s="1"/>
    </row>
    <row r="109" customFormat="false" ht="15" hidden="false" customHeight="false" outlineLevel="0" collapsed="false">
      <c r="A109" s="1"/>
      <c r="B109" s="10"/>
      <c r="C109" s="31" t="str">
        <f aca="false">IF(B109="","",TEXT(B109,"ddd"))</f>
        <v/>
      </c>
      <c r="D109" s="11"/>
      <c r="E109" s="8" t="str">
        <f aca="false">IF(D109="","",IFERROR(INDEX(ProjNumbers,MATCH(D109,ProjNames,0)),""))</f>
        <v/>
      </c>
      <c r="F109" s="8" t="str">
        <f aca="false">IF(D109="","",IFERROR(INDEX(ProjCodes,MATCH(D109,ProjNames,0)),""))</f>
        <v/>
      </c>
      <c r="G109" s="32"/>
      <c r="H109" s="11"/>
      <c r="I109" s="33"/>
      <c r="J109" s="8" t="str">
        <f aca="false">IF(COUNTA(B109,D109,G109,H109,I109)=0,"",IF(B109="","Enter date",IF(OR(B109&lt;$AC$2,B109&gt;$AC$3),"Date not in September",IF(D109="","Pick project",IF(ISNA(MATCH(D109,ProjNames,0)),"Project not in list",IF(G109="","Add task description",IF(H109="","Pick NTIME or P6",IF(N(I109)&lt;=0,"Enter hours",IF(AND(AllowOT&lt;&gt;"Yes",SUMIF($B$7:$B$256,B109,$I$7:$I$256)&gt;INDEX($O$58:$O$87,DAY(B109))),"Day over "&amp;INDEX($O$58:$O$87,DAY(B109))&amp;" h","✓")))))))))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tr">
        <f aca="false">IF(Projects!B107="","",Projects!B107)</f>
        <v/>
      </c>
      <c r="X109" s="1" t="n">
        <f aca="false">IF(W109="",0,SUMIFS($I$7:$I$256,$D$7:$D$256,W109,$H$7:$H$256,"NTIME"))</f>
        <v>0</v>
      </c>
      <c r="Y109" s="1" t="n">
        <f aca="false">IF(W109="",0,SUMIFS($I$7:$I$256,$D$7:$D$256,W109,$H$7:$H$256,"P6"))</f>
        <v>0</v>
      </c>
      <c r="Z109" s="1" t="n">
        <f aca="false">X109+Y109</f>
        <v>0</v>
      </c>
      <c r="AA109" s="1" t="n">
        <f aca="false">IF(Z109&gt;0,Z109+(201-103)/10^6,0)</f>
        <v>0</v>
      </c>
      <c r="AB109" s="1"/>
      <c r="AC109" s="1"/>
      <c r="AD109" s="1"/>
      <c r="AE109" s="1"/>
      <c r="AF109" s="1"/>
      <c r="AG109" s="1"/>
      <c r="AH109" s="1"/>
    </row>
    <row r="110" customFormat="false" ht="15" hidden="false" customHeight="false" outlineLevel="0" collapsed="false">
      <c r="A110" s="1"/>
      <c r="B110" s="10"/>
      <c r="C110" s="31" t="str">
        <f aca="false">IF(B110="","",TEXT(B110,"ddd"))</f>
        <v/>
      </c>
      <c r="D110" s="11"/>
      <c r="E110" s="8" t="str">
        <f aca="false">IF(D110="","",IFERROR(INDEX(ProjNumbers,MATCH(D110,ProjNames,0)),""))</f>
        <v/>
      </c>
      <c r="F110" s="8" t="str">
        <f aca="false">IF(D110="","",IFERROR(INDEX(ProjCodes,MATCH(D110,ProjNames,0)),""))</f>
        <v/>
      </c>
      <c r="G110" s="32"/>
      <c r="H110" s="11"/>
      <c r="I110" s="33"/>
      <c r="J110" s="8" t="str">
        <f aca="false">IF(COUNTA(B110,D110,G110,H110,I110)=0,"",IF(B110="","Enter date",IF(OR(B110&lt;$AC$2,B110&gt;$AC$3),"Date not in September",IF(D110="","Pick project",IF(ISNA(MATCH(D110,ProjNames,0)),"Project not in list",IF(G110="","Add task description",IF(H110="","Pick NTIME or P6",IF(N(I110)&lt;=0,"Enter hours",IF(AND(AllowOT&lt;&gt;"Yes",SUMIF($B$7:$B$256,B110,$I$7:$I$256)&gt;INDEX($O$58:$O$87,DAY(B110))),"Day over "&amp;INDEX($O$58:$O$87,DAY(B110))&amp;" h","✓")))))))))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tr">
        <f aca="false">IF(Projects!B108="","",Projects!B108)</f>
        <v/>
      </c>
      <c r="X110" s="1" t="n">
        <f aca="false">IF(W110="",0,SUMIFS($I$7:$I$256,$D$7:$D$256,W110,$H$7:$H$256,"NTIME"))</f>
        <v>0</v>
      </c>
      <c r="Y110" s="1" t="n">
        <f aca="false">IF(W110="",0,SUMIFS($I$7:$I$256,$D$7:$D$256,W110,$H$7:$H$256,"P6"))</f>
        <v>0</v>
      </c>
      <c r="Z110" s="1" t="n">
        <f aca="false">X110+Y110</f>
        <v>0</v>
      </c>
      <c r="AA110" s="1" t="n">
        <f aca="false">IF(Z110&gt;0,Z110+(201-104)/10^6,0)</f>
        <v>0</v>
      </c>
      <c r="AB110" s="1"/>
      <c r="AC110" s="1"/>
      <c r="AD110" s="1"/>
      <c r="AE110" s="1"/>
      <c r="AF110" s="1"/>
      <c r="AG110" s="1"/>
      <c r="AH110" s="1"/>
    </row>
    <row r="111" customFormat="false" ht="15" hidden="false" customHeight="false" outlineLevel="0" collapsed="false">
      <c r="A111" s="1"/>
      <c r="B111" s="10"/>
      <c r="C111" s="31" t="str">
        <f aca="false">IF(B111="","",TEXT(B111,"ddd"))</f>
        <v/>
      </c>
      <c r="D111" s="11"/>
      <c r="E111" s="8" t="str">
        <f aca="false">IF(D111="","",IFERROR(INDEX(ProjNumbers,MATCH(D111,ProjNames,0)),""))</f>
        <v/>
      </c>
      <c r="F111" s="8" t="str">
        <f aca="false">IF(D111="","",IFERROR(INDEX(ProjCodes,MATCH(D111,ProjNames,0)),""))</f>
        <v/>
      </c>
      <c r="G111" s="32"/>
      <c r="H111" s="11"/>
      <c r="I111" s="33"/>
      <c r="J111" s="8" t="str">
        <f aca="false">IF(COUNTA(B111,D111,G111,H111,I111)=0,"",IF(B111="","Enter date",IF(OR(B111&lt;$AC$2,B111&gt;$AC$3),"Date not in September",IF(D111="","Pick project",IF(ISNA(MATCH(D111,ProjNames,0)),"Project not in list",IF(G111="","Add task description",IF(H111="","Pick NTIME or P6",IF(N(I111)&lt;=0,"Enter hours",IF(AND(AllowOT&lt;&gt;"Yes",SUMIF($B$7:$B$256,B111,$I$7:$I$256)&gt;INDEX($O$58:$O$87,DAY(B111))),"Day over "&amp;INDEX($O$58:$O$87,DAY(B111))&amp;" h","✓")))))))))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tr">
        <f aca="false">IF(Projects!B109="","",Projects!B109)</f>
        <v/>
      </c>
      <c r="X111" s="1" t="n">
        <f aca="false">IF(W111="",0,SUMIFS($I$7:$I$256,$D$7:$D$256,W111,$H$7:$H$256,"NTIME"))</f>
        <v>0</v>
      </c>
      <c r="Y111" s="1" t="n">
        <f aca="false">IF(W111="",0,SUMIFS($I$7:$I$256,$D$7:$D$256,W111,$H$7:$H$256,"P6"))</f>
        <v>0</v>
      </c>
      <c r="Z111" s="1" t="n">
        <f aca="false">X111+Y111</f>
        <v>0</v>
      </c>
      <c r="AA111" s="1" t="n">
        <f aca="false">IF(Z111&gt;0,Z111+(201-105)/10^6,0)</f>
        <v>0</v>
      </c>
      <c r="AB111" s="1"/>
      <c r="AC111" s="1"/>
      <c r="AD111" s="1"/>
      <c r="AE111" s="1"/>
      <c r="AF111" s="1"/>
      <c r="AG111" s="1"/>
      <c r="AH111" s="1"/>
    </row>
    <row r="112" customFormat="false" ht="15" hidden="false" customHeight="false" outlineLevel="0" collapsed="false">
      <c r="A112" s="1"/>
      <c r="B112" s="10"/>
      <c r="C112" s="31" t="str">
        <f aca="false">IF(B112="","",TEXT(B112,"ddd"))</f>
        <v/>
      </c>
      <c r="D112" s="11"/>
      <c r="E112" s="8" t="str">
        <f aca="false">IF(D112="","",IFERROR(INDEX(ProjNumbers,MATCH(D112,ProjNames,0)),""))</f>
        <v/>
      </c>
      <c r="F112" s="8" t="str">
        <f aca="false">IF(D112="","",IFERROR(INDEX(ProjCodes,MATCH(D112,ProjNames,0)),""))</f>
        <v/>
      </c>
      <c r="G112" s="32"/>
      <c r="H112" s="11"/>
      <c r="I112" s="33"/>
      <c r="J112" s="8" t="str">
        <f aca="false">IF(COUNTA(B112,D112,G112,H112,I112)=0,"",IF(B112="","Enter date",IF(OR(B112&lt;$AC$2,B112&gt;$AC$3),"Date not in September",IF(D112="","Pick project",IF(ISNA(MATCH(D112,ProjNames,0)),"Project not in list",IF(G112="","Add task description",IF(H112="","Pick NTIME or P6",IF(N(I112)&lt;=0,"Enter hours",IF(AND(AllowOT&lt;&gt;"Yes",SUMIF($B$7:$B$256,B112,$I$7:$I$256)&gt;INDEX($O$58:$O$87,DAY(B112))),"Day over "&amp;INDEX($O$58:$O$87,DAY(B112))&amp;" h","✓")))))))))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tr">
        <f aca="false">IF(Projects!B110="","",Projects!B110)</f>
        <v/>
      </c>
      <c r="X112" s="1" t="n">
        <f aca="false">IF(W112="",0,SUMIFS($I$7:$I$256,$D$7:$D$256,W112,$H$7:$H$256,"NTIME"))</f>
        <v>0</v>
      </c>
      <c r="Y112" s="1" t="n">
        <f aca="false">IF(W112="",0,SUMIFS($I$7:$I$256,$D$7:$D$256,W112,$H$7:$H$256,"P6"))</f>
        <v>0</v>
      </c>
      <c r="Z112" s="1" t="n">
        <f aca="false">X112+Y112</f>
        <v>0</v>
      </c>
      <c r="AA112" s="1" t="n">
        <f aca="false">IF(Z112&gt;0,Z112+(201-106)/10^6,0)</f>
        <v>0</v>
      </c>
      <c r="AB112" s="1"/>
      <c r="AC112" s="1"/>
      <c r="AD112" s="1"/>
      <c r="AE112" s="1"/>
      <c r="AF112" s="1"/>
      <c r="AG112" s="1"/>
      <c r="AH112" s="1"/>
    </row>
    <row r="113" customFormat="false" ht="15" hidden="false" customHeight="false" outlineLevel="0" collapsed="false">
      <c r="A113" s="1"/>
      <c r="B113" s="10"/>
      <c r="C113" s="31" t="str">
        <f aca="false">IF(B113="","",TEXT(B113,"ddd"))</f>
        <v/>
      </c>
      <c r="D113" s="11"/>
      <c r="E113" s="8" t="str">
        <f aca="false">IF(D113="","",IFERROR(INDEX(ProjNumbers,MATCH(D113,ProjNames,0)),""))</f>
        <v/>
      </c>
      <c r="F113" s="8" t="str">
        <f aca="false">IF(D113="","",IFERROR(INDEX(ProjCodes,MATCH(D113,ProjNames,0)),""))</f>
        <v/>
      </c>
      <c r="G113" s="32"/>
      <c r="H113" s="11"/>
      <c r="I113" s="33"/>
      <c r="J113" s="8" t="str">
        <f aca="false">IF(COUNTA(B113,D113,G113,H113,I113)=0,"",IF(B113="","Enter date",IF(OR(B113&lt;$AC$2,B113&gt;$AC$3),"Date not in September",IF(D113="","Pick project",IF(ISNA(MATCH(D113,ProjNames,0)),"Project not in list",IF(G113="","Add task description",IF(H113="","Pick NTIME or P6",IF(N(I113)&lt;=0,"Enter hours",IF(AND(AllowOT&lt;&gt;"Yes",SUMIF($B$7:$B$256,B113,$I$7:$I$256)&gt;INDEX($O$58:$O$87,DAY(B113))),"Day over "&amp;INDEX($O$58:$O$87,DAY(B113))&amp;" h","✓")))))))))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tr">
        <f aca="false">IF(Projects!B111="","",Projects!B111)</f>
        <v/>
      </c>
      <c r="X113" s="1" t="n">
        <f aca="false">IF(W113="",0,SUMIFS($I$7:$I$256,$D$7:$D$256,W113,$H$7:$H$256,"NTIME"))</f>
        <v>0</v>
      </c>
      <c r="Y113" s="1" t="n">
        <f aca="false">IF(W113="",0,SUMIFS($I$7:$I$256,$D$7:$D$256,W113,$H$7:$H$256,"P6"))</f>
        <v>0</v>
      </c>
      <c r="Z113" s="1" t="n">
        <f aca="false">X113+Y113</f>
        <v>0</v>
      </c>
      <c r="AA113" s="1" t="n">
        <f aca="false">IF(Z113&gt;0,Z113+(201-107)/10^6,0)</f>
        <v>0</v>
      </c>
      <c r="AB113" s="1"/>
      <c r="AC113" s="1"/>
      <c r="AD113" s="1"/>
      <c r="AE113" s="1"/>
      <c r="AF113" s="1"/>
      <c r="AG113" s="1"/>
      <c r="AH113" s="1"/>
    </row>
    <row r="114" customFormat="false" ht="15" hidden="false" customHeight="false" outlineLevel="0" collapsed="false">
      <c r="A114" s="1"/>
      <c r="B114" s="10"/>
      <c r="C114" s="31" t="str">
        <f aca="false">IF(B114="","",TEXT(B114,"ddd"))</f>
        <v/>
      </c>
      <c r="D114" s="11"/>
      <c r="E114" s="8" t="str">
        <f aca="false">IF(D114="","",IFERROR(INDEX(ProjNumbers,MATCH(D114,ProjNames,0)),""))</f>
        <v/>
      </c>
      <c r="F114" s="8" t="str">
        <f aca="false">IF(D114="","",IFERROR(INDEX(ProjCodes,MATCH(D114,ProjNames,0)),""))</f>
        <v/>
      </c>
      <c r="G114" s="32"/>
      <c r="H114" s="11"/>
      <c r="I114" s="33"/>
      <c r="J114" s="8" t="str">
        <f aca="false">IF(COUNTA(B114,D114,G114,H114,I114)=0,"",IF(B114="","Enter date",IF(OR(B114&lt;$AC$2,B114&gt;$AC$3),"Date not in September",IF(D114="","Pick project",IF(ISNA(MATCH(D114,ProjNames,0)),"Project not in list",IF(G114="","Add task description",IF(H114="","Pick NTIME or P6",IF(N(I114)&lt;=0,"Enter hours",IF(AND(AllowOT&lt;&gt;"Yes",SUMIF($B$7:$B$256,B114,$I$7:$I$256)&gt;INDEX($O$58:$O$87,DAY(B114))),"Day over "&amp;INDEX($O$58:$O$87,DAY(B114))&amp;" h","✓")))))))))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tr">
        <f aca="false">IF(Projects!B112="","",Projects!B112)</f>
        <v/>
      </c>
      <c r="X114" s="1" t="n">
        <f aca="false">IF(W114="",0,SUMIFS($I$7:$I$256,$D$7:$D$256,W114,$H$7:$H$256,"NTIME"))</f>
        <v>0</v>
      </c>
      <c r="Y114" s="1" t="n">
        <f aca="false">IF(W114="",0,SUMIFS($I$7:$I$256,$D$7:$D$256,W114,$H$7:$H$256,"P6"))</f>
        <v>0</v>
      </c>
      <c r="Z114" s="1" t="n">
        <f aca="false">X114+Y114</f>
        <v>0</v>
      </c>
      <c r="AA114" s="1" t="n">
        <f aca="false">IF(Z114&gt;0,Z114+(201-108)/10^6,0)</f>
        <v>0</v>
      </c>
      <c r="AB114" s="1"/>
      <c r="AC114" s="1"/>
      <c r="AD114" s="1"/>
      <c r="AE114" s="1"/>
      <c r="AF114" s="1"/>
      <c r="AG114" s="1"/>
      <c r="AH114" s="1"/>
    </row>
    <row r="115" customFormat="false" ht="15" hidden="false" customHeight="false" outlineLevel="0" collapsed="false">
      <c r="A115" s="1"/>
      <c r="B115" s="10"/>
      <c r="C115" s="31" t="str">
        <f aca="false">IF(B115="","",TEXT(B115,"ddd"))</f>
        <v/>
      </c>
      <c r="D115" s="11"/>
      <c r="E115" s="8" t="str">
        <f aca="false">IF(D115="","",IFERROR(INDEX(ProjNumbers,MATCH(D115,ProjNames,0)),""))</f>
        <v/>
      </c>
      <c r="F115" s="8" t="str">
        <f aca="false">IF(D115="","",IFERROR(INDEX(ProjCodes,MATCH(D115,ProjNames,0)),""))</f>
        <v/>
      </c>
      <c r="G115" s="32"/>
      <c r="H115" s="11"/>
      <c r="I115" s="33"/>
      <c r="J115" s="8" t="str">
        <f aca="false">IF(COUNTA(B115,D115,G115,H115,I115)=0,"",IF(B115="","Enter date",IF(OR(B115&lt;$AC$2,B115&gt;$AC$3),"Date not in September",IF(D115="","Pick project",IF(ISNA(MATCH(D115,ProjNames,0)),"Project not in list",IF(G115="","Add task description",IF(H115="","Pick NTIME or P6",IF(N(I115)&lt;=0,"Enter hours",IF(AND(AllowOT&lt;&gt;"Yes",SUMIF($B$7:$B$256,B115,$I$7:$I$256)&gt;INDEX($O$58:$O$87,DAY(B115))),"Day over "&amp;INDEX($O$58:$O$87,DAY(B115))&amp;" h","✓")))))))))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tr">
        <f aca="false">IF(Projects!B113="","",Projects!B113)</f>
        <v/>
      </c>
      <c r="X115" s="1" t="n">
        <f aca="false">IF(W115="",0,SUMIFS($I$7:$I$256,$D$7:$D$256,W115,$H$7:$H$256,"NTIME"))</f>
        <v>0</v>
      </c>
      <c r="Y115" s="1" t="n">
        <f aca="false">IF(W115="",0,SUMIFS($I$7:$I$256,$D$7:$D$256,W115,$H$7:$H$256,"P6"))</f>
        <v>0</v>
      </c>
      <c r="Z115" s="1" t="n">
        <f aca="false">X115+Y115</f>
        <v>0</v>
      </c>
      <c r="AA115" s="1" t="n">
        <f aca="false">IF(Z115&gt;0,Z115+(201-109)/10^6,0)</f>
        <v>0</v>
      </c>
      <c r="AB115" s="1"/>
      <c r="AC115" s="1"/>
      <c r="AD115" s="1"/>
      <c r="AE115" s="1"/>
      <c r="AF115" s="1"/>
      <c r="AG115" s="1"/>
      <c r="AH115" s="1"/>
    </row>
    <row r="116" customFormat="false" ht="15" hidden="false" customHeight="false" outlineLevel="0" collapsed="false">
      <c r="A116" s="1"/>
      <c r="B116" s="10"/>
      <c r="C116" s="31" t="str">
        <f aca="false">IF(B116="","",TEXT(B116,"ddd"))</f>
        <v/>
      </c>
      <c r="D116" s="11"/>
      <c r="E116" s="8" t="str">
        <f aca="false">IF(D116="","",IFERROR(INDEX(ProjNumbers,MATCH(D116,ProjNames,0)),""))</f>
        <v/>
      </c>
      <c r="F116" s="8" t="str">
        <f aca="false">IF(D116="","",IFERROR(INDEX(ProjCodes,MATCH(D116,ProjNames,0)),""))</f>
        <v/>
      </c>
      <c r="G116" s="32"/>
      <c r="H116" s="11"/>
      <c r="I116" s="33"/>
      <c r="J116" s="8" t="str">
        <f aca="false">IF(COUNTA(B116,D116,G116,H116,I116)=0,"",IF(B116="","Enter date",IF(OR(B116&lt;$AC$2,B116&gt;$AC$3),"Date not in September",IF(D116="","Pick project",IF(ISNA(MATCH(D116,ProjNames,0)),"Project not in list",IF(G116="","Add task description",IF(H116="","Pick NTIME or P6",IF(N(I116)&lt;=0,"Enter hours",IF(AND(AllowOT&lt;&gt;"Yes",SUMIF($B$7:$B$256,B116,$I$7:$I$256)&gt;INDEX($O$58:$O$87,DAY(B116))),"Day over "&amp;INDEX($O$58:$O$87,DAY(B116))&amp;" h","✓")))))))))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tr">
        <f aca="false">IF(Projects!B114="","",Projects!B114)</f>
        <v/>
      </c>
      <c r="X116" s="1" t="n">
        <f aca="false">IF(W116="",0,SUMIFS($I$7:$I$256,$D$7:$D$256,W116,$H$7:$H$256,"NTIME"))</f>
        <v>0</v>
      </c>
      <c r="Y116" s="1" t="n">
        <f aca="false">IF(W116="",0,SUMIFS($I$7:$I$256,$D$7:$D$256,W116,$H$7:$H$256,"P6"))</f>
        <v>0</v>
      </c>
      <c r="Z116" s="1" t="n">
        <f aca="false">X116+Y116</f>
        <v>0</v>
      </c>
      <c r="AA116" s="1" t="n">
        <f aca="false">IF(Z116&gt;0,Z116+(201-110)/10^6,0)</f>
        <v>0</v>
      </c>
      <c r="AB116" s="1"/>
      <c r="AC116" s="1"/>
      <c r="AD116" s="1"/>
      <c r="AE116" s="1"/>
      <c r="AF116" s="1"/>
      <c r="AG116" s="1"/>
      <c r="AH116" s="1"/>
    </row>
    <row r="117" customFormat="false" ht="15" hidden="false" customHeight="false" outlineLevel="0" collapsed="false">
      <c r="A117" s="1"/>
      <c r="B117" s="10"/>
      <c r="C117" s="31" t="str">
        <f aca="false">IF(B117="","",TEXT(B117,"ddd"))</f>
        <v/>
      </c>
      <c r="D117" s="11"/>
      <c r="E117" s="8" t="str">
        <f aca="false">IF(D117="","",IFERROR(INDEX(ProjNumbers,MATCH(D117,ProjNames,0)),""))</f>
        <v/>
      </c>
      <c r="F117" s="8" t="str">
        <f aca="false">IF(D117="","",IFERROR(INDEX(ProjCodes,MATCH(D117,ProjNames,0)),""))</f>
        <v/>
      </c>
      <c r="G117" s="32"/>
      <c r="H117" s="11"/>
      <c r="I117" s="33"/>
      <c r="J117" s="8" t="str">
        <f aca="false">IF(COUNTA(B117,D117,G117,H117,I117)=0,"",IF(B117="","Enter date",IF(OR(B117&lt;$AC$2,B117&gt;$AC$3),"Date not in September",IF(D117="","Pick project",IF(ISNA(MATCH(D117,ProjNames,0)),"Project not in list",IF(G117="","Add task description",IF(H117="","Pick NTIME or P6",IF(N(I117)&lt;=0,"Enter hours",IF(AND(AllowOT&lt;&gt;"Yes",SUMIF($B$7:$B$256,B117,$I$7:$I$256)&gt;INDEX($O$58:$O$87,DAY(B117))),"Day over "&amp;INDEX($O$58:$O$87,DAY(B117))&amp;" h","✓")))))))))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tr">
        <f aca="false">IF(Projects!B115="","",Projects!B115)</f>
        <v/>
      </c>
      <c r="X117" s="1" t="n">
        <f aca="false">IF(W117="",0,SUMIFS($I$7:$I$256,$D$7:$D$256,W117,$H$7:$H$256,"NTIME"))</f>
        <v>0</v>
      </c>
      <c r="Y117" s="1" t="n">
        <f aca="false">IF(W117="",0,SUMIFS($I$7:$I$256,$D$7:$D$256,W117,$H$7:$H$256,"P6"))</f>
        <v>0</v>
      </c>
      <c r="Z117" s="1" t="n">
        <f aca="false">X117+Y117</f>
        <v>0</v>
      </c>
      <c r="AA117" s="1" t="n">
        <f aca="false">IF(Z117&gt;0,Z117+(201-111)/10^6,0)</f>
        <v>0</v>
      </c>
      <c r="AB117" s="1"/>
      <c r="AC117" s="1"/>
      <c r="AD117" s="1"/>
      <c r="AE117" s="1"/>
      <c r="AF117" s="1"/>
      <c r="AG117" s="1"/>
      <c r="AH117" s="1"/>
    </row>
    <row r="118" customFormat="false" ht="15" hidden="false" customHeight="false" outlineLevel="0" collapsed="false">
      <c r="A118" s="1"/>
      <c r="B118" s="10"/>
      <c r="C118" s="31" t="str">
        <f aca="false">IF(B118="","",TEXT(B118,"ddd"))</f>
        <v/>
      </c>
      <c r="D118" s="11"/>
      <c r="E118" s="8" t="str">
        <f aca="false">IF(D118="","",IFERROR(INDEX(ProjNumbers,MATCH(D118,ProjNames,0)),""))</f>
        <v/>
      </c>
      <c r="F118" s="8" t="str">
        <f aca="false">IF(D118="","",IFERROR(INDEX(ProjCodes,MATCH(D118,ProjNames,0)),""))</f>
        <v/>
      </c>
      <c r="G118" s="32"/>
      <c r="H118" s="11"/>
      <c r="I118" s="33"/>
      <c r="J118" s="8" t="str">
        <f aca="false">IF(COUNTA(B118,D118,G118,H118,I118)=0,"",IF(B118="","Enter date",IF(OR(B118&lt;$AC$2,B118&gt;$AC$3),"Date not in September",IF(D118="","Pick project",IF(ISNA(MATCH(D118,ProjNames,0)),"Project not in list",IF(G118="","Add task description",IF(H118="","Pick NTIME or P6",IF(N(I118)&lt;=0,"Enter hours",IF(AND(AllowOT&lt;&gt;"Yes",SUMIF($B$7:$B$256,B118,$I$7:$I$256)&gt;INDEX($O$58:$O$87,DAY(B118))),"Day over "&amp;INDEX($O$58:$O$87,DAY(B118))&amp;" h","✓")))))))))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tr">
        <f aca="false">IF(Projects!B116="","",Projects!B116)</f>
        <v/>
      </c>
      <c r="X118" s="1" t="n">
        <f aca="false">IF(W118="",0,SUMIFS($I$7:$I$256,$D$7:$D$256,W118,$H$7:$H$256,"NTIME"))</f>
        <v>0</v>
      </c>
      <c r="Y118" s="1" t="n">
        <f aca="false">IF(W118="",0,SUMIFS($I$7:$I$256,$D$7:$D$256,W118,$H$7:$H$256,"P6"))</f>
        <v>0</v>
      </c>
      <c r="Z118" s="1" t="n">
        <f aca="false">X118+Y118</f>
        <v>0</v>
      </c>
      <c r="AA118" s="1" t="n">
        <f aca="false">IF(Z118&gt;0,Z118+(201-112)/10^6,0)</f>
        <v>0</v>
      </c>
      <c r="AB118" s="1"/>
      <c r="AC118" s="1"/>
      <c r="AD118" s="1"/>
      <c r="AE118" s="1"/>
      <c r="AF118" s="1"/>
      <c r="AG118" s="1"/>
      <c r="AH118" s="1"/>
    </row>
    <row r="119" customFormat="false" ht="15" hidden="false" customHeight="false" outlineLevel="0" collapsed="false">
      <c r="A119" s="1"/>
      <c r="B119" s="10"/>
      <c r="C119" s="31" t="str">
        <f aca="false">IF(B119="","",TEXT(B119,"ddd"))</f>
        <v/>
      </c>
      <c r="D119" s="11"/>
      <c r="E119" s="8" t="str">
        <f aca="false">IF(D119="","",IFERROR(INDEX(ProjNumbers,MATCH(D119,ProjNames,0)),""))</f>
        <v/>
      </c>
      <c r="F119" s="8" t="str">
        <f aca="false">IF(D119="","",IFERROR(INDEX(ProjCodes,MATCH(D119,ProjNames,0)),""))</f>
        <v/>
      </c>
      <c r="G119" s="32"/>
      <c r="H119" s="11"/>
      <c r="I119" s="33"/>
      <c r="J119" s="8" t="str">
        <f aca="false">IF(COUNTA(B119,D119,G119,H119,I119)=0,"",IF(B119="","Enter date",IF(OR(B119&lt;$AC$2,B119&gt;$AC$3),"Date not in September",IF(D119="","Pick project",IF(ISNA(MATCH(D119,ProjNames,0)),"Project not in list",IF(G119="","Add task description",IF(H119="","Pick NTIME or P6",IF(N(I119)&lt;=0,"Enter hours",IF(AND(AllowOT&lt;&gt;"Yes",SUMIF($B$7:$B$256,B119,$I$7:$I$256)&gt;INDEX($O$58:$O$87,DAY(B119))),"Day over "&amp;INDEX($O$58:$O$87,DAY(B119))&amp;" h","✓")))))))))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 aca="false">IF(Projects!B117="","",Projects!B117)</f>
        <v/>
      </c>
      <c r="X119" s="1" t="n">
        <f aca="false">IF(W119="",0,SUMIFS($I$7:$I$256,$D$7:$D$256,W119,$H$7:$H$256,"NTIME"))</f>
        <v>0</v>
      </c>
      <c r="Y119" s="1" t="n">
        <f aca="false">IF(W119="",0,SUMIFS($I$7:$I$256,$D$7:$D$256,W119,$H$7:$H$256,"P6"))</f>
        <v>0</v>
      </c>
      <c r="Z119" s="1" t="n">
        <f aca="false">X119+Y119</f>
        <v>0</v>
      </c>
      <c r="AA119" s="1" t="n">
        <f aca="false">IF(Z119&gt;0,Z119+(201-113)/10^6,0)</f>
        <v>0</v>
      </c>
      <c r="AB119" s="1"/>
      <c r="AC119" s="1"/>
      <c r="AD119" s="1"/>
      <c r="AE119" s="1"/>
      <c r="AF119" s="1"/>
      <c r="AG119" s="1"/>
      <c r="AH119" s="1"/>
    </row>
    <row r="120" customFormat="false" ht="15" hidden="false" customHeight="false" outlineLevel="0" collapsed="false">
      <c r="A120" s="1"/>
      <c r="B120" s="10"/>
      <c r="C120" s="31" t="str">
        <f aca="false">IF(B120="","",TEXT(B120,"ddd"))</f>
        <v/>
      </c>
      <c r="D120" s="11"/>
      <c r="E120" s="8" t="str">
        <f aca="false">IF(D120="","",IFERROR(INDEX(ProjNumbers,MATCH(D120,ProjNames,0)),""))</f>
        <v/>
      </c>
      <c r="F120" s="8" t="str">
        <f aca="false">IF(D120="","",IFERROR(INDEX(ProjCodes,MATCH(D120,ProjNames,0)),""))</f>
        <v/>
      </c>
      <c r="G120" s="32"/>
      <c r="H120" s="11"/>
      <c r="I120" s="33"/>
      <c r="J120" s="8" t="str">
        <f aca="false">IF(COUNTA(B120,D120,G120,H120,I120)=0,"",IF(B120="","Enter date",IF(OR(B120&lt;$AC$2,B120&gt;$AC$3),"Date not in September",IF(D120="","Pick project",IF(ISNA(MATCH(D120,ProjNames,0)),"Project not in list",IF(G120="","Add task description",IF(H120="","Pick NTIME or P6",IF(N(I120)&lt;=0,"Enter hours",IF(AND(AllowOT&lt;&gt;"Yes",SUMIF($B$7:$B$256,B120,$I$7:$I$256)&gt;INDEX($O$58:$O$87,DAY(B120))),"Day over "&amp;INDEX($O$58:$O$87,DAY(B120))&amp;" h","✓")))))))))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tr">
        <f aca="false">IF(Projects!B118="","",Projects!B118)</f>
        <v/>
      </c>
      <c r="X120" s="1" t="n">
        <f aca="false">IF(W120="",0,SUMIFS($I$7:$I$256,$D$7:$D$256,W120,$H$7:$H$256,"NTIME"))</f>
        <v>0</v>
      </c>
      <c r="Y120" s="1" t="n">
        <f aca="false">IF(W120="",0,SUMIFS($I$7:$I$256,$D$7:$D$256,W120,$H$7:$H$256,"P6"))</f>
        <v>0</v>
      </c>
      <c r="Z120" s="1" t="n">
        <f aca="false">X120+Y120</f>
        <v>0</v>
      </c>
      <c r="AA120" s="1" t="n">
        <f aca="false">IF(Z120&gt;0,Z120+(201-114)/10^6,0)</f>
        <v>0</v>
      </c>
      <c r="AB120" s="1"/>
      <c r="AC120" s="1"/>
      <c r="AD120" s="1"/>
      <c r="AE120" s="1"/>
      <c r="AF120" s="1"/>
      <c r="AG120" s="1"/>
      <c r="AH120" s="1"/>
    </row>
    <row r="121" customFormat="false" ht="15" hidden="false" customHeight="false" outlineLevel="0" collapsed="false">
      <c r="A121" s="1"/>
      <c r="B121" s="10"/>
      <c r="C121" s="31" t="str">
        <f aca="false">IF(B121="","",TEXT(B121,"ddd"))</f>
        <v/>
      </c>
      <c r="D121" s="11"/>
      <c r="E121" s="8" t="str">
        <f aca="false">IF(D121="","",IFERROR(INDEX(ProjNumbers,MATCH(D121,ProjNames,0)),""))</f>
        <v/>
      </c>
      <c r="F121" s="8" t="str">
        <f aca="false">IF(D121="","",IFERROR(INDEX(ProjCodes,MATCH(D121,ProjNames,0)),""))</f>
        <v/>
      </c>
      <c r="G121" s="32"/>
      <c r="H121" s="11"/>
      <c r="I121" s="33"/>
      <c r="J121" s="8" t="str">
        <f aca="false">IF(COUNTA(B121,D121,G121,H121,I121)=0,"",IF(B121="","Enter date",IF(OR(B121&lt;$AC$2,B121&gt;$AC$3),"Date not in September",IF(D121="","Pick project",IF(ISNA(MATCH(D121,ProjNames,0)),"Project not in list",IF(G121="","Add task description",IF(H121="","Pick NTIME or P6",IF(N(I121)&lt;=0,"Enter hours",IF(AND(AllowOT&lt;&gt;"Yes",SUMIF($B$7:$B$256,B121,$I$7:$I$256)&gt;INDEX($O$58:$O$87,DAY(B121))),"Day over "&amp;INDEX($O$58:$O$87,DAY(B121))&amp;" h","✓")))))))))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tr">
        <f aca="false">IF(Projects!B119="","",Projects!B119)</f>
        <v/>
      </c>
      <c r="X121" s="1" t="n">
        <f aca="false">IF(W121="",0,SUMIFS($I$7:$I$256,$D$7:$D$256,W121,$H$7:$H$256,"NTIME"))</f>
        <v>0</v>
      </c>
      <c r="Y121" s="1" t="n">
        <f aca="false">IF(W121="",0,SUMIFS($I$7:$I$256,$D$7:$D$256,W121,$H$7:$H$256,"P6"))</f>
        <v>0</v>
      </c>
      <c r="Z121" s="1" t="n">
        <f aca="false">X121+Y121</f>
        <v>0</v>
      </c>
      <c r="AA121" s="1" t="n">
        <f aca="false">IF(Z121&gt;0,Z121+(201-115)/10^6,0)</f>
        <v>0</v>
      </c>
      <c r="AB121" s="1"/>
      <c r="AC121" s="1"/>
      <c r="AD121" s="1"/>
      <c r="AE121" s="1"/>
      <c r="AF121" s="1"/>
      <c r="AG121" s="1"/>
      <c r="AH121" s="1"/>
    </row>
    <row r="122" customFormat="false" ht="15" hidden="false" customHeight="false" outlineLevel="0" collapsed="false">
      <c r="A122" s="1"/>
      <c r="B122" s="10"/>
      <c r="C122" s="31" t="str">
        <f aca="false">IF(B122="","",TEXT(B122,"ddd"))</f>
        <v/>
      </c>
      <c r="D122" s="11"/>
      <c r="E122" s="8" t="str">
        <f aca="false">IF(D122="","",IFERROR(INDEX(ProjNumbers,MATCH(D122,ProjNames,0)),""))</f>
        <v/>
      </c>
      <c r="F122" s="8" t="str">
        <f aca="false">IF(D122="","",IFERROR(INDEX(ProjCodes,MATCH(D122,ProjNames,0)),""))</f>
        <v/>
      </c>
      <c r="G122" s="32"/>
      <c r="H122" s="11"/>
      <c r="I122" s="33"/>
      <c r="J122" s="8" t="str">
        <f aca="false">IF(COUNTA(B122,D122,G122,H122,I122)=0,"",IF(B122="","Enter date",IF(OR(B122&lt;$AC$2,B122&gt;$AC$3),"Date not in September",IF(D122="","Pick project",IF(ISNA(MATCH(D122,ProjNames,0)),"Project not in list",IF(G122="","Add task description",IF(H122="","Pick NTIME or P6",IF(N(I122)&lt;=0,"Enter hours",IF(AND(AllowOT&lt;&gt;"Yes",SUMIF($B$7:$B$256,B122,$I$7:$I$256)&gt;INDEX($O$58:$O$87,DAY(B122))),"Day over "&amp;INDEX($O$58:$O$87,DAY(B122))&amp;" h","✓")))))))))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tr">
        <f aca="false">IF(Projects!B120="","",Projects!B120)</f>
        <v/>
      </c>
      <c r="X122" s="1" t="n">
        <f aca="false">IF(W122="",0,SUMIFS($I$7:$I$256,$D$7:$D$256,W122,$H$7:$H$256,"NTIME"))</f>
        <v>0</v>
      </c>
      <c r="Y122" s="1" t="n">
        <f aca="false">IF(W122="",0,SUMIFS($I$7:$I$256,$D$7:$D$256,W122,$H$7:$H$256,"P6"))</f>
        <v>0</v>
      </c>
      <c r="Z122" s="1" t="n">
        <f aca="false">X122+Y122</f>
        <v>0</v>
      </c>
      <c r="AA122" s="1" t="n">
        <f aca="false">IF(Z122&gt;0,Z122+(201-116)/10^6,0)</f>
        <v>0</v>
      </c>
      <c r="AB122" s="1"/>
      <c r="AC122" s="1"/>
      <c r="AD122" s="1"/>
      <c r="AE122" s="1"/>
      <c r="AF122" s="1"/>
      <c r="AG122" s="1"/>
      <c r="AH122" s="1"/>
    </row>
    <row r="123" customFormat="false" ht="15" hidden="false" customHeight="false" outlineLevel="0" collapsed="false">
      <c r="A123" s="1"/>
      <c r="B123" s="10"/>
      <c r="C123" s="31" t="str">
        <f aca="false">IF(B123="","",TEXT(B123,"ddd"))</f>
        <v/>
      </c>
      <c r="D123" s="11"/>
      <c r="E123" s="8" t="str">
        <f aca="false">IF(D123="","",IFERROR(INDEX(ProjNumbers,MATCH(D123,ProjNames,0)),""))</f>
        <v/>
      </c>
      <c r="F123" s="8" t="str">
        <f aca="false">IF(D123="","",IFERROR(INDEX(ProjCodes,MATCH(D123,ProjNames,0)),""))</f>
        <v/>
      </c>
      <c r="G123" s="32"/>
      <c r="H123" s="11"/>
      <c r="I123" s="33"/>
      <c r="J123" s="8" t="str">
        <f aca="false">IF(COUNTA(B123,D123,G123,H123,I123)=0,"",IF(B123="","Enter date",IF(OR(B123&lt;$AC$2,B123&gt;$AC$3),"Date not in September",IF(D123="","Pick project",IF(ISNA(MATCH(D123,ProjNames,0)),"Project not in list",IF(G123="","Add task description",IF(H123="","Pick NTIME or P6",IF(N(I123)&lt;=0,"Enter hours",IF(AND(AllowOT&lt;&gt;"Yes",SUMIF($B$7:$B$256,B123,$I$7:$I$256)&gt;INDEX($O$58:$O$87,DAY(B123))),"Day over "&amp;INDEX($O$58:$O$87,DAY(B123))&amp;" h","✓")))))))))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tr">
        <f aca="false">IF(Projects!B121="","",Projects!B121)</f>
        <v/>
      </c>
      <c r="X123" s="1" t="n">
        <f aca="false">IF(W123="",0,SUMIFS($I$7:$I$256,$D$7:$D$256,W123,$H$7:$H$256,"NTIME"))</f>
        <v>0</v>
      </c>
      <c r="Y123" s="1" t="n">
        <f aca="false">IF(W123="",0,SUMIFS($I$7:$I$256,$D$7:$D$256,W123,$H$7:$H$256,"P6"))</f>
        <v>0</v>
      </c>
      <c r="Z123" s="1" t="n">
        <f aca="false">X123+Y123</f>
        <v>0</v>
      </c>
      <c r="AA123" s="1" t="n">
        <f aca="false">IF(Z123&gt;0,Z123+(201-117)/10^6,0)</f>
        <v>0</v>
      </c>
      <c r="AB123" s="1"/>
      <c r="AC123" s="1"/>
      <c r="AD123" s="1"/>
      <c r="AE123" s="1"/>
      <c r="AF123" s="1"/>
      <c r="AG123" s="1"/>
      <c r="AH123" s="1"/>
    </row>
    <row r="124" customFormat="false" ht="15" hidden="false" customHeight="false" outlineLevel="0" collapsed="false">
      <c r="A124" s="1"/>
      <c r="B124" s="10"/>
      <c r="C124" s="31" t="str">
        <f aca="false">IF(B124="","",TEXT(B124,"ddd"))</f>
        <v/>
      </c>
      <c r="D124" s="11"/>
      <c r="E124" s="8" t="str">
        <f aca="false">IF(D124="","",IFERROR(INDEX(ProjNumbers,MATCH(D124,ProjNames,0)),""))</f>
        <v/>
      </c>
      <c r="F124" s="8" t="str">
        <f aca="false">IF(D124="","",IFERROR(INDEX(ProjCodes,MATCH(D124,ProjNames,0)),""))</f>
        <v/>
      </c>
      <c r="G124" s="32"/>
      <c r="H124" s="11"/>
      <c r="I124" s="33"/>
      <c r="J124" s="8" t="str">
        <f aca="false">IF(COUNTA(B124,D124,G124,H124,I124)=0,"",IF(B124="","Enter date",IF(OR(B124&lt;$AC$2,B124&gt;$AC$3),"Date not in September",IF(D124="","Pick project",IF(ISNA(MATCH(D124,ProjNames,0)),"Project not in list",IF(G124="","Add task description",IF(H124="","Pick NTIME or P6",IF(N(I124)&lt;=0,"Enter hours",IF(AND(AllowOT&lt;&gt;"Yes",SUMIF($B$7:$B$256,B124,$I$7:$I$256)&gt;INDEX($O$58:$O$87,DAY(B124))),"Day over "&amp;INDEX($O$58:$O$87,DAY(B124))&amp;" h","✓")))))))))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tr">
        <f aca="false">IF(Projects!B122="","",Projects!B122)</f>
        <v/>
      </c>
      <c r="X124" s="1" t="n">
        <f aca="false">IF(W124="",0,SUMIFS($I$7:$I$256,$D$7:$D$256,W124,$H$7:$H$256,"NTIME"))</f>
        <v>0</v>
      </c>
      <c r="Y124" s="1" t="n">
        <f aca="false">IF(W124="",0,SUMIFS($I$7:$I$256,$D$7:$D$256,W124,$H$7:$H$256,"P6"))</f>
        <v>0</v>
      </c>
      <c r="Z124" s="1" t="n">
        <f aca="false">X124+Y124</f>
        <v>0</v>
      </c>
      <c r="AA124" s="1" t="n">
        <f aca="false">IF(Z124&gt;0,Z124+(201-118)/10^6,0)</f>
        <v>0</v>
      </c>
      <c r="AB124" s="1"/>
      <c r="AC124" s="1"/>
      <c r="AD124" s="1"/>
      <c r="AE124" s="1"/>
      <c r="AF124" s="1"/>
      <c r="AG124" s="1"/>
      <c r="AH124" s="1"/>
    </row>
    <row r="125" customFormat="false" ht="15" hidden="false" customHeight="false" outlineLevel="0" collapsed="false">
      <c r="A125" s="1"/>
      <c r="B125" s="10"/>
      <c r="C125" s="31" t="str">
        <f aca="false">IF(B125="","",TEXT(B125,"ddd"))</f>
        <v/>
      </c>
      <c r="D125" s="11"/>
      <c r="E125" s="8" t="str">
        <f aca="false">IF(D125="","",IFERROR(INDEX(ProjNumbers,MATCH(D125,ProjNames,0)),""))</f>
        <v/>
      </c>
      <c r="F125" s="8" t="str">
        <f aca="false">IF(D125="","",IFERROR(INDEX(ProjCodes,MATCH(D125,ProjNames,0)),""))</f>
        <v/>
      </c>
      <c r="G125" s="32"/>
      <c r="H125" s="11"/>
      <c r="I125" s="33"/>
      <c r="J125" s="8" t="str">
        <f aca="false">IF(COUNTA(B125,D125,G125,H125,I125)=0,"",IF(B125="","Enter date",IF(OR(B125&lt;$AC$2,B125&gt;$AC$3),"Date not in September",IF(D125="","Pick project",IF(ISNA(MATCH(D125,ProjNames,0)),"Project not in list",IF(G125="","Add task description",IF(H125="","Pick NTIME or P6",IF(N(I125)&lt;=0,"Enter hours",IF(AND(AllowOT&lt;&gt;"Yes",SUMIF($B$7:$B$256,B125,$I$7:$I$256)&gt;INDEX($O$58:$O$87,DAY(B125))),"Day over "&amp;INDEX($O$58:$O$87,DAY(B125))&amp;" h","✓")))))))))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tr">
        <f aca="false">IF(Projects!B123="","",Projects!B123)</f>
        <v/>
      </c>
      <c r="X125" s="1" t="n">
        <f aca="false">IF(W125="",0,SUMIFS($I$7:$I$256,$D$7:$D$256,W125,$H$7:$H$256,"NTIME"))</f>
        <v>0</v>
      </c>
      <c r="Y125" s="1" t="n">
        <f aca="false">IF(W125="",0,SUMIFS($I$7:$I$256,$D$7:$D$256,W125,$H$7:$H$256,"P6"))</f>
        <v>0</v>
      </c>
      <c r="Z125" s="1" t="n">
        <f aca="false">X125+Y125</f>
        <v>0</v>
      </c>
      <c r="AA125" s="1" t="n">
        <f aca="false">IF(Z125&gt;0,Z125+(201-119)/10^6,0)</f>
        <v>0</v>
      </c>
      <c r="AB125" s="1"/>
      <c r="AC125" s="1"/>
      <c r="AD125" s="1"/>
      <c r="AE125" s="1"/>
      <c r="AF125" s="1"/>
      <c r="AG125" s="1"/>
      <c r="AH125" s="1"/>
    </row>
    <row r="126" customFormat="false" ht="15" hidden="false" customHeight="false" outlineLevel="0" collapsed="false">
      <c r="A126" s="1"/>
      <c r="B126" s="10"/>
      <c r="C126" s="31" t="str">
        <f aca="false">IF(B126="","",TEXT(B126,"ddd"))</f>
        <v/>
      </c>
      <c r="D126" s="11"/>
      <c r="E126" s="8" t="str">
        <f aca="false">IF(D126="","",IFERROR(INDEX(ProjNumbers,MATCH(D126,ProjNames,0)),""))</f>
        <v/>
      </c>
      <c r="F126" s="8" t="str">
        <f aca="false">IF(D126="","",IFERROR(INDEX(ProjCodes,MATCH(D126,ProjNames,0)),""))</f>
        <v/>
      </c>
      <c r="G126" s="32"/>
      <c r="H126" s="11"/>
      <c r="I126" s="33"/>
      <c r="J126" s="8" t="str">
        <f aca="false">IF(COUNTA(B126,D126,G126,H126,I126)=0,"",IF(B126="","Enter date",IF(OR(B126&lt;$AC$2,B126&gt;$AC$3),"Date not in September",IF(D126="","Pick project",IF(ISNA(MATCH(D126,ProjNames,0)),"Project not in list",IF(G126="","Add task description",IF(H126="","Pick NTIME or P6",IF(N(I126)&lt;=0,"Enter hours",IF(AND(AllowOT&lt;&gt;"Yes",SUMIF($B$7:$B$256,B126,$I$7:$I$256)&gt;INDEX($O$58:$O$87,DAY(B126))),"Day over "&amp;INDEX($O$58:$O$87,DAY(B126))&amp;" h","✓")))))))))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tr">
        <f aca="false">IF(Projects!B124="","",Projects!B124)</f>
        <v/>
      </c>
      <c r="X126" s="1" t="n">
        <f aca="false">IF(W126="",0,SUMIFS($I$7:$I$256,$D$7:$D$256,W126,$H$7:$H$256,"NTIME"))</f>
        <v>0</v>
      </c>
      <c r="Y126" s="1" t="n">
        <f aca="false">IF(W126="",0,SUMIFS($I$7:$I$256,$D$7:$D$256,W126,$H$7:$H$256,"P6"))</f>
        <v>0</v>
      </c>
      <c r="Z126" s="1" t="n">
        <f aca="false">X126+Y126</f>
        <v>0</v>
      </c>
      <c r="AA126" s="1" t="n">
        <f aca="false">IF(Z126&gt;0,Z126+(201-120)/10^6,0)</f>
        <v>0</v>
      </c>
      <c r="AB126" s="1"/>
      <c r="AC126" s="1"/>
      <c r="AD126" s="1"/>
      <c r="AE126" s="1"/>
      <c r="AF126" s="1"/>
      <c r="AG126" s="1"/>
      <c r="AH126" s="1"/>
    </row>
    <row r="127" customFormat="false" ht="15" hidden="false" customHeight="false" outlineLevel="0" collapsed="false">
      <c r="A127" s="1"/>
      <c r="B127" s="10"/>
      <c r="C127" s="31" t="str">
        <f aca="false">IF(B127="","",TEXT(B127,"ddd"))</f>
        <v/>
      </c>
      <c r="D127" s="11"/>
      <c r="E127" s="8" t="str">
        <f aca="false">IF(D127="","",IFERROR(INDEX(ProjNumbers,MATCH(D127,ProjNames,0)),""))</f>
        <v/>
      </c>
      <c r="F127" s="8" t="str">
        <f aca="false">IF(D127="","",IFERROR(INDEX(ProjCodes,MATCH(D127,ProjNames,0)),""))</f>
        <v/>
      </c>
      <c r="G127" s="32"/>
      <c r="H127" s="11"/>
      <c r="I127" s="33"/>
      <c r="J127" s="8" t="str">
        <f aca="false">IF(COUNTA(B127,D127,G127,H127,I127)=0,"",IF(B127="","Enter date",IF(OR(B127&lt;$AC$2,B127&gt;$AC$3),"Date not in September",IF(D127="","Pick project",IF(ISNA(MATCH(D127,ProjNames,0)),"Project not in list",IF(G127="","Add task description",IF(H127="","Pick NTIME or P6",IF(N(I127)&lt;=0,"Enter hours",IF(AND(AllowOT&lt;&gt;"Yes",SUMIF($B$7:$B$256,B127,$I$7:$I$256)&gt;INDEX($O$58:$O$87,DAY(B127))),"Day over "&amp;INDEX($O$58:$O$87,DAY(B127))&amp;" h","✓")))))))))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tr">
        <f aca="false">IF(Projects!B125="","",Projects!B125)</f>
        <v/>
      </c>
      <c r="X127" s="1" t="n">
        <f aca="false">IF(W127="",0,SUMIFS($I$7:$I$256,$D$7:$D$256,W127,$H$7:$H$256,"NTIME"))</f>
        <v>0</v>
      </c>
      <c r="Y127" s="1" t="n">
        <f aca="false">IF(W127="",0,SUMIFS($I$7:$I$256,$D$7:$D$256,W127,$H$7:$H$256,"P6"))</f>
        <v>0</v>
      </c>
      <c r="Z127" s="1" t="n">
        <f aca="false">X127+Y127</f>
        <v>0</v>
      </c>
      <c r="AA127" s="1" t="n">
        <f aca="false">IF(Z127&gt;0,Z127+(201-121)/10^6,0)</f>
        <v>0</v>
      </c>
      <c r="AB127" s="1"/>
      <c r="AC127" s="1"/>
      <c r="AD127" s="1"/>
      <c r="AE127" s="1"/>
      <c r="AF127" s="1"/>
      <c r="AG127" s="1"/>
      <c r="AH127" s="1"/>
    </row>
    <row r="128" customFormat="false" ht="15" hidden="false" customHeight="false" outlineLevel="0" collapsed="false">
      <c r="A128" s="1"/>
      <c r="B128" s="10"/>
      <c r="C128" s="31" t="str">
        <f aca="false">IF(B128="","",TEXT(B128,"ddd"))</f>
        <v/>
      </c>
      <c r="D128" s="11"/>
      <c r="E128" s="8" t="str">
        <f aca="false">IF(D128="","",IFERROR(INDEX(ProjNumbers,MATCH(D128,ProjNames,0)),""))</f>
        <v/>
      </c>
      <c r="F128" s="8" t="str">
        <f aca="false">IF(D128="","",IFERROR(INDEX(ProjCodes,MATCH(D128,ProjNames,0)),""))</f>
        <v/>
      </c>
      <c r="G128" s="32"/>
      <c r="H128" s="11"/>
      <c r="I128" s="33"/>
      <c r="J128" s="8" t="str">
        <f aca="false">IF(COUNTA(B128,D128,G128,H128,I128)=0,"",IF(B128="","Enter date",IF(OR(B128&lt;$AC$2,B128&gt;$AC$3),"Date not in September",IF(D128="","Pick project",IF(ISNA(MATCH(D128,ProjNames,0)),"Project not in list",IF(G128="","Add task description",IF(H128="","Pick NTIME or P6",IF(N(I128)&lt;=0,"Enter hours",IF(AND(AllowOT&lt;&gt;"Yes",SUMIF($B$7:$B$256,B128,$I$7:$I$256)&gt;INDEX($O$58:$O$87,DAY(B128))),"Day over "&amp;INDEX($O$58:$O$87,DAY(B128))&amp;" h","✓")))))))))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tr">
        <f aca="false">IF(Projects!B126="","",Projects!B126)</f>
        <v/>
      </c>
      <c r="X128" s="1" t="n">
        <f aca="false">IF(W128="",0,SUMIFS($I$7:$I$256,$D$7:$D$256,W128,$H$7:$H$256,"NTIME"))</f>
        <v>0</v>
      </c>
      <c r="Y128" s="1" t="n">
        <f aca="false">IF(W128="",0,SUMIFS($I$7:$I$256,$D$7:$D$256,W128,$H$7:$H$256,"P6"))</f>
        <v>0</v>
      </c>
      <c r="Z128" s="1" t="n">
        <f aca="false">X128+Y128</f>
        <v>0</v>
      </c>
      <c r="AA128" s="1" t="n">
        <f aca="false">IF(Z128&gt;0,Z128+(201-122)/10^6,0)</f>
        <v>0</v>
      </c>
      <c r="AB128" s="1"/>
      <c r="AC128" s="1"/>
      <c r="AD128" s="1"/>
      <c r="AE128" s="1"/>
      <c r="AF128" s="1"/>
      <c r="AG128" s="1"/>
      <c r="AH128" s="1"/>
    </row>
    <row r="129" customFormat="false" ht="15" hidden="false" customHeight="false" outlineLevel="0" collapsed="false">
      <c r="A129" s="1"/>
      <c r="B129" s="10"/>
      <c r="C129" s="31" t="str">
        <f aca="false">IF(B129="","",TEXT(B129,"ddd"))</f>
        <v/>
      </c>
      <c r="D129" s="11"/>
      <c r="E129" s="8" t="str">
        <f aca="false">IF(D129="","",IFERROR(INDEX(ProjNumbers,MATCH(D129,ProjNames,0)),""))</f>
        <v/>
      </c>
      <c r="F129" s="8" t="str">
        <f aca="false">IF(D129="","",IFERROR(INDEX(ProjCodes,MATCH(D129,ProjNames,0)),""))</f>
        <v/>
      </c>
      <c r="G129" s="32"/>
      <c r="H129" s="11"/>
      <c r="I129" s="33"/>
      <c r="J129" s="8" t="str">
        <f aca="false">IF(COUNTA(B129,D129,G129,H129,I129)=0,"",IF(B129="","Enter date",IF(OR(B129&lt;$AC$2,B129&gt;$AC$3),"Date not in September",IF(D129="","Pick project",IF(ISNA(MATCH(D129,ProjNames,0)),"Project not in list",IF(G129="","Add task description",IF(H129="","Pick NTIME or P6",IF(N(I129)&lt;=0,"Enter hours",IF(AND(AllowOT&lt;&gt;"Yes",SUMIF($B$7:$B$256,B129,$I$7:$I$256)&gt;INDEX($O$58:$O$87,DAY(B129))),"Day over "&amp;INDEX($O$58:$O$87,DAY(B129))&amp;" h","✓")))))))))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tr">
        <f aca="false">IF(Projects!B127="","",Projects!B127)</f>
        <v/>
      </c>
      <c r="X129" s="1" t="n">
        <f aca="false">IF(W129="",0,SUMIFS($I$7:$I$256,$D$7:$D$256,W129,$H$7:$H$256,"NTIME"))</f>
        <v>0</v>
      </c>
      <c r="Y129" s="1" t="n">
        <f aca="false">IF(W129="",0,SUMIFS($I$7:$I$256,$D$7:$D$256,W129,$H$7:$H$256,"P6"))</f>
        <v>0</v>
      </c>
      <c r="Z129" s="1" t="n">
        <f aca="false">X129+Y129</f>
        <v>0</v>
      </c>
      <c r="AA129" s="1" t="n">
        <f aca="false">IF(Z129&gt;0,Z129+(201-123)/10^6,0)</f>
        <v>0</v>
      </c>
      <c r="AB129" s="1"/>
      <c r="AC129" s="1"/>
      <c r="AD129" s="1"/>
      <c r="AE129" s="1"/>
      <c r="AF129" s="1"/>
      <c r="AG129" s="1"/>
      <c r="AH129" s="1"/>
    </row>
    <row r="130" customFormat="false" ht="15" hidden="false" customHeight="false" outlineLevel="0" collapsed="false">
      <c r="A130" s="1"/>
      <c r="B130" s="10"/>
      <c r="C130" s="31" t="str">
        <f aca="false">IF(B130="","",TEXT(B130,"ddd"))</f>
        <v/>
      </c>
      <c r="D130" s="11"/>
      <c r="E130" s="8" t="str">
        <f aca="false">IF(D130="","",IFERROR(INDEX(ProjNumbers,MATCH(D130,ProjNames,0)),""))</f>
        <v/>
      </c>
      <c r="F130" s="8" t="str">
        <f aca="false">IF(D130="","",IFERROR(INDEX(ProjCodes,MATCH(D130,ProjNames,0)),""))</f>
        <v/>
      </c>
      <c r="G130" s="32"/>
      <c r="H130" s="11"/>
      <c r="I130" s="33"/>
      <c r="J130" s="8" t="str">
        <f aca="false">IF(COUNTA(B130,D130,G130,H130,I130)=0,"",IF(B130="","Enter date",IF(OR(B130&lt;$AC$2,B130&gt;$AC$3),"Date not in September",IF(D130="","Pick project",IF(ISNA(MATCH(D130,ProjNames,0)),"Project not in list",IF(G130="","Add task description",IF(H130="","Pick NTIME or P6",IF(N(I130)&lt;=0,"Enter hours",IF(AND(AllowOT&lt;&gt;"Yes",SUMIF($B$7:$B$256,B130,$I$7:$I$256)&gt;INDEX($O$58:$O$87,DAY(B130))),"Day over "&amp;INDEX($O$58:$O$87,DAY(B130))&amp;" h","✓")))))))))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tr">
        <f aca="false">IF(Projects!B128="","",Projects!B128)</f>
        <v/>
      </c>
      <c r="X130" s="1" t="n">
        <f aca="false">IF(W130="",0,SUMIFS($I$7:$I$256,$D$7:$D$256,W130,$H$7:$H$256,"NTIME"))</f>
        <v>0</v>
      </c>
      <c r="Y130" s="1" t="n">
        <f aca="false">IF(W130="",0,SUMIFS($I$7:$I$256,$D$7:$D$256,W130,$H$7:$H$256,"P6"))</f>
        <v>0</v>
      </c>
      <c r="Z130" s="1" t="n">
        <f aca="false">X130+Y130</f>
        <v>0</v>
      </c>
      <c r="AA130" s="1" t="n">
        <f aca="false">IF(Z130&gt;0,Z130+(201-124)/10^6,0)</f>
        <v>0</v>
      </c>
      <c r="AB130" s="1"/>
      <c r="AC130" s="1"/>
      <c r="AD130" s="1"/>
      <c r="AE130" s="1"/>
      <c r="AF130" s="1"/>
      <c r="AG130" s="1"/>
      <c r="AH130" s="1"/>
    </row>
    <row r="131" customFormat="false" ht="15" hidden="false" customHeight="false" outlineLevel="0" collapsed="false">
      <c r="A131" s="1"/>
      <c r="B131" s="10"/>
      <c r="C131" s="31" t="str">
        <f aca="false">IF(B131="","",TEXT(B131,"ddd"))</f>
        <v/>
      </c>
      <c r="D131" s="11"/>
      <c r="E131" s="8" t="str">
        <f aca="false">IF(D131="","",IFERROR(INDEX(ProjNumbers,MATCH(D131,ProjNames,0)),""))</f>
        <v/>
      </c>
      <c r="F131" s="8" t="str">
        <f aca="false">IF(D131="","",IFERROR(INDEX(ProjCodes,MATCH(D131,ProjNames,0)),""))</f>
        <v/>
      </c>
      <c r="G131" s="32"/>
      <c r="H131" s="11"/>
      <c r="I131" s="33"/>
      <c r="J131" s="8" t="str">
        <f aca="false">IF(COUNTA(B131,D131,G131,H131,I131)=0,"",IF(B131="","Enter date",IF(OR(B131&lt;$AC$2,B131&gt;$AC$3),"Date not in September",IF(D131="","Pick project",IF(ISNA(MATCH(D131,ProjNames,0)),"Project not in list",IF(G131="","Add task description",IF(H131="","Pick NTIME or P6",IF(N(I131)&lt;=0,"Enter hours",IF(AND(AllowOT&lt;&gt;"Yes",SUMIF($B$7:$B$256,B131,$I$7:$I$256)&gt;INDEX($O$58:$O$87,DAY(B131))),"Day over "&amp;INDEX($O$58:$O$87,DAY(B131))&amp;" h","✓")))))))))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tr">
        <f aca="false">IF(Projects!B129="","",Projects!B129)</f>
        <v/>
      </c>
      <c r="X131" s="1" t="n">
        <f aca="false">IF(W131="",0,SUMIFS($I$7:$I$256,$D$7:$D$256,W131,$H$7:$H$256,"NTIME"))</f>
        <v>0</v>
      </c>
      <c r="Y131" s="1" t="n">
        <f aca="false">IF(W131="",0,SUMIFS($I$7:$I$256,$D$7:$D$256,W131,$H$7:$H$256,"P6"))</f>
        <v>0</v>
      </c>
      <c r="Z131" s="1" t="n">
        <f aca="false">X131+Y131</f>
        <v>0</v>
      </c>
      <c r="AA131" s="1" t="n">
        <f aca="false">IF(Z131&gt;0,Z131+(201-125)/10^6,0)</f>
        <v>0</v>
      </c>
      <c r="AB131" s="1"/>
      <c r="AC131" s="1"/>
      <c r="AD131" s="1"/>
      <c r="AE131" s="1"/>
      <c r="AF131" s="1"/>
      <c r="AG131" s="1"/>
      <c r="AH131" s="1"/>
    </row>
    <row r="132" customFormat="false" ht="15" hidden="false" customHeight="false" outlineLevel="0" collapsed="false">
      <c r="A132" s="1"/>
      <c r="B132" s="10"/>
      <c r="C132" s="31" t="str">
        <f aca="false">IF(B132="","",TEXT(B132,"ddd"))</f>
        <v/>
      </c>
      <c r="D132" s="11"/>
      <c r="E132" s="8" t="str">
        <f aca="false">IF(D132="","",IFERROR(INDEX(ProjNumbers,MATCH(D132,ProjNames,0)),""))</f>
        <v/>
      </c>
      <c r="F132" s="8" t="str">
        <f aca="false">IF(D132="","",IFERROR(INDEX(ProjCodes,MATCH(D132,ProjNames,0)),""))</f>
        <v/>
      </c>
      <c r="G132" s="32"/>
      <c r="H132" s="11"/>
      <c r="I132" s="33"/>
      <c r="J132" s="8" t="str">
        <f aca="false">IF(COUNTA(B132,D132,G132,H132,I132)=0,"",IF(B132="","Enter date",IF(OR(B132&lt;$AC$2,B132&gt;$AC$3),"Date not in September",IF(D132="","Pick project",IF(ISNA(MATCH(D132,ProjNames,0)),"Project not in list",IF(G132="","Add task description",IF(H132="","Pick NTIME or P6",IF(N(I132)&lt;=0,"Enter hours",IF(AND(AllowOT&lt;&gt;"Yes",SUMIF($B$7:$B$256,B132,$I$7:$I$256)&gt;INDEX($O$58:$O$87,DAY(B132))),"Day over "&amp;INDEX($O$58:$O$87,DAY(B132))&amp;" h","✓")))))))))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tr">
        <f aca="false">IF(Projects!B130="","",Projects!B130)</f>
        <v/>
      </c>
      <c r="X132" s="1" t="n">
        <f aca="false">IF(W132="",0,SUMIFS($I$7:$I$256,$D$7:$D$256,W132,$H$7:$H$256,"NTIME"))</f>
        <v>0</v>
      </c>
      <c r="Y132" s="1" t="n">
        <f aca="false">IF(W132="",0,SUMIFS($I$7:$I$256,$D$7:$D$256,W132,$H$7:$H$256,"P6"))</f>
        <v>0</v>
      </c>
      <c r="Z132" s="1" t="n">
        <f aca="false">X132+Y132</f>
        <v>0</v>
      </c>
      <c r="AA132" s="1" t="n">
        <f aca="false">IF(Z132&gt;0,Z132+(201-126)/10^6,0)</f>
        <v>0</v>
      </c>
      <c r="AB132" s="1"/>
      <c r="AC132" s="1"/>
      <c r="AD132" s="1"/>
      <c r="AE132" s="1"/>
      <c r="AF132" s="1"/>
      <c r="AG132" s="1"/>
      <c r="AH132" s="1"/>
    </row>
    <row r="133" customFormat="false" ht="15" hidden="false" customHeight="false" outlineLevel="0" collapsed="false">
      <c r="A133" s="1"/>
      <c r="B133" s="10"/>
      <c r="C133" s="31" t="str">
        <f aca="false">IF(B133="","",TEXT(B133,"ddd"))</f>
        <v/>
      </c>
      <c r="D133" s="11"/>
      <c r="E133" s="8" t="str">
        <f aca="false">IF(D133="","",IFERROR(INDEX(ProjNumbers,MATCH(D133,ProjNames,0)),""))</f>
        <v/>
      </c>
      <c r="F133" s="8" t="str">
        <f aca="false">IF(D133="","",IFERROR(INDEX(ProjCodes,MATCH(D133,ProjNames,0)),""))</f>
        <v/>
      </c>
      <c r="G133" s="32"/>
      <c r="H133" s="11"/>
      <c r="I133" s="33"/>
      <c r="J133" s="8" t="str">
        <f aca="false">IF(COUNTA(B133,D133,G133,H133,I133)=0,"",IF(B133="","Enter date",IF(OR(B133&lt;$AC$2,B133&gt;$AC$3),"Date not in September",IF(D133="","Pick project",IF(ISNA(MATCH(D133,ProjNames,0)),"Project not in list",IF(G133="","Add task description",IF(H133="","Pick NTIME or P6",IF(N(I133)&lt;=0,"Enter hours",IF(AND(AllowOT&lt;&gt;"Yes",SUMIF($B$7:$B$256,B133,$I$7:$I$256)&gt;INDEX($O$58:$O$87,DAY(B133))),"Day over "&amp;INDEX($O$58:$O$87,DAY(B133))&amp;" h","✓")))))))))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tr">
        <f aca="false">IF(Projects!B131="","",Projects!B131)</f>
        <v/>
      </c>
      <c r="X133" s="1" t="n">
        <f aca="false">IF(W133="",0,SUMIFS($I$7:$I$256,$D$7:$D$256,W133,$H$7:$H$256,"NTIME"))</f>
        <v>0</v>
      </c>
      <c r="Y133" s="1" t="n">
        <f aca="false">IF(W133="",0,SUMIFS($I$7:$I$256,$D$7:$D$256,W133,$H$7:$H$256,"P6"))</f>
        <v>0</v>
      </c>
      <c r="Z133" s="1" t="n">
        <f aca="false">X133+Y133</f>
        <v>0</v>
      </c>
      <c r="AA133" s="1" t="n">
        <f aca="false">IF(Z133&gt;0,Z133+(201-127)/10^6,0)</f>
        <v>0</v>
      </c>
      <c r="AB133" s="1"/>
      <c r="AC133" s="1"/>
      <c r="AD133" s="1"/>
      <c r="AE133" s="1"/>
      <c r="AF133" s="1"/>
      <c r="AG133" s="1"/>
      <c r="AH133" s="1"/>
    </row>
    <row r="134" customFormat="false" ht="15" hidden="false" customHeight="false" outlineLevel="0" collapsed="false">
      <c r="A134" s="1"/>
      <c r="B134" s="10"/>
      <c r="C134" s="31" t="str">
        <f aca="false">IF(B134="","",TEXT(B134,"ddd"))</f>
        <v/>
      </c>
      <c r="D134" s="11"/>
      <c r="E134" s="8" t="str">
        <f aca="false">IF(D134="","",IFERROR(INDEX(ProjNumbers,MATCH(D134,ProjNames,0)),""))</f>
        <v/>
      </c>
      <c r="F134" s="8" t="str">
        <f aca="false">IF(D134="","",IFERROR(INDEX(ProjCodes,MATCH(D134,ProjNames,0)),""))</f>
        <v/>
      </c>
      <c r="G134" s="32"/>
      <c r="H134" s="11"/>
      <c r="I134" s="33"/>
      <c r="J134" s="8" t="str">
        <f aca="false">IF(COUNTA(B134,D134,G134,H134,I134)=0,"",IF(B134="","Enter date",IF(OR(B134&lt;$AC$2,B134&gt;$AC$3),"Date not in September",IF(D134="","Pick project",IF(ISNA(MATCH(D134,ProjNames,0)),"Project not in list",IF(G134="","Add task description",IF(H134="","Pick NTIME or P6",IF(N(I134)&lt;=0,"Enter hours",IF(AND(AllowOT&lt;&gt;"Yes",SUMIF($B$7:$B$256,B134,$I$7:$I$256)&gt;INDEX($O$58:$O$87,DAY(B134))),"Day over "&amp;INDEX($O$58:$O$87,DAY(B134))&amp;" h","✓")))))))))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tr">
        <f aca="false">IF(Projects!B132="","",Projects!B132)</f>
        <v/>
      </c>
      <c r="X134" s="1" t="n">
        <f aca="false">IF(W134="",0,SUMIFS($I$7:$I$256,$D$7:$D$256,W134,$H$7:$H$256,"NTIME"))</f>
        <v>0</v>
      </c>
      <c r="Y134" s="1" t="n">
        <f aca="false">IF(W134="",0,SUMIFS($I$7:$I$256,$D$7:$D$256,W134,$H$7:$H$256,"P6"))</f>
        <v>0</v>
      </c>
      <c r="Z134" s="1" t="n">
        <f aca="false">X134+Y134</f>
        <v>0</v>
      </c>
      <c r="AA134" s="1" t="n">
        <f aca="false">IF(Z134&gt;0,Z134+(201-128)/10^6,0)</f>
        <v>0</v>
      </c>
      <c r="AB134" s="1"/>
      <c r="AC134" s="1"/>
      <c r="AD134" s="1"/>
      <c r="AE134" s="1"/>
      <c r="AF134" s="1"/>
      <c r="AG134" s="1"/>
      <c r="AH134" s="1"/>
    </row>
    <row r="135" customFormat="false" ht="15" hidden="false" customHeight="false" outlineLevel="0" collapsed="false">
      <c r="A135" s="1"/>
      <c r="B135" s="10"/>
      <c r="C135" s="31" t="str">
        <f aca="false">IF(B135="","",TEXT(B135,"ddd"))</f>
        <v/>
      </c>
      <c r="D135" s="11"/>
      <c r="E135" s="8" t="str">
        <f aca="false">IF(D135="","",IFERROR(INDEX(ProjNumbers,MATCH(D135,ProjNames,0)),""))</f>
        <v/>
      </c>
      <c r="F135" s="8" t="str">
        <f aca="false">IF(D135="","",IFERROR(INDEX(ProjCodes,MATCH(D135,ProjNames,0)),""))</f>
        <v/>
      </c>
      <c r="G135" s="32"/>
      <c r="H135" s="11"/>
      <c r="I135" s="33"/>
      <c r="J135" s="8" t="str">
        <f aca="false">IF(COUNTA(B135,D135,G135,H135,I135)=0,"",IF(B135="","Enter date",IF(OR(B135&lt;$AC$2,B135&gt;$AC$3),"Date not in September",IF(D135="","Pick project",IF(ISNA(MATCH(D135,ProjNames,0)),"Project not in list",IF(G135="","Add task description",IF(H135="","Pick NTIME or P6",IF(N(I135)&lt;=0,"Enter hours",IF(AND(AllowOT&lt;&gt;"Yes",SUMIF($B$7:$B$256,B135,$I$7:$I$256)&gt;INDEX($O$58:$O$87,DAY(B135))),"Day over "&amp;INDEX($O$58:$O$87,DAY(B135))&amp;" h","✓")))))))))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tr">
        <f aca="false">IF(Projects!B133="","",Projects!B133)</f>
        <v/>
      </c>
      <c r="X135" s="1" t="n">
        <f aca="false">IF(W135="",0,SUMIFS($I$7:$I$256,$D$7:$D$256,W135,$H$7:$H$256,"NTIME"))</f>
        <v>0</v>
      </c>
      <c r="Y135" s="1" t="n">
        <f aca="false">IF(W135="",0,SUMIFS($I$7:$I$256,$D$7:$D$256,W135,$H$7:$H$256,"P6"))</f>
        <v>0</v>
      </c>
      <c r="Z135" s="1" t="n">
        <f aca="false">X135+Y135</f>
        <v>0</v>
      </c>
      <c r="AA135" s="1" t="n">
        <f aca="false">IF(Z135&gt;0,Z135+(201-129)/10^6,0)</f>
        <v>0</v>
      </c>
      <c r="AB135" s="1"/>
      <c r="AC135" s="1"/>
      <c r="AD135" s="1"/>
      <c r="AE135" s="1"/>
      <c r="AF135" s="1"/>
      <c r="AG135" s="1"/>
      <c r="AH135" s="1"/>
    </row>
    <row r="136" customFormat="false" ht="15" hidden="false" customHeight="false" outlineLevel="0" collapsed="false">
      <c r="A136" s="1"/>
      <c r="B136" s="10"/>
      <c r="C136" s="31" t="str">
        <f aca="false">IF(B136="","",TEXT(B136,"ddd"))</f>
        <v/>
      </c>
      <c r="D136" s="11"/>
      <c r="E136" s="8" t="str">
        <f aca="false">IF(D136="","",IFERROR(INDEX(ProjNumbers,MATCH(D136,ProjNames,0)),""))</f>
        <v/>
      </c>
      <c r="F136" s="8" t="str">
        <f aca="false">IF(D136="","",IFERROR(INDEX(ProjCodes,MATCH(D136,ProjNames,0)),""))</f>
        <v/>
      </c>
      <c r="G136" s="32"/>
      <c r="H136" s="11"/>
      <c r="I136" s="33"/>
      <c r="J136" s="8" t="str">
        <f aca="false">IF(COUNTA(B136,D136,G136,H136,I136)=0,"",IF(B136="","Enter date",IF(OR(B136&lt;$AC$2,B136&gt;$AC$3),"Date not in September",IF(D136="","Pick project",IF(ISNA(MATCH(D136,ProjNames,0)),"Project not in list",IF(G136="","Add task description",IF(H136="","Pick NTIME or P6",IF(N(I136)&lt;=0,"Enter hours",IF(AND(AllowOT&lt;&gt;"Yes",SUMIF($B$7:$B$256,B136,$I$7:$I$256)&gt;INDEX($O$58:$O$87,DAY(B136))),"Day over "&amp;INDEX($O$58:$O$87,DAY(B136))&amp;" h","✓")))))))))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tr">
        <f aca="false">IF(Projects!B134="","",Projects!B134)</f>
        <v/>
      </c>
      <c r="X136" s="1" t="n">
        <f aca="false">IF(W136="",0,SUMIFS($I$7:$I$256,$D$7:$D$256,W136,$H$7:$H$256,"NTIME"))</f>
        <v>0</v>
      </c>
      <c r="Y136" s="1" t="n">
        <f aca="false">IF(W136="",0,SUMIFS($I$7:$I$256,$D$7:$D$256,W136,$H$7:$H$256,"P6"))</f>
        <v>0</v>
      </c>
      <c r="Z136" s="1" t="n">
        <f aca="false">X136+Y136</f>
        <v>0</v>
      </c>
      <c r="AA136" s="1" t="n">
        <f aca="false">IF(Z136&gt;0,Z136+(201-130)/10^6,0)</f>
        <v>0</v>
      </c>
      <c r="AB136" s="1"/>
      <c r="AC136" s="1"/>
      <c r="AD136" s="1"/>
      <c r="AE136" s="1"/>
      <c r="AF136" s="1"/>
      <c r="AG136" s="1"/>
      <c r="AH136" s="1"/>
    </row>
    <row r="137" customFormat="false" ht="15" hidden="false" customHeight="false" outlineLevel="0" collapsed="false">
      <c r="A137" s="1"/>
      <c r="B137" s="10"/>
      <c r="C137" s="31" t="str">
        <f aca="false">IF(B137="","",TEXT(B137,"ddd"))</f>
        <v/>
      </c>
      <c r="D137" s="11"/>
      <c r="E137" s="8" t="str">
        <f aca="false">IF(D137="","",IFERROR(INDEX(ProjNumbers,MATCH(D137,ProjNames,0)),""))</f>
        <v/>
      </c>
      <c r="F137" s="8" t="str">
        <f aca="false">IF(D137="","",IFERROR(INDEX(ProjCodes,MATCH(D137,ProjNames,0)),""))</f>
        <v/>
      </c>
      <c r="G137" s="32"/>
      <c r="H137" s="11"/>
      <c r="I137" s="33"/>
      <c r="J137" s="8" t="str">
        <f aca="false">IF(COUNTA(B137,D137,G137,H137,I137)=0,"",IF(B137="","Enter date",IF(OR(B137&lt;$AC$2,B137&gt;$AC$3),"Date not in September",IF(D137="","Pick project",IF(ISNA(MATCH(D137,ProjNames,0)),"Project not in list",IF(G137="","Add task description",IF(H137="","Pick NTIME or P6",IF(N(I137)&lt;=0,"Enter hours",IF(AND(AllowOT&lt;&gt;"Yes",SUMIF($B$7:$B$256,B137,$I$7:$I$256)&gt;INDEX($O$58:$O$87,DAY(B137))),"Day over "&amp;INDEX($O$58:$O$87,DAY(B137))&amp;" h","✓")))))))))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tr">
        <f aca="false">IF(Projects!B135="","",Projects!B135)</f>
        <v/>
      </c>
      <c r="X137" s="1" t="n">
        <f aca="false">IF(W137="",0,SUMIFS($I$7:$I$256,$D$7:$D$256,W137,$H$7:$H$256,"NTIME"))</f>
        <v>0</v>
      </c>
      <c r="Y137" s="1" t="n">
        <f aca="false">IF(W137="",0,SUMIFS($I$7:$I$256,$D$7:$D$256,W137,$H$7:$H$256,"P6"))</f>
        <v>0</v>
      </c>
      <c r="Z137" s="1" t="n">
        <f aca="false">X137+Y137</f>
        <v>0</v>
      </c>
      <c r="AA137" s="1" t="n">
        <f aca="false">IF(Z137&gt;0,Z137+(201-131)/10^6,0)</f>
        <v>0</v>
      </c>
      <c r="AB137" s="1"/>
      <c r="AC137" s="1"/>
      <c r="AD137" s="1"/>
      <c r="AE137" s="1"/>
      <c r="AF137" s="1"/>
      <c r="AG137" s="1"/>
      <c r="AH137" s="1"/>
    </row>
    <row r="138" customFormat="false" ht="15" hidden="false" customHeight="false" outlineLevel="0" collapsed="false">
      <c r="A138" s="1"/>
      <c r="B138" s="10"/>
      <c r="C138" s="31" t="str">
        <f aca="false">IF(B138="","",TEXT(B138,"ddd"))</f>
        <v/>
      </c>
      <c r="D138" s="11"/>
      <c r="E138" s="8" t="str">
        <f aca="false">IF(D138="","",IFERROR(INDEX(ProjNumbers,MATCH(D138,ProjNames,0)),""))</f>
        <v/>
      </c>
      <c r="F138" s="8" t="str">
        <f aca="false">IF(D138="","",IFERROR(INDEX(ProjCodes,MATCH(D138,ProjNames,0)),""))</f>
        <v/>
      </c>
      <c r="G138" s="32"/>
      <c r="H138" s="11"/>
      <c r="I138" s="33"/>
      <c r="J138" s="8" t="str">
        <f aca="false">IF(COUNTA(B138,D138,G138,H138,I138)=0,"",IF(B138="","Enter date",IF(OR(B138&lt;$AC$2,B138&gt;$AC$3),"Date not in September",IF(D138="","Pick project",IF(ISNA(MATCH(D138,ProjNames,0)),"Project not in list",IF(G138="","Add task description",IF(H138="","Pick NTIME or P6",IF(N(I138)&lt;=0,"Enter hours",IF(AND(AllowOT&lt;&gt;"Yes",SUMIF($B$7:$B$256,B138,$I$7:$I$256)&gt;INDEX($O$58:$O$87,DAY(B138))),"Day over "&amp;INDEX($O$58:$O$87,DAY(B138))&amp;" h","✓")))))))))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tr">
        <f aca="false">IF(Projects!B136="","",Projects!B136)</f>
        <v/>
      </c>
      <c r="X138" s="1" t="n">
        <f aca="false">IF(W138="",0,SUMIFS($I$7:$I$256,$D$7:$D$256,W138,$H$7:$H$256,"NTIME"))</f>
        <v>0</v>
      </c>
      <c r="Y138" s="1" t="n">
        <f aca="false">IF(W138="",0,SUMIFS($I$7:$I$256,$D$7:$D$256,W138,$H$7:$H$256,"P6"))</f>
        <v>0</v>
      </c>
      <c r="Z138" s="1" t="n">
        <f aca="false">X138+Y138</f>
        <v>0</v>
      </c>
      <c r="AA138" s="1" t="n">
        <f aca="false">IF(Z138&gt;0,Z138+(201-132)/10^6,0)</f>
        <v>0</v>
      </c>
      <c r="AB138" s="1"/>
      <c r="AC138" s="1"/>
      <c r="AD138" s="1"/>
      <c r="AE138" s="1"/>
      <c r="AF138" s="1"/>
      <c r="AG138" s="1"/>
      <c r="AH138" s="1"/>
    </row>
    <row r="139" customFormat="false" ht="15" hidden="false" customHeight="false" outlineLevel="0" collapsed="false">
      <c r="A139" s="1"/>
      <c r="B139" s="10"/>
      <c r="C139" s="31" t="str">
        <f aca="false">IF(B139="","",TEXT(B139,"ddd"))</f>
        <v/>
      </c>
      <c r="D139" s="11"/>
      <c r="E139" s="8" t="str">
        <f aca="false">IF(D139="","",IFERROR(INDEX(ProjNumbers,MATCH(D139,ProjNames,0)),""))</f>
        <v/>
      </c>
      <c r="F139" s="8" t="str">
        <f aca="false">IF(D139="","",IFERROR(INDEX(ProjCodes,MATCH(D139,ProjNames,0)),""))</f>
        <v/>
      </c>
      <c r="G139" s="32"/>
      <c r="H139" s="11"/>
      <c r="I139" s="33"/>
      <c r="J139" s="8" t="str">
        <f aca="false">IF(COUNTA(B139,D139,G139,H139,I139)=0,"",IF(B139="","Enter date",IF(OR(B139&lt;$AC$2,B139&gt;$AC$3),"Date not in September",IF(D139="","Pick project",IF(ISNA(MATCH(D139,ProjNames,0)),"Project not in list",IF(G139="","Add task description",IF(H139="","Pick NTIME or P6",IF(N(I139)&lt;=0,"Enter hours",IF(AND(AllowOT&lt;&gt;"Yes",SUMIF($B$7:$B$256,B139,$I$7:$I$256)&gt;INDEX($O$58:$O$87,DAY(B139))),"Day over "&amp;INDEX($O$58:$O$87,DAY(B139))&amp;" h","✓")))))))))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tr">
        <f aca="false">IF(Projects!B137="","",Projects!B137)</f>
        <v/>
      </c>
      <c r="X139" s="1" t="n">
        <f aca="false">IF(W139="",0,SUMIFS($I$7:$I$256,$D$7:$D$256,W139,$H$7:$H$256,"NTIME"))</f>
        <v>0</v>
      </c>
      <c r="Y139" s="1" t="n">
        <f aca="false">IF(W139="",0,SUMIFS($I$7:$I$256,$D$7:$D$256,W139,$H$7:$H$256,"P6"))</f>
        <v>0</v>
      </c>
      <c r="Z139" s="1" t="n">
        <f aca="false">X139+Y139</f>
        <v>0</v>
      </c>
      <c r="AA139" s="1" t="n">
        <f aca="false">IF(Z139&gt;0,Z139+(201-133)/10^6,0)</f>
        <v>0</v>
      </c>
      <c r="AB139" s="1"/>
      <c r="AC139" s="1"/>
      <c r="AD139" s="1"/>
      <c r="AE139" s="1"/>
      <c r="AF139" s="1"/>
      <c r="AG139" s="1"/>
      <c r="AH139" s="1"/>
    </row>
    <row r="140" customFormat="false" ht="15" hidden="false" customHeight="false" outlineLevel="0" collapsed="false">
      <c r="A140" s="1"/>
      <c r="B140" s="10"/>
      <c r="C140" s="31" t="str">
        <f aca="false">IF(B140="","",TEXT(B140,"ddd"))</f>
        <v/>
      </c>
      <c r="D140" s="11"/>
      <c r="E140" s="8" t="str">
        <f aca="false">IF(D140="","",IFERROR(INDEX(ProjNumbers,MATCH(D140,ProjNames,0)),""))</f>
        <v/>
      </c>
      <c r="F140" s="8" t="str">
        <f aca="false">IF(D140="","",IFERROR(INDEX(ProjCodes,MATCH(D140,ProjNames,0)),""))</f>
        <v/>
      </c>
      <c r="G140" s="32"/>
      <c r="H140" s="11"/>
      <c r="I140" s="33"/>
      <c r="J140" s="8" t="str">
        <f aca="false">IF(COUNTA(B140,D140,G140,H140,I140)=0,"",IF(B140="","Enter date",IF(OR(B140&lt;$AC$2,B140&gt;$AC$3),"Date not in September",IF(D140="","Pick project",IF(ISNA(MATCH(D140,ProjNames,0)),"Project not in list",IF(G140="","Add task description",IF(H140="","Pick NTIME or P6",IF(N(I140)&lt;=0,"Enter hours",IF(AND(AllowOT&lt;&gt;"Yes",SUMIF($B$7:$B$256,B140,$I$7:$I$256)&gt;INDEX($O$58:$O$87,DAY(B140))),"Day over "&amp;INDEX($O$58:$O$87,DAY(B140))&amp;" h","✓")))))))))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tr">
        <f aca="false">IF(Projects!B138="","",Projects!B138)</f>
        <v/>
      </c>
      <c r="X140" s="1" t="n">
        <f aca="false">IF(W140="",0,SUMIFS($I$7:$I$256,$D$7:$D$256,W140,$H$7:$H$256,"NTIME"))</f>
        <v>0</v>
      </c>
      <c r="Y140" s="1" t="n">
        <f aca="false">IF(W140="",0,SUMIFS($I$7:$I$256,$D$7:$D$256,W140,$H$7:$H$256,"P6"))</f>
        <v>0</v>
      </c>
      <c r="Z140" s="1" t="n">
        <f aca="false">X140+Y140</f>
        <v>0</v>
      </c>
      <c r="AA140" s="1" t="n">
        <f aca="false">IF(Z140&gt;0,Z140+(201-134)/10^6,0)</f>
        <v>0</v>
      </c>
      <c r="AB140" s="1"/>
      <c r="AC140" s="1"/>
      <c r="AD140" s="1"/>
      <c r="AE140" s="1"/>
      <c r="AF140" s="1"/>
      <c r="AG140" s="1"/>
      <c r="AH140" s="1"/>
    </row>
    <row r="141" customFormat="false" ht="15" hidden="false" customHeight="false" outlineLevel="0" collapsed="false">
      <c r="A141" s="1"/>
      <c r="B141" s="10"/>
      <c r="C141" s="31" t="str">
        <f aca="false">IF(B141="","",TEXT(B141,"ddd"))</f>
        <v/>
      </c>
      <c r="D141" s="11"/>
      <c r="E141" s="8" t="str">
        <f aca="false">IF(D141="","",IFERROR(INDEX(ProjNumbers,MATCH(D141,ProjNames,0)),""))</f>
        <v/>
      </c>
      <c r="F141" s="8" t="str">
        <f aca="false">IF(D141="","",IFERROR(INDEX(ProjCodes,MATCH(D141,ProjNames,0)),""))</f>
        <v/>
      </c>
      <c r="G141" s="32"/>
      <c r="H141" s="11"/>
      <c r="I141" s="33"/>
      <c r="J141" s="8" t="str">
        <f aca="false">IF(COUNTA(B141,D141,G141,H141,I141)=0,"",IF(B141="","Enter date",IF(OR(B141&lt;$AC$2,B141&gt;$AC$3),"Date not in September",IF(D141="","Pick project",IF(ISNA(MATCH(D141,ProjNames,0)),"Project not in list",IF(G141="","Add task description",IF(H141="","Pick NTIME or P6",IF(N(I141)&lt;=0,"Enter hours",IF(AND(AllowOT&lt;&gt;"Yes",SUMIF($B$7:$B$256,B141,$I$7:$I$256)&gt;INDEX($O$58:$O$87,DAY(B141))),"Day over "&amp;INDEX($O$58:$O$87,DAY(B141))&amp;" h","✓")))))))))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tr">
        <f aca="false">IF(Projects!B139="","",Projects!B139)</f>
        <v/>
      </c>
      <c r="X141" s="1" t="n">
        <f aca="false">IF(W141="",0,SUMIFS($I$7:$I$256,$D$7:$D$256,W141,$H$7:$H$256,"NTIME"))</f>
        <v>0</v>
      </c>
      <c r="Y141" s="1" t="n">
        <f aca="false">IF(W141="",0,SUMIFS($I$7:$I$256,$D$7:$D$256,W141,$H$7:$H$256,"P6"))</f>
        <v>0</v>
      </c>
      <c r="Z141" s="1" t="n">
        <f aca="false">X141+Y141</f>
        <v>0</v>
      </c>
      <c r="AA141" s="1" t="n">
        <f aca="false">IF(Z141&gt;0,Z141+(201-135)/10^6,0)</f>
        <v>0</v>
      </c>
      <c r="AB141" s="1"/>
      <c r="AC141" s="1"/>
      <c r="AD141" s="1"/>
      <c r="AE141" s="1"/>
      <c r="AF141" s="1"/>
      <c r="AG141" s="1"/>
      <c r="AH141" s="1"/>
    </row>
    <row r="142" customFormat="false" ht="15" hidden="false" customHeight="false" outlineLevel="0" collapsed="false">
      <c r="A142" s="1"/>
      <c r="B142" s="10"/>
      <c r="C142" s="31" t="str">
        <f aca="false">IF(B142="","",TEXT(B142,"ddd"))</f>
        <v/>
      </c>
      <c r="D142" s="11"/>
      <c r="E142" s="8" t="str">
        <f aca="false">IF(D142="","",IFERROR(INDEX(ProjNumbers,MATCH(D142,ProjNames,0)),""))</f>
        <v/>
      </c>
      <c r="F142" s="8" t="str">
        <f aca="false">IF(D142="","",IFERROR(INDEX(ProjCodes,MATCH(D142,ProjNames,0)),""))</f>
        <v/>
      </c>
      <c r="G142" s="32"/>
      <c r="H142" s="11"/>
      <c r="I142" s="33"/>
      <c r="J142" s="8" t="str">
        <f aca="false">IF(COUNTA(B142,D142,G142,H142,I142)=0,"",IF(B142="","Enter date",IF(OR(B142&lt;$AC$2,B142&gt;$AC$3),"Date not in September",IF(D142="","Pick project",IF(ISNA(MATCH(D142,ProjNames,0)),"Project not in list",IF(G142="","Add task description",IF(H142="","Pick NTIME or P6",IF(N(I142)&lt;=0,"Enter hours",IF(AND(AllowOT&lt;&gt;"Yes",SUMIF($B$7:$B$256,B142,$I$7:$I$256)&gt;INDEX($O$58:$O$87,DAY(B142))),"Day over "&amp;INDEX($O$58:$O$87,DAY(B142))&amp;" h","✓")))))))))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tr">
        <f aca="false">IF(Projects!B140="","",Projects!B140)</f>
        <v/>
      </c>
      <c r="X142" s="1" t="n">
        <f aca="false">IF(W142="",0,SUMIFS($I$7:$I$256,$D$7:$D$256,W142,$H$7:$H$256,"NTIME"))</f>
        <v>0</v>
      </c>
      <c r="Y142" s="1" t="n">
        <f aca="false">IF(W142="",0,SUMIFS($I$7:$I$256,$D$7:$D$256,W142,$H$7:$H$256,"P6"))</f>
        <v>0</v>
      </c>
      <c r="Z142" s="1" t="n">
        <f aca="false">X142+Y142</f>
        <v>0</v>
      </c>
      <c r="AA142" s="1" t="n">
        <f aca="false">IF(Z142&gt;0,Z142+(201-136)/10^6,0)</f>
        <v>0</v>
      </c>
      <c r="AB142" s="1"/>
      <c r="AC142" s="1"/>
      <c r="AD142" s="1"/>
      <c r="AE142" s="1"/>
      <c r="AF142" s="1"/>
      <c r="AG142" s="1"/>
      <c r="AH142" s="1"/>
    </row>
    <row r="143" customFormat="false" ht="15" hidden="false" customHeight="false" outlineLevel="0" collapsed="false">
      <c r="A143" s="1"/>
      <c r="B143" s="10"/>
      <c r="C143" s="31" t="str">
        <f aca="false">IF(B143="","",TEXT(B143,"ddd"))</f>
        <v/>
      </c>
      <c r="D143" s="11"/>
      <c r="E143" s="8" t="str">
        <f aca="false">IF(D143="","",IFERROR(INDEX(ProjNumbers,MATCH(D143,ProjNames,0)),""))</f>
        <v/>
      </c>
      <c r="F143" s="8" t="str">
        <f aca="false">IF(D143="","",IFERROR(INDEX(ProjCodes,MATCH(D143,ProjNames,0)),""))</f>
        <v/>
      </c>
      <c r="G143" s="32"/>
      <c r="H143" s="11"/>
      <c r="I143" s="33"/>
      <c r="J143" s="8" t="str">
        <f aca="false">IF(COUNTA(B143,D143,G143,H143,I143)=0,"",IF(B143="","Enter date",IF(OR(B143&lt;$AC$2,B143&gt;$AC$3),"Date not in September",IF(D143="","Pick project",IF(ISNA(MATCH(D143,ProjNames,0)),"Project not in list",IF(G143="","Add task description",IF(H143="","Pick NTIME or P6",IF(N(I143)&lt;=0,"Enter hours",IF(AND(AllowOT&lt;&gt;"Yes",SUMIF($B$7:$B$256,B143,$I$7:$I$256)&gt;INDEX($O$58:$O$87,DAY(B143))),"Day over "&amp;INDEX($O$58:$O$87,DAY(B143))&amp;" h","✓")))))))))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tr">
        <f aca="false">IF(Projects!B141="","",Projects!B141)</f>
        <v/>
      </c>
      <c r="X143" s="1" t="n">
        <f aca="false">IF(W143="",0,SUMIFS($I$7:$I$256,$D$7:$D$256,W143,$H$7:$H$256,"NTIME"))</f>
        <v>0</v>
      </c>
      <c r="Y143" s="1" t="n">
        <f aca="false">IF(W143="",0,SUMIFS($I$7:$I$256,$D$7:$D$256,W143,$H$7:$H$256,"P6"))</f>
        <v>0</v>
      </c>
      <c r="Z143" s="1" t="n">
        <f aca="false">X143+Y143</f>
        <v>0</v>
      </c>
      <c r="AA143" s="1" t="n">
        <f aca="false">IF(Z143&gt;0,Z143+(201-137)/10^6,0)</f>
        <v>0</v>
      </c>
      <c r="AB143" s="1"/>
      <c r="AC143" s="1"/>
      <c r="AD143" s="1"/>
      <c r="AE143" s="1"/>
      <c r="AF143" s="1"/>
      <c r="AG143" s="1"/>
      <c r="AH143" s="1"/>
    </row>
    <row r="144" customFormat="false" ht="15" hidden="false" customHeight="false" outlineLevel="0" collapsed="false">
      <c r="A144" s="1"/>
      <c r="B144" s="10"/>
      <c r="C144" s="31" t="str">
        <f aca="false">IF(B144="","",TEXT(B144,"ddd"))</f>
        <v/>
      </c>
      <c r="D144" s="11"/>
      <c r="E144" s="8" t="str">
        <f aca="false">IF(D144="","",IFERROR(INDEX(ProjNumbers,MATCH(D144,ProjNames,0)),""))</f>
        <v/>
      </c>
      <c r="F144" s="8" t="str">
        <f aca="false">IF(D144="","",IFERROR(INDEX(ProjCodes,MATCH(D144,ProjNames,0)),""))</f>
        <v/>
      </c>
      <c r="G144" s="32"/>
      <c r="H144" s="11"/>
      <c r="I144" s="33"/>
      <c r="J144" s="8" t="str">
        <f aca="false">IF(COUNTA(B144,D144,G144,H144,I144)=0,"",IF(B144="","Enter date",IF(OR(B144&lt;$AC$2,B144&gt;$AC$3),"Date not in September",IF(D144="","Pick project",IF(ISNA(MATCH(D144,ProjNames,0)),"Project not in list",IF(G144="","Add task description",IF(H144="","Pick NTIME or P6",IF(N(I144)&lt;=0,"Enter hours",IF(AND(AllowOT&lt;&gt;"Yes",SUMIF($B$7:$B$256,B144,$I$7:$I$256)&gt;INDEX($O$58:$O$87,DAY(B144))),"Day over "&amp;INDEX($O$58:$O$87,DAY(B144))&amp;" h","✓")))))))))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tr">
        <f aca="false">IF(Projects!B142="","",Projects!B142)</f>
        <v/>
      </c>
      <c r="X144" s="1" t="n">
        <f aca="false">IF(W144="",0,SUMIFS($I$7:$I$256,$D$7:$D$256,W144,$H$7:$H$256,"NTIME"))</f>
        <v>0</v>
      </c>
      <c r="Y144" s="1" t="n">
        <f aca="false">IF(W144="",0,SUMIFS($I$7:$I$256,$D$7:$D$256,W144,$H$7:$H$256,"P6"))</f>
        <v>0</v>
      </c>
      <c r="Z144" s="1" t="n">
        <f aca="false">X144+Y144</f>
        <v>0</v>
      </c>
      <c r="AA144" s="1" t="n">
        <f aca="false">IF(Z144&gt;0,Z144+(201-138)/10^6,0)</f>
        <v>0</v>
      </c>
      <c r="AB144" s="1"/>
      <c r="AC144" s="1"/>
      <c r="AD144" s="1"/>
      <c r="AE144" s="1"/>
      <c r="AF144" s="1"/>
      <c r="AG144" s="1"/>
      <c r="AH144" s="1"/>
    </row>
    <row r="145" customFormat="false" ht="15" hidden="false" customHeight="false" outlineLevel="0" collapsed="false">
      <c r="A145" s="1"/>
      <c r="B145" s="10"/>
      <c r="C145" s="31" t="str">
        <f aca="false">IF(B145="","",TEXT(B145,"ddd"))</f>
        <v/>
      </c>
      <c r="D145" s="11"/>
      <c r="E145" s="8" t="str">
        <f aca="false">IF(D145="","",IFERROR(INDEX(ProjNumbers,MATCH(D145,ProjNames,0)),""))</f>
        <v/>
      </c>
      <c r="F145" s="8" t="str">
        <f aca="false">IF(D145="","",IFERROR(INDEX(ProjCodes,MATCH(D145,ProjNames,0)),""))</f>
        <v/>
      </c>
      <c r="G145" s="32"/>
      <c r="H145" s="11"/>
      <c r="I145" s="33"/>
      <c r="J145" s="8" t="str">
        <f aca="false">IF(COUNTA(B145,D145,G145,H145,I145)=0,"",IF(B145="","Enter date",IF(OR(B145&lt;$AC$2,B145&gt;$AC$3),"Date not in September",IF(D145="","Pick project",IF(ISNA(MATCH(D145,ProjNames,0)),"Project not in list",IF(G145="","Add task description",IF(H145="","Pick NTIME or P6",IF(N(I145)&lt;=0,"Enter hours",IF(AND(AllowOT&lt;&gt;"Yes",SUMIF($B$7:$B$256,B145,$I$7:$I$256)&gt;INDEX($O$58:$O$87,DAY(B145))),"Day over "&amp;INDEX($O$58:$O$87,DAY(B145))&amp;" h","✓")))))))))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tr">
        <f aca="false">IF(Projects!B143="","",Projects!B143)</f>
        <v/>
      </c>
      <c r="X145" s="1" t="n">
        <f aca="false">IF(W145="",0,SUMIFS($I$7:$I$256,$D$7:$D$256,W145,$H$7:$H$256,"NTIME"))</f>
        <v>0</v>
      </c>
      <c r="Y145" s="1" t="n">
        <f aca="false">IF(W145="",0,SUMIFS($I$7:$I$256,$D$7:$D$256,W145,$H$7:$H$256,"P6"))</f>
        <v>0</v>
      </c>
      <c r="Z145" s="1" t="n">
        <f aca="false">X145+Y145</f>
        <v>0</v>
      </c>
      <c r="AA145" s="1" t="n">
        <f aca="false">IF(Z145&gt;0,Z145+(201-139)/10^6,0)</f>
        <v>0</v>
      </c>
      <c r="AB145" s="1"/>
      <c r="AC145" s="1"/>
      <c r="AD145" s="1"/>
      <c r="AE145" s="1"/>
      <c r="AF145" s="1"/>
      <c r="AG145" s="1"/>
      <c r="AH145" s="1"/>
    </row>
    <row r="146" customFormat="false" ht="15" hidden="false" customHeight="false" outlineLevel="0" collapsed="false">
      <c r="A146" s="1"/>
      <c r="B146" s="10"/>
      <c r="C146" s="31" t="str">
        <f aca="false">IF(B146="","",TEXT(B146,"ddd"))</f>
        <v/>
      </c>
      <c r="D146" s="11"/>
      <c r="E146" s="8" t="str">
        <f aca="false">IF(D146="","",IFERROR(INDEX(ProjNumbers,MATCH(D146,ProjNames,0)),""))</f>
        <v/>
      </c>
      <c r="F146" s="8" t="str">
        <f aca="false">IF(D146="","",IFERROR(INDEX(ProjCodes,MATCH(D146,ProjNames,0)),""))</f>
        <v/>
      </c>
      <c r="G146" s="32"/>
      <c r="H146" s="11"/>
      <c r="I146" s="33"/>
      <c r="J146" s="8" t="str">
        <f aca="false">IF(COUNTA(B146,D146,G146,H146,I146)=0,"",IF(B146="","Enter date",IF(OR(B146&lt;$AC$2,B146&gt;$AC$3),"Date not in September",IF(D146="","Pick project",IF(ISNA(MATCH(D146,ProjNames,0)),"Project not in list",IF(G146="","Add task description",IF(H146="","Pick NTIME or P6",IF(N(I146)&lt;=0,"Enter hours",IF(AND(AllowOT&lt;&gt;"Yes",SUMIF($B$7:$B$256,B146,$I$7:$I$256)&gt;INDEX($O$58:$O$87,DAY(B146))),"Day over "&amp;INDEX($O$58:$O$87,DAY(B146))&amp;" h","✓")))))))))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tr">
        <f aca="false">IF(Projects!B144="","",Projects!B144)</f>
        <v/>
      </c>
      <c r="X146" s="1" t="n">
        <f aca="false">IF(W146="",0,SUMIFS($I$7:$I$256,$D$7:$D$256,W146,$H$7:$H$256,"NTIME"))</f>
        <v>0</v>
      </c>
      <c r="Y146" s="1" t="n">
        <f aca="false">IF(W146="",0,SUMIFS($I$7:$I$256,$D$7:$D$256,W146,$H$7:$H$256,"P6"))</f>
        <v>0</v>
      </c>
      <c r="Z146" s="1" t="n">
        <f aca="false">X146+Y146</f>
        <v>0</v>
      </c>
      <c r="AA146" s="1" t="n">
        <f aca="false">IF(Z146&gt;0,Z146+(201-140)/10^6,0)</f>
        <v>0</v>
      </c>
      <c r="AB146" s="1"/>
      <c r="AC146" s="1"/>
      <c r="AD146" s="1"/>
      <c r="AE146" s="1"/>
      <c r="AF146" s="1"/>
      <c r="AG146" s="1"/>
      <c r="AH146" s="1"/>
    </row>
    <row r="147" customFormat="false" ht="15" hidden="false" customHeight="false" outlineLevel="0" collapsed="false">
      <c r="A147" s="1"/>
      <c r="B147" s="10"/>
      <c r="C147" s="31" t="str">
        <f aca="false">IF(B147="","",TEXT(B147,"ddd"))</f>
        <v/>
      </c>
      <c r="D147" s="11"/>
      <c r="E147" s="8" t="str">
        <f aca="false">IF(D147="","",IFERROR(INDEX(ProjNumbers,MATCH(D147,ProjNames,0)),""))</f>
        <v/>
      </c>
      <c r="F147" s="8" t="str">
        <f aca="false">IF(D147="","",IFERROR(INDEX(ProjCodes,MATCH(D147,ProjNames,0)),""))</f>
        <v/>
      </c>
      <c r="G147" s="32"/>
      <c r="H147" s="11"/>
      <c r="I147" s="33"/>
      <c r="J147" s="8" t="str">
        <f aca="false">IF(COUNTA(B147,D147,G147,H147,I147)=0,"",IF(B147="","Enter date",IF(OR(B147&lt;$AC$2,B147&gt;$AC$3),"Date not in September",IF(D147="","Pick project",IF(ISNA(MATCH(D147,ProjNames,0)),"Project not in list",IF(G147="","Add task description",IF(H147="","Pick NTIME or P6",IF(N(I147)&lt;=0,"Enter hours",IF(AND(AllowOT&lt;&gt;"Yes",SUMIF($B$7:$B$256,B147,$I$7:$I$256)&gt;INDEX($O$58:$O$87,DAY(B147))),"Day over "&amp;INDEX($O$58:$O$87,DAY(B147))&amp;" h","✓")))))))))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tr">
        <f aca="false">IF(Projects!B145="","",Projects!B145)</f>
        <v/>
      </c>
      <c r="X147" s="1" t="n">
        <f aca="false">IF(W147="",0,SUMIFS($I$7:$I$256,$D$7:$D$256,W147,$H$7:$H$256,"NTIME"))</f>
        <v>0</v>
      </c>
      <c r="Y147" s="1" t="n">
        <f aca="false">IF(W147="",0,SUMIFS($I$7:$I$256,$D$7:$D$256,W147,$H$7:$H$256,"P6"))</f>
        <v>0</v>
      </c>
      <c r="Z147" s="1" t="n">
        <f aca="false">X147+Y147</f>
        <v>0</v>
      </c>
      <c r="AA147" s="1" t="n">
        <f aca="false">IF(Z147&gt;0,Z147+(201-141)/10^6,0)</f>
        <v>0</v>
      </c>
      <c r="AB147" s="1"/>
      <c r="AC147" s="1"/>
      <c r="AD147" s="1"/>
      <c r="AE147" s="1"/>
      <c r="AF147" s="1"/>
      <c r="AG147" s="1"/>
      <c r="AH147" s="1"/>
    </row>
    <row r="148" customFormat="false" ht="15" hidden="false" customHeight="false" outlineLevel="0" collapsed="false">
      <c r="A148" s="1"/>
      <c r="B148" s="10"/>
      <c r="C148" s="31" t="str">
        <f aca="false">IF(B148="","",TEXT(B148,"ddd"))</f>
        <v/>
      </c>
      <c r="D148" s="11"/>
      <c r="E148" s="8" t="str">
        <f aca="false">IF(D148="","",IFERROR(INDEX(ProjNumbers,MATCH(D148,ProjNames,0)),""))</f>
        <v/>
      </c>
      <c r="F148" s="8" t="str">
        <f aca="false">IF(D148="","",IFERROR(INDEX(ProjCodes,MATCH(D148,ProjNames,0)),""))</f>
        <v/>
      </c>
      <c r="G148" s="32"/>
      <c r="H148" s="11"/>
      <c r="I148" s="33"/>
      <c r="J148" s="8" t="str">
        <f aca="false">IF(COUNTA(B148,D148,G148,H148,I148)=0,"",IF(B148="","Enter date",IF(OR(B148&lt;$AC$2,B148&gt;$AC$3),"Date not in September",IF(D148="","Pick project",IF(ISNA(MATCH(D148,ProjNames,0)),"Project not in list",IF(G148="","Add task description",IF(H148="","Pick NTIME or P6",IF(N(I148)&lt;=0,"Enter hours",IF(AND(AllowOT&lt;&gt;"Yes",SUMIF($B$7:$B$256,B148,$I$7:$I$256)&gt;INDEX($O$58:$O$87,DAY(B148))),"Day over "&amp;INDEX($O$58:$O$87,DAY(B148))&amp;" h","✓")))))))))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tr">
        <f aca="false">IF(Projects!B146="","",Projects!B146)</f>
        <v/>
      </c>
      <c r="X148" s="1" t="n">
        <f aca="false">IF(W148="",0,SUMIFS($I$7:$I$256,$D$7:$D$256,W148,$H$7:$H$256,"NTIME"))</f>
        <v>0</v>
      </c>
      <c r="Y148" s="1" t="n">
        <f aca="false">IF(W148="",0,SUMIFS($I$7:$I$256,$D$7:$D$256,W148,$H$7:$H$256,"P6"))</f>
        <v>0</v>
      </c>
      <c r="Z148" s="1" t="n">
        <f aca="false">X148+Y148</f>
        <v>0</v>
      </c>
      <c r="AA148" s="1" t="n">
        <f aca="false">IF(Z148&gt;0,Z148+(201-142)/10^6,0)</f>
        <v>0</v>
      </c>
      <c r="AB148" s="1"/>
      <c r="AC148" s="1"/>
      <c r="AD148" s="1"/>
      <c r="AE148" s="1"/>
      <c r="AF148" s="1"/>
      <c r="AG148" s="1"/>
      <c r="AH148" s="1"/>
    </row>
    <row r="149" customFormat="false" ht="15" hidden="false" customHeight="false" outlineLevel="0" collapsed="false">
      <c r="A149" s="1"/>
      <c r="B149" s="10"/>
      <c r="C149" s="31" t="str">
        <f aca="false">IF(B149="","",TEXT(B149,"ddd"))</f>
        <v/>
      </c>
      <c r="D149" s="11"/>
      <c r="E149" s="8" t="str">
        <f aca="false">IF(D149="","",IFERROR(INDEX(ProjNumbers,MATCH(D149,ProjNames,0)),""))</f>
        <v/>
      </c>
      <c r="F149" s="8" t="str">
        <f aca="false">IF(D149="","",IFERROR(INDEX(ProjCodes,MATCH(D149,ProjNames,0)),""))</f>
        <v/>
      </c>
      <c r="G149" s="32"/>
      <c r="H149" s="11"/>
      <c r="I149" s="33"/>
      <c r="J149" s="8" t="str">
        <f aca="false">IF(COUNTA(B149,D149,G149,H149,I149)=0,"",IF(B149="","Enter date",IF(OR(B149&lt;$AC$2,B149&gt;$AC$3),"Date not in September",IF(D149="","Pick project",IF(ISNA(MATCH(D149,ProjNames,0)),"Project not in list",IF(G149="","Add task description",IF(H149="","Pick NTIME or P6",IF(N(I149)&lt;=0,"Enter hours",IF(AND(AllowOT&lt;&gt;"Yes",SUMIF($B$7:$B$256,B149,$I$7:$I$256)&gt;INDEX($O$58:$O$87,DAY(B149))),"Day over "&amp;INDEX($O$58:$O$87,DAY(B149))&amp;" h","✓")))))))))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tr">
        <f aca="false">IF(Projects!B147="","",Projects!B147)</f>
        <v/>
      </c>
      <c r="X149" s="1" t="n">
        <f aca="false">IF(W149="",0,SUMIFS($I$7:$I$256,$D$7:$D$256,W149,$H$7:$H$256,"NTIME"))</f>
        <v>0</v>
      </c>
      <c r="Y149" s="1" t="n">
        <f aca="false">IF(W149="",0,SUMIFS($I$7:$I$256,$D$7:$D$256,W149,$H$7:$H$256,"P6"))</f>
        <v>0</v>
      </c>
      <c r="Z149" s="1" t="n">
        <f aca="false">X149+Y149</f>
        <v>0</v>
      </c>
      <c r="AA149" s="1" t="n">
        <f aca="false">IF(Z149&gt;0,Z149+(201-143)/10^6,0)</f>
        <v>0</v>
      </c>
      <c r="AB149" s="1"/>
      <c r="AC149" s="1"/>
      <c r="AD149" s="1"/>
      <c r="AE149" s="1"/>
      <c r="AF149" s="1"/>
      <c r="AG149" s="1"/>
      <c r="AH149" s="1"/>
    </row>
    <row r="150" customFormat="false" ht="15" hidden="false" customHeight="false" outlineLevel="0" collapsed="false">
      <c r="A150" s="1"/>
      <c r="B150" s="10"/>
      <c r="C150" s="31" t="str">
        <f aca="false">IF(B150="","",TEXT(B150,"ddd"))</f>
        <v/>
      </c>
      <c r="D150" s="11"/>
      <c r="E150" s="8" t="str">
        <f aca="false">IF(D150="","",IFERROR(INDEX(ProjNumbers,MATCH(D150,ProjNames,0)),""))</f>
        <v/>
      </c>
      <c r="F150" s="8" t="str">
        <f aca="false">IF(D150="","",IFERROR(INDEX(ProjCodes,MATCH(D150,ProjNames,0)),""))</f>
        <v/>
      </c>
      <c r="G150" s="32"/>
      <c r="H150" s="11"/>
      <c r="I150" s="33"/>
      <c r="J150" s="8" t="str">
        <f aca="false">IF(COUNTA(B150,D150,G150,H150,I150)=0,"",IF(B150="","Enter date",IF(OR(B150&lt;$AC$2,B150&gt;$AC$3),"Date not in September",IF(D150="","Pick project",IF(ISNA(MATCH(D150,ProjNames,0)),"Project not in list",IF(G150="","Add task description",IF(H150="","Pick NTIME or P6",IF(N(I150)&lt;=0,"Enter hours",IF(AND(AllowOT&lt;&gt;"Yes",SUMIF($B$7:$B$256,B150,$I$7:$I$256)&gt;INDEX($O$58:$O$87,DAY(B150))),"Day over "&amp;INDEX($O$58:$O$87,DAY(B150))&amp;" h","✓")))))))))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tr">
        <f aca="false">IF(Projects!B148="","",Projects!B148)</f>
        <v/>
      </c>
      <c r="X150" s="1" t="n">
        <f aca="false">IF(W150="",0,SUMIFS($I$7:$I$256,$D$7:$D$256,W150,$H$7:$H$256,"NTIME"))</f>
        <v>0</v>
      </c>
      <c r="Y150" s="1" t="n">
        <f aca="false">IF(W150="",0,SUMIFS($I$7:$I$256,$D$7:$D$256,W150,$H$7:$H$256,"P6"))</f>
        <v>0</v>
      </c>
      <c r="Z150" s="1" t="n">
        <f aca="false">X150+Y150</f>
        <v>0</v>
      </c>
      <c r="AA150" s="1" t="n">
        <f aca="false">IF(Z150&gt;0,Z150+(201-144)/10^6,0)</f>
        <v>0</v>
      </c>
      <c r="AB150" s="1"/>
      <c r="AC150" s="1"/>
      <c r="AD150" s="1"/>
      <c r="AE150" s="1"/>
      <c r="AF150" s="1"/>
      <c r="AG150" s="1"/>
      <c r="AH150" s="1"/>
    </row>
    <row r="151" customFormat="false" ht="15" hidden="false" customHeight="false" outlineLevel="0" collapsed="false">
      <c r="A151" s="1"/>
      <c r="B151" s="10"/>
      <c r="C151" s="31" t="str">
        <f aca="false">IF(B151="","",TEXT(B151,"ddd"))</f>
        <v/>
      </c>
      <c r="D151" s="11"/>
      <c r="E151" s="8" t="str">
        <f aca="false">IF(D151="","",IFERROR(INDEX(ProjNumbers,MATCH(D151,ProjNames,0)),""))</f>
        <v/>
      </c>
      <c r="F151" s="8" t="str">
        <f aca="false">IF(D151="","",IFERROR(INDEX(ProjCodes,MATCH(D151,ProjNames,0)),""))</f>
        <v/>
      </c>
      <c r="G151" s="32"/>
      <c r="H151" s="11"/>
      <c r="I151" s="33"/>
      <c r="J151" s="8" t="str">
        <f aca="false">IF(COUNTA(B151,D151,G151,H151,I151)=0,"",IF(B151="","Enter date",IF(OR(B151&lt;$AC$2,B151&gt;$AC$3),"Date not in September",IF(D151="","Pick project",IF(ISNA(MATCH(D151,ProjNames,0)),"Project not in list",IF(G151="","Add task description",IF(H151="","Pick NTIME or P6",IF(N(I151)&lt;=0,"Enter hours",IF(AND(AllowOT&lt;&gt;"Yes",SUMIF($B$7:$B$256,B151,$I$7:$I$256)&gt;INDEX($O$58:$O$87,DAY(B151))),"Day over "&amp;INDEX($O$58:$O$87,DAY(B151))&amp;" h","✓")))))))))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tr">
        <f aca="false">IF(Projects!B149="","",Projects!B149)</f>
        <v/>
      </c>
      <c r="X151" s="1" t="n">
        <f aca="false">IF(W151="",0,SUMIFS($I$7:$I$256,$D$7:$D$256,W151,$H$7:$H$256,"NTIME"))</f>
        <v>0</v>
      </c>
      <c r="Y151" s="1" t="n">
        <f aca="false">IF(W151="",0,SUMIFS($I$7:$I$256,$D$7:$D$256,W151,$H$7:$H$256,"P6"))</f>
        <v>0</v>
      </c>
      <c r="Z151" s="1" t="n">
        <f aca="false">X151+Y151</f>
        <v>0</v>
      </c>
      <c r="AA151" s="1" t="n">
        <f aca="false">IF(Z151&gt;0,Z151+(201-145)/10^6,0)</f>
        <v>0</v>
      </c>
      <c r="AB151" s="1"/>
      <c r="AC151" s="1"/>
      <c r="AD151" s="1"/>
      <c r="AE151" s="1"/>
      <c r="AF151" s="1"/>
      <c r="AG151" s="1"/>
      <c r="AH151" s="1"/>
    </row>
    <row r="152" customFormat="false" ht="15" hidden="false" customHeight="false" outlineLevel="0" collapsed="false">
      <c r="A152" s="1"/>
      <c r="B152" s="10"/>
      <c r="C152" s="31" t="str">
        <f aca="false">IF(B152="","",TEXT(B152,"ddd"))</f>
        <v/>
      </c>
      <c r="D152" s="11"/>
      <c r="E152" s="8" t="str">
        <f aca="false">IF(D152="","",IFERROR(INDEX(ProjNumbers,MATCH(D152,ProjNames,0)),""))</f>
        <v/>
      </c>
      <c r="F152" s="8" t="str">
        <f aca="false">IF(D152="","",IFERROR(INDEX(ProjCodes,MATCH(D152,ProjNames,0)),""))</f>
        <v/>
      </c>
      <c r="G152" s="32"/>
      <c r="H152" s="11"/>
      <c r="I152" s="33"/>
      <c r="J152" s="8" t="str">
        <f aca="false">IF(COUNTA(B152,D152,G152,H152,I152)=0,"",IF(B152="","Enter date",IF(OR(B152&lt;$AC$2,B152&gt;$AC$3),"Date not in September",IF(D152="","Pick project",IF(ISNA(MATCH(D152,ProjNames,0)),"Project not in list",IF(G152="","Add task description",IF(H152="","Pick NTIME or P6",IF(N(I152)&lt;=0,"Enter hours",IF(AND(AllowOT&lt;&gt;"Yes",SUMIF($B$7:$B$256,B152,$I$7:$I$256)&gt;INDEX($O$58:$O$87,DAY(B152))),"Day over "&amp;INDEX($O$58:$O$87,DAY(B152))&amp;" h","✓")))))))))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tr">
        <f aca="false">IF(Projects!B150="","",Projects!B150)</f>
        <v/>
      </c>
      <c r="X152" s="1" t="n">
        <f aca="false">IF(W152="",0,SUMIFS($I$7:$I$256,$D$7:$D$256,W152,$H$7:$H$256,"NTIME"))</f>
        <v>0</v>
      </c>
      <c r="Y152" s="1" t="n">
        <f aca="false">IF(W152="",0,SUMIFS($I$7:$I$256,$D$7:$D$256,W152,$H$7:$H$256,"P6"))</f>
        <v>0</v>
      </c>
      <c r="Z152" s="1" t="n">
        <f aca="false">X152+Y152</f>
        <v>0</v>
      </c>
      <c r="AA152" s="1" t="n">
        <f aca="false">IF(Z152&gt;0,Z152+(201-146)/10^6,0)</f>
        <v>0</v>
      </c>
      <c r="AB152" s="1"/>
      <c r="AC152" s="1"/>
      <c r="AD152" s="1"/>
      <c r="AE152" s="1"/>
      <c r="AF152" s="1"/>
      <c r="AG152" s="1"/>
      <c r="AH152" s="1"/>
    </row>
    <row r="153" customFormat="false" ht="15" hidden="false" customHeight="false" outlineLevel="0" collapsed="false">
      <c r="A153" s="1"/>
      <c r="B153" s="10"/>
      <c r="C153" s="31" t="str">
        <f aca="false">IF(B153="","",TEXT(B153,"ddd"))</f>
        <v/>
      </c>
      <c r="D153" s="11"/>
      <c r="E153" s="8" t="str">
        <f aca="false">IF(D153="","",IFERROR(INDEX(ProjNumbers,MATCH(D153,ProjNames,0)),""))</f>
        <v/>
      </c>
      <c r="F153" s="8" t="str">
        <f aca="false">IF(D153="","",IFERROR(INDEX(ProjCodes,MATCH(D153,ProjNames,0)),""))</f>
        <v/>
      </c>
      <c r="G153" s="32"/>
      <c r="H153" s="11"/>
      <c r="I153" s="33"/>
      <c r="J153" s="8" t="str">
        <f aca="false">IF(COUNTA(B153,D153,G153,H153,I153)=0,"",IF(B153="","Enter date",IF(OR(B153&lt;$AC$2,B153&gt;$AC$3),"Date not in September",IF(D153="","Pick project",IF(ISNA(MATCH(D153,ProjNames,0)),"Project not in list",IF(G153="","Add task description",IF(H153="","Pick NTIME or P6",IF(N(I153)&lt;=0,"Enter hours",IF(AND(AllowOT&lt;&gt;"Yes",SUMIF($B$7:$B$256,B153,$I$7:$I$256)&gt;INDEX($O$58:$O$87,DAY(B153))),"Day over "&amp;INDEX($O$58:$O$87,DAY(B153))&amp;" h","✓")))))))))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tr">
        <f aca="false">IF(Projects!B151="","",Projects!B151)</f>
        <v/>
      </c>
      <c r="X153" s="1" t="n">
        <f aca="false">IF(W153="",0,SUMIFS($I$7:$I$256,$D$7:$D$256,W153,$H$7:$H$256,"NTIME"))</f>
        <v>0</v>
      </c>
      <c r="Y153" s="1" t="n">
        <f aca="false">IF(W153="",0,SUMIFS($I$7:$I$256,$D$7:$D$256,W153,$H$7:$H$256,"P6"))</f>
        <v>0</v>
      </c>
      <c r="Z153" s="1" t="n">
        <f aca="false">X153+Y153</f>
        <v>0</v>
      </c>
      <c r="AA153" s="1" t="n">
        <f aca="false">IF(Z153&gt;0,Z153+(201-147)/10^6,0)</f>
        <v>0</v>
      </c>
      <c r="AB153" s="1"/>
      <c r="AC153" s="1"/>
      <c r="AD153" s="1"/>
      <c r="AE153" s="1"/>
      <c r="AF153" s="1"/>
      <c r="AG153" s="1"/>
      <c r="AH153" s="1"/>
    </row>
    <row r="154" customFormat="false" ht="15" hidden="false" customHeight="false" outlineLevel="0" collapsed="false">
      <c r="A154" s="1"/>
      <c r="B154" s="10"/>
      <c r="C154" s="31" t="str">
        <f aca="false">IF(B154="","",TEXT(B154,"ddd"))</f>
        <v/>
      </c>
      <c r="D154" s="11"/>
      <c r="E154" s="8" t="str">
        <f aca="false">IF(D154="","",IFERROR(INDEX(ProjNumbers,MATCH(D154,ProjNames,0)),""))</f>
        <v/>
      </c>
      <c r="F154" s="8" t="str">
        <f aca="false">IF(D154="","",IFERROR(INDEX(ProjCodes,MATCH(D154,ProjNames,0)),""))</f>
        <v/>
      </c>
      <c r="G154" s="32"/>
      <c r="H154" s="11"/>
      <c r="I154" s="33"/>
      <c r="J154" s="8" t="str">
        <f aca="false">IF(COUNTA(B154,D154,G154,H154,I154)=0,"",IF(B154="","Enter date",IF(OR(B154&lt;$AC$2,B154&gt;$AC$3),"Date not in September",IF(D154="","Pick project",IF(ISNA(MATCH(D154,ProjNames,0)),"Project not in list",IF(G154="","Add task description",IF(H154="","Pick NTIME or P6",IF(N(I154)&lt;=0,"Enter hours",IF(AND(AllowOT&lt;&gt;"Yes",SUMIF($B$7:$B$256,B154,$I$7:$I$256)&gt;INDEX($O$58:$O$87,DAY(B154))),"Day over "&amp;INDEX($O$58:$O$87,DAY(B154))&amp;" h","✓")))))))))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tr">
        <f aca="false">IF(Projects!B152="","",Projects!B152)</f>
        <v/>
      </c>
      <c r="X154" s="1" t="n">
        <f aca="false">IF(W154="",0,SUMIFS($I$7:$I$256,$D$7:$D$256,W154,$H$7:$H$256,"NTIME"))</f>
        <v>0</v>
      </c>
      <c r="Y154" s="1" t="n">
        <f aca="false">IF(W154="",0,SUMIFS($I$7:$I$256,$D$7:$D$256,W154,$H$7:$H$256,"P6"))</f>
        <v>0</v>
      </c>
      <c r="Z154" s="1" t="n">
        <f aca="false">X154+Y154</f>
        <v>0</v>
      </c>
      <c r="AA154" s="1" t="n">
        <f aca="false">IF(Z154&gt;0,Z154+(201-148)/10^6,0)</f>
        <v>0</v>
      </c>
      <c r="AB154" s="1"/>
      <c r="AC154" s="1"/>
      <c r="AD154" s="1"/>
      <c r="AE154" s="1"/>
      <c r="AF154" s="1"/>
      <c r="AG154" s="1"/>
      <c r="AH154" s="1"/>
    </row>
    <row r="155" customFormat="false" ht="15" hidden="false" customHeight="false" outlineLevel="0" collapsed="false">
      <c r="A155" s="1"/>
      <c r="B155" s="10"/>
      <c r="C155" s="31" t="str">
        <f aca="false">IF(B155="","",TEXT(B155,"ddd"))</f>
        <v/>
      </c>
      <c r="D155" s="11"/>
      <c r="E155" s="8" t="str">
        <f aca="false">IF(D155="","",IFERROR(INDEX(ProjNumbers,MATCH(D155,ProjNames,0)),""))</f>
        <v/>
      </c>
      <c r="F155" s="8" t="str">
        <f aca="false">IF(D155="","",IFERROR(INDEX(ProjCodes,MATCH(D155,ProjNames,0)),""))</f>
        <v/>
      </c>
      <c r="G155" s="32"/>
      <c r="H155" s="11"/>
      <c r="I155" s="33"/>
      <c r="J155" s="8" t="str">
        <f aca="false">IF(COUNTA(B155,D155,G155,H155,I155)=0,"",IF(B155="","Enter date",IF(OR(B155&lt;$AC$2,B155&gt;$AC$3),"Date not in September",IF(D155="","Pick project",IF(ISNA(MATCH(D155,ProjNames,0)),"Project not in list",IF(G155="","Add task description",IF(H155="","Pick NTIME or P6",IF(N(I155)&lt;=0,"Enter hours",IF(AND(AllowOT&lt;&gt;"Yes",SUMIF($B$7:$B$256,B155,$I$7:$I$256)&gt;INDEX($O$58:$O$87,DAY(B155))),"Day over "&amp;INDEX($O$58:$O$87,DAY(B155))&amp;" h","✓")))))))))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tr">
        <f aca="false">IF(Projects!B153="","",Projects!B153)</f>
        <v/>
      </c>
      <c r="X155" s="1" t="n">
        <f aca="false">IF(W155="",0,SUMIFS($I$7:$I$256,$D$7:$D$256,W155,$H$7:$H$256,"NTIME"))</f>
        <v>0</v>
      </c>
      <c r="Y155" s="1" t="n">
        <f aca="false">IF(W155="",0,SUMIFS($I$7:$I$256,$D$7:$D$256,W155,$H$7:$H$256,"P6"))</f>
        <v>0</v>
      </c>
      <c r="Z155" s="1" t="n">
        <f aca="false">X155+Y155</f>
        <v>0</v>
      </c>
      <c r="AA155" s="1" t="n">
        <f aca="false">IF(Z155&gt;0,Z155+(201-149)/10^6,0)</f>
        <v>0</v>
      </c>
      <c r="AB155" s="1"/>
      <c r="AC155" s="1"/>
      <c r="AD155" s="1"/>
      <c r="AE155" s="1"/>
      <c r="AF155" s="1"/>
      <c r="AG155" s="1"/>
      <c r="AH155" s="1"/>
    </row>
    <row r="156" customFormat="false" ht="15" hidden="false" customHeight="false" outlineLevel="0" collapsed="false">
      <c r="A156" s="1"/>
      <c r="B156" s="10"/>
      <c r="C156" s="31" t="str">
        <f aca="false">IF(B156="","",TEXT(B156,"ddd"))</f>
        <v/>
      </c>
      <c r="D156" s="11"/>
      <c r="E156" s="8" t="str">
        <f aca="false">IF(D156="","",IFERROR(INDEX(ProjNumbers,MATCH(D156,ProjNames,0)),""))</f>
        <v/>
      </c>
      <c r="F156" s="8" t="str">
        <f aca="false">IF(D156="","",IFERROR(INDEX(ProjCodes,MATCH(D156,ProjNames,0)),""))</f>
        <v/>
      </c>
      <c r="G156" s="32"/>
      <c r="H156" s="11"/>
      <c r="I156" s="33"/>
      <c r="J156" s="8" t="str">
        <f aca="false">IF(COUNTA(B156,D156,G156,H156,I156)=0,"",IF(B156="","Enter date",IF(OR(B156&lt;$AC$2,B156&gt;$AC$3),"Date not in September",IF(D156="","Pick project",IF(ISNA(MATCH(D156,ProjNames,0)),"Project not in list",IF(G156="","Add task description",IF(H156="","Pick NTIME or P6",IF(N(I156)&lt;=0,"Enter hours",IF(AND(AllowOT&lt;&gt;"Yes",SUMIF($B$7:$B$256,B156,$I$7:$I$256)&gt;INDEX($O$58:$O$87,DAY(B156))),"Day over "&amp;INDEX($O$58:$O$87,DAY(B156))&amp;" h","✓")))))))))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tr">
        <f aca="false">IF(Projects!B154="","",Projects!B154)</f>
        <v/>
      </c>
      <c r="X156" s="1" t="n">
        <f aca="false">IF(W156="",0,SUMIFS($I$7:$I$256,$D$7:$D$256,W156,$H$7:$H$256,"NTIME"))</f>
        <v>0</v>
      </c>
      <c r="Y156" s="1" t="n">
        <f aca="false">IF(W156="",0,SUMIFS($I$7:$I$256,$D$7:$D$256,W156,$H$7:$H$256,"P6"))</f>
        <v>0</v>
      </c>
      <c r="Z156" s="1" t="n">
        <f aca="false">X156+Y156</f>
        <v>0</v>
      </c>
      <c r="AA156" s="1" t="n">
        <f aca="false">IF(Z156&gt;0,Z156+(201-150)/10^6,0)</f>
        <v>0</v>
      </c>
      <c r="AB156" s="1"/>
      <c r="AC156" s="1"/>
      <c r="AD156" s="1"/>
      <c r="AE156" s="1"/>
      <c r="AF156" s="1"/>
      <c r="AG156" s="1"/>
      <c r="AH156" s="1"/>
    </row>
    <row r="157" customFormat="false" ht="15" hidden="false" customHeight="false" outlineLevel="0" collapsed="false">
      <c r="A157" s="1"/>
      <c r="B157" s="10"/>
      <c r="C157" s="31" t="str">
        <f aca="false">IF(B157="","",TEXT(B157,"ddd"))</f>
        <v/>
      </c>
      <c r="D157" s="11"/>
      <c r="E157" s="8" t="str">
        <f aca="false">IF(D157="","",IFERROR(INDEX(ProjNumbers,MATCH(D157,ProjNames,0)),""))</f>
        <v/>
      </c>
      <c r="F157" s="8" t="str">
        <f aca="false">IF(D157="","",IFERROR(INDEX(ProjCodes,MATCH(D157,ProjNames,0)),""))</f>
        <v/>
      </c>
      <c r="G157" s="32"/>
      <c r="H157" s="11"/>
      <c r="I157" s="33"/>
      <c r="J157" s="8" t="str">
        <f aca="false">IF(COUNTA(B157,D157,G157,H157,I157)=0,"",IF(B157="","Enter date",IF(OR(B157&lt;$AC$2,B157&gt;$AC$3),"Date not in September",IF(D157="","Pick project",IF(ISNA(MATCH(D157,ProjNames,0)),"Project not in list",IF(G157="","Add task description",IF(H157="","Pick NTIME or P6",IF(N(I157)&lt;=0,"Enter hours",IF(AND(AllowOT&lt;&gt;"Yes",SUMIF($B$7:$B$256,B157,$I$7:$I$256)&gt;INDEX($O$58:$O$87,DAY(B157))),"Day over "&amp;INDEX($O$58:$O$87,DAY(B157))&amp;" h","✓")))))))))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tr">
        <f aca="false">IF(Projects!B155="","",Projects!B155)</f>
        <v/>
      </c>
      <c r="X157" s="1" t="n">
        <f aca="false">IF(W157="",0,SUMIFS($I$7:$I$256,$D$7:$D$256,W157,$H$7:$H$256,"NTIME"))</f>
        <v>0</v>
      </c>
      <c r="Y157" s="1" t="n">
        <f aca="false">IF(W157="",0,SUMIFS($I$7:$I$256,$D$7:$D$256,W157,$H$7:$H$256,"P6"))</f>
        <v>0</v>
      </c>
      <c r="Z157" s="1" t="n">
        <f aca="false">X157+Y157</f>
        <v>0</v>
      </c>
      <c r="AA157" s="1" t="n">
        <f aca="false">IF(Z157&gt;0,Z157+(201-151)/10^6,0)</f>
        <v>0</v>
      </c>
      <c r="AB157" s="1"/>
      <c r="AC157" s="1"/>
      <c r="AD157" s="1"/>
      <c r="AE157" s="1"/>
      <c r="AF157" s="1"/>
      <c r="AG157" s="1"/>
      <c r="AH157" s="1"/>
    </row>
    <row r="158" customFormat="false" ht="15" hidden="false" customHeight="false" outlineLevel="0" collapsed="false">
      <c r="A158" s="1"/>
      <c r="B158" s="10"/>
      <c r="C158" s="31" t="str">
        <f aca="false">IF(B158="","",TEXT(B158,"ddd"))</f>
        <v/>
      </c>
      <c r="D158" s="11"/>
      <c r="E158" s="8" t="str">
        <f aca="false">IF(D158="","",IFERROR(INDEX(ProjNumbers,MATCH(D158,ProjNames,0)),""))</f>
        <v/>
      </c>
      <c r="F158" s="8" t="str">
        <f aca="false">IF(D158="","",IFERROR(INDEX(ProjCodes,MATCH(D158,ProjNames,0)),""))</f>
        <v/>
      </c>
      <c r="G158" s="32"/>
      <c r="H158" s="11"/>
      <c r="I158" s="33"/>
      <c r="J158" s="8" t="str">
        <f aca="false">IF(COUNTA(B158,D158,G158,H158,I158)=0,"",IF(B158="","Enter date",IF(OR(B158&lt;$AC$2,B158&gt;$AC$3),"Date not in September",IF(D158="","Pick project",IF(ISNA(MATCH(D158,ProjNames,0)),"Project not in list",IF(G158="","Add task description",IF(H158="","Pick NTIME or P6",IF(N(I158)&lt;=0,"Enter hours",IF(AND(AllowOT&lt;&gt;"Yes",SUMIF($B$7:$B$256,B158,$I$7:$I$256)&gt;INDEX($O$58:$O$87,DAY(B158))),"Day over "&amp;INDEX($O$58:$O$87,DAY(B158))&amp;" h","✓")))))))))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tr">
        <f aca="false">IF(Projects!B156="","",Projects!B156)</f>
        <v/>
      </c>
      <c r="X158" s="1" t="n">
        <f aca="false">IF(W158="",0,SUMIFS($I$7:$I$256,$D$7:$D$256,W158,$H$7:$H$256,"NTIME"))</f>
        <v>0</v>
      </c>
      <c r="Y158" s="1" t="n">
        <f aca="false">IF(W158="",0,SUMIFS($I$7:$I$256,$D$7:$D$256,W158,$H$7:$H$256,"P6"))</f>
        <v>0</v>
      </c>
      <c r="Z158" s="1" t="n">
        <f aca="false">X158+Y158</f>
        <v>0</v>
      </c>
      <c r="AA158" s="1" t="n">
        <f aca="false">IF(Z158&gt;0,Z158+(201-152)/10^6,0)</f>
        <v>0</v>
      </c>
      <c r="AB158" s="1"/>
      <c r="AC158" s="1"/>
      <c r="AD158" s="1"/>
      <c r="AE158" s="1"/>
      <c r="AF158" s="1"/>
      <c r="AG158" s="1"/>
      <c r="AH158" s="1"/>
    </row>
    <row r="159" customFormat="false" ht="15" hidden="false" customHeight="false" outlineLevel="0" collapsed="false">
      <c r="A159" s="1"/>
      <c r="B159" s="10"/>
      <c r="C159" s="31" t="str">
        <f aca="false">IF(B159="","",TEXT(B159,"ddd"))</f>
        <v/>
      </c>
      <c r="D159" s="11"/>
      <c r="E159" s="8" t="str">
        <f aca="false">IF(D159="","",IFERROR(INDEX(ProjNumbers,MATCH(D159,ProjNames,0)),""))</f>
        <v/>
      </c>
      <c r="F159" s="8" t="str">
        <f aca="false">IF(D159="","",IFERROR(INDEX(ProjCodes,MATCH(D159,ProjNames,0)),""))</f>
        <v/>
      </c>
      <c r="G159" s="32"/>
      <c r="H159" s="11"/>
      <c r="I159" s="33"/>
      <c r="J159" s="8" t="str">
        <f aca="false">IF(COUNTA(B159,D159,G159,H159,I159)=0,"",IF(B159="","Enter date",IF(OR(B159&lt;$AC$2,B159&gt;$AC$3),"Date not in September",IF(D159="","Pick project",IF(ISNA(MATCH(D159,ProjNames,0)),"Project not in list",IF(G159="","Add task description",IF(H159="","Pick NTIME or P6",IF(N(I159)&lt;=0,"Enter hours",IF(AND(AllowOT&lt;&gt;"Yes",SUMIF($B$7:$B$256,B159,$I$7:$I$256)&gt;INDEX($O$58:$O$87,DAY(B159))),"Day over "&amp;INDEX($O$58:$O$87,DAY(B159))&amp;" h","✓")))))))))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tr">
        <f aca="false">IF(Projects!B157="","",Projects!B157)</f>
        <v/>
      </c>
      <c r="X159" s="1" t="n">
        <f aca="false">IF(W159="",0,SUMIFS($I$7:$I$256,$D$7:$D$256,W159,$H$7:$H$256,"NTIME"))</f>
        <v>0</v>
      </c>
      <c r="Y159" s="1" t="n">
        <f aca="false">IF(W159="",0,SUMIFS($I$7:$I$256,$D$7:$D$256,W159,$H$7:$H$256,"P6"))</f>
        <v>0</v>
      </c>
      <c r="Z159" s="1" t="n">
        <f aca="false">X159+Y159</f>
        <v>0</v>
      </c>
      <c r="AA159" s="1" t="n">
        <f aca="false">IF(Z159&gt;0,Z159+(201-153)/10^6,0)</f>
        <v>0</v>
      </c>
      <c r="AB159" s="1"/>
      <c r="AC159" s="1"/>
      <c r="AD159" s="1"/>
      <c r="AE159" s="1"/>
      <c r="AF159" s="1"/>
      <c r="AG159" s="1"/>
      <c r="AH159" s="1"/>
    </row>
    <row r="160" customFormat="false" ht="15" hidden="false" customHeight="false" outlineLevel="0" collapsed="false">
      <c r="A160" s="1"/>
      <c r="B160" s="10"/>
      <c r="C160" s="31" t="str">
        <f aca="false">IF(B160="","",TEXT(B160,"ddd"))</f>
        <v/>
      </c>
      <c r="D160" s="11"/>
      <c r="E160" s="8" t="str">
        <f aca="false">IF(D160="","",IFERROR(INDEX(ProjNumbers,MATCH(D160,ProjNames,0)),""))</f>
        <v/>
      </c>
      <c r="F160" s="8" t="str">
        <f aca="false">IF(D160="","",IFERROR(INDEX(ProjCodes,MATCH(D160,ProjNames,0)),""))</f>
        <v/>
      </c>
      <c r="G160" s="32"/>
      <c r="H160" s="11"/>
      <c r="I160" s="33"/>
      <c r="J160" s="8" t="str">
        <f aca="false">IF(COUNTA(B160,D160,G160,H160,I160)=0,"",IF(B160="","Enter date",IF(OR(B160&lt;$AC$2,B160&gt;$AC$3),"Date not in September",IF(D160="","Pick project",IF(ISNA(MATCH(D160,ProjNames,0)),"Project not in list",IF(G160="","Add task description",IF(H160="","Pick NTIME or P6",IF(N(I160)&lt;=0,"Enter hours",IF(AND(AllowOT&lt;&gt;"Yes",SUMIF($B$7:$B$256,B160,$I$7:$I$256)&gt;INDEX($O$58:$O$87,DAY(B160))),"Day over "&amp;INDEX($O$58:$O$87,DAY(B160))&amp;" h","✓")))))))))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tr">
        <f aca="false">IF(Projects!B158="","",Projects!B158)</f>
        <v/>
      </c>
      <c r="X160" s="1" t="n">
        <f aca="false">IF(W160="",0,SUMIFS($I$7:$I$256,$D$7:$D$256,W160,$H$7:$H$256,"NTIME"))</f>
        <v>0</v>
      </c>
      <c r="Y160" s="1" t="n">
        <f aca="false">IF(W160="",0,SUMIFS($I$7:$I$256,$D$7:$D$256,W160,$H$7:$H$256,"P6"))</f>
        <v>0</v>
      </c>
      <c r="Z160" s="1" t="n">
        <f aca="false">X160+Y160</f>
        <v>0</v>
      </c>
      <c r="AA160" s="1" t="n">
        <f aca="false">IF(Z160&gt;0,Z160+(201-154)/10^6,0)</f>
        <v>0</v>
      </c>
      <c r="AB160" s="1"/>
      <c r="AC160" s="1"/>
      <c r="AD160" s="1"/>
      <c r="AE160" s="1"/>
      <c r="AF160" s="1"/>
      <c r="AG160" s="1"/>
      <c r="AH160" s="1"/>
    </row>
    <row r="161" customFormat="false" ht="15" hidden="false" customHeight="false" outlineLevel="0" collapsed="false">
      <c r="A161" s="1"/>
      <c r="B161" s="10"/>
      <c r="C161" s="31" t="str">
        <f aca="false">IF(B161="","",TEXT(B161,"ddd"))</f>
        <v/>
      </c>
      <c r="D161" s="11"/>
      <c r="E161" s="8" t="str">
        <f aca="false">IF(D161="","",IFERROR(INDEX(ProjNumbers,MATCH(D161,ProjNames,0)),""))</f>
        <v/>
      </c>
      <c r="F161" s="8" t="str">
        <f aca="false">IF(D161="","",IFERROR(INDEX(ProjCodes,MATCH(D161,ProjNames,0)),""))</f>
        <v/>
      </c>
      <c r="G161" s="32"/>
      <c r="H161" s="11"/>
      <c r="I161" s="33"/>
      <c r="J161" s="8" t="str">
        <f aca="false">IF(COUNTA(B161,D161,G161,H161,I161)=0,"",IF(B161="","Enter date",IF(OR(B161&lt;$AC$2,B161&gt;$AC$3),"Date not in September",IF(D161="","Pick project",IF(ISNA(MATCH(D161,ProjNames,0)),"Project not in list",IF(G161="","Add task description",IF(H161="","Pick NTIME or P6",IF(N(I161)&lt;=0,"Enter hours",IF(AND(AllowOT&lt;&gt;"Yes",SUMIF($B$7:$B$256,B161,$I$7:$I$256)&gt;INDEX($O$58:$O$87,DAY(B161))),"Day over "&amp;INDEX($O$58:$O$87,DAY(B161))&amp;" h","✓")))))))))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tr">
        <f aca="false">IF(Projects!B159="","",Projects!B159)</f>
        <v/>
      </c>
      <c r="X161" s="1" t="n">
        <f aca="false">IF(W161="",0,SUMIFS($I$7:$I$256,$D$7:$D$256,W161,$H$7:$H$256,"NTIME"))</f>
        <v>0</v>
      </c>
      <c r="Y161" s="1" t="n">
        <f aca="false">IF(W161="",0,SUMIFS($I$7:$I$256,$D$7:$D$256,W161,$H$7:$H$256,"P6"))</f>
        <v>0</v>
      </c>
      <c r="Z161" s="1" t="n">
        <f aca="false">X161+Y161</f>
        <v>0</v>
      </c>
      <c r="AA161" s="1" t="n">
        <f aca="false">IF(Z161&gt;0,Z161+(201-155)/10^6,0)</f>
        <v>0</v>
      </c>
      <c r="AB161" s="1"/>
      <c r="AC161" s="1"/>
      <c r="AD161" s="1"/>
      <c r="AE161" s="1"/>
      <c r="AF161" s="1"/>
      <c r="AG161" s="1"/>
      <c r="AH161" s="1"/>
    </row>
    <row r="162" customFormat="false" ht="15" hidden="false" customHeight="false" outlineLevel="0" collapsed="false">
      <c r="A162" s="1"/>
      <c r="B162" s="10"/>
      <c r="C162" s="31" t="str">
        <f aca="false">IF(B162="","",TEXT(B162,"ddd"))</f>
        <v/>
      </c>
      <c r="D162" s="11"/>
      <c r="E162" s="8" t="str">
        <f aca="false">IF(D162="","",IFERROR(INDEX(ProjNumbers,MATCH(D162,ProjNames,0)),""))</f>
        <v/>
      </c>
      <c r="F162" s="8" t="str">
        <f aca="false">IF(D162="","",IFERROR(INDEX(ProjCodes,MATCH(D162,ProjNames,0)),""))</f>
        <v/>
      </c>
      <c r="G162" s="32"/>
      <c r="H162" s="11"/>
      <c r="I162" s="33"/>
      <c r="J162" s="8" t="str">
        <f aca="false">IF(COUNTA(B162,D162,G162,H162,I162)=0,"",IF(B162="","Enter date",IF(OR(B162&lt;$AC$2,B162&gt;$AC$3),"Date not in September",IF(D162="","Pick project",IF(ISNA(MATCH(D162,ProjNames,0)),"Project not in list",IF(G162="","Add task description",IF(H162="","Pick NTIME or P6",IF(N(I162)&lt;=0,"Enter hours",IF(AND(AllowOT&lt;&gt;"Yes",SUMIF($B$7:$B$256,B162,$I$7:$I$256)&gt;INDEX($O$58:$O$87,DAY(B162))),"Day over "&amp;INDEX($O$58:$O$87,DAY(B162))&amp;" h","✓")))))))))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tr">
        <f aca="false">IF(Projects!B160="","",Projects!B160)</f>
        <v/>
      </c>
      <c r="X162" s="1" t="n">
        <f aca="false">IF(W162="",0,SUMIFS($I$7:$I$256,$D$7:$D$256,W162,$H$7:$H$256,"NTIME"))</f>
        <v>0</v>
      </c>
      <c r="Y162" s="1" t="n">
        <f aca="false">IF(W162="",0,SUMIFS($I$7:$I$256,$D$7:$D$256,W162,$H$7:$H$256,"P6"))</f>
        <v>0</v>
      </c>
      <c r="Z162" s="1" t="n">
        <f aca="false">X162+Y162</f>
        <v>0</v>
      </c>
      <c r="AA162" s="1" t="n">
        <f aca="false">IF(Z162&gt;0,Z162+(201-156)/10^6,0)</f>
        <v>0</v>
      </c>
      <c r="AB162" s="1"/>
      <c r="AC162" s="1"/>
      <c r="AD162" s="1"/>
      <c r="AE162" s="1"/>
      <c r="AF162" s="1"/>
      <c r="AG162" s="1"/>
      <c r="AH162" s="1"/>
    </row>
    <row r="163" customFormat="false" ht="15" hidden="false" customHeight="false" outlineLevel="0" collapsed="false">
      <c r="A163" s="1"/>
      <c r="B163" s="10"/>
      <c r="C163" s="31" t="str">
        <f aca="false">IF(B163="","",TEXT(B163,"ddd"))</f>
        <v/>
      </c>
      <c r="D163" s="11"/>
      <c r="E163" s="8" t="str">
        <f aca="false">IF(D163="","",IFERROR(INDEX(ProjNumbers,MATCH(D163,ProjNames,0)),""))</f>
        <v/>
      </c>
      <c r="F163" s="8" t="str">
        <f aca="false">IF(D163="","",IFERROR(INDEX(ProjCodes,MATCH(D163,ProjNames,0)),""))</f>
        <v/>
      </c>
      <c r="G163" s="32"/>
      <c r="H163" s="11"/>
      <c r="I163" s="33"/>
      <c r="J163" s="8" t="str">
        <f aca="false">IF(COUNTA(B163,D163,G163,H163,I163)=0,"",IF(B163="","Enter date",IF(OR(B163&lt;$AC$2,B163&gt;$AC$3),"Date not in September",IF(D163="","Pick project",IF(ISNA(MATCH(D163,ProjNames,0)),"Project not in list",IF(G163="","Add task description",IF(H163="","Pick NTIME or P6",IF(N(I163)&lt;=0,"Enter hours",IF(AND(AllowOT&lt;&gt;"Yes",SUMIF($B$7:$B$256,B163,$I$7:$I$256)&gt;INDEX($O$58:$O$87,DAY(B163))),"Day over "&amp;INDEX($O$58:$O$87,DAY(B163))&amp;" h","✓")))))))))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tr">
        <f aca="false">IF(Projects!B161="","",Projects!B161)</f>
        <v/>
      </c>
      <c r="X163" s="1" t="n">
        <f aca="false">IF(W163="",0,SUMIFS($I$7:$I$256,$D$7:$D$256,W163,$H$7:$H$256,"NTIME"))</f>
        <v>0</v>
      </c>
      <c r="Y163" s="1" t="n">
        <f aca="false">IF(W163="",0,SUMIFS($I$7:$I$256,$D$7:$D$256,W163,$H$7:$H$256,"P6"))</f>
        <v>0</v>
      </c>
      <c r="Z163" s="1" t="n">
        <f aca="false">X163+Y163</f>
        <v>0</v>
      </c>
      <c r="AA163" s="1" t="n">
        <f aca="false">IF(Z163&gt;0,Z163+(201-157)/10^6,0)</f>
        <v>0</v>
      </c>
      <c r="AB163" s="1"/>
      <c r="AC163" s="1"/>
      <c r="AD163" s="1"/>
      <c r="AE163" s="1"/>
      <c r="AF163" s="1"/>
      <c r="AG163" s="1"/>
      <c r="AH163" s="1"/>
    </row>
    <row r="164" customFormat="false" ht="15" hidden="false" customHeight="false" outlineLevel="0" collapsed="false">
      <c r="A164" s="1"/>
      <c r="B164" s="10"/>
      <c r="C164" s="31" t="str">
        <f aca="false">IF(B164="","",TEXT(B164,"ddd"))</f>
        <v/>
      </c>
      <c r="D164" s="11"/>
      <c r="E164" s="8" t="str">
        <f aca="false">IF(D164="","",IFERROR(INDEX(ProjNumbers,MATCH(D164,ProjNames,0)),""))</f>
        <v/>
      </c>
      <c r="F164" s="8" t="str">
        <f aca="false">IF(D164="","",IFERROR(INDEX(ProjCodes,MATCH(D164,ProjNames,0)),""))</f>
        <v/>
      </c>
      <c r="G164" s="32"/>
      <c r="H164" s="11"/>
      <c r="I164" s="33"/>
      <c r="J164" s="8" t="str">
        <f aca="false">IF(COUNTA(B164,D164,G164,H164,I164)=0,"",IF(B164="","Enter date",IF(OR(B164&lt;$AC$2,B164&gt;$AC$3),"Date not in September",IF(D164="","Pick project",IF(ISNA(MATCH(D164,ProjNames,0)),"Project not in list",IF(G164="","Add task description",IF(H164="","Pick NTIME or P6",IF(N(I164)&lt;=0,"Enter hours",IF(AND(AllowOT&lt;&gt;"Yes",SUMIF($B$7:$B$256,B164,$I$7:$I$256)&gt;INDEX($O$58:$O$87,DAY(B164))),"Day over "&amp;INDEX($O$58:$O$87,DAY(B164))&amp;" h","✓")))))))))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tr">
        <f aca="false">IF(Projects!B162="","",Projects!B162)</f>
        <v/>
      </c>
      <c r="X164" s="1" t="n">
        <f aca="false">IF(W164="",0,SUMIFS($I$7:$I$256,$D$7:$D$256,W164,$H$7:$H$256,"NTIME"))</f>
        <v>0</v>
      </c>
      <c r="Y164" s="1" t="n">
        <f aca="false">IF(W164="",0,SUMIFS($I$7:$I$256,$D$7:$D$256,W164,$H$7:$H$256,"P6"))</f>
        <v>0</v>
      </c>
      <c r="Z164" s="1" t="n">
        <f aca="false">X164+Y164</f>
        <v>0</v>
      </c>
      <c r="AA164" s="1" t="n">
        <f aca="false">IF(Z164&gt;0,Z164+(201-158)/10^6,0)</f>
        <v>0</v>
      </c>
      <c r="AB164" s="1"/>
      <c r="AC164" s="1"/>
      <c r="AD164" s="1"/>
      <c r="AE164" s="1"/>
      <c r="AF164" s="1"/>
      <c r="AG164" s="1"/>
      <c r="AH164" s="1"/>
    </row>
    <row r="165" customFormat="false" ht="15" hidden="false" customHeight="false" outlineLevel="0" collapsed="false">
      <c r="A165" s="1"/>
      <c r="B165" s="10"/>
      <c r="C165" s="31" t="str">
        <f aca="false">IF(B165="","",TEXT(B165,"ddd"))</f>
        <v/>
      </c>
      <c r="D165" s="11"/>
      <c r="E165" s="8" t="str">
        <f aca="false">IF(D165="","",IFERROR(INDEX(ProjNumbers,MATCH(D165,ProjNames,0)),""))</f>
        <v/>
      </c>
      <c r="F165" s="8" t="str">
        <f aca="false">IF(D165="","",IFERROR(INDEX(ProjCodes,MATCH(D165,ProjNames,0)),""))</f>
        <v/>
      </c>
      <c r="G165" s="32"/>
      <c r="H165" s="11"/>
      <c r="I165" s="33"/>
      <c r="J165" s="8" t="str">
        <f aca="false">IF(COUNTA(B165,D165,G165,H165,I165)=0,"",IF(B165="","Enter date",IF(OR(B165&lt;$AC$2,B165&gt;$AC$3),"Date not in September",IF(D165="","Pick project",IF(ISNA(MATCH(D165,ProjNames,0)),"Project not in list",IF(G165="","Add task description",IF(H165="","Pick NTIME or P6",IF(N(I165)&lt;=0,"Enter hours",IF(AND(AllowOT&lt;&gt;"Yes",SUMIF($B$7:$B$256,B165,$I$7:$I$256)&gt;INDEX($O$58:$O$87,DAY(B165))),"Day over "&amp;INDEX($O$58:$O$87,DAY(B165))&amp;" h","✓")))))))))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tr">
        <f aca="false">IF(Projects!B163="","",Projects!B163)</f>
        <v/>
      </c>
      <c r="X165" s="1" t="n">
        <f aca="false">IF(W165="",0,SUMIFS($I$7:$I$256,$D$7:$D$256,W165,$H$7:$H$256,"NTIME"))</f>
        <v>0</v>
      </c>
      <c r="Y165" s="1" t="n">
        <f aca="false">IF(W165="",0,SUMIFS($I$7:$I$256,$D$7:$D$256,W165,$H$7:$H$256,"P6"))</f>
        <v>0</v>
      </c>
      <c r="Z165" s="1" t="n">
        <f aca="false">X165+Y165</f>
        <v>0</v>
      </c>
      <c r="AA165" s="1" t="n">
        <f aca="false">IF(Z165&gt;0,Z165+(201-159)/10^6,0)</f>
        <v>0</v>
      </c>
      <c r="AB165" s="1"/>
      <c r="AC165" s="1"/>
      <c r="AD165" s="1"/>
      <c r="AE165" s="1"/>
      <c r="AF165" s="1"/>
      <c r="AG165" s="1"/>
      <c r="AH165" s="1"/>
    </row>
    <row r="166" customFormat="false" ht="15" hidden="false" customHeight="false" outlineLevel="0" collapsed="false">
      <c r="A166" s="1"/>
      <c r="B166" s="10"/>
      <c r="C166" s="31" t="str">
        <f aca="false">IF(B166="","",TEXT(B166,"ddd"))</f>
        <v/>
      </c>
      <c r="D166" s="11"/>
      <c r="E166" s="8" t="str">
        <f aca="false">IF(D166="","",IFERROR(INDEX(ProjNumbers,MATCH(D166,ProjNames,0)),""))</f>
        <v/>
      </c>
      <c r="F166" s="8" t="str">
        <f aca="false">IF(D166="","",IFERROR(INDEX(ProjCodes,MATCH(D166,ProjNames,0)),""))</f>
        <v/>
      </c>
      <c r="G166" s="32"/>
      <c r="H166" s="11"/>
      <c r="I166" s="33"/>
      <c r="J166" s="8" t="str">
        <f aca="false">IF(COUNTA(B166,D166,G166,H166,I166)=0,"",IF(B166="","Enter date",IF(OR(B166&lt;$AC$2,B166&gt;$AC$3),"Date not in September",IF(D166="","Pick project",IF(ISNA(MATCH(D166,ProjNames,0)),"Project not in list",IF(G166="","Add task description",IF(H166="","Pick NTIME or P6",IF(N(I166)&lt;=0,"Enter hours",IF(AND(AllowOT&lt;&gt;"Yes",SUMIF($B$7:$B$256,B166,$I$7:$I$256)&gt;INDEX($O$58:$O$87,DAY(B166))),"Day over "&amp;INDEX($O$58:$O$87,DAY(B166))&amp;" h","✓")))))))))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tr">
        <f aca="false">IF(Projects!B164="","",Projects!B164)</f>
        <v/>
      </c>
      <c r="X166" s="1" t="n">
        <f aca="false">IF(W166="",0,SUMIFS($I$7:$I$256,$D$7:$D$256,W166,$H$7:$H$256,"NTIME"))</f>
        <v>0</v>
      </c>
      <c r="Y166" s="1" t="n">
        <f aca="false">IF(W166="",0,SUMIFS($I$7:$I$256,$D$7:$D$256,W166,$H$7:$H$256,"P6"))</f>
        <v>0</v>
      </c>
      <c r="Z166" s="1" t="n">
        <f aca="false">X166+Y166</f>
        <v>0</v>
      </c>
      <c r="AA166" s="1" t="n">
        <f aca="false">IF(Z166&gt;0,Z166+(201-160)/10^6,0)</f>
        <v>0</v>
      </c>
      <c r="AB166" s="1"/>
      <c r="AC166" s="1"/>
      <c r="AD166" s="1"/>
      <c r="AE166" s="1"/>
      <c r="AF166" s="1"/>
      <c r="AG166" s="1"/>
      <c r="AH166" s="1"/>
    </row>
    <row r="167" customFormat="false" ht="15" hidden="false" customHeight="false" outlineLevel="0" collapsed="false">
      <c r="A167" s="1"/>
      <c r="B167" s="10"/>
      <c r="C167" s="31" t="str">
        <f aca="false">IF(B167="","",TEXT(B167,"ddd"))</f>
        <v/>
      </c>
      <c r="D167" s="11"/>
      <c r="E167" s="8" t="str">
        <f aca="false">IF(D167="","",IFERROR(INDEX(ProjNumbers,MATCH(D167,ProjNames,0)),""))</f>
        <v/>
      </c>
      <c r="F167" s="8" t="str">
        <f aca="false">IF(D167="","",IFERROR(INDEX(ProjCodes,MATCH(D167,ProjNames,0)),""))</f>
        <v/>
      </c>
      <c r="G167" s="32"/>
      <c r="H167" s="11"/>
      <c r="I167" s="33"/>
      <c r="J167" s="8" t="str">
        <f aca="false">IF(COUNTA(B167,D167,G167,H167,I167)=0,"",IF(B167="","Enter date",IF(OR(B167&lt;$AC$2,B167&gt;$AC$3),"Date not in September",IF(D167="","Pick project",IF(ISNA(MATCH(D167,ProjNames,0)),"Project not in list",IF(G167="","Add task description",IF(H167="","Pick NTIME or P6",IF(N(I167)&lt;=0,"Enter hours",IF(AND(AllowOT&lt;&gt;"Yes",SUMIF($B$7:$B$256,B167,$I$7:$I$256)&gt;INDEX($O$58:$O$87,DAY(B167))),"Day over "&amp;INDEX($O$58:$O$87,DAY(B167))&amp;" h","✓")))))))))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 aca="false">IF(Projects!B165="","",Projects!B165)</f>
        <v/>
      </c>
      <c r="X167" s="1" t="n">
        <f aca="false">IF(W167="",0,SUMIFS($I$7:$I$256,$D$7:$D$256,W167,$H$7:$H$256,"NTIME"))</f>
        <v>0</v>
      </c>
      <c r="Y167" s="1" t="n">
        <f aca="false">IF(W167="",0,SUMIFS($I$7:$I$256,$D$7:$D$256,W167,$H$7:$H$256,"P6"))</f>
        <v>0</v>
      </c>
      <c r="Z167" s="1" t="n">
        <f aca="false">X167+Y167</f>
        <v>0</v>
      </c>
      <c r="AA167" s="1" t="n">
        <f aca="false">IF(Z167&gt;0,Z167+(201-161)/10^6,0)</f>
        <v>0</v>
      </c>
      <c r="AB167" s="1"/>
      <c r="AC167" s="1"/>
      <c r="AD167" s="1"/>
      <c r="AE167" s="1"/>
      <c r="AF167" s="1"/>
      <c r="AG167" s="1"/>
      <c r="AH167" s="1"/>
    </row>
    <row r="168" customFormat="false" ht="15" hidden="false" customHeight="false" outlineLevel="0" collapsed="false">
      <c r="A168" s="1"/>
      <c r="B168" s="10"/>
      <c r="C168" s="31" t="str">
        <f aca="false">IF(B168="","",TEXT(B168,"ddd"))</f>
        <v/>
      </c>
      <c r="D168" s="11"/>
      <c r="E168" s="8" t="str">
        <f aca="false">IF(D168="","",IFERROR(INDEX(ProjNumbers,MATCH(D168,ProjNames,0)),""))</f>
        <v/>
      </c>
      <c r="F168" s="8" t="str">
        <f aca="false">IF(D168="","",IFERROR(INDEX(ProjCodes,MATCH(D168,ProjNames,0)),""))</f>
        <v/>
      </c>
      <c r="G168" s="32"/>
      <c r="H168" s="11"/>
      <c r="I168" s="33"/>
      <c r="J168" s="8" t="str">
        <f aca="false">IF(COUNTA(B168,D168,G168,H168,I168)=0,"",IF(B168="","Enter date",IF(OR(B168&lt;$AC$2,B168&gt;$AC$3),"Date not in September",IF(D168="","Pick project",IF(ISNA(MATCH(D168,ProjNames,0)),"Project not in list",IF(G168="","Add task description",IF(H168="","Pick NTIME or P6",IF(N(I168)&lt;=0,"Enter hours",IF(AND(AllowOT&lt;&gt;"Yes",SUMIF($B$7:$B$256,B168,$I$7:$I$256)&gt;INDEX($O$58:$O$87,DAY(B168))),"Day over "&amp;INDEX($O$58:$O$87,DAY(B168))&amp;" h","✓")))))))))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tr">
        <f aca="false">IF(Projects!B166="","",Projects!B166)</f>
        <v/>
      </c>
      <c r="X168" s="1" t="n">
        <f aca="false">IF(W168="",0,SUMIFS($I$7:$I$256,$D$7:$D$256,W168,$H$7:$H$256,"NTIME"))</f>
        <v>0</v>
      </c>
      <c r="Y168" s="1" t="n">
        <f aca="false">IF(W168="",0,SUMIFS($I$7:$I$256,$D$7:$D$256,W168,$H$7:$H$256,"P6"))</f>
        <v>0</v>
      </c>
      <c r="Z168" s="1" t="n">
        <f aca="false">X168+Y168</f>
        <v>0</v>
      </c>
      <c r="AA168" s="1" t="n">
        <f aca="false">IF(Z168&gt;0,Z168+(201-162)/10^6,0)</f>
        <v>0</v>
      </c>
      <c r="AB168" s="1"/>
      <c r="AC168" s="1"/>
      <c r="AD168" s="1"/>
      <c r="AE168" s="1"/>
      <c r="AF168" s="1"/>
      <c r="AG168" s="1"/>
      <c r="AH168" s="1"/>
    </row>
    <row r="169" customFormat="false" ht="15" hidden="false" customHeight="false" outlineLevel="0" collapsed="false">
      <c r="A169" s="1"/>
      <c r="B169" s="10"/>
      <c r="C169" s="31" t="str">
        <f aca="false">IF(B169="","",TEXT(B169,"ddd"))</f>
        <v/>
      </c>
      <c r="D169" s="11"/>
      <c r="E169" s="8" t="str">
        <f aca="false">IF(D169="","",IFERROR(INDEX(ProjNumbers,MATCH(D169,ProjNames,0)),""))</f>
        <v/>
      </c>
      <c r="F169" s="8" t="str">
        <f aca="false">IF(D169="","",IFERROR(INDEX(ProjCodes,MATCH(D169,ProjNames,0)),""))</f>
        <v/>
      </c>
      <c r="G169" s="32"/>
      <c r="H169" s="11"/>
      <c r="I169" s="33"/>
      <c r="J169" s="8" t="str">
        <f aca="false">IF(COUNTA(B169,D169,G169,H169,I169)=0,"",IF(B169="","Enter date",IF(OR(B169&lt;$AC$2,B169&gt;$AC$3),"Date not in September",IF(D169="","Pick project",IF(ISNA(MATCH(D169,ProjNames,0)),"Project not in list",IF(G169="","Add task description",IF(H169="","Pick NTIME or P6",IF(N(I169)&lt;=0,"Enter hours",IF(AND(AllowOT&lt;&gt;"Yes",SUMIF($B$7:$B$256,B169,$I$7:$I$256)&gt;INDEX($O$58:$O$87,DAY(B169))),"Day over "&amp;INDEX($O$58:$O$87,DAY(B169))&amp;" h","✓")))))))))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tr">
        <f aca="false">IF(Projects!B167="","",Projects!B167)</f>
        <v/>
      </c>
      <c r="X169" s="1" t="n">
        <f aca="false">IF(W169="",0,SUMIFS($I$7:$I$256,$D$7:$D$256,W169,$H$7:$H$256,"NTIME"))</f>
        <v>0</v>
      </c>
      <c r="Y169" s="1" t="n">
        <f aca="false">IF(W169="",0,SUMIFS($I$7:$I$256,$D$7:$D$256,W169,$H$7:$H$256,"P6"))</f>
        <v>0</v>
      </c>
      <c r="Z169" s="1" t="n">
        <f aca="false">X169+Y169</f>
        <v>0</v>
      </c>
      <c r="AA169" s="1" t="n">
        <f aca="false">IF(Z169&gt;0,Z169+(201-163)/10^6,0)</f>
        <v>0</v>
      </c>
      <c r="AB169" s="1"/>
      <c r="AC169" s="1"/>
      <c r="AD169" s="1"/>
      <c r="AE169" s="1"/>
      <c r="AF169" s="1"/>
      <c r="AG169" s="1"/>
      <c r="AH169" s="1"/>
    </row>
    <row r="170" customFormat="false" ht="15" hidden="false" customHeight="false" outlineLevel="0" collapsed="false">
      <c r="A170" s="1"/>
      <c r="B170" s="10"/>
      <c r="C170" s="31" t="str">
        <f aca="false">IF(B170="","",TEXT(B170,"ddd"))</f>
        <v/>
      </c>
      <c r="D170" s="11"/>
      <c r="E170" s="8" t="str">
        <f aca="false">IF(D170="","",IFERROR(INDEX(ProjNumbers,MATCH(D170,ProjNames,0)),""))</f>
        <v/>
      </c>
      <c r="F170" s="8" t="str">
        <f aca="false">IF(D170="","",IFERROR(INDEX(ProjCodes,MATCH(D170,ProjNames,0)),""))</f>
        <v/>
      </c>
      <c r="G170" s="32"/>
      <c r="H170" s="11"/>
      <c r="I170" s="33"/>
      <c r="J170" s="8" t="str">
        <f aca="false">IF(COUNTA(B170,D170,G170,H170,I170)=0,"",IF(B170="","Enter date",IF(OR(B170&lt;$AC$2,B170&gt;$AC$3),"Date not in September",IF(D170="","Pick project",IF(ISNA(MATCH(D170,ProjNames,0)),"Project not in list",IF(G170="","Add task description",IF(H170="","Pick NTIME or P6",IF(N(I170)&lt;=0,"Enter hours",IF(AND(AllowOT&lt;&gt;"Yes",SUMIF($B$7:$B$256,B170,$I$7:$I$256)&gt;INDEX($O$58:$O$87,DAY(B170))),"Day over "&amp;INDEX($O$58:$O$87,DAY(B170))&amp;" h","✓")))))))))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tr">
        <f aca="false">IF(Projects!B168="","",Projects!B168)</f>
        <v/>
      </c>
      <c r="X170" s="1" t="n">
        <f aca="false">IF(W170="",0,SUMIFS($I$7:$I$256,$D$7:$D$256,W170,$H$7:$H$256,"NTIME"))</f>
        <v>0</v>
      </c>
      <c r="Y170" s="1" t="n">
        <f aca="false">IF(W170="",0,SUMIFS($I$7:$I$256,$D$7:$D$256,W170,$H$7:$H$256,"P6"))</f>
        <v>0</v>
      </c>
      <c r="Z170" s="1" t="n">
        <f aca="false">X170+Y170</f>
        <v>0</v>
      </c>
      <c r="AA170" s="1" t="n">
        <f aca="false">IF(Z170&gt;0,Z170+(201-164)/10^6,0)</f>
        <v>0</v>
      </c>
      <c r="AB170" s="1"/>
      <c r="AC170" s="1"/>
      <c r="AD170" s="1"/>
      <c r="AE170" s="1"/>
      <c r="AF170" s="1"/>
      <c r="AG170" s="1"/>
      <c r="AH170" s="1"/>
    </row>
    <row r="171" customFormat="false" ht="15" hidden="false" customHeight="false" outlineLevel="0" collapsed="false">
      <c r="A171" s="1"/>
      <c r="B171" s="10"/>
      <c r="C171" s="31" t="str">
        <f aca="false">IF(B171="","",TEXT(B171,"ddd"))</f>
        <v/>
      </c>
      <c r="D171" s="11"/>
      <c r="E171" s="8" t="str">
        <f aca="false">IF(D171="","",IFERROR(INDEX(ProjNumbers,MATCH(D171,ProjNames,0)),""))</f>
        <v/>
      </c>
      <c r="F171" s="8" t="str">
        <f aca="false">IF(D171="","",IFERROR(INDEX(ProjCodes,MATCH(D171,ProjNames,0)),""))</f>
        <v/>
      </c>
      <c r="G171" s="32"/>
      <c r="H171" s="11"/>
      <c r="I171" s="33"/>
      <c r="J171" s="8" t="str">
        <f aca="false">IF(COUNTA(B171,D171,G171,H171,I171)=0,"",IF(B171="","Enter date",IF(OR(B171&lt;$AC$2,B171&gt;$AC$3),"Date not in September",IF(D171="","Pick project",IF(ISNA(MATCH(D171,ProjNames,0)),"Project not in list",IF(G171="","Add task description",IF(H171="","Pick NTIME or P6",IF(N(I171)&lt;=0,"Enter hours",IF(AND(AllowOT&lt;&gt;"Yes",SUMIF($B$7:$B$256,B171,$I$7:$I$256)&gt;INDEX($O$58:$O$87,DAY(B171))),"Day over "&amp;INDEX($O$58:$O$87,DAY(B171))&amp;" h","✓")))))))))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tr">
        <f aca="false">IF(Projects!B169="","",Projects!B169)</f>
        <v/>
      </c>
      <c r="X171" s="1" t="n">
        <f aca="false">IF(W171="",0,SUMIFS($I$7:$I$256,$D$7:$D$256,W171,$H$7:$H$256,"NTIME"))</f>
        <v>0</v>
      </c>
      <c r="Y171" s="1" t="n">
        <f aca="false">IF(W171="",0,SUMIFS($I$7:$I$256,$D$7:$D$256,W171,$H$7:$H$256,"P6"))</f>
        <v>0</v>
      </c>
      <c r="Z171" s="1" t="n">
        <f aca="false">X171+Y171</f>
        <v>0</v>
      </c>
      <c r="AA171" s="1" t="n">
        <f aca="false">IF(Z171&gt;0,Z171+(201-165)/10^6,0)</f>
        <v>0</v>
      </c>
      <c r="AB171" s="1"/>
      <c r="AC171" s="1"/>
      <c r="AD171" s="1"/>
      <c r="AE171" s="1"/>
      <c r="AF171" s="1"/>
      <c r="AG171" s="1"/>
      <c r="AH171" s="1"/>
    </row>
    <row r="172" customFormat="false" ht="15" hidden="false" customHeight="false" outlineLevel="0" collapsed="false">
      <c r="A172" s="1"/>
      <c r="B172" s="10"/>
      <c r="C172" s="31" t="str">
        <f aca="false">IF(B172="","",TEXT(B172,"ddd"))</f>
        <v/>
      </c>
      <c r="D172" s="11"/>
      <c r="E172" s="8" t="str">
        <f aca="false">IF(D172="","",IFERROR(INDEX(ProjNumbers,MATCH(D172,ProjNames,0)),""))</f>
        <v/>
      </c>
      <c r="F172" s="8" t="str">
        <f aca="false">IF(D172="","",IFERROR(INDEX(ProjCodes,MATCH(D172,ProjNames,0)),""))</f>
        <v/>
      </c>
      <c r="G172" s="32"/>
      <c r="H172" s="11"/>
      <c r="I172" s="33"/>
      <c r="J172" s="8" t="str">
        <f aca="false">IF(COUNTA(B172,D172,G172,H172,I172)=0,"",IF(B172="","Enter date",IF(OR(B172&lt;$AC$2,B172&gt;$AC$3),"Date not in September",IF(D172="","Pick project",IF(ISNA(MATCH(D172,ProjNames,0)),"Project not in list",IF(G172="","Add task description",IF(H172="","Pick NTIME or P6",IF(N(I172)&lt;=0,"Enter hours",IF(AND(AllowOT&lt;&gt;"Yes",SUMIF($B$7:$B$256,B172,$I$7:$I$256)&gt;INDEX($O$58:$O$87,DAY(B172))),"Day over "&amp;INDEX($O$58:$O$87,DAY(B172))&amp;" h","✓")))))))))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tr">
        <f aca="false">IF(Projects!B170="","",Projects!B170)</f>
        <v/>
      </c>
      <c r="X172" s="1" t="n">
        <f aca="false">IF(W172="",0,SUMIFS($I$7:$I$256,$D$7:$D$256,W172,$H$7:$H$256,"NTIME"))</f>
        <v>0</v>
      </c>
      <c r="Y172" s="1" t="n">
        <f aca="false">IF(W172="",0,SUMIFS($I$7:$I$256,$D$7:$D$256,W172,$H$7:$H$256,"P6"))</f>
        <v>0</v>
      </c>
      <c r="Z172" s="1" t="n">
        <f aca="false">X172+Y172</f>
        <v>0</v>
      </c>
      <c r="AA172" s="1" t="n">
        <f aca="false">IF(Z172&gt;0,Z172+(201-166)/10^6,0)</f>
        <v>0</v>
      </c>
      <c r="AB172" s="1"/>
      <c r="AC172" s="1"/>
      <c r="AD172" s="1"/>
      <c r="AE172" s="1"/>
      <c r="AF172" s="1"/>
      <c r="AG172" s="1"/>
      <c r="AH172" s="1"/>
    </row>
    <row r="173" customFormat="false" ht="15" hidden="false" customHeight="false" outlineLevel="0" collapsed="false">
      <c r="A173" s="1"/>
      <c r="B173" s="10"/>
      <c r="C173" s="31" t="str">
        <f aca="false">IF(B173="","",TEXT(B173,"ddd"))</f>
        <v/>
      </c>
      <c r="D173" s="11"/>
      <c r="E173" s="8" t="str">
        <f aca="false">IF(D173="","",IFERROR(INDEX(ProjNumbers,MATCH(D173,ProjNames,0)),""))</f>
        <v/>
      </c>
      <c r="F173" s="8" t="str">
        <f aca="false">IF(D173="","",IFERROR(INDEX(ProjCodes,MATCH(D173,ProjNames,0)),""))</f>
        <v/>
      </c>
      <c r="G173" s="32"/>
      <c r="H173" s="11"/>
      <c r="I173" s="33"/>
      <c r="J173" s="8" t="str">
        <f aca="false">IF(COUNTA(B173,D173,G173,H173,I173)=0,"",IF(B173="","Enter date",IF(OR(B173&lt;$AC$2,B173&gt;$AC$3),"Date not in September",IF(D173="","Pick project",IF(ISNA(MATCH(D173,ProjNames,0)),"Project not in list",IF(G173="","Add task description",IF(H173="","Pick NTIME or P6",IF(N(I173)&lt;=0,"Enter hours",IF(AND(AllowOT&lt;&gt;"Yes",SUMIF($B$7:$B$256,B173,$I$7:$I$256)&gt;INDEX($O$58:$O$87,DAY(B173))),"Day over "&amp;INDEX($O$58:$O$87,DAY(B173))&amp;" h","✓")))))))))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tr">
        <f aca="false">IF(Projects!B171="","",Projects!B171)</f>
        <v/>
      </c>
      <c r="X173" s="1" t="n">
        <f aca="false">IF(W173="",0,SUMIFS($I$7:$I$256,$D$7:$D$256,W173,$H$7:$H$256,"NTIME"))</f>
        <v>0</v>
      </c>
      <c r="Y173" s="1" t="n">
        <f aca="false">IF(W173="",0,SUMIFS($I$7:$I$256,$D$7:$D$256,W173,$H$7:$H$256,"P6"))</f>
        <v>0</v>
      </c>
      <c r="Z173" s="1" t="n">
        <f aca="false">X173+Y173</f>
        <v>0</v>
      </c>
      <c r="AA173" s="1" t="n">
        <f aca="false">IF(Z173&gt;0,Z173+(201-167)/10^6,0)</f>
        <v>0</v>
      </c>
      <c r="AB173" s="1"/>
      <c r="AC173" s="1"/>
      <c r="AD173" s="1"/>
      <c r="AE173" s="1"/>
      <c r="AF173" s="1"/>
      <c r="AG173" s="1"/>
      <c r="AH173" s="1"/>
    </row>
    <row r="174" customFormat="false" ht="15" hidden="false" customHeight="false" outlineLevel="0" collapsed="false">
      <c r="A174" s="1"/>
      <c r="B174" s="10"/>
      <c r="C174" s="31" t="str">
        <f aca="false">IF(B174="","",TEXT(B174,"ddd"))</f>
        <v/>
      </c>
      <c r="D174" s="11"/>
      <c r="E174" s="8" t="str">
        <f aca="false">IF(D174="","",IFERROR(INDEX(ProjNumbers,MATCH(D174,ProjNames,0)),""))</f>
        <v/>
      </c>
      <c r="F174" s="8" t="str">
        <f aca="false">IF(D174="","",IFERROR(INDEX(ProjCodes,MATCH(D174,ProjNames,0)),""))</f>
        <v/>
      </c>
      <c r="G174" s="32"/>
      <c r="H174" s="11"/>
      <c r="I174" s="33"/>
      <c r="J174" s="8" t="str">
        <f aca="false">IF(COUNTA(B174,D174,G174,H174,I174)=0,"",IF(B174="","Enter date",IF(OR(B174&lt;$AC$2,B174&gt;$AC$3),"Date not in September",IF(D174="","Pick project",IF(ISNA(MATCH(D174,ProjNames,0)),"Project not in list",IF(G174="","Add task description",IF(H174="","Pick NTIME or P6",IF(N(I174)&lt;=0,"Enter hours",IF(AND(AllowOT&lt;&gt;"Yes",SUMIF($B$7:$B$256,B174,$I$7:$I$256)&gt;INDEX($O$58:$O$87,DAY(B174))),"Day over "&amp;INDEX($O$58:$O$87,DAY(B174))&amp;" h","✓")))))))))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tr">
        <f aca="false">IF(Projects!B172="","",Projects!B172)</f>
        <v/>
      </c>
      <c r="X174" s="1" t="n">
        <f aca="false">IF(W174="",0,SUMIFS($I$7:$I$256,$D$7:$D$256,W174,$H$7:$H$256,"NTIME"))</f>
        <v>0</v>
      </c>
      <c r="Y174" s="1" t="n">
        <f aca="false">IF(W174="",0,SUMIFS($I$7:$I$256,$D$7:$D$256,W174,$H$7:$H$256,"P6"))</f>
        <v>0</v>
      </c>
      <c r="Z174" s="1" t="n">
        <f aca="false">X174+Y174</f>
        <v>0</v>
      </c>
      <c r="AA174" s="1" t="n">
        <f aca="false">IF(Z174&gt;0,Z174+(201-168)/10^6,0)</f>
        <v>0</v>
      </c>
      <c r="AB174" s="1"/>
      <c r="AC174" s="1"/>
      <c r="AD174" s="1"/>
      <c r="AE174" s="1"/>
      <c r="AF174" s="1"/>
      <c r="AG174" s="1"/>
      <c r="AH174" s="1"/>
    </row>
    <row r="175" customFormat="false" ht="15" hidden="false" customHeight="false" outlineLevel="0" collapsed="false">
      <c r="A175" s="1"/>
      <c r="B175" s="10"/>
      <c r="C175" s="31" t="str">
        <f aca="false">IF(B175="","",TEXT(B175,"ddd"))</f>
        <v/>
      </c>
      <c r="D175" s="11"/>
      <c r="E175" s="8" t="str">
        <f aca="false">IF(D175="","",IFERROR(INDEX(ProjNumbers,MATCH(D175,ProjNames,0)),""))</f>
        <v/>
      </c>
      <c r="F175" s="8" t="str">
        <f aca="false">IF(D175="","",IFERROR(INDEX(ProjCodes,MATCH(D175,ProjNames,0)),""))</f>
        <v/>
      </c>
      <c r="G175" s="32"/>
      <c r="H175" s="11"/>
      <c r="I175" s="33"/>
      <c r="J175" s="8" t="str">
        <f aca="false">IF(COUNTA(B175,D175,G175,H175,I175)=0,"",IF(B175="","Enter date",IF(OR(B175&lt;$AC$2,B175&gt;$AC$3),"Date not in September",IF(D175="","Pick project",IF(ISNA(MATCH(D175,ProjNames,0)),"Project not in list",IF(G175="","Add task description",IF(H175="","Pick NTIME or P6",IF(N(I175)&lt;=0,"Enter hours",IF(AND(AllowOT&lt;&gt;"Yes",SUMIF($B$7:$B$256,B175,$I$7:$I$256)&gt;INDEX($O$58:$O$87,DAY(B175))),"Day over "&amp;INDEX($O$58:$O$87,DAY(B175))&amp;" h","✓")))))))))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tr">
        <f aca="false">IF(Projects!B173="","",Projects!B173)</f>
        <v/>
      </c>
      <c r="X175" s="1" t="n">
        <f aca="false">IF(W175="",0,SUMIFS($I$7:$I$256,$D$7:$D$256,W175,$H$7:$H$256,"NTIME"))</f>
        <v>0</v>
      </c>
      <c r="Y175" s="1" t="n">
        <f aca="false">IF(W175="",0,SUMIFS($I$7:$I$256,$D$7:$D$256,W175,$H$7:$H$256,"P6"))</f>
        <v>0</v>
      </c>
      <c r="Z175" s="1" t="n">
        <f aca="false">X175+Y175</f>
        <v>0</v>
      </c>
      <c r="AA175" s="1" t="n">
        <f aca="false">IF(Z175&gt;0,Z175+(201-169)/10^6,0)</f>
        <v>0</v>
      </c>
      <c r="AB175" s="1"/>
      <c r="AC175" s="1"/>
      <c r="AD175" s="1"/>
      <c r="AE175" s="1"/>
      <c r="AF175" s="1"/>
      <c r="AG175" s="1"/>
      <c r="AH175" s="1"/>
    </row>
    <row r="176" customFormat="false" ht="15" hidden="false" customHeight="false" outlineLevel="0" collapsed="false">
      <c r="A176" s="1"/>
      <c r="B176" s="10"/>
      <c r="C176" s="31" t="str">
        <f aca="false">IF(B176="","",TEXT(B176,"ddd"))</f>
        <v/>
      </c>
      <c r="D176" s="11"/>
      <c r="E176" s="8" t="str">
        <f aca="false">IF(D176="","",IFERROR(INDEX(ProjNumbers,MATCH(D176,ProjNames,0)),""))</f>
        <v/>
      </c>
      <c r="F176" s="8" t="str">
        <f aca="false">IF(D176="","",IFERROR(INDEX(ProjCodes,MATCH(D176,ProjNames,0)),""))</f>
        <v/>
      </c>
      <c r="G176" s="32"/>
      <c r="H176" s="11"/>
      <c r="I176" s="33"/>
      <c r="J176" s="8" t="str">
        <f aca="false">IF(COUNTA(B176,D176,G176,H176,I176)=0,"",IF(B176="","Enter date",IF(OR(B176&lt;$AC$2,B176&gt;$AC$3),"Date not in September",IF(D176="","Pick project",IF(ISNA(MATCH(D176,ProjNames,0)),"Project not in list",IF(G176="","Add task description",IF(H176="","Pick NTIME or P6",IF(N(I176)&lt;=0,"Enter hours",IF(AND(AllowOT&lt;&gt;"Yes",SUMIF($B$7:$B$256,B176,$I$7:$I$256)&gt;INDEX($O$58:$O$87,DAY(B176))),"Day over "&amp;INDEX($O$58:$O$87,DAY(B176))&amp;" h","✓")))))))))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tr">
        <f aca="false">IF(Projects!B174="","",Projects!B174)</f>
        <v/>
      </c>
      <c r="X176" s="1" t="n">
        <f aca="false">IF(W176="",0,SUMIFS($I$7:$I$256,$D$7:$D$256,W176,$H$7:$H$256,"NTIME"))</f>
        <v>0</v>
      </c>
      <c r="Y176" s="1" t="n">
        <f aca="false">IF(W176="",0,SUMIFS($I$7:$I$256,$D$7:$D$256,W176,$H$7:$H$256,"P6"))</f>
        <v>0</v>
      </c>
      <c r="Z176" s="1" t="n">
        <f aca="false">X176+Y176</f>
        <v>0</v>
      </c>
      <c r="AA176" s="1" t="n">
        <f aca="false">IF(Z176&gt;0,Z176+(201-170)/10^6,0)</f>
        <v>0</v>
      </c>
      <c r="AB176" s="1"/>
      <c r="AC176" s="1"/>
      <c r="AD176" s="1"/>
      <c r="AE176" s="1"/>
      <c r="AF176" s="1"/>
      <c r="AG176" s="1"/>
      <c r="AH176" s="1"/>
    </row>
    <row r="177" customFormat="false" ht="15" hidden="false" customHeight="false" outlineLevel="0" collapsed="false">
      <c r="A177" s="1"/>
      <c r="B177" s="10"/>
      <c r="C177" s="31" t="str">
        <f aca="false">IF(B177="","",TEXT(B177,"ddd"))</f>
        <v/>
      </c>
      <c r="D177" s="11"/>
      <c r="E177" s="8" t="str">
        <f aca="false">IF(D177="","",IFERROR(INDEX(ProjNumbers,MATCH(D177,ProjNames,0)),""))</f>
        <v/>
      </c>
      <c r="F177" s="8" t="str">
        <f aca="false">IF(D177="","",IFERROR(INDEX(ProjCodes,MATCH(D177,ProjNames,0)),""))</f>
        <v/>
      </c>
      <c r="G177" s="32"/>
      <c r="H177" s="11"/>
      <c r="I177" s="33"/>
      <c r="J177" s="8" t="str">
        <f aca="false">IF(COUNTA(B177,D177,G177,H177,I177)=0,"",IF(B177="","Enter date",IF(OR(B177&lt;$AC$2,B177&gt;$AC$3),"Date not in September",IF(D177="","Pick project",IF(ISNA(MATCH(D177,ProjNames,0)),"Project not in list",IF(G177="","Add task description",IF(H177="","Pick NTIME or P6",IF(N(I177)&lt;=0,"Enter hours",IF(AND(AllowOT&lt;&gt;"Yes",SUMIF($B$7:$B$256,B177,$I$7:$I$256)&gt;INDEX($O$58:$O$87,DAY(B177))),"Day over "&amp;INDEX($O$58:$O$87,DAY(B177))&amp;" h","✓")))))))))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tr">
        <f aca="false">IF(Projects!B175="","",Projects!B175)</f>
        <v/>
      </c>
      <c r="X177" s="1" t="n">
        <f aca="false">IF(W177="",0,SUMIFS($I$7:$I$256,$D$7:$D$256,W177,$H$7:$H$256,"NTIME"))</f>
        <v>0</v>
      </c>
      <c r="Y177" s="1" t="n">
        <f aca="false">IF(W177="",0,SUMIFS($I$7:$I$256,$D$7:$D$256,W177,$H$7:$H$256,"P6"))</f>
        <v>0</v>
      </c>
      <c r="Z177" s="1" t="n">
        <f aca="false">X177+Y177</f>
        <v>0</v>
      </c>
      <c r="AA177" s="1" t="n">
        <f aca="false">IF(Z177&gt;0,Z177+(201-171)/10^6,0)</f>
        <v>0</v>
      </c>
      <c r="AB177" s="1"/>
      <c r="AC177" s="1"/>
      <c r="AD177" s="1"/>
      <c r="AE177" s="1"/>
      <c r="AF177" s="1"/>
      <c r="AG177" s="1"/>
      <c r="AH177" s="1"/>
    </row>
    <row r="178" customFormat="false" ht="15" hidden="false" customHeight="false" outlineLevel="0" collapsed="false">
      <c r="A178" s="1"/>
      <c r="B178" s="10"/>
      <c r="C178" s="31" t="str">
        <f aca="false">IF(B178="","",TEXT(B178,"ddd"))</f>
        <v/>
      </c>
      <c r="D178" s="11"/>
      <c r="E178" s="8" t="str">
        <f aca="false">IF(D178="","",IFERROR(INDEX(ProjNumbers,MATCH(D178,ProjNames,0)),""))</f>
        <v/>
      </c>
      <c r="F178" s="8" t="str">
        <f aca="false">IF(D178="","",IFERROR(INDEX(ProjCodes,MATCH(D178,ProjNames,0)),""))</f>
        <v/>
      </c>
      <c r="G178" s="32"/>
      <c r="H178" s="11"/>
      <c r="I178" s="33"/>
      <c r="J178" s="8" t="str">
        <f aca="false">IF(COUNTA(B178,D178,G178,H178,I178)=0,"",IF(B178="","Enter date",IF(OR(B178&lt;$AC$2,B178&gt;$AC$3),"Date not in September",IF(D178="","Pick project",IF(ISNA(MATCH(D178,ProjNames,0)),"Project not in list",IF(G178="","Add task description",IF(H178="","Pick NTIME or P6",IF(N(I178)&lt;=0,"Enter hours",IF(AND(AllowOT&lt;&gt;"Yes",SUMIF($B$7:$B$256,B178,$I$7:$I$256)&gt;INDEX($O$58:$O$87,DAY(B178))),"Day over "&amp;INDEX($O$58:$O$87,DAY(B178))&amp;" h","✓")))))))))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tr">
        <f aca="false">IF(Projects!B176="","",Projects!B176)</f>
        <v/>
      </c>
      <c r="X178" s="1" t="n">
        <f aca="false">IF(W178="",0,SUMIFS($I$7:$I$256,$D$7:$D$256,W178,$H$7:$H$256,"NTIME"))</f>
        <v>0</v>
      </c>
      <c r="Y178" s="1" t="n">
        <f aca="false">IF(W178="",0,SUMIFS($I$7:$I$256,$D$7:$D$256,W178,$H$7:$H$256,"P6"))</f>
        <v>0</v>
      </c>
      <c r="Z178" s="1" t="n">
        <f aca="false">X178+Y178</f>
        <v>0</v>
      </c>
      <c r="AA178" s="1" t="n">
        <f aca="false">IF(Z178&gt;0,Z178+(201-172)/10^6,0)</f>
        <v>0</v>
      </c>
      <c r="AB178" s="1"/>
      <c r="AC178" s="1"/>
      <c r="AD178" s="1"/>
      <c r="AE178" s="1"/>
      <c r="AF178" s="1"/>
      <c r="AG178" s="1"/>
      <c r="AH178" s="1"/>
    </row>
    <row r="179" customFormat="false" ht="15" hidden="false" customHeight="false" outlineLevel="0" collapsed="false">
      <c r="A179" s="1"/>
      <c r="B179" s="10"/>
      <c r="C179" s="31" t="str">
        <f aca="false">IF(B179="","",TEXT(B179,"ddd"))</f>
        <v/>
      </c>
      <c r="D179" s="11"/>
      <c r="E179" s="8" t="str">
        <f aca="false">IF(D179="","",IFERROR(INDEX(ProjNumbers,MATCH(D179,ProjNames,0)),""))</f>
        <v/>
      </c>
      <c r="F179" s="8" t="str">
        <f aca="false">IF(D179="","",IFERROR(INDEX(ProjCodes,MATCH(D179,ProjNames,0)),""))</f>
        <v/>
      </c>
      <c r="G179" s="32"/>
      <c r="H179" s="11"/>
      <c r="I179" s="33"/>
      <c r="J179" s="8" t="str">
        <f aca="false">IF(COUNTA(B179,D179,G179,H179,I179)=0,"",IF(B179="","Enter date",IF(OR(B179&lt;$AC$2,B179&gt;$AC$3),"Date not in September",IF(D179="","Pick project",IF(ISNA(MATCH(D179,ProjNames,0)),"Project not in list",IF(G179="","Add task description",IF(H179="","Pick NTIME or P6",IF(N(I179)&lt;=0,"Enter hours",IF(AND(AllowOT&lt;&gt;"Yes",SUMIF($B$7:$B$256,B179,$I$7:$I$256)&gt;INDEX($O$58:$O$87,DAY(B179))),"Day over "&amp;INDEX($O$58:$O$87,DAY(B179))&amp;" h","✓")))))))))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tr">
        <f aca="false">IF(Projects!B177="","",Projects!B177)</f>
        <v/>
      </c>
      <c r="X179" s="1" t="n">
        <f aca="false">IF(W179="",0,SUMIFS($I$7:$I$256,$D$7:$D$256,W179,$H$7:$H$256,"NTIME"))</f>
        <v>0</v>
      </c>
      <c r="Y179" s="1" t="n">
        <f aca="false">IF(W179="",0,SUMIFS($I$7:$I$256,$D$7:$D$256,W179,$H$7:$H$256,"P6"))</f>
        <v>0</v>
      </c>
      <c r="Z179" s="1" t="n">
        <f aca="false">X179+Y179</f>
        <v>0</v>
      </c>
      <c r="AA179" s="1" t="n">
        <f aca="false">IF(Z179&gt;0,Z179+(201-173)/10^6,0)</f>
        <v>0</v>
      </c>
      <c r="AB179" s="1"/>
      <c r="AC179" s="1"/>
      <c r="AD179" s="1"/>
      <c r="AE179" s="1"/>
      <c r="AF179" s="1"/>
      <c r="AG179" s="1"/>
      <c r="AH179" s="1"/>
    </row>
    <row r="180" customFormat="false" ht="15" hidden="false" customHeight="false" outlineLevel="0" collapsed="false">
      <c r="A180" s="1"/>
      <c r="B180" s="10"/>
      <c r="C180" s="31" t="str">
        <f aca="false">IF(B180="","",TEXT(B180,"ddd"))</f>
        <v/>
      </c>
      <c r="D180" s="11"/>
      <c r="E180" s="8" t="str">
        <f aca="false">IF(D180="","",IFERROR(INDEX(ProjNumbers,MATCH(D180,ProjNames,0)),""))</f>
        <v/>
      </c>
      <c r="F180" s="8" t="str">
        <f aca="false">IF(D180="","",IFERROR(INDEX(ProjCodes,MATCH(D180,ProjNames,0)),""))</f>
        <v/>
      </c>
      <c r="G180" s="32"/>
      <c r="H180" s="11"/>
      <c r="I180" s="33"/>
      <c r="J180" s="8" t="str">
        <f aca="false">IF(COUNTA(B180,D180,G180,H180,I180)=0,"",IF(B180="","Enter date",IF(OR(B180&lt;$AC$2,B180&gt;$AC$3),"Date not in September",IF(D180="","Pick project",IF(ISNA(MATCH(D180,ProjNames,0)),"Project not in list",IF(G180="","Add task description",IF(H180="","Pick NTIME or P6",IF(N(I180)&lt;=0,"Enter hours",IF(AND(AllowOT&lt;&gt;"Yes",SUMIF($B$7:$B$256,B180,$I$7:$I$256)&gt;INDEX($O$58:$O$87,DAY(B180))),"Day over "&amp;INDEX($O$58:$O$87,DAY(B180))&amp;" h","✓")))))))))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tr">
        <f aca="false">IF(Projects!B178="","",Projects!B178)</f>
        <v/>
      </c>
      <c r="X180" s="1" t="n">
        <f aca="false">IF(W180="",0,SUMIFS($I$7:$I$256,$D$7:$D$256,W180,$H$7:$H$256,"NTIME"))</f>
        <v>0</v>
      </c>
      <c r="Y180" s="1" t="n">
        <f aca="false">IF(W180="",0,SUMIFS($I$7:$I$256,$D$7:$D$256,W180,$H$7:$H$256,"P6"))</f>
        <v>0</v>
      </c>
      <c r="Z180" s="1" t="n">
        <f aca="false">X180+Y180</f>
        <v>0</v>
      </c>
      <c r="AA180" s="1" t="n">
        <f aca="false">IF(Z180&gt;0,Z180+(201-174)/10^6,0)</f>
        <v>0</v>
      </c>
      <c r="AB180" s="1"/>
      <c r="AC180" s="1"/>
      <c r="AD180" s="1"/>
      <c r="AE180" s="1"/>
      <c r="AF180" s="1"/>
      <c r="AG180" s="1"/>
      <c r="AH180" s="1"/>
    </row>
    <row r="181" customFormat="false" ht="15" hidden="false" customHeight="false" outlineLevel="0" collapsed="false">
      <c r="A181" s="1"/>
      <c r="B181" s="10"/>
      <c r="C181" s="31" t="str">
        <f aca="false">IF(B181="","",TEXT(B181,"ddd"))</f>
        <v/>
      </c>
      <c r="D181" s="11"/>
      <c r="E181" s="8" t="str">
        <f aca="false">IF(D181="","",IFERROR(INDEX(ProjNumbers,MATCH(D181,ProjNames,0)),""))</f>
        <v/>
      </c>
      <c r="F181" s="8" t="str">
        <f aca="false">IF(D181="","",IFERROR(INDEX(ProjCodes,MATCH(D181,ProjNames,0)),""))</f>
        <v/>
      </c>
      <c r="G181" s="32"/>
      <c r="H181" s="11"/>
      <c r="I181" s="33"/>
      <c r="J181" s="8" t="str">
        <f aca="false">IF(COUNTA(B181,D181,G181,H181,I181)=0,"",IF(B181="","Enter date",IF(OR(B181&lt;$AC$2,B181&gt;$AC$3),"Date not in September",IF(D181="","Pick project",IF(ISNA(MATCH(D181,ProjNames,0)),"Project not in list",IF(G181="","Add task description",IF(H181="","Pick NTIME or P6",IF(N(I181)&lt;=0,"Enter hours",IF(AND(AllowOT&lt;&gt;"Yes",SUMIF($B$7:$B$256,B181,$I$7:$I$256)&gt;INDEX($O$58:$O$87,DAY(B181))),"Day over "&amp;INDEX($O$58:$O$87,DAY(B181))&amp;" h","✓")))))))))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tr">
        <f aca="false">IF(Projects!B179="","",Projects!B179)</f>
        <v/>
      </c>
      <c r="X181" s="1" t="n">
        <f aca="false">IF(W181="",0,SUMIFS($I$7:$I$256,$D$7:$D$256,W181,$H$7:$H$256,"NTIME"))</f>
        <v>0</v>
      </c>
      <c r="Y181" s="1" t="n">
        <f aca="false">IF(W181="",0,SUMIFS($I$7:$I$256,$D$7:$D$256,W181,$H$7:$H$256,"P6"))</f>
        <v>0</v>
      </c>
      <c r="Z181" s="1" t="n">
        <f aca="false">X181+Y181</f>
        <v>0</v>
      </c>
      <c r="AA181" s="1" t="n">
        <f aca="false">IF(Z181&gt;0,Z181+(201-175)/10^6,0)</f>
        <v>0</v>
      </c>
      <c r="AB181" s="1"/>
      <c r="AC181" s="1"/>
      <c r="AD181" s="1"/>
      <c r="AE181" s="1"/>
      <c r="AF181" s="1"/>
      <c r="AG181" s="1"/>
      <c r="AH181" s="1"/>
    </row>
    <row r="182" customFormat="false" ht="15" hidden="false" customHeight="false" outlineLevel="0" collapsed="false">
      <c r="A182" s="1"/>
      <c r="B182" s="10"/>
      <c r="C182" s="31" t="str">
        <f aca="false">IF(B182="","",TEXT(B182,"ddd"))</f>
        <v/>
      </c>
      <c r="D182" s="11"/>
      <c r="E182" s="8" t="str">
        <f aca="false">IF(D182="","",IFERROR(INDEX(ProjNumbers,MATCH(D182,ProjNames,0)),""))</f>
        <v/>
      </c>
      <c r="F182" s="8" t="str">
        <f aca="false">IF(D182="","",IFERROR(INDEX(ProjCodes,MATCH(D182,ProjNames,0)),""))</f>
        <v/>
      </c>
      <c r="G182" s="32"/>
      <c r="H182" s="11"/>
      <c r="I182" s="33"/>
      <c r="J182" s="8" t="str">
        <f aca="false">IF(COUNTA(B182,D182,G182,H182,I182)=0,"",IF(B182="","Enter date",IF(OR(B182&lt;$AC$2,B182&gt;$AC$3),"Date not in September",IF(D182="","Pick project",IF(ISNA(MATCH(D182,ProjNames,0)),"Project not in list",IF(G182="","Add task description",IF(H182="","Pick NTIME or P6",IF(N(I182)&lt;=0,"Enter hours",IF(AND(AllowOT&lt;&gt;"Yes",SUMIF($B$7:$B$256,B182,$I$7:$I$256)&gt;INDEX($O$58:$O$87,DAY(B182))),"Day over "&amp;INDEX($O$58:$O$87,DAY(B182))&amp;" h","✓")))))))))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tr">
        <f aca="false">IF(Projects!B180="","",Projects!B180)</f>
        <v/>
      </c>
      <c r="X182" s="1" t="n">
        <f aca="false">IF(W182="",0,SUMIFS($I$7:$I$256,$D$7:$D$256,W182,$H$7:$H$256,"NTIME"))</f>
        <v>0</v>
      </c>
      <c r="Y182" s="1" t="n">
        <f aca="false">IF(W182="",0,SUMIFS($I$7:$I$256,$D$7:$D$256,W182,$H$7:$H$256,"P6"))</f>
        <v>0</v>
      </c>
      <c r="Z182" s="1" t="n">
        <f aca="false">X182+Y182</f>
        <v>0</v>
      </c>
      <c r="AA182" s="1" t="n">
        <f aca="false">IF(Z182&gt;0,Z182+(201-176)/10^6,0)</f>
        <v>0</v>
      </c>
      <c r="AB182" s="1"/>
      <c r="AC182" s="1"/>
      <c r="AD182" s="1"/>
      <c r="AE182" s="1"/>
      <c r="AF182" s="1"/>
      <c r="AG182" s="1"/>
      <c r="AH182" s="1"/>
    </row>
    <row r="183" customFormat="false" ht="15" hidden="false" customHeight="false" outlineLevel="0" collapsed="false">
      <c r="A183" s="1"/>
      <c r="B183" s="10"/>
      <c r="C183" s="31" t="str">
        <f aca="false">IF(B183="","",TEXT(B183,"ddd"))</f>
        <v/>
      </c>
      <c r="D183" s="11"/>
      <c r="E183" s="8" t="str">
        <f aca="false">IF(D183="","",IFERROR(INDEX(ProjNumbers,MATCH(D183,ProjNames,0)),""))</f>
        <v/>
      </c>
      <c r="F183" s="8" t="str">
        <f aca="false">IF(D183="","",IFERROR(INDEX(ProjCodes,MATCH(D183,ProjNames,0)),""))</f>
        <v/>
      </c>
      <c r="G183" s="32"/>
      <c r="H183" s="11"/>
      <c r="I183" s="33"/>
      <c r="J183" s="8" t="str">
        <f aca="false">IF(COUNTA(B183,D183,G183,H183,I183)=0,"",IF(B183="","Enter date",IF(OR(B183&lt;$AC$2,B183&gt;$AC$3),"Date not in September",IF(D183="","Pick project",IF(ISNA(MATCH(D183,ProjNames,0)),"Project not in list",IF(G183="","Add task description",IF(H183="","Pick NTIME or P6",IF(N(I183)&lt;=0,"Enter hours",IF(AND(AllowOT&lt;&gt;"Yes",SUMIF($B$7:$B$256,B183,$I$7:$I$256)&gt;INDEX($O$58:$O$87,DAY(B183))),"Day over "&amp;INDEX($O$58:$O$87,DAY(B183))&amp;" h","✓")))))))))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tr">
        <f aca="false">IF(Projects!B181="","",Projects!B181)</f>
        <v/>
      </c>
      <c r="X183" s="1" t="n">
        <f aca="false">IF(W183="",0,SUMIFS($I$7:$I$256,$D$7:$D$256,W183,$H$7:$H$256,"NTIME"))</f>
        <v>0</v>
      </c>
      <c r="Y183" s="1" t="n">
        <f aca="false">IF(W183="",0,SUMIFS($I$7:$I$256,$D$7:$D$256,W183,$H$7:$H$256,"P6"))</f>
        <v>0</v>
      </c>
      <c r="Z183" s="1" t="n">
        <f aca="false">X183+Y183</f>
        <v>0</v>
      </c>
      <c r="AA183" s="1" t="n">
        <f aca="false">IF(Z183&gt;0,Z183+(201-177)/10^6,0)</f>
        <v>0</v>
      </c>
      <c r="AB183" s="1"/>
      <c r="AC183" s="1"/>
      <c r="AD183" s="1"/>
      <c r="AE183" s="1"/>
      <c r="AF183" s="1"/>
      <c r="AG183" s="1"/>
      <c r="AH183" s="1"/>
    </row>
    <row r="184" customFormat="false" ht="15" hidden="false" customHeight="false" outlineLevel="0" collapsed="false">
      <c r="A184" s="1"/>
      <c r="B184" s="10"/>
      <c r="C184" s="31" t="str">
        <f aca="false">IF(B184="","",TEXT(B184,"ddd"))</f>
        <v/>
      </c>
      <c r="D184" s="11"/>
      <c r="E184" s="8" t="str">
        <f aca="false">IF(D184="","",IFERROR(INDEX(ProjNumbers,MATCH(D184,ProjNames,0)),""))</f>
        <v/>
      </c>
      <c r="F184" s="8" t="str">
        <f aca="false">IF(D184="","",IFERROR(INDEX(ProjCodes,MATCH(D184,ProjNames,0)),""))</f>
        <v/>
      </c>
      <c r="G184" s="32"/>
      <c r="H184" s="11"/>
      <c r="I184" s="33"/>
      <c r="J184" s="8" t="str">
        <f aca="false">IF(COUNTA(B184,D184,G184,H184,I184)=0,"",IF(B184="","Enter date",IF(OR(B184&lt;$AC$2,B184&gt;$AC$3),"Date not in September",IF(D184="","Pick project",IF(ISNA(MATCH(D184,ProjNames,0)),"Project not in list",IF(G184="","Add task description",IF(H184="","Pick NTIME or P6",IF(N(I184)&lt;=0,"Enter hours",IF(AND(AllowOT&lt;&gt;"Yes",SUMIF($B$7:$B$256,B184,$I$7:$I$256)&gt;INDEX($O$58:$O$87,DAY(B184))),"Day over "&amp;INDEX($O$58:$O$87,DAY(B184))&amp;" h","✓")))))))))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tr">
        <f aca="false">IF(Projects!B182="","",Projects!B182)</f>
        <v/>
      </c>
      <c r="X184" s="1" t="n">
        <f aca="false">IF(W184="",0,SUMIFS($I$7:$I$256,$D$7:$D$256,W184,$H$7:$H$256,"NTIME"))</f>
        <v>0</v>
      </c>
      <c r="Y184" s="1" t="n">
        <f aca="false">IF(W184="",0,SUMIFS($I$7:$I$256,$D$7:$D$256,W184,$H$7:$H$256,"P6"))</f>
        <v>0</v>
      </c>
      <c r="Z184" s="1" t="n">
        <f aca="false">X184+Y184</f>
        <v>0</v>
      </c>
      <c r="AA184" s="1" t="n">
        <f aca="false">IF(Z184&gt;0,Z184+(201-178)/10^6,0)</f>
        <v>0</v>
      </c>
      <c r="AB184" s="1"/>
      <c r="AC184" s="1"/>
      <c r="AD184" s="1"/>
      <c r="AE184" s="1"/>
      <c r="AF184" s="1"/>
      <c r="AG184" s="1"/>
      <c r="AH184" s="1"/>
    </row>
    <row r="185" customFormat="false" ht="15" hidden="false" customHeight="false" outlineLevel="0" collapsed="false">
      <c r="A185" s="1"/>
      <c r="B185" s="10"/>
      <c r="C185" s="31" t="str">
        <f aca="false">IF(B185="","",TEXT(B185,"ddd"))</f>
        <v/>
      </c>
      <c r="D185" s="11"/>
      <c r="E185" s="8" t="str">
        <f aca="false">IF(D185="","",IFERROR(INDEX(ProjNumbers,MATCH(D185,ProjNames,0)),""))</f>
        <v/>
      </c>
      <c r="F185" s="8" t="str">
        <f aca="false">IF(D185="","",IFERROR(INDEX(ProjCodes,MATCH(D185,ProjNames,0)),""))</f>
        <v/>
      </c>
      <c r="G185" s="32"/>
      <c r="H185" s="11"/>
      <c r="I185" s="33"/>
      <c r="J185" s="8" t="str">
        <f aca="false">IF(COUNTA(B185,D185,G185,H185,I185)=0,"",IF(B185="","Enter date",IF(OR(B185&lt;$AC$2,B185&gt;$AC$3),"Date not in September",IF(D185="","Pick project",IF(ISNA(MATCH(D185,ProjNames,0)),"Project not in list",IF(G185="","Add task description",IF(H185="","Pick NTIME or P6",IF(N(I185)&lt;=0,"Enter hours",IF(AND(AllowOT&lt;&gt;"Yes",SUMIF($B$7:$B$256,B185,$I$7:$I$256)&gt;INDEX($O$58:$O$87,DAY(B185))),"Day over "&amp;INDEX($O$58:$O$87,DAY(B185))&amp;" h","✓")))))))))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tr">
        <f aca="false">IF(Projects!B183="","",Projects!B183)</f>
        <v/>
      </c>
      <c r="X185" s="1" t="n">
        <f aca="false">IF(W185="",0,SUMIFS($I$7:$I$256,$D$7:$D$256,W185,$H$7:$H$256,"NTIME"))</f>
        <v>0</v>
      </c>
      <c r="Y185" s="1" t="n">
        <f aca="false">IF(W185="",0,SUMIFS($I$7:$I$256,$D$7:$D$256,W185,$H$7:$H$256,"P6"))</f>
        <v>0</v>
      </c>
      <c r="Z185" s="1" t="n">
        <f aca="false">X185+Y185</f>
        <v>0</v>
      </c>
      <c r="AA185" s="1" t="n">
        <f aca="false">IF(Z185&gt;0,Z185+(201-179)/10^6,0)</f>
        <v>0</v>
      </c>
      <c r="AB185" s="1"/>
      <c r="AC185" s="1"/>
      <c r="AD185" s="1"/>
      <c r="AE185" s="1"/>
      <c r="AF185" s="1"/>
      <c r="AG185" s="1"/>
      <c r="AH185" s="1"/>
    </row>
    <row r="186" customFormat="false" ht="15" hidden="false" customHeight="false" outlineLevel="0" collapsed="false">
      <c r="A186" s="1"/>
      <c r="B186" s="10"/>
      <c r="C186" s="31" t="str">
        <f aca="false">IF(B186="","",TEXT(B186,"ddd"))</f>
        <v/>
      </c>
      <c r="D186" s="11"/>
      <c r="E186" s="8" t="str">
        <f aca="false">IF(D186="","",IFERROR(INDEX(ProjNumbers,MATCH(D186,ProjNames,0)),""))</f>
        <v/>
      </c>
      <c r="F186" s="8" t="str">
        <f aca="false">IF(D186="","",IFERROR(INDEX(ProjCodes,MATCH(D186,ProjNames,0)),""))</f>
        <v/>
      </c>
      <c r="G186" s="32"/>
      <c r="H186" s="11"/>
      <c r="I186" s="33"/>
      <c r="J186" s="8" t="str">
        <f aca="false">IF(COUNTA(B186,D186,G186,H186,I186)=0,"",IF(B186="","Enter date",IF(OR(B186&lt;$AC$2,B186&gt;$AC$3),"Date not in September",IF(D186="","Pick project",IF(ISNA(MATCH(D186,ProjNames,0)),"Project not in list",IF(G186="","Add task description",IF(H186="","Pick NTIME or P6",IF(N(I186)&lt;=0,"Enter hours",IF(AND(AllowOT&lt;&gt;"Yes",SUMIF($B$7:$B$256,B186,$I$7:$I$256)&gt;INDEX($O$58:$O$87,DAY(B186))),"Day over "&amp;INDEX($O$58:$O$87,DAY(B186))&amp;" h","✓")))))))))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tr">
        <f aca="false">IF(Projects!B184="","",Projects!B184)</f>
        <v/>
      </c>
      <c r="X186" s="1" t="n">
        <f aca="false">IF(W186="",0,SUMIFS($I$7:$I$256,$D$7:$D$256,W186,$H$7:$H$256,"NTIME"))</f>
        <v>0</v>
      </c>
      <c r="Y186" s="1" t="n">
        <f aca="false">IF(W186="",0,SUMIFS($I$7:$I$256,$D$7:$D$256,W186,$H$7:$H$256,"P6"))</f>
        <v>0</v>
      </c>
      <c r="Z186" s="1" t="n">
        <f aca="false">X186+Y186</f>
        <v>0</v>
      </c>
      <c r="AA186" s="1" t="n">
        <f aca="false">IF(Z186&gt;0,Z186+(201-180)/10^6,0)</f>
        <v>0</v>
      </c>
      <c r="AB186" s="1"/>
      <c r="AC186" s="1"/>
      <c r="AD186" s="1"/>
      <c r="AE186" s="1"/>
      <c r="AF186" s="1"/>
      <c r="AG186" s="1"/>
      <c r="AH186" s="1"/>
    </row>
    <row r="187" customFormat="false" ht="15" hidden="false" customHeight="false" outlineLevel="0" collapsed="false">
      <c r="A187" s="1"/>
      <c r="B187" s="10"/>
      <c r="C187" s="31" t="str">
        <f aca="false">IF(B187="","",TEXT(B187,"ddd"))</f>
        <v/>
      </c>
      <c r="D187" s="11"/>
      <c r="E187" s="8" t="str">
        <f aca="false">IF(D187="","",IFERROR(INDEX(ProjNumbers,MATCH(D187,ProjNames,0)),""))</f>
        <v/>
      </c>
      <c r="F187" s="8" t="str">
        <f aca="false">IF(D187="","",IFERROR(INDEX(ProjCodes,MATCH(D187,ProjNames,0)),""))</f>
        <v/>
      </c>
      <c r="G187" s="32"/>
      <c r="H187" s="11"/>
      <c r="I187" s="33"/>
      <c r="J187" s="8" t="str">
        <f aca="false">IF(COUNTA(B187,D187,G187,H187,I187)=0,"",IF(B187="","Enter date",IF(OR(B187&lt;$AC$2,B187&gt;$AC$3),"Date not in September",IF(D187="","Pick project",IF(ISNA(MATCH(D187,ProjNames,0)),"Project not in list",IF(G187="","Add task description",IF(H187="","Pick NTIME or P6",IF(N(I187)&lt;=0,"Enter hours",IF(AND(AllowOT&lt;&gt;"Yes",SUMIF($B$7:$B$256,B187,$I$7:$I$256)&gt;INDEX($O$58:$O$87,DAY(B187))),"Day over "&amp;INDEX($O$58:$O$87,DAY(B187))&amp;" h","✓")))))))))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tr">
        <f aca="false">IF(Projects!B185="","",Projects!B185)</f>
        <v/>
      </c>
      <c r="X187" s="1" t="n">
        <f aca="false">IF(W187="",0,SUMIFS($I$7:$I$256,$D$7:$D$256,W187,$H$7:$H$256,"NTIME"))</f>
        <v>0</v>
      </c>
      <c r="Y187" s="1" t="n">
        <f aca="false">IF(W187="",0,SUMIFS($I$7:$I$256,$D$7:$D$256,W187,$H$7:$H$256,"P6"))</f>
        <v>0</v>
      </c>
      <c r="Z187" s="1" t="n">
        <f aca="false">X187+Y187</f>
        <v>0</v>
      </c>
      <c r="AA187" s="1" t="n">
        <f aca="false">IF(Z187&gt;0,Z187+(201-181)/10^6,0)</f>
        <v>0</v>
      </c>
      <c r="AB187" s="1"/>
      <c r="AC187" s="1"/>
      <c r="AD187" s="1"/>
      <c r="AE187" s="1"/>
      <c r="AF187" s="1"/>
      <c r="AG187" s="1"/>
      <c r="AH187" s="1"/>
    </row>
    <row r="188" customFormat="false" ht="15" hidden="false" customHeight="false" outlineLevel="0" collapsed="false">
      <c r="A188" s="1"/>
      <c r="B188" s="10"/>
      <c r="C188" s="31" t="str">
        <f aca="false">IF(B188="","",TEXT(B188,"ddd"))</f>
        <v/>
      </c>
      <c r="D188" s="11"/>
      <c r="E188" s="8" t="str">
        <f aca="false">IF(D188="","",IFERROR(INDEX(ProjNumbers,MATCH(D188,ProjNames,0)),""))</f>
        <v/>
      </c>
      <c r="F188" s="8" t="str">
        <f aca="false">IF(D188="","",IFERROR(INDEX(ProjCodes,MATCH(D188,ProjNames,0)),""))</f>
        <v/>
      </c>
      <c r="G188" s="32"/>
      <c r="H188" s="11"/>
      <c r="I188" s="33"/>
      <c r="J188" s="8" t="str">
        <f aca="false">IF(COUNTA(B188,D188,G188,H188,I188)=0,"",IF(B188="","Enter date",IF(OR(B188&lt;$AC$2,B188&gt;$AC$3),"Date not in September",IF(D188="","Pick project",IF(ISNA(MATCH(D188,ProjNames,0)),"Project not in list",IF(G188="","Add task description",IF(H188="","Pick NTIME or P6",IF(N(I188)&lt;=0,"Enter hours",IF(AND(AllowOT&lt;&gt;"Yes",SUMIF($B$7:$B$256,B188,$I$7:$I$256)&gt;INDEX($O$58:$O$87,DAY(B188))),"Day over "&amp;INDEX($O$58:$O$87,DAY(B188))&amp;" h","✓")))))))))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tr">
        <f aca="false">IF(Projects!B186="","",Projects!B186)</f>
        <v/>
      </c>
      <c r="X188" s="1" t="n">
        <f aca="false">IF(W188="",0,SUMIFS($I$7:$I$256,$D$7:$D$256,W188,$H$7:$H$256,"NTIME"))</f>
        <v>0</v>
      </c>
      <c r="Y188" s="1" t="n">
        <f aca="false">IF(W188="",0,SUMIFS($I$7:$I$256,$D$7:$D$256,W188,$H$7:$H$256,"P6"))</f>
        <v>0</v>
      </c>
      <c r="Z188" s="1" t="n">
        <f aca="false">X188+Y188</f>
        <v>0</v>
      </c>
      <c r="AA188" s="1" t="n">
        <f aca="false">IF(Z188&gt;0,Z188+(201-182)/10^6,0)</f>
        <v>0</v>
      </c>
      <c r="AB188" s="1"/>
      <c r="AC188" s="1"/>
      <c r="AD188" s="1"/>
      <c r="AE188" s="1"/>
      <c r="AF188" s="1"/>
      <c r="AG188" s="1"/>
      <c r="AH188" s="1"/>
    </row>
    <row r="189" customFormat="false" ht="15" hidden="false" customHeight="false" outlineLevel="0" collapsed="false">
      <c r="A189" s="1"/>
      <c r="B189" s="10"/>
      <c r="C189" s="31" t="str">
        <f aca="false">IF(B189="","",TEXT(B189,"ddd"))</f>
        <v/>
      </c>
      <c r="D189" s="11"/>
      <c r="E189" s="8" t="str">
        <f aca="false">IF(D189="","",IFERROR(INDEX(ProjNumbers,MATCH(D189,ProjNames,0)),""))</f>
        <v/>
      </c>
      <c r="F189" s="8" t="str">
        <f aca="false">IF(D189="","",IFERROR(INDEX(ProjCodes,MATCH(D189,ProjNames,0)),""))</f>
        <v/>
      </c>
      <c r="G189" s="32"/>
      <c r="H189" s="11"/>
      <c r="I189" s="33"/>
      <c r="J189" s="8" t="str">
        <f aca="false">IF(COUNTA(B189,D189,G189,H189,I189)=0,"",IF(B189="","Enter date",IF(OR(B189&lt;$AC$2,B189&gt;$AC$3),"Date not in September",IF(D189="","Pick project",IF(ISNA(MATCH(D189,ProjNames,0)),"Project not in list",IF(G189="","Add task description",IF(H189="","Pick NTIME or P6",IF(N(I189)&lt;=0,"Enter hours",IF(AND(AllowOT&lt;&gt;"Yes",SUMIF($B$7:$B$256,B189,$I$7:$I$256)&gt;INDEX($O$58:$O$87,DAY(B189))),"Day over "&amp;INDEX($O$58:$O$87,DAY(B189))&amp;" h","✓")))))))))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tr">
        <f aca="false">IF(Projects!B187="","",Projects!B187)</f>
        <v/>
      </c>
      <c r="X189" s="1" t="n">
        <f aca="false">IF(W189="",0,SUMIFS($I$7:$I$256,$D$7:$D$256,W189,$H$7:$H$256,"NTIME"))</f>
        <v>0</v>
      </c>
      <c r="Y189" s="1" t="n">
        <f aca="false">IF(W189="",0,SUMIFS($I$7:$I$256,$D$7:$D$256,W189,$H$7:$H$256,"P6"))</f>
        <v>0</v>
      </c>
      <c r="Z189" s="1" t="n">
        <f aca="false">X189+Y189</f>
        <v>0</v>
      </c>
      <c r="AA189" s="1" t="n">
        <f aca="false">IF(Z189&gt;0,Z189+(201-183)/10^6,0)</f>
        <v>0</v>
      </c>
      <c r="AB189" s="1"/>
      <c r="AC189" s="1"/>
      <c r="AD189" s="1"/>
      <c r="AE189" s="1"/>
      <c r="AF189" s="1"/>
      <c r="AG189" s="1"/>
      <c r="AH189" s="1"/>
    </row>
    <row r="190" customFormat="false" ht="15" hidden="false" customHeight="false" outlineLevel="0" collapsed="false">
      <c r="A190" s="1"/>
      <c r="B190" s="10"/>
      <c r="C190" s="31" t="str">
        <f aca="false">IF(B190="","",TEXT(B190,"ddd"))</f>
        <v/>
      </c>
      <c r="D190" s="11"/>
      <c r="E190" s="8" t="str">
        <f aca="false">IF(D190="","",IFERROR(INDEX(ProjNumbers,MATCH(D190,ProjNames,0)),""))</f>
        <v/>
      </c>
      <c r="F190" s="8" t="str">
        <f aca="false">IF(D190="","",IFERROR(INDEX(ProjCodes,MATCH(D190,ProjNames,0)),""))</f>
        <v/>
      </c>
      <c r="G190" s="32"/>
      <c r="H190" s="11"/>
      <c r="I190" s="33"/>
      <c r="J190" s="8" t="str">
        <f aca="false">IF(COUNTA(B190,D190,G190,H190,I190)=0,"",IF(B190="","Enter date",IF(OR(B190&lt;$AC$2,B190&gt;$AC$3),"Date not in September",IF(D190="","Pick project",IF(ISNA(MATCH(D190,ProjNames,0)),"Project not in list",IF(G190="","Add task description",IF(H190="","Pick NTIME or P6",IF(N(I190)&lt;=0,"Enter hours",IF(AND(AllowOT&lt;&gt;"Yes",SUMIF($B$7:$B$256,B190,$I$7:$I$256)&gt;INDEX($O$58:$O$87,DAY(B190))),"Day over "&amp;INDEX($O$58:$O$87,DAY(B190))&amp;" h","✓")))))))))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tr">
        <f aca="false">IF(Projects!B188="","",Projects!B188)</f>
        <v/>
      </c>
      <c r="X190" s="1" t="n">
        <f aca="false">IF(W190="",0,SUMIFS($I$7:$I$256,$D$7:$D$256,W190,$H$7:$H$256,"NTIME"))</f>
        <v>0</v>
      </c>
      <c r="Y190" s="1" t="n">
        <f aca="false">IF(W190="",0,SUMIFS($I$7:$I$256,$D$7:$D$256,W190,$H$7:$H$256,"P6"))</f>
        <v>0</v>
      </c>
      <c r="Z190" s="1" t="n">
        <f aca="false">X190+Y190</f>
        <v>0</v>
      </c>
      <c r="AA190" s="1" t="n">
        <f aca="false">IF(Z190&gt;0,Z190+(201-184)/10^6,0)</f>
        <v>0</v>
      </c>
      <c r="AB190" s="1"/>
      <c r="AC190" s="1"/>
      <c r="AD190" s="1"/>
      <c r="AE190" s="1"/>
      <c r="AF190" s="1"/>
      <c r="AG190" s="1"/>
      <c r="AH190" s="1"/>
    </row>
    <row r="191" customFormat="false" ht="15" hidden="false" customHeight="false" outlineLevel="0" collapsed="false">
      <c r="A191" s="1"/>
      <c r="B191" s="10"/>
      <c r="C191" s="31" t="str">
        <f aca="false">IF(B191="","",TEXT(B191,"ddd"))</f>
        <v/>
      </c>
      <c r="D191" s="11"/>
      <c r="E191" s="8" t="str">
        <f aca="false">IF(D191="","",IFERROR(INDEX(ProjNumbers,MATCH(D191,ProjNames,0)),""))</f>
        <v/>
      </c>
      <c r="F191" s="8" t="str">
        <f aca="false">IF(D191="","",IFERROR(INDEX(ProjCodes,MATCH(D191,ProjNames,0)),""))</f>
        <v/>
      </c>
      <c r="G191" s="32"/>
      <c r="H191" s="11"/>
      <c r="I191" s="33"/>
      <c r="J191" s="8" t="str">
        <f aca="false">IF(COUNTA(B191,D191,G191,H191,I191)=0,"",IF(B191="","Enter date",IF(OR(B191&lt;$AC$2,B191&gt;$AC$3),"Date not in September",IF(D191="","Pick project",IF(ISNA(MATCH(D191,ProjNames,0)),"Project not in list",IF(G191="","Add task description",IF(H191="","Pick NTIME or P6",IF(N(I191)&lt;=0,"Enter hours",IF(AND(AllowOT&lt;&gt;"Yes",SUMIF($B$7:$B$256,B191,$I$7:$I$256)&gt;INDEX($O$58:$O$87,DAY(B191))),"Day over "&amp;INDEX($O$58:$O$87,DAY(B191))&amp;" h","✓")))))))))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tr">
        <f aca="false">IF(Projects!B189="","",Projects!B189)</f>
        <v/>
      </c>
      <c r="X191" s="1" t="n">
        <f aca="false">IF(W191="",0,SUMIFS($I$7:$I$256,$D$7:$D$256,W191,$H$7:$H$256,"NTIME"))</f>
        <v>0</v>
      </c>
      <c r="Y191" s="1" t="n">
        <f aca="false">IF(W191="",0,SUMIFS($I$7:$I$256,$D$7:$D$256,W191,$H$7:$H$256,"P6"))</f>
        <v>0</v>
      </c>
      <c r="Z191" s="1" t="n">
        <f aca="false">X191+Y191</f>
        <v>0</v>
      </c>
      <c r="AA191" s="1" t="n">
        <f aca="false">IF(Z191&gt;0,Z191+(201-185)/10^6,0)</f>
        <v>0</v>
      </c>
      <c r="AB191" s="1"/>
      <c r="AC191" s="1"/>
      <c r="AD191" s="1"/>
      <c r="AE191" s="1"/>
      <c r="AF191" s="1"/>
      <c r="AG191" s="1"/>
      <c r="AH191" s="1"/>
    </row>
    <row r="192" customFormat="false" ht="15" hidden="false" customHeight="false" outlineLevel="0" collapsed="false">
      <c r="A192" s="1"/>
      <c r="B192" s="10"/>
      <c r="C192" s="31" t="str">
        <f aca="false">IF(B192="","",TEXT(B192,"ddd"))</f>
        <v/>
      </c>
      <c r="D192" s="11"/>
      <c r="E192" s="8" t="str">
        <f aca="false">IF(D192="","",IFERROR(INDEX(ProjNumbers,MATCH(D192,ProjNames,0)),""))</f>
        <v/>
      </c>
      <c r="F192" s="8" t="str">
        <f aca="false">IF(D192="","",IFERROR(INDEX(ProjCodes,MATCH(D192,ProjNames,0)),""))</f>
        <v/>
      </c>
      <c r="G192" s="32"/>
      <c r="H192" s="11"/>
      <c r="I192" s="33"/>
      <c r="J192" s="8" t="str">
        <f aca="false">IF(COUNTA(B192,D192,G192,H192,I192)=0,"",IF(B192="","Enter date",IF(OR(B192&lt;$AC$2,B192&gt;$AC$3),"Date not in September",IF(D192="","Pick project",IF(ISNA(MATCH(D192,ProjNames,0)),"Project not in list",IF(G192="","Add task description",IF(H192="","Pick NTIME or P6",IF(N(I192)&lt;=0,"Enter hours",IF(AND(AllowOT&lt;&gt;"Yes",SUMIF($B$7:$B$256,B192,$I$7:$I$256)&gt;INDEX($O$58:$O$87,DAY(B192))),"Day over "&amp;INDEX($O$58:$O$87,DAY(B192))&amp;" h","✓")))))))))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tr">
        <f aca="false">IF(Projects!B190="","",Projects!B190)</f>
        <v/>
      </c>
      <c r="X192" s="1" t="n">
        <f aca="false">IF(W192="",0,SUMIFS($I$7:$I$256,$D$7:$D$256,W192,$H$7:$H$256,"NTIME"))</f>
        <v>0</v>
      </c>
      <c r="Y192" s="1" t="n">
        <f aca="false">IF(W192="",0,SUMIFS($I$7:$I$256,$D$7:$D$256,W192,$H$7:$H$256,"P6"))</f>
        <v>0</v>
      </c>
      <c r="Z192" s="1" t="n">
        <f aca="false">X192+Y192</f>
        <v>0</v>
      </c>
      <c r="AA192" s="1" t="n">
        <f aca="false">IF(Z192&gt;0,Z192+(201-186)/10^6,0)</f>
        <v>0</v>
      </c>
      <c r="AB192" s="1"/>
      <c r="AC192" s="1"/>
      <c r="AD192" s="1"/>
      <c r="AE192" s="1"/>
      <c r="AF192" s="1"/>
      <c r="AG192" s="1"/>
      <c r="AH192" s="1"/>
    </row>
    <row r="193" customFormat="false" ht="15" hidden="false" customHeight="false" outlineLevel="0" collapsed="false">
      <c r="A193" s="1"/>
      <c r="B193" s="10"/>
      <c r="C193" s="31" t="str">
        <f aca="false">IF(B193="","",TEXT(B193,"ddd"))</f>
        <v/>
      </c>
      <c r="D193" s="11"/>
      <c r="E193" s="8" t="str">
        <f aca="false">IF(D193="","",IFERROR(INDEX(ProjNumbers,MATCH(D193,ProjNames,0)),""))</f>
        <v/>
      </c>
      <c r="F193" s="8" t="str">
        <f aca="false">IF(D193="","",IFERROR(INDEX(ProjCodes,MATCH(D193,ProjNames,0)),""))</f>
        <v/>
      </c>
      <c r="G193" s="32"/>
      <c r="H193" s="11"/>
      <c r="I193" s="33"/>
      <c r="J193" s="8" t="str">
        <f aca="false">IF(COUNTA(B193,D193,G193,H193,I193)=0,"",IF(B193="","Enter date",IF(OR(B193&lt;$AC$2,B193&gt;$AC$3),"Date not in September",IF(D193="","Pick project",IF(ISNA(MATCH(D193,ProjNames,0)),"Project not in list",IF(G193="","Add task description",IF(H193="","Pick NTIME or P6",IF(N(I193)&lt;=0,"Enter hours",IF(AND(AllowOT&lt;&gt;"Yes",SUMIF($B$7:$B$256,B193,$I$7:$I$256)&gt;INDEX($O$58:$O$87,DAY(B193))),"Day over "&amp;INDEX($O$58:$O$87,DAY(B193))&amp;" h","✓")))))))))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tr">
        <f aca="false">IF(Projects!B191="","",Projects!B191)</f>
        <v/>
      </c>
      <c r="X193" s="1" t="n">
        <f aca="false">IF(W193="",0,SUMIFS($I$7:$I$256,$D$7:$D$256,W193,$H$7:$H$256,"NTIME"))</f>
        <v>0</v>
      </c>
      <c r="Y193" s="1" t="n">
        <f aca="false">IF(W193="",0,SUMIFS($I$7:$I$256,$D$7:$D$256,W193,$H$7:$H$256,"P6"))</f>
        <v>0</v>
      </c>
      <c r="Z193" s="1" t="n">
        <f aca="false">X193+Y193</f>
        <v>0</v>
      </c>
      <c r="AA193" s="1" t="n">
        <f aca="false">IF(Z193&gt;0,Z193+(201-187)/10^6,0)</f>
        <v>0</v>
      </c>
      <c r="AB193" s="1"/>
      <c r="AC193" s="1"/>
      <c r="AD193" s="1"/>
      <c r="AE193" s="1"/>
      <c r="AF193" s="1"/>
      <c r="AG193" s="1"/>
      <c r="AH193" s="1"/>
    </row>
    <row r="194" customFormat="false" ht="15" hidden="false" customHeight="false" outlineLevel="0" collapsed="false">
      <c r="A194" s="1"/>
      <c r="B194" s="10"/>
      <c r="C194" s="31" t="str">
        <f aca="false">IF(B194="","",TEXT(B194,"ddd"))</f>
        <v/>
      </c>
      <c r="D194" s="11"/>
      <c r="E194" s="8" t="str">
        <f aca="false">IF(D194="","",IFERROR(INDEX(ProjNumbers,MATCH(D194,ProjNames,0)),""))</f>
        <v/>
      </c>
      <c r="F194" s="8" t="str">
        <f aca="false">IF(D194="","",IFERROR(INDEX(ProjCodes,MATCH(D194,ProjNames,0)),""))</f>
        <v/>
      </c>
      <c r="G194" s="32"/>
      <c r="H194" s="11"/>
      <c r="I194" s="33"/>
      <c r="J194" s="8" t="str">
        <f aca="false">IF(COUNTA(B194,D194,G194,H194,I194)=0,"",IF(B194="","Enter date",IF(OR(B194&lt;$AC$2,B194&gt;$AC$3),"Date not in September",IF(D194="","Pick project",IF(ISNA(MATCH(D194,ProjNames,0)),"Project not in list",IF(G194="","Add task description",IF(H194="","Pick NTIME or P6",IF(N(I194)&lt;=0,"Enter hours",IF(AND(AllowOT&lt;&gt;"Yes",SUMIF($B$7:$B$256,B194,$I$7:$I$256)&gt;INDEX($O$58:$O$87,DAY(B194))),"Day over "&amp;INDEX($O$58:$O$87,DAY(B194))&amp;" h","✓")))))))))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tr">
        <f aca="false">IF(Projects!B192="","",Projects!B192)</f>
        <v/>
      </c>
      <c r="X194" s="1" t="n">
        <f aca="false">IF(W194="",0,SUMIFS($I$7:$I$256,$D$7:$D$256,W194,$H$7:$H$256,"NTIME"))</f>
        <v>0</v>
      </c>
      <c r="Y194" s="1" t="n">
        <f aca="false">IF(W194="",0,SUMIFS($I$7:$I$256,$D$7:$D$256,W194,$H$7:$H$256,"P6"))</f>
        <v>0</v>
      </c>
      <c r="Z194" s="1" t="n">
        <f aca="false">X194+Y194</f>
        <v>0</v>
      </c>
      <c r="AA194" s="1" t="n">
        <f aca="false">IF(Z194&gt;0,Z194+(201-188)/10^6,0)</f>
        <v>0</v>
      </c>
      <c r="AB194" s="1"/>
      <c r="AC194" s="1"/>
      <c r="AD194" s="1"/>
      <c r="AE194" s="1"/>
      <c r="AF194" s="1"/>
      <c r="AG194" s="1"/>
      <c r="AH194" s="1"/>
    </row>
    <row r="195" customFormat="false" ht="15" hidden="false" customHeight="false" outlineLevel="0" collapsed="false">
      <c r="A195" s="1"/>
      <c r="B195" s="10"/>
      <c r="C195" s="31" t="str">
        <f aca="false">IF(B195="","",TEXT(B195,"ddd"))</f>
        <v/>
      </c>
      <c r="D195" s="11"/>
      <c r="E195" s="8" t="str">
        <f aca="false">IF(D195="","",IFERROR(INDEX(ProjNumbers,MATCH(D195,ProjNames,0)),""))</f>
        <v/>
      </c>
      <c r="F195" s="8" t="str">
        <f aca="false">IF(D195="","",IFERROR(INDEX(ProjCodes,MATCH(D195,ProjNames,0)),""))</f>
        <v/>
      </c>
      <c r="G195" s="32"/>
      <c r="H195" s="11"/>
      <c r="I195" s="33"/>
      <c r="J195" s="8" t="str">
        <f aca="false">IF(COUNTA(B195,D195,G195,H195,I195)=0,"",IF(B195="","Enter date",IF(OR(B195&lt;$AC$2,B195&gt;$AC$3),"Date not in September",IF(D195="","Pick project",IF(ISNA(MATCH(D195,ProjNames,0)),"Project not in list",IF(G195="","Add task description",IF(H195="","Pick NTIME or P6",IF(N(I195)&lt;=0,"Enter hours",IF(AND(AllowOT&lt;&gt;"Yes",SUMIF($B$7:$B$256,B195,$I$7:$I$256)&gt;INDEX($O$58:$O$87,DAY(B195))),"Day over "&amp;INDEX($O$58:$O$87,DAY(B195))&amp;" h","✓")))))))))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tr">
        <f aca="false">IF(Projects!B193="","",Projects!B193)</f>
        <v/>
      </c>
      <c r="X195" s="1" t="n">
        <f aca="false">IF(W195="",0,SUMIFS($I$7:$I$256,$D$7:$D$256,W195,$H$7:$H$256,"NTIME"))</f>
        <v>0</v>
      </c>
      <c r="Y195" s="1" t="n">
        <f aca="false">IF(W195="",0,SUMIFS($I$7:$I$256,$D$7:$D$256,W195,$H$7:$H$256,"P6"))</f>
        <v>0</v>
      </c>
      <c r="Z195" s="1" t="n">
        <f aca="false">X195+Y195</f>
        <v>0</v>
      </c>
      <c r="AA195" s="1" t="n">
        <f aca="false">IF(Z195&gt;0,Z195+(201-189)/10^6,0)</f>
        <v>0</v>
      </c>
      <c r="AB195" s="1"/>
      <c r="AC195" s="1"/>
      <c r="AD195" s="1"/>
      <c r="AE195" s="1"/>
      <c r="AF195" s="1"/>
      <c r="AG195" s="1"/>
      <c r="AH195" s="1"/>
    </row>
    <row r="196" customFormat="false" ht="15" hidden="false" customHeight="false" outlineLevel="0" collapsed="false">
      <c r="A196" s="1"/>
      <c r="B196" s="10"/>
      <c r="C196" s="31" t="str">
        <f aca="false">IF(B196="","",TEXT(B196,"ddd"))</f>
        <v/>
      </c>
      <c r="D196" s="11"/>
      <c r="E196" s="8" t="str">
        <f aca="false">IF(D196="","",IFERROR(INDEX(ProjNumbers,MATCH(D196,ProjNames,0)),""))</f>
        <v/>
      </c>
      <c r="F196" s="8" t="str">
        <f aca="false">IF(D196="","",IFERROR(INDEX(ProjCodes,MATCH(D196,ProjNames,0)),""))</f>
        <v/>
      </c>
      <c r="G196" s="32"/>
      <c r="H196" s="11"/>
      <c r="I196" s="33"/>
      <c r="J196" s="8" t="str">
        <f aca="false">IF(COUNTA(B196,D196,G196,H196,I196)=0,"",IF(B196="","Enter date",IF(OR(B196&lt;$AC$2,B196&gt;$AC$3),"Date not in September",IF(D196="","Pick project",IF(ISNA(MATCH(D196,ProjNames,0)),"Project not in list",IF(G196="","Add task description",IF(H196="","Pick NTIME or P6",IF(N(I196)&lt;=0,"Enter hours",IF(AND(AllowOT&lt;&gt;"Yes",SUMIF($B$7:$B$256,B196,$I$7:$I$256)&gt;INDEX($O$58:$O$87,DAY(B196))),"Day over "&amp;INDEX($O$58:$O$87,DAY(B196))&amp;" h","✓")))))))))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tr">
        <f aca="false">IF(Projects!B194="","",Projects!B194)</f>
        <v/>
      </c>
      <c r="X196" s="1" t="n">
        <f aca="false">IF(W196="",0,SUMIFS($I$7:$I$256,$D$7:$D$256,W196,$H$7:$H$256,"NTIME"))</f>
        <v>0</v>
      </c>
      <c r="Y196" s="1" t="n">
        <f aca="false">IF(W196="",0,SUMIFS($I$7:$I$256,$D$7:$D$256,W196,$H$7:$H$256,"P6"))</f>
        <v>0</v>
      </c>
      <c r="Z196" s="1" t="n">
        <f aca="false">X196+Y196</f>
        <v>0</v>
      </c>
      <c r="AA196" s="1" t="n">
        <f aca="false">IF(Z196&gt;0,Z196+(201-190)/10^6,0)</f>
        <v>0</v>
      </c>
      <c r="AB196" s="1"/>
      <c r="AC196" s="1"/>
      <c r="AD196" s="1"/>
      <c r="AE196" s="1"/>
      <c r="AF196" s="1"/>
      <c r="AG196" s="1"/>
      <c r="AH196" s="1"/>
    </row>
    <row r="197" customFormat="false" ht="15" hidden="false" customHeight="false" outlineLevel="0" collapsed="false">
      <c r="A197" s="1"/>
      <c r="B197" s="10"/>
      <c r="C197" s="31" t="str">
        <f aca="false">IF(B197="","",TEXT(B197,"ddd"))</f>
        <v/>
      </c>
      <c r="D197" s="11"/>
      <c r="E197" s="8" t="str">
        <f aca="false">IF(D197="","",IFERROR(INDEX(ProjNumbers,MATCH(D197,ProjNames,0)),""))</f>
        <v/>
      </c>
      <c r="F197" s="8" t="str">
        <f aca="false">IF(D197="","",IFERROR(INDEX(ProjCodes,MATCH(D197,ProjNames,0)),""))</f>
        <v/>
      </c>
      <c r="G197" s="32"/>
      <c r="H197" s="11"/>
      <c r="I197" s="33"/>
      <c r="J197" s="8" t="str">
        <f aca="false">IF(COUNTA(B197,D197,G197,H197,I197)=0,"",IF(B197="","Enter date",IF(OR(B197&lt;$AC$2,B197&gt;$AC$3),"Date not in September",IF(D197="","Pick project",IF(ISNA(MATCH(D197,ProjNames,0)),"Project not in list",IF(G197="","Add task description",IF(H197="","Pick NTIME or P6",IF(N(I197)&lt;=0,"Enter hours",IF(AND(AllowOT&lt;&gt;"Yes",SUMIF($B$7:$B$256,B197,$I$7:$I$256)&gt;INDEX($O$58:$O$87,DAY(B197))),"Day over "&amp;INDEX($O$58:$O$87,DAY(B197))&amp;" h","✓")))))))))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tr">
        <f aca="false">IF(Projects!B195="","",Projects!B195)</f>
        <v/>
      </c>
      <c r="X197" s="1" t="n">
        <f aca="false">IF(W197="",0,SUMIFS($I$7:$I$256,$D$7:$D$256,W197,$H$7:$H$256,"NTIME"))</f>
        <v>0</v>
      </c>
      <c r="Y197" s="1" t="n">
        <f aca="false">IF(W197="",0,SUMIFS($I$7:$I$256,$D$7:$D$256,W197,$H$7:$H$256,"P6"))</f>
        <v>0</v>
      </c>
      <c r="Z197" s="1" t="n">
        <f aca="false">X197+Y197</f>
        <v>0</v>
      </c>
      <c r="AA197" s="1" t="n">
        <f aca="false">IF(Z197&gt;0,Z197+(201-191)/10^6,0)</f>
        <v>0</v>
      </c>
      <c r="AB197" s="1"/>
      <c r="AC197" s="1"/>
      <c r="AD197" s="1"/>
      <c r="AE197" s="1"/>
      <c r="AF197" s="1"/>
      <c r="AG197" s="1"/>
      <c r="AH197" s="1"/>
    </row>
    <row r="198" customFormat="false" ht="15" hidden="false" customHeight="false" outlineLevel="0" collapsed="false">
      <c r="A198" s="1"/>
      <c r="B198" s="10"/>
      <c r="C198" s="31" t="str">
        <f aca="false">IF(B198="","",TEXT(B198,"ddd"))</f>
        <v/>
      </c>
      <c r="D198" s="11"/>
      <c r="E198" s="8" t="str">
        <f aca="false">IF(D198="","",IFERROR(INDEX(ProjNumbers,MATCH(D198,ProjNames,0)),""))</f>
        <v/>
      </c>
      <c r="F198" s="8" t="str">
        <f aca="false">IF(D198="","",IFERROR(INDEX(ProjCodes,MATCH(D198,ProjNames,0)),""))</f>
        <v/>
      </c>
      <c r="G198" s="32"/>
      <c r="H198" s="11"/>
      <c r="I198" s="33"/>
      <c r="J198" s="8" t="str">
        <f aca="false">IF(COUNTA(B198,D198,G198,H198,I198)=0,"",IF(B198="","Enter date",IF(OR(B198&lt;$AC$2,B198&gt;$AC$3),"Date not in September",IF(D198="","Pick project",IF(ISNA(MATCH(D198,ProjNames,0)),"Project not in list",IF(G198="","Add task description",IF(H198="","Pick NTIME or P6",IF(N(I198)&lt;=0,"Enter hours",IF(AND(AllowOT&lt;&gt;"Yes",SUMIF($B$7:$B$256,B198,$I$7:$I$256)&gt;INDEX($O$58:$O$87,DAY(B198))),"Day over "&amp;INDEX($O$58:$O$87,DAY(B198))&amp;" h","✓")))))))))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tr">
        <f aca="false">IF(Projects!B196="","",Projects!B196)</f>
        <v/>
      </c>
      <c r="X198" s="1" t="n">
        <f aca="false">IF(W198="",0,SUMIFS($I$7:$I$256,$D$7:$D$256,W198,$H$7:$H$256,"NTIME"))</f>
        <v>0</v>
      </c>
      <c r="Y198" s="1" t="n">
        <f aca="false">IF(W198="",0,SUMIFS($I$7:$I$256,$D$7:$D$256,W198,$H$7:$H$256,"P6"))</f>
        <v>0</v>
      </c>
      <c r="Z198" s="1" t="n">
        <f aca="false">X198+Y198</f>
        <v>0</v>
      </c>
      <c r="AA198" s="1" t="n">
        <f aca="false">IF(Z198&gt;0,Z198+(201-192)/10^6,0)</f>
        <v>0</v>
      </c>
      <c r="AB198" s="1"/>
      <c r="AC198" s="1"/>
      <c r="AD198" s="1"/>
      <c r="AE198" s="1"/>
      <c r="AF198" s="1"/>
      <c r="AG198" s="1"/>
      <c r="AH198" s="1"/>
    </row>
    <row r="199" customFormat="false" ht="15" hidden="false" customHeight="false" outlineLevel="0" collapsed="false">
      <c r="A199" s="1"/>
      <c r="B199" s="10"/>
      <c r="C199" s="31" t="str">
        <f aca="false">IF(B199="","",TEXT(B199,"ddd"))</f>
        <v/>
      </c>
      <c r="D199" s="11"/>
      <c r="E199" s="8" t="str">
        <f aca="false">IF(D199="","",IFERROR(INDEX(ProjNumbers,MATCH(D199,ProjNames,0)),""))</f>
        <v/>
      </c>
      <c r="F199" s="8" t="str">
        <f aca="false">IF(D199="","",IFERROR(INDEX(ProjCodes,MATCH(D199,ProjNames,0)),""))</f>
        <v/>
      </c>
      <c r="G199" s="32"/>
      <c r="H199" s="11"/>
      <c r="I199" s="33"/>
      <c r="J199" s="8" t="str">
        <f aca="false">IF(COUNTA(B199,D199,G199,H199,I199)=0,"",IF(B199="","Enter date",IF(OR(B199&lt;$AC$2,B199&gt;$AC$3),"Date not in September",IF(D199="","Pick project",IF(ISNA(MATCH(D199,ProjNames,0)),"Project not in list",IF(G199="","Add task description",IF(H199="","Pick NTIME or P6",IF(N(I199)&lt;=0,"Enter hours",IF(AND(AllowOT&lt;&gt;"Yes",SUMIF($B$7:$B$256,B199,$I$7:$I$256)&gt;INDEX($O$58:$O$87,DAY(B199))),"Day over "&amp;INDEX($O$58:$O$87,DAY(B199))&amp;" h","✓")))))))))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tr">
        <f aca="false">IF(Projects!B197="","",Projects!B197)</f>
        <v/>
      </c>
      <c r="X199" s="1" t="n">
        <f aca="false">IF(W199="",0,SUMIFS($I$7:$I$256,$D$7:$D$256,W199,$H$7:$H$256,"NTIME"))</f>
        <v>0</v>
      </c>
      <c r="Y199" s="1" t="n">
        <f aca="false">IF(W199="",0,SUMIFS($I$7:$I$256,$D$7:$D$256,W199,$H$7:$H$256,"P6"))</f>
        <v>0</v>
      </c>
      <c r="Z199" s="1" t="n">
        <f aca="false">X199+Y199</f>
        <v>0</v>
      </c>
      <c r="AA199" s="1" t="n">
        <f aca="false">IF(Z199&gt;0,Z199+(201-193)/10^6,0)</f>
        <v>0</v>
      </c>
      <c r="AB199" s="1"/>
      <c r="AC199" s="1"/>
      <c r="AD199" s="1"/>
      <c r="AE199" s="1"/>
      <c r="AF199" s="1"/>
      <c r="AG199" s="1"/>
      <c r="AH199" s="1"/>
    </row>
    <row r="200" customFormat="false" ht="15" hidden="false" customHeight="false" outlineLevel="0" collapsed="false">
      <c r="A200" s="1"/>
      <c r="B200" s="10"/>
      <c r="C200" s="31" t="str">
        <f aca="false">IF(B200="","",TEXT(B200,"ddd"))</f>
        <v/>
      </c>
      <c r="D200" s="11"/>
      <c r="E200" s="8" t="str">
        <f aca="false">IF(D200="","",IFERROR(INDEX(ProjNumbers,MATCH(D200,ProjNames,0)),""))</f>
        <v/>
      </c>
      <c r="F200" s="8" t="str">
        <f aca="false">IF(D200="","",IFERROR(INDEX(ProjCodes,MATCH(D200,ProjNames,0)),""))</f>
        <v/>
      </c>
      <c r="G200" s="32"/>
      <c r="H200" s="11"/>
      <c r="I200" s="33"/>
      <c r="J200" s="8" t="str">
        <f aca="false">IF(COUNTA(B200,D200,G200,H200,I200)=0,"",IF(B200="","Enter date",IF(OR(B200&lt;$AC$2,B200&gt;$AC$3),"Date not in September",IF(D200="","Pick project",IF(ISNA(MATCH(D200,ProjNames,0)),"Project not in list",IF(G200="","Add task description",IF(H200="","Pick NTIME or P6",IF(N(I200)&lt;=0,"Enter hours",IF(AND(AllowOT&lt;&gt;"Yes",SUMIF($B$7:$B$256,B200,$I$7:$I$256)&gt;INDEX($O$58:$O$87,DAY(B200))),"Day over "&amp;INDEX($O$58:$O$87,DAY(B200))&amp;" h","✓")))))))))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tr">
        <f aca="false">IF(Projects!B198="","",Projects!B198)</f>
        <v/>
      </c>
      <c r="X200" s="1" t="n">
        <f aca="false">IF(W200="",0,SUMIFS($I$7:$I$256,$D$7:$D$256,W200,$H$7:$H$256,"NTIME"))</f>
        <v>0</v>
      </c>
      <c r="Y200" s="1" t="n">
        <f aca="false">IF(W200="",0,SUMIFS($I$7:$I$256,$D$7:$D$256,W200,$H$7:$H$256,"P6"))</f>
        <v>0</v>
      </c>
      <c r="Z200" s="1" t="n">
        <f aca="false">X200+Y200</f>
        <v>0</v>
      </c>
      <c r="AA200" s="1" t="n">
        <f aca="false">IF(Z200&gt;0,Z200+(201-194)/10^6,0)</f>
        <v>0</v>
      </c>
      <c r="AB200" s="1"/>
      <c r="AC200" s="1"/>
      <c r="AD200" s="1"/>
      <c r="AE200" s="1"/>
      <c r="AF200" s="1"/>
      <c r="AG200" s="1"/>
      <c r="AH200" s="1"/>
    </row>
    <row r="201" customFormat="false" ht="15" hidden="false" customHeight="false" outlineLevel="0" collapsed="false">
      <c r="A201" s="1"/>
      <c r="B201" s="10"/>
      <c r="C201" s="31" t="str">
        <f aca="false">IF(B201="","",TEXT(B201,"ddd"))</f>
        <v/>
      </c>
      <c r="D201" s="11"/>
      <c r="E201" s="8" t="str">
        <f aca="false">IF(D201="","",IFERROR(INDEX(ProjNumbers,MATCH(D201,ProjNames,0)),""))</f>
        <v/>
      </c>
      <c r="F201" s="8" t="str">
        <f aca="false">IF(D201="","",IFERROR(INDEX(ProjCodes,MATCH(D201,ProjNames,0)),""))</f>
        <v/>
      </c>
      <c r="G201" s="32"/>
      <c r="H201" s="11"/>
      <c r="I201" s="33"/>
      <c r="J201" s="8" t="str">
        <f aca="false">IF(COUNTA(B201,D201,G201,H201,I201)=0,"",IF(B201="","Enter date",IF(OR(B201&lt;$AC$2,B201&gt;$AC$3),"Date not in September",IF(D201="","Pick project",IF(ISNA(MATCH(D201,ProjNames,0)),"Project not in list",IF(G201="","Add task description",IF(H201="","Pick NTIME or P6",IF(N(I201)&lt;=0,"Enter hours",IF(AND(AllowOT&lt;&gt;"Yes",SUMIF($B$7:$B$256,B201,$I$7:$I$256)&gt;INDEX($O$58:$O$87,DAY(B201))),"Day over "&amp;INDEX($O$58:$O$87,DAY(B201))&amp;" h","✓")))))))))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tr">
        <f aca="false">IF(Projects!B199="","",Projects!B199)</f>
        <v/>
      </c>
      <c r="X201" s="1" t="n">
        <f aca="false">IF(W201="",0,SUMIFS($I$7:$I$256,$D$7:$D$256,W201,$H$7:$H$256,"NTIME"))</f>
        <v>0</v>
      </c>
      <c r="Y201" s="1" t="n">
        <f aca="false">IF(W201="",0,SUMIFS($I$7:$I$256,$D$7:$D$256,W201,$H$7:$H$256,"P6"))</f>
        <v>0</v>
      </c>
      <c r="Z201" s="1" t="n">
        <f aca="false">X201+Y201</f>
        <v>0</v>
      </c>
      <c r="AA201" s="1" t="n">
        <f aca="false">IF(Z201&gt;0,Z201+(201-195)/10^6,0)</f>
        <v>0</v>
      </c>
      <c r="AB201" s="1"/>
      <c r="AC201" s="1"/>
      <c r="AD201" s="1"/>
      <c r="AE201" s="1"/>
      <c r="AF201" s="1"/>
      <c r="AG201" s="1"/>
      <c r="AH201" s="1"/>
    </row>
    <row r="202" customFormat="false" ht="15" hidden="false" customHeight="false" outlineLevel="0" collapsed="false">
      <c r="A202" s="1"/>
      <c r="B202" s="10"/>
      <c r="C202" s="31" t="str">
        <f aca="false">IF(B202="","",TEXT(B202,"ddd"))</f>
        <v/>
      </c>
      <c r="D202" s="11"/>
      <c r="E202" s="8" t="str">
        <f aca="false">IF(D202="","",IFERROR(INDEX(ProjNumbers,MATCH(D202,ProjNames,0)),""))</f>
        <v/>
      </c>
      <c r="F202" s="8" t="str">
        <f aca="false">IF(D202="","",IFERROR(INDEX(ProjCodes,MATCH(D202,ProjNames,0)),""))</f>
        <v/>
      </c>
      <c r="G202" s="32"/>
      <c r="H202" s="11"/>
      <c r="I202" s="33"/>
      <c r="J202" s="8" t="str">
        <f aca="false">IF(COUNTA(B202,D202,G202,H202,I202)=0,"",IF(B202="","Enter date",IF(OR(B202&lt;$AC$2,B202&gt;$AC$3),"Date not in September",IF(D202="","Pick project",IF(ISNA(MATCH(D202,ProjNames,0)),"Project not in list",IF(G202="","Add task description",IF(H202="","Pick NTIME or P6",IF(N(I202)&lt;=0,"Enter hours",IF(AND(AllowOT&lt;&gt;"Yes",SUMIF($B$7:$B$256,B202,$I$7:$I$256)&gt;INDEX($O$58:$O$87,DAY(B202))),"Day over "&amp;INDEX($O$58:$O$87,DAY(B202))&amp;" h","✓")))))))))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tr">
        <f aca="false">IF(Projects!B200="","",Projects!B200)</f>
        <v/>
      </c>
      <c r="X202" s="1" t="n">
        <f aca="false">IF(W202="",0,SUMIFS($I$7:$I$256,$D$7:$D$256,W202,$H$7:$H$256,"NTIME"))</f>
        <v>0</v>
      </c>
      <c r="Y202" s="1" t="n">
        <f aca="false">IF(W202="",0,SUMIFS($I$7:$I$256,$D$7:$D$256,W202,$H$7:$H$256,"P6"))</f>
        <v>0</v>
      </c>
      <c r="Z202" s="1" t="n">
        <f aca="false">X202+Y202</f>
        <v>0</v>
      </c>
      <c r="AA202" s="1" t="n">
        <f aca="false">IF(Z202&gt;0,Z202+(201-196)/10^6,0)</f>
        <v>0</v>
      </c>
      <c r="AB202" s="1"/>
      <c r="AC202" s="1"/>
      <c r="AD202" s="1"/>
      <c r="AE202" s="1"/>
      <c r="AF202" s="1"/>
      <c r="AG202" s="1"/>
      <c r="AH202" s="1"/>
    </row>
    <row r="203" customFormat="false" ht="15" hidden="false" customHeight="false" outlineLevel="0" collapsed="false">
      <c r="A203" s="1"/>
      <c r="B203" s="10"/>
      <c r="C203" s="31" t="str">
        <f aca="false">IF(B203="","",TEXT(B203,"ddd"))</f>
        <v/>
      </c>
      <c r="D203" s="11"/>
      <c r="E203" s="8" t="str">
        <f aca="false">IF(D203="","",IFERROR(INDEX(ProjNumbers,MATCH(D203,ProjNames,0)),""))</f>
        <v/>
      </c>
      <c r="F203" s="8" t="str">
        <f aca="false">IF(D203="","",IFERROR(INDEX(ProjCodes,MATCH(D203,ProjNames,0)),""))</f>
        <v/>
      </c>
      <c r="G203" s="32"/>
      <c r="H203" s="11"/>
      <c r="I203" s="33"/>
      <c r="J203" s="8" t="str">
        <f aca="false">IF(COUNTA(B203,D203,G203,H203,I203)=0,"",IF(B203="","Enter date",IF(OR(B203&lt;$AC$2,B203&gt;$AC$3),"Date not in September",IF(D203="","Pick project",IF(ISNA(MATCH(D203,ProjNames,0)),"Project not in list",IF(G203="","Add task description",IF(H203="","Pick NTIME or P6",IF(N(I203)&lt;=0,"Enter hours",IF(AND(AllowOT&lt;&gt;"Yes",SUMIF($B$7:$B$256,B203,$I$7:$I$256)&gt;INDEX($O$58:$O$87,DAY(B203))),"Day over "&amp;INDEX($O$58:$O$87,DAY(B203))&amp;" h","✓")))))))))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tr">
        <f aca="false">IF(Projects!B201="","",Projects!B201)</f>
        <v/>
      </c>
      <c r="X203" s="1" t="n">
        <f aca="false">IF(W203="",0,SUMIFS($I$7:$I$256,$D$7:$D$256,W203,$H$7:$H$256,"NTIME"))</f>
        <v>0</v>
      </c>
      <c r="Y203" s="1" t="n">
        <f aca="false">IF(W203="",0,SUMIFS($I$7:$I$256,$D$7:$D$256,W203,$H$7:$H$256,"P6"))</f>
        <v>0</v>
      </c>
      <c r="Z203" s="1" t="n">
        <f aca="false">X203+Y203</f>
        <v>0</v>
      </c>
      <c r="AA203" s="1" t="n">
        <f aca="false">IF(Z203&gt;0,Z203+(201-197)/10^6,0)</f>
        <v>0</v>
      </c>
      <c r="AB203" s="1"/>
      <c r="AC203" s="1"/>
      <c r="AD203" s="1"/>
      <c r="AE203" s="1"/>
      <c r="AF203" s="1"/>
      <c r="AG203" s="1"/>
      <c r="AH203" s="1"/>
    </row>
    <row r="204" customFormat="false" ht="15" hidden="false" customHeight="false" outlineLevel="0" collapsed="false">
      <c r="A204" s="1"/>
      <c r="B204" s="10"/>
      <c r="C204" s="31" t="str">
        <f aca="false">IF(B204="","",TEXT(B204,"ddd"))</f>
        <v/>
      </c>
      <c r="D204" s="11"/>
      <c r="E204" s="8" t="str">
        <f aca="false">IF(D204="","",IFERROR(INDEX(ProjNumbers,MATCH(D204,ProjNames,0)),""))</f>
        <v/>
      </c>
      <c r="F204" s="8" t="str">
        <f aca="false">IF(D204="","",IFERROR(INDEX(ProjCodes,MATCH(D204,ProjNames,0)),""))</f>
        <v/>
      </c>
      <c r="G204" s="32"/>
      <c r="H204" s="11"/>
      <c r="I204" s="33"/>
      <c r="J204" s="8" t="str">
        <f aca="false">IF(COUNTA(B204,D204,G204,H204,I204)=0,"",IF(B204="","Enter date",IF(OR(B204&lt;$AC$2,B204&gt;$AC$3),"Date not in September",IF(D204="","Pick project",IF(ISNA(MATCH(D204,ProjNames,0)),"Project not in list",IF(G204="","Add task description",IF(H204="","Pick NTIME or P6",IF(N(I204)&lt;=0,"Enter hours",IF(AND(AllowOT&lt;&gt;"Yes",SUMIF($B$7:$B$256,B204,$I$7:$I$256)&gt;INDEX($O$58:$O$87,DAY(B204))),"Day over "&amp;INDEX($O$58:$O$87,DAY(B204))&amp;" h","✓")))))))))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tr">
        <f aca="false">IF(Projects!B202="","",Projects!B202)</f>
        <v/>
      </c>
      <c r="X204" s="1" t="n">
        <f aca="false">IF(W204="",0,SUMIFS($I$7:$I$256,$D$7:$D$256,W204,$H$7:$H$256,"NTIME"))</f>
        <v>0</v>
      </c>
      <c r="Y204" s="1" t="n">
        <f aca="false">IF(W204="",0,SUMIFS($I$7:$I$256,$D$7:$D$256,W204,$H$7:$H$256,"P6"))</f>
        <v>0</v>
      </c>
      <c r="Z204" s="1" t="n">
        <f aca="false">X204+Y204</f>
        <v>0</v>
      </c>
      <c r="AA204" s="1" t="n">
        <f aca="false">IF(Z204&gt;0,Z204+(201-198)/10^6,0)</f>
        <v>0</v>
      </c>
      <c r="AB204" s="1"/>
      <c r="AC204" s="1"/>
      <c r="AD204" s="1"/>
      <c r="AE204" s="1"/>
      <c r="AF204" s="1"/>
      <c r="AG204" s="1"/>
      <c r="AH204" s="1"/>
    </row>
    <row r="205" customFormat="false" ht="15" hidden="false" customHeight="false" outlineLevel="0" collapsed="false">
      <c r="A205" s="1"/>
      <c r="B205" s="10"/>
      <c r="C205" s="31" t="str">
        <f aca="false">IF(B205="","",TEXT(B205,"ddd"))</f>
        <v/>
      </c>
      <c r="D205" s="11"/>
      <c r="E205" s="8" t="str">
        <f aca="false">IF(D205="","",IFERROR(INDEX(ProjNumbers,MATCH(D205,ProjNames,0)),""))</f>
        <v/>
      </c>
      <c r="F205" s="8" t="str">
        <f aca="false">IF(D205="","",IFERROR(INDEX(ProjCodes,MATCH(D205,ProjNames,0)),""))</f>
        <v/>
      </c>
      <c r="G205" s="32"/>
      <c r="H205" s="11"/>
      <c r="I205" s="33"/>
      <c r="J205" s="8" t="str">
        <f aca="false">IF(COUNTA(B205,D205,G205,H205,I205)=0,"",IF(B205="","Enter date",IF(OR(B205&lt;$AC$2,B205&gt;$AC$3),"Date not in September",IF(D205="","Pick project",IF(ISNA(MATCH(D205,ProjNames,0)),"Project not in list",IF(G205="","Add task description",IF(H205="","Pick NTIME or P6",IF(N(I205)&lt;=0,"Enter hours",IF(AND(AllowOT&lt;&gt;"Yes",SUMIF($B$7:$B$256,B205,$I$7:$I$256)&gt;INDEX($O$58:$O$87,DAY(B205))),"Day over "&amp;INDEX($O$58:$O$87,DAY(B205))&amp;" h","✓")))))))))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tr">
        <f aca="false">IF(Projects!B203="","",Projects!B203)</f>
        <v/>
      </c>
      <c r="X205" s="1" t="n">
        <f aca="false">IF(W205="",0,SUMIFS($I$7:$I$256,$D$7:$D$256,W205,$H$7:$H$256,"NTIME"))</f>
        <v>0</v>
      </c>
      <c r="Y205" s="1" t="n">
        <f aca="false">IF(W205="",0,SUMIFS($I$7:$I$256,$D$7:$D$256,W205,$H$7:$H$256,"P6"))</f>
        <v>0</v>
      </c>
      <c r="Z205" s="1" t="n">
        <f aca="false">X205+Y205</f>
        <v>0</v>
      </c>
      <c r="AA205" s="1" t="n">
        <f aca="false">IF(Z205&gt;0,Z205+(201-199)/10^6,0)</f>
        <v>0</v>
      </c>
      <c r="AB205" s="1"/>
      <c r="AC205" s="1"/>
      <c r="AD205" s="1"/>
      <c r="AE205" s="1"/>
      <c r="AF205" s="1"/>
      <c r="AG205" s="1"/>
      <c r="AH205" s="1"/>
    </row>
    <row r="206" customFormat="false" ht="15" hidden="false" customHeight="false" outlineLevel="0" collapsed="false">
      <c r="A206" s="1"/>
      <c r="B206" s="10"/>
      <c r="C206" s="31" t="str">
        <f aca="false">IF(B206="","",TEXT(B206,"ddd"))</f>
        <v/>
      </c>
      <c r="D206" s="11"/>
      <c r="E206" s="8" t="str">
        <f aca="false">IF(D206="","",IFERROR(INDEX(ProjNumbers,MATCH(D206,ProjNames,0)),""))</f>
        <v/>
      </c>
      <c r="F206" s="8" t="str">
        <f aca="false">IF(D206="","",IFERROR(INDEX(ProjCodes,MATCH(D206,ProjNames,0)),""))</f>
        <v/>
      </c>
      <c r="G206" s="32"/>
      <c r="H206" s="11"/>
      <c r="I206" s="33"/>
      <c r="J206" s="8" t="str">
        <f aca="false">IF(COUNTA(B206,D206,G206,H206,I206)=0,"",IF(B206="","Enter date",IF(OR(B206&lt;$AC$2,B206&gt;$AC$3),"Date not in September",IF(D206="","Pick project",IF(ISNA(MATCH(D206,ProjNames,0)),"Project not in list",IF(G206="","Add task description",IF(H206="","Pick NTIME or P6",IF(N(I206)&lt;=0,"Enter hours",IF(AND(AllowOT&lt;&gt;"Yes",SUMIF($B$7:$B$256,B206,$I$7:$I$256)&gt;INDEX($O$58:$O$87,DAY(B206))),"Day over "&amp;INDEX($O$58:$O$87,DAY(B206))&amp;" h","✓")))))))))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tr">
        <f aca="false">IF(Projects!B204="","",Projects!B204)</f>
        <v/>
      </c>
      <c r="X206" s="1" t="n">
        <f aca="false">IF(W206="",0,SUMIFS($I$7:$I$256,$D$7:$D$256,W206,$H$7:$H$256,"NTIME"))</f>
        <v>0</v>
      </c>
      <c r="Y206" s="1" t="n">
        <f aca="false">IF(W206="",0,SUMIFS($I$7:$I$256,$D$7:$D$256,W206,$H$7:$H$256,"P6"))</f>
        <v>0</v>
      </c>
      <c r="Z206" s="1" t="n">
        <f aca="false">X206+Y206</f>
        <v>0</v>
      </c>
      <c r="AA206" s="1" t="n">
        <f aca="false">IF(Z206&gt;0,Z206+(201-200)/10^6,0)</f>
        <v>0</v>
      </c>
      <c r="AB206" s="1"/>
      <c r="AC206" s="1"/>
      <c r="AD206" s="1"/>
      <c r="AE206" s="1"/>
      <c r="AF206" s="1"/>
      <c r="AG206" s="1"/>
      <c r="AH206" s="1"/>
    </row>
    <row r="207" customFormat="false" ht="15" hidden="false" customHeight="false" outlineLevel="0" collapsed="false">
      <c r="A207" s="1"/>
      <c r="B207" s="10"/>
      <c r="C207" s="31" t="str">
        <f aca="false">IF(B207="","",TEXT(B207,"ddd"))</f>
        <v/>
      </c>
      <c r="D207" s="11"/>
      <c r="E207" s="8" t="str">
        <f aca="false">IF(D207="","",IFERROR(INDEX(ProjNumbers,MATCH(D207,ProjNames,0)),""))</f>
        <v/>
      </c>
      <c r="F207" s="8" t="str">
        <f aca="false">IF(D207="","",IFERROR(INDEX(ProjCodes,MATCH(D207,ProjNames,0)),""))</f>
        <v/>
      </c>
      <c r="G207" s="32"/>
      <c r="H207" s="11"/>
      <c r="I207" s="33"/>
      <c r="J207" s="8" t="str">
        <f aca="false">IF(COUNTA(B207,D207,G207,H207,I207)=0,"",IF(B207="","Enter date",IF(OR(B207&lt;$AC$2,B207&gt;$AC$3),"Date not in September",IF(D207="","Pick project",IF(ISNA(MATCH(D207,ProjNames,0)),"Project not in list",IF(G207="","Add task description",IF(H207="","Pick NTIME or P6",IF(N(I207)&lt;=0,"Enter hours",IF(AND(AllowOT&lt;&gt;"Yes",SUMIF($B$7:$B$256,B207,$I$7:$I$256)&gt;INDEX($O$58:$O$87,DAY(B207))),"Day over "&amp;INDEX($O$58:$O$87,DAY(B207))&amp;" h","✓")))))))))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5" hidden="false" customHeight="false" outlineLevel="0" collapsed="false">
      <c r="A208" s="1"/>
      <c r="B208" s="10"/>
      <c r="C208" s="31" t="str">
        <f aca="false">IF(B208="","",TEXT(B208,"ddd"))</f>
        <v/>
      </c>
      <c r="D208" s="11"/>
      <c r="E208" s="8" t="str">
        <f aca="false">IF(D208="","",IFERROR(INDEX(ProjNumbers,MATCH(D208,ProjNames,0)),""))</f>
        <v/>
      </c>
      <c r="F208" s="8" t="str">
        <f aca="false">IF(D208="","",IFERROR(INDEX(ProjCodes,MATCH(D208,ProjNames,0)),""))</f>
        <v/>
      </c>
      <c r="G208" s="32"/>
      <c r="H208" s="11"/>
      <c r="I208" s="33"/>
      <c r="J208" s="8" t="str">
        <f aca="false">IF(COUNTA(B208,D208,G208,H208,I208)=0,"",IF(B208="","Enter date",IF(OR(B208&lt;$AC$2,B208&gt;$AC$3),"Date not in September",IF(D208="","Pick project",IF(ISNA(MATCH(D208,ProjNames,0)),"Project not in list",IF(G208="","Add task description",IF(H208="","Pick NTIME or P6",IF(N(I208)&lt;=0,"Enter hours",IF(AND(AllowOT&lt;&gt;"Yes",SUMIF($B$7:$B$256,B208,$I$7:$I$256)&gt;INDEX($O$58:$O$87,DAY(B208))),"Day over "&amp;INDEX($O$58:$O$87,DAY(B208))&amp;" h","✓")))))))))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5" hidden="false" customHeight="false" outlineLevel="0" collapsed="false">
      <c r="A209" s="1"/>
      <c r="B209" s="10"/>
      <c r="C209" s="31" t="str">
        <f aca="false">IF(B209="","",TEXT(B209,"ddd"))</f>
        <v/>
      </c>
      <c r="D209" s="11"/>
      <c r="E209" s="8" t="str">
        <f aca="false">IF(D209="","",IFERROR(INDEX(ProjNumbers,MATCH(D209,ProjNames,0)),""))</f>
        <v/>
      </c>
      <c r="F209" s="8" t="str">
        <f aca="false">IF(D209="","",IFERROR(INDEX(ProjCodes,MATCH(D209,ProjNames,0)),""))</f>
        <v/>
      </c>
      <c r="G209" s="32"/>
      <c r="H209" s="11"/>
      <c r="I209" s="33"/>
      <c r="J209" s="8" t="str">
        <f aca="false">IF(COUNTA(B209,D209,G209,H209,I209)=0,"",IF(B209="","Enter date",IF(OR(B209&lt;$AC$2,B209&gt;$AC$3),"Date not in September",IF(D209="","Pick project",IF(ISNA(MATCH(D209,ProjNames,0)),"Project not in list",IF(G209="","Add task description",IF(H209="","Pick NTIME or P6",IF(N(I209)&lt;=0,"Enter hours",IF(AND(AllowOT&lt;&gt;"Yes",SUMIF($B$7:$B$256,B209,$I$7:$I$256)&gt;INDEX($O$58:$O$87,DAY(B209))),"Day over "&amp;INDEX($O$58:$O$87,DAY(B209))&amp;" h","✓")))))))))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5" hidden="false" customHeight="false" outlineLevel="0" collapsed="false">
      <c r="A210" s="1"/>
      <c r="B210" s="10"/>
      <c r="C210" s="31" t="str">
        <f aca="false">IF(B210="","",TEXT(B210,"ddd"))</f>
        <v/>
      </c>
      <c r="D210" s="11"/>
      <c r="E210" s="8" t="str">
        <f aca="false">IF(D210="","",IFERROR(INDEX(ProjNumbers,MATCH(D210,ProjNames,0)),""))</f>
        <v/>
      </c>
      <c r="F210" s="8" t="str">
        <f aca="false">IF(D210="","",IFERROR(INDEX(ProjCodes,MATCH(D210,ProjNames,0)),""))</f>
        <v/>
      </c>
      <c r="G210" s="32"/>
      <c r="H210" s="11"/>
      <c r="I210" s="33"/>
      <c r="J210" s="8" t="str">
        <f aca="false">IF(COUNTA(B210,D210,G210,H210,I210)=0,"",IF(B210="","Enter date",IF(OR(B210&lt;$AC$2,B210&gt;$AC$3),"Date not in September",IF(D210="","Pick project",IF(ISNA(MATCH(D210,ProjNames,0)),"Project not in list",IF(G210="","Add task description",IF(H210="","Pick NTIME or P6",IF(N(I210)&lt;=0,"Enter hours",IF(AND(AllowOT&lt;&gt;"Yes",SUMIF($B$7:$B$256,B210,$I$7:$I$256)&gt;INDEX($O$58:$O$87,DAY(B210))),"Day over "&amp;INDEX($O$58:$O$87,DAY(B210))&amp;" h","✓")))))))))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5" hidden="false" customHeight="false" outlineLevel="0" collapsed="false">
      <c r="A211" s="1"/>
      <c r="B211" s="10"/>
      <c r="C211" s="31" t="str">
        <f aca="false">IF(B211="","",TEXT(B211,"ddd"))</f>
        <v/>
      </c>
      <c r="D211" s="11"/>
      <c r="E211" s="8" t="str">
        <f aca="false">IF(D211="","",IFERROR(INDEX(ProjNumbers,MATCH(D211,ProjNames,0)),""))</f>
        <v/>
      </c>
      <c r="F211" s="8" t="str">
        <f aca="false">IF(D211="","",IFERROR(INDEX(ProjCodes,MATCH(D211,ProjNames,0)),""))</f>
        <v/>
      </c>
      <c r="G211" s="32"/>
      <c r="H211" s="11"/>
      <c r="I211" s="33"/>
      <c r="J211" s="8" t="str">
        <f aca="false">IF(COUNTA(B211,D211,G211,H211,I211)=0,"",IF(B211="","Enter date",IF(OR(B211&lt;$AC$2,B211&gt;$AC$3),"Date not in September",IF(D211="","Pick project",IF(ISNA(MATCH(D211,ProjNames,0)),"Project not in list",IF(G211="","Add task description",IF(H211="","Pick NTIME or P6",IF(N(I211)&lt;=0,"Enter hours",IF(AND(AllowOT&lt;&gt;"Yes",SUMIF($B$7:$B$256,B211,$I$7:$I$256)&gt;INDEX($O$58:$O$87,DAY(B211))),"Day over "&amp;INDEX($O$58:$O$87,DAY(B211))&amp;" h","✓")))))))))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5" hidden="false" customHeight="false" outlineLevel="0" collapsed="false">
      <c r="A212" s="1"/>
      <c r="B212" s="10"/>
      <c r="C212" s="31" t="str">
        <f aca="false">IF(B212="","",TEXT(B212,"ddd"))</f>
        <v/>
      </c>
      <c r="D212" s="11"/>
      <c r="E212" s="8" t="str">
        <f aca="false">IF(D212="","",IFERROR(INDEX(ProjNumbers,MATCH(D212,ProjNames,0)),""))</f>
        <v/>
      </c>
      <c r="F212" s="8" t="str">
        <f aca="false">IF(D212="","",IFERROR(INDEX(ProjCodes,MATCH(D212,ProjNames,0)),""))</f>
        <v/>
      </c>
      <c r="G212" s="32"/>
      <c r="H212" s="11"/>
      <c r="I212" s="33"/>
      <c r="J212" s="8" t="str">
        <f aca="false">IF(COUNTA(B212,D212,G212,H212,I212)=0,"",IF(B212="","Enter date",IF(OR(B212&lt;$AC$2,B212&gt;$AC$3),"Date not in September",IF(D212="","Pick project",IF(ISNA(MATCH(D212,ProjNames,0)),"Project not in list",IF(G212="","Add task description",IF(H212="","Pick NTIME or P6",IF(N(I212)&lt;=0,"Enter hours",IF(AND(AllowOT&lt;&gt;"Yes",SUMIF($B$7:$B$256,B212,$I$7:$I$256)&gt;INDEX($O$58:$O$87,DAY(B212))),"Day over "&amp;INDEX($O$58:$O$87,DAY(B212))&amp;" h","✓")))))))))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5" hidden="false" customHeight="false" outlineLevel="0" collapsed="false">
      <c r="A213" s="1"/>
      <c r="B213" s="10"/>
      <c r="C213" s="31" t="str">
        <f aca="false">IF(B213="","",TEXT(B213,"ddd"))</f>
        <v/>
      </c>
      <c r="D213" s="11"/>
      <c r="E213" s="8" t="str">
        <f aca="false">IF(D213="","",IFERROR(INDEX(ProjNumbers,MATCH(D213,ProjNames,0)),""))</f>
        <v/>
      </c>
      <c r="F213" s="8" t="str">
        <f aca="false">IF(D213="","",IFERROR(INDEX(ProjCodes,MATCH(D213,ProjNames,0)),""))</f>
        <v/>
      </c>
      <c r="G213" s="32"/>
      <c r="H213" s="11"/>
      <c r="I213" s="33"/>
      <c r="J213" s="8" t="str">
        <f aca="false">IF(COUNTA(B213,D213,G213,H213,I213)=0,"",IF(B213="","Enter date",IF(OR(B213&lt;$AC$2,B213&gt;$AC$3),"Date not in September",IF(D213="","Pick project",IF(ISNA(MATCH(D213,ProjNames,0)),"Project not in list",IF(G213="","Add task description",IF(H213="","Pick NTIME or P6",IF(N(I213)&lt;=0,"Enter hours",IF(AND(AllowOT&lt;&gt;"Yes",SUMIF($B$7:$B$256,B213,$I$7:$I$256)&gt;INDEX($O$58:$O$87,DAY(B213))),"Day over "&amp;INDEX($O$58:$O$87,DAY(B213))&amp;" h","✓")))))))))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5" hidden="false" customHeight="false" outlineLevel="0" collapsed="false">
      <c r="A214" s="1"/>
      <c r="B214" s="10"/>
      <c r="C214" s="31" t="str">
        <f aca="false">IF(B214="","",TEXT(B214,"ddd"))</f>
        <v/>
      </c>
      <c r="D214" s="11"/>
      <c r="E214" s="8" t="str">
        <f aca="false">IF(D214="","",IFERROR(INDEX(ProjNumbers,MATCH(D214,ProjNames,0)),""))</f>
        <v/>
      </c>
      <c r="F214" s="8" t="str">
        <f aca="false">IF(D214="","",IFERROR(INDEX(ProjCodes,MATCH(D214,ProjNames,0)),""))</f>
        <v/>
      </c>
      <c r="G214" s="32"/>
      <c r="H214" s="11"/>
      <c r="I214" s="33"/>
      <c r="J214" s="8" t="str">
        <f aca="false">IF(COUNTA(B214,D214,G214,H214,I214)=0,"",IF(B214="","Enter date",IF(OR(B214&lt;$AC$2,B214&gt;$AC$3),"Date not in September",IF(D214="","Pick project",IF(ISNA(MATCH(D214,ProjNames,0)),"Project not in list",IF(G214="","Add task description",IF(H214="","Pick NTIME or P6",IF(N(I214)&lt;=0,"Enter hours",IF(AND(AllowOT&lt;&gt;"Yes",SUMIF($B$7:$B$256,B214,$I$7:$I$256)&gt;INDEX($O$58:$O$87,DAY(B214))),"Day over "&amp;INDEX($O$58:$O$87,DAY(B214))&amp;" h","✓")))))))))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5" hidden="false" customHeight="false" outlineLevel="0" collapsed="false">
      <c r="A215" s="1"/>
      <c r="B215" s="10"/>
      <c r="C215" s="31" t="str">
        <f aca="false">IF(B215="","",TEXT(B215,"ddd"))</f>
        <v/>
      </c>
      <c r="D215" s="11"/>
      <c r="E215" s="8" t="str">
        <f aca="false">IF(D215="","",IFERROR(INDEX(ProjNumbers,MATCH(D215,ProjNames,0)),""))</f>
        <v/>
      </c>
      <c r="F215" s="8" t="str">
        <f aca="false">IF(D215="","",IFERROR(INDEX(ProjCodes,MATCH(D215,ProjNames,0)),""))</f>
        <v/>
      </c>
      <c r="G215" s="32"/>
      <c r="H215" s="11"/>
      <c r="I215" s="33"/>
      <c r="J215" s="8" t="str">
        <f aca="false">IF(COUNTA(B215,D215,G215,H215,I215)=0,"",IF(B215="","Enter date",IF(OR(B215&lt;$AC$2,B215&gt;$AC$3),"Date not in September",IF(D215="","Pick project",IF(ISNA(MATCH(D215,ProjNames,0)),"Project not in list",IF(G215="","Add task description",IF(H215="","Pick NTIME or P6",IF(N(I215)&lt;=0,"Enter hours",IF(AND(AllowOT&lt;&gt;"Yes",SUMIF($B$7:$B$256,B215,$I$7:$I$256)&gt;INDEX($O$58:$O$87,DAY(B215))),"Day over "&amp;INDEX($O$58:$O$87,DAY(B215))&amp;" h","✓")))))))))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5" hidden="false" customHeight="false" outlineLevel="0" collapsed="false">
      <c r="A216" s="1"/>
      <c r="B216" s="10"/>
      <c r="C216" s="31" t="str">
        <f aca="false">IF(B216="","",TEXT(B216,"ddd"))</f>
        <v/>
      </c>
      <c r="D216" s="11"/>
      <c r="E216" s="8" t="str">
        <f aca="false">IF(D216="","",IFERROR(INDEX(ProjNumbers,MATCH(D216,ProjNames,0)),""))</f>
        <v/>
      </c>
      <c r="F216" s="8" t="str">
        <f aca="false">IF(D216="","",IFERROR(INDEX(ProjCodes,MATCH(D216,ProjNames,0)),""))</f>
        <v/>
      </c>
      <c r="G216" s="32"/>
      <c r="H216" s="11"/>
      <c r="I216" s="33"/>
      <c r="J216" s="8" t="str">
        <f aca="false">IF(COUNTA(B216,D216,G216,H216,I216)=0,"",IF(B216="","Enter date",IF(OR(B216&lt;$AC$2,B216&gt;$AC$3),"Date not in September",IF(D216="","Pick project",IF(ISNA(MATCH(D216,ProjNames,0)),"Project not in list",IF(G216="","Add task description",IF(H216="","Pick NTIME or P6",IF(N(I216)&lt;=0,"Enter hours",IF(AND(AllowOT&lt;&gt;"Yes",SUMIF($B$7:$B$256,B216,$I$7:$I$256)&gt;INDEX($O$58:$O$87,DAY(B216))),"Day over "&amp;INDEX($O$58:$O$87,DAY(B216))&amp;" h","✓")))))))))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5" hidden="false" customHeight="false" outlineLevel="0" collapsed="false">
      <c r="A217" s="1"/>
      <c r="B217" s="10"/>
      <c r="C217" s="31" t="str">
        <f aca="false">IF(B217="","",TEXT(B217,"ddd"))</f>
        <v/>
      </c>
      <c r="D217" s="11"/>
      <c r="E217" s="8" t="str">
        <f aca="false">IF(D217="","",IFERROR(INDEX(ProjNumbers,MATCH(D217,ProjNames,0)),""))</f>
        <v/>
      </c>
      <c r="F217" s="8" t="str">
        <f aca="false">IF(D217="","",IFERROR(INDEX(ProjCodes,MATCH(D217,ProjNames,0)),""))</f>
        <v/>
      </c>
      <c r="G217" s="32"/>
      <c r="H217" s="11"/>
      <c r="I217" s="33"/>
      <c r="J217" s="8" t="str">
        <f aca="false">IF(COUNTA(B217,D217,G217,H217,I217)=0,"",IF(B217="","Enter date",IF(OR(B217&lt;$AC$2,B217&gt;$AC$3),"Date not in September",IF(D217="","Pick project",IF(ISNA(MATCH(D217,ProjNames,0)),"Project not in list",IF(G217="","Add task description",IF(H217="","Pick NTIME or P6",IF(N(I217)&lt;=0,"Enter hours",IF(AND(AllowOT&lt;&gt;"Yes",SUMIF($B$7:$B$256,B217,$I$7:$I$256)&gt;INDEX($O$58:$O$87,DAY(B217))),"Day over "&amp;INDEX($O$58:$O$87,DAY(B217))&amp;" h","✓")))))))))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5" hidden="false" customHeight="false" outlineLevel="0" collapsed="false">
      <c r="A218" s="1"/>
      <c r="B218" s="10"/>
      <c r="C218" s="31" t="str">
        <f aca="false">IF(B218="","",TEXT(B218,"ddd"))</f>
        <v/>
      </c>
      <c r="D218" s="11"/>
      <c r="E218" s="8" t="str">
        <f aca="false">IF(D218="","",IFERROR(INDEX(ProjNumbers,MATCH(D218,ProjNames,0)),""))</f>
        <v/>
      </c>
      <c r="F218" s="8" t="str">
        <f aca="false">IF(D218="","",IFERROR(INDEX(ProjCodes,MATCH(D218,ProjNames,0)),""))</f>
        <v/>
      </c>
      <c r="G218" s="32"/>
      <c r="H218" s="11"/>
      <c r="I218" s="33"/>
      <c r="J218" s="8" t="str">
        <f aca="false">IF(COUNTA(B218,D218,G218,H218,I218)=0,"",IF(B218="","Enter date",IF(OR(B218&lt;$AC$2,B218&gt;$AC$3),"Date not in September",IF(D218="","Pick project",IF(ISNA(MATCH(D218,ProjNames,0)),"Project not in list",IF(G218="","Add task description",IF(H218="","Pick NTIME or P6",IF(N(I218)&lt;=0,"Enter hours",IF(AND(AllowOT&lt;&gt;"Yes",SUMIF($B$7:$B$256,B218,$I$7:$I$256)&gt;INDEX($O$58:$O$87,DAY(B218))),"Day over "&amp;INDEX($O$58:$O$87,DAY(B218))&amp;" h","✓")))))))))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5" hidden="false" customHeight="false" outlineLevel="0" collapsed="false">
      <c r="A219" s="1"/>
      <c r="B219" s="10"/>
      <c r="C219" s="31" t="str">
        <f aca="false">IF(B219="","",TEXT(B219,"ddd"))</f>
        <v/>
      </c>
      <c r="D219" s="11"/>
      <c r="E219" s="8" t="str">
        <f aca="false">IF(D219="","",IFERROR(INDEX(ProjNumbers,MATCH(D219,ProjNames,0)),""))</f>
        <v/>
      </c>
      <c r="F219" s="8" t="str">
        <f aca="false">IF(D219="","",IFERROR(INDEX(ProjCodes,MATCH(D219,ProjNames,0)),""))</f>
        <v/>
      </c>
      <c r="G219" s="32"/>
      <c r="H219" s="11"/>
      <c r="I219" s="33"/>
      <c r="J219" s="8" t="str">
        <f aca="false">IF(COUNTA(B219,D219,G219,H219,I219)=0,"",IF(B219="","Enter date",IF(OR(B219&lt;$AC$2,B219&gt;$AC$3),"Date not in September",IF(D219="","Pick project",IF(ISNA(MATCH(D219,ProjNames,0)),"Project not in list",IF(G219="","Add task description",IF(H219="","Pick NTIME or P6",IF(N(I219)&lt;=0,"Enter hours",IF(AND(AllowOT&lt;&gt;"Yes",SUMIF($B$7:$B$256,B219,$I$7:$I$256)&gt;INDEX($O$58:$O$87,DAY(B219))),"Day over "&amp;INDEX($O$58:$O$87,DAY(B219))&amp;" h","✓")))))))))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5" hidden="false" customHeight="false" outlineLevel="0" collapsed="false">
      <c r="A220" s="1"/>
      <c r="B220" s="10"/>
      <c r="C220" s="31" t="str">
        <f aca="false">IF(B220="","",TEXT(B220,"ddd"))</f>
        <v/>
      </c>
      <c r="D220" s="11"/>
      <c r="E220" s="8" t="str">
        <f aca="false">IF(D220="","",IFERROR(INDEX(ProjNumbers,MATCH(D220,ProjNames,0)),""))</f>
        <v/>
      </c>
      <c r="F220" s="8" t="str">
        <f aca="false">IF(D220="","",IFERROR(INDEX(ProjCodes,MATCH(D220,ProjNames,0)),""))</f>
        <v/>
      </c>
      <c r="G220" s="32"/>
      <c r="H220" s="11"/>
      <c r="I220" s="33"/>
      <c r="J220" s="8" t="str">
        <f aca="false">IF(COUNTA(B220,D220,G220,H220,I220)=0,"",IF(B220="","Enter date",IF(OR(B220&lt;$AC$2,B220&gt;$AC$3),"Date not in September",IF(D220="","Pick project",IF(ISNA(MATCH(D220,ProjNames,0)),"Project not in list",IF(G220="","Add task description",IF(H220="","Pick NTIME or P6",IF(N(I220)&lt;=0,"Enter hours",IF(AND(AllowOT&lt;&gt;"Yes",SUMIF($B$7:$B$256,B220,$I$7:$I$256)&gt;INDEX($O$58:$O$87,DAY(B220))),"Day over "&amp;INDEX($O$58:$O$87,DAY(B220))&amp;" h","✓")))))))))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5" hidden="false" customHeight="false" outlineLevel="0" collapsed="false">
      <c r="A221" s="1"/>
      <c r="B221" s="10"/>
      <c r="C221" s="31" t="str">
        <f aca="false">IF(B221="","",TEXT(B221,"ddd"))</f>
        <v/>
      </c>
      <c r="D221" s="11"/>
      <c r="E221" s="8" t="str">
        <f aca="false">IF(D221="","",IFERROR(INDEX(ProjNumbers,MATCH(D221,ProjNames,0)),""))</f>
        <v/>
      </c>
      <c r="F221" s="8" t="str">
        <f aca="false">IF(D221="","",IFERROR(INDEX(ProjCodes,MATCH(D221,ProjNames,0)),""))</f>
        <v/>
      </c>
      <c r="G221" s="32"/>
      <c r="H221" s="11"/>
      <c r="I221" s="33"/>
      <c r="J221" s="8" t="str">
        <f aca="false">IF(COUNTA(B221,D221,G221,H221,I221)=0,"",IF(B221="","Enter date",IF(OR(B221&lt;$AC$2,B221&gt;$AC$3),"Date not in September",IF(D221="","Pick project",IF(ISNA(MATCH(D221,ProjNames,0)),"Project not in list",IF(G221="","Add task description",IF(H221="","Pick NTIME or P6",IF(N(I221)&lt;=0,"Enter hours",IF(AND(AllowOT&lt;&gt;"Yes",SUMIF($B$7:$B$256,B221,$I$7:$I$256)&gt;INDEX($O$58:$O$87,DAY(B221))),"Day over "&amp;INDEX($O$58:$O$87,DAY(B221))&amp;" h","✓")))))))))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5" hidden="false" customHeight="false" outlineLevel="0" collapsed="false">
      <c r="A222" s="1"/>
      <c r="B222" s="10"/>
      <c r="C222" s="31" t="str">
        <f aca="false">IF(B222="","",TEXT(B222,"ddd"))</f>
        <v/>
      </c>
      <c r="D222" s="11"/>
      <c r="E222" s="8" t="str">
        <f aca="false">IF(D222="","",IFERROR(INDEX(ProjNumbers,MATCH(D222,ProjNames,0)),""))</f>
        <v/>
      </c>
      <c r="F222" s="8" t="str">
        <f aca="false">IF(D222="","",IFERROR(INDEX(ProjCodes,MATCH(D222,ProjNames,0)),""))</f>
        <v/>
      </c>
      <c r="G222" s="32"/>
      <c r="H222" s="11"/>
      <c r="I222" s="33"/>
      <c r="J222" s="8" t="str">
        <f aca="false">IF(COUNTA(B222,D222,G222,H222,I222)=0,"",IF(B222="","Enter date",IF(OR(B222&lt;$AC$2,B222&gt;$AC$3),"Date not in September",IF(D222="","Pick project",IF(ISNA(MATCH(D222,ProjNames,0)),"Project not in list",IF(G222="","Add task description",IF(H222="","Pick NTIME or P6",IF(N(I222)&lt;=0,"Enter hours",IF(AND(AllowOT&lt;&gt;"Yes",SUMIF($B$7:$B$256,B222,$I$7:$I$256)&gt;INDEX($O$58:$O$87,DAY(B222))),"Day over "&amp;INDEX($O$58:$O$87,DAY(B222))&amp;" h","✓")))))))))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5" hidden="false" customHeight="false" outlineLevel="0" collapsed="false">
      <c r="A223" s="1"/>
      <c r="B223" s="10"/>
      <c r="C223" s="31" t="str">
        <f aca="false">IF(B223="","",TEXT(B223,"ddd"))</f>
        <v/>
      </c>
      <c r="D223" s="11"/>
      <c r="E223" s="8" t="str">
        <f aca="false">IF(D223="","",IFERROR(INDEX(ProjNumbers,MATCH(D223,ProjNames,0)),""))</f>
        <v/>
      </c>
      <c r="F223" s="8" t="str">
        <f aca="false">IF(D223="","",IFERROR(INDEX(ProjCodes,MATCH(D223,ProjNames,0)),""))</f>
        <v/>
      </c>
      <c r="G223" s="32"/>
      <c r="H223" s="11"/>
      <c r="I223" s="33"/>
      <c r="J223" s="8" t="str">
        <f aca="false">IF(COUNTA(B223,D223,G223,H223,I223)=0,"",IF(B223="","Enter date",IF(OR(B223&lt;$AC$2,B223&gt;$AC$3),"Date not in September",IF(D223="","Pick project",IF(ISNA(MATCH(D223,ProjNames,0)),"Project not in list",IF(G223="","Add task description",IF(H223="","Pick NTIME or P6",IF(N(I223)&lt;=0,"Enter hours",IF(AND(AllowOT&lt;&gt;"Yes",SUMIF($B$7:$B$256,B223,$I$7:$I$256)&gt;INDEX($O$58:$O$87,DAY(B223))),"Day over "&amp;INDEX($O$58:$O$87,DAY(B223))&amp;" h","✓")))))))))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5" hidden="false" customHeight="false" outlineLevel="0" collapsed="false">
      <c r="A224" s="1"/>
      <c r="B224" s="10"/>
      <c r="C224" s="31" t="str">
        <f aca="false">IF(B224="","",TEXT(B224,"ddd"))</f>
        <v/>
      </c>
      <c r="D224" s="11"/>
      <c r="E224" s="8" t="str">
        <f aca="false">IF(D224="","",IFERROR(INDEX(ProjNumbers,MATCH(D224,ProjNames,0)),""))</f>
        <v/>
      </c>
      <c r="F224" s="8" t="str">
        <f aca="false">IF(D224="","",IFERROR(INDEX(ProjCodes,MATCH(D224,ProjNames,0)),""))</f>
        <v/>
      </c>
      <c r="G224" s="32"/>
      <c r="H224" s="11"/>
      <c r="I224" s="33"/>
      <c r="J224" s="8" t="str">
        <f aca="false">IF(COUNTA(B224,D224,G224,H224,I224)=0,"",IF(B224="","Enter date",IF(OR(B224&lt;$AC$2,B224&gt;$AC$3),"Date not in September",IF(D224="","Pick project",IF(ISNA(MATCH(D224,ProjNames,0)),"Project not in list",IF(G224="","Add task description",IF(H224="","Pick NTIME or P6",IF(N(I224)&lt;=0,"Enter hours",IF(AND(AllowOT&lt;&gt;"Yes",SUMIF($B$7:$B$256,B224,$I$7:$I$256)&gt;INDEX($O$58:$O$87,DAY(B224))),"Day over "&amp;INDEX($O$58:$O$87,DAY(B224))&amp;" h","✓")))))))))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5" hidden="false" customHeight="false" outlineLevel="0" collapsed="false">
      <c r="A225" s="1"/>
      <c r="B225" s="10"/>
      <c r="C225" s="31" t="str">
        <f aca="false">IF(B225="","",TEXT(B225,"ddd"))</f>
        <v/>
      </c>
      <c r="D225" s="11"/>
      <c r="E225" s="8" t="str">
        <f aca="false">IF(D225="","",IFERROR(INDEX(ProjNumbers,MATCH(D225,ProjNames,0)),""))</f>
        <v/>
      </c>
      <c r="F225" s="8" t="str">
        <f aca="false">IF(D225="","",IFERROR(INDEX(ProjCodes,MATCH(D225,ProjNames,0)),""))</f>
        <v/>
      </c>
      <c r="G225" s="32"/>
      <c r="H225" s="11"/>
      <c r="I225" s="33"/>
      <c r="J225" s="8" t="str">
        <f aca="false">IF(COUNTA(B225,D225,G225,H225,I225)=0,"",IF(B225="","Enter date",IF(OR(B225&lt;$AC$2,B225&gt;$AC$3),"Date not in September",IF(D225="","Pick project",IF(ISNA(MATCH(D225,ProjNames,0)),"Project not in list",IF(G225="","Add task description",IF(H225="","Pick NTIME or P6",IF(N(I225)&lt;=0,"Enter hours",IF(AND(AllowOT&lt;&gt;"Yes",SUMIF($B$7:$B$256,B225,$I$7:$I$256)&gt;INDEX($O$58:$O$87,DAY(B225))),"Day over "&amp;INDEX($O$58:$O$87,DAY(B225))&amp;" h","✓")))))))))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5" hidden="false" customHeight="false" outlineLevel="0" collapsed="false">
      <c r="A226" s="1"/>
      <c r="B226" s="10"/>
      <c r="C226" s="31" t="str">
        <f aca="false">IF(B226="","",TEXT(B226,"ddd"))</f>
        <v/>
      </c>
      <c r="D226" s="11"/>
      <c r="E226" s="8" t="str">
        <f aca="false">IF(D226="","",IFERROR(INDEX(ProjNumbers,MATCH(D226,ProjNames,0)),""))</f>
        <v/>
      </c>
      <c r="F226" s="8" t="str">
        <f aca="false">IF(D226="","",IFERROR(INDEX(ProjCodes,MATCH(D226,ProjNames,0)),""))</f>
        <v/>
      </c>
      <c r="G226" s="32"/>
      <c r="H226" s="11"/>
      <c r="I226" s="33"/>
      <c r="J226" s="8" t="str">
        <f aca="false">IF(COUNTA(B226,D226,G226,H226,I226)=0,"",IF(B226="","Enter date",IF(OR(B226&lt;$AC$2,B226&gt;$AC$3),"Date not in September",IF(D226="","Pick project",IF(ISNA(MATCH(D226,ProjNames,0)),"Project not in list",IF(G226="","Add task description",IF(H226="","Pick NTIME or P6",IF(N(I226)&lt;=0,"Enter hours",IF(AND(AllowOT&lt;&gt;"Yes",SUMIF($B$7:$B$256,B226,$I$7:$I$256)&gt;INDEX($O$58:$O$87,DAY(B226))),"Day over "&amp;INDEX($O$58:$O$87,DAY(B226))&amp;" h","✓")))))))))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5" hidden="false" customHeight="false" outlineLevel="0" collapsed="false">
      <c r="A227" s="1"/>
      <c r="B227" s="10"/>
      <c r="C227" s="31" t="str">
        <f aca="false">IF(B227="","",TEXT(B227,"ddd"))</f>
        <v/>
      </c>
      <c r="D227" s="11"/>
      <c r="E227" s="8" t="str">
        <f aca="false">IF(D227="","",IFERROR(INDEX(ProjNumbers,MATCH(D227,ProjNames,0)),""))</f>
        <v/>
      </c>
      <c r="F227" s="8" t="str">
        <f aca="false">IF(D227="","",IFERROR(INDEX(ProjCodes,MATCH(D227,ProjNames,0)),""))</f>
        <v/>
      </c>
      <c r="G227" s="32"/>
      <c r="H227" s="11"/>
      <c r="I227" s="33"/>
      <c r="J227" s="8" t="str">
        <f aca="false">IF(COUNTA(B227,D227,G227,H227,I227)=0,"",IF(B227="","Enter date",IF(OR(B227&lt;$AC$2,B227&gt;$AC$3),"Date not in September",IF(D227="","Pick project",IF(ISNA(MATCH(D227,ProjNames,0)),"Project not in list",IF(G227="","Add task description",IF(H227="","Pick NTIME or P6",IF(N(I227)&lt;=0,"Enter hours",IF(AND(AllowOT&lt;&gt;"Yes",SUMIF($B$7:$B$256,B227,$I$7:$I$256)&gt;INDEX($O$58:$O$87,DAY(B227))),"Day over "&amp;INDEX($O$58:$O$87,DAY(B227))&amp;" h","✓")))))))))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5" hidden="false" customHeight="false" outlineLevel="0" collapsed="false">
      <c r="A228" s="1"/>
      <c r="B228" s="10"/>
      <c r="C228" s="31" t="str">
        <f aca="false">IF(B228="","",TEXT(B228,"ddd"))</f>
        <v/>
      </c>
      <c r="D228" s="11"/>
      <c r="E228" s="8" t="str">
        <f aca="false">IF(D228="","",IFERROR(INDEX(ProjNumbers,MATCH(D228,ProjNames,0)),""))</f>
        <v/>
      </c>
      <c r="F228" s="8" t="str">
        <f aca="false">IF(D228="","",IFERROR(INDEX(ProjCodes,MATCH(D228,ProjNames,0)),""))</f>
        <v/>
      </c>
      <c r="G228" s="32"/>
      <c r="H228" s="11"/>
      <c r="I228" s="33"/>
      <c r="J228" s="8" t="str">
        <f aca="false">IF(COUNTA(B228,D228,G228,H228,I228)=0,"",IF(B228="","Enter date",IF(OR(B228&lt;$AC$2,B228&gt;$AC$3),"Date not in September",IF(D228="","Pick project",IF(ISNA(MATCH(D228,ProjNames,0)),"Project not in list",IF(G228="","Add task description",IF(H228="","Pick NTIME or P6",IF(N(I228)&lt;=0,"Enter hours",IF(AND(AllowOT&lt;&gt;"Yes",SUMIF($B$7:$B$256,B228,$I$7:$I$256)&gt;INDEX($O$58:$O$87,DAY(B228))),"Day over "&amp;INDEX($O$58:$O$87,DAY(B228))&amp;" h","✓")))))))))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5" hidden="false" customHeight="false" outlineLevel="0" collapsed="false">
      <c r="A229" s="1"/>
      <c r="B229" s="10"/>
      <c r="C229" s="31" t="str">
        <f aca="false">IF(B229="","",TEXT(B229,"ddd"))</f>
        <v/>
      </c>
      <c r="D229" s="11"/>
      <c r="E229" s="8" t="str">
        <f aca="false">IF(D229="","",IFERROR(INDEX(ProjNumbers,MATCH(D229,ProjNames,0)),""))</f>
        <v/>
      </c>
      <c r="F229" s="8" t="str">
        <f aca="false">IF(D229="","",IFERROR(INDEX(ProjCodes,MATCH(D229,ProjNames,0)),""))</f>
        <v/>
      </c>
      <c r="G229" s="32"/>
      <c r="H229" s="11"/>
      <c r="I229" s="33"/>
      <c r="J229" s="8" t="str">
        <f aca="false">IF(COUNTA(B229,D229,G229,H229,I229)=0,"",IF(B229="","Enter date",IF(OR(B229&lt;$AC$2,B229&gt;$AC$3),"Date not in September",IF(D229="","Pick project",IF(ISNA(MATCH(D229,ProjNames,0)),"Project not in list",IF(G229="","Add task description",IF(H229="","Pick NTIME or P6",IF(N(I229)&lt;=0,"Enter hours",IF(AND(AllowOT&lt;&gt;"Yes",SUMIF($B$7:$B$256,B229,$I$7:$I$256)&gt;INDEX($O$58:$O$87,DAY(B229))),"Day over "&amp;INDEX($O$58:$O$87,DAY(B229))&amp;" h","✓")))))))))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5" hidden="false" customHeight="false" outlineLevel="0" collapsed="false">
      <c r="A230" s="1"/>
      <c r="B230" s="10"/>
      <c r="C230" s="31" t="str">
        <f aca="false">IF(B230="","",TEXT(B230,"ddd"))</f>
        <v/>
      </c>
      <c r="D230" s="11"/>
      <c r="E230" s="8" t="str">
        <f aca="false">IF(D230="","",IFERROR(INDEX(ProjNumbers,MATCH(D230,ProjNames,0)),""))</f>
        <v/>
      </c>
      <c r="F230" s="8" t="str">
        <f aca="false">IF(D230="","",IFERROR(INDEX(ProjCodes,MATCH(D230,ProjNames,0)),""))</f>
        <v/>
      </c>
      <c r="G230" s="32"/>
      <c r="H230" s="11"/>
      <c r="I230" s="33"/>
      <c r="J230" s="8" t="str">
        <f aca="false">IF(COUNTA(B230,D230,G230,H230,I230)=0,"",IF(B230="","Enter date",IF(OR(B230&lt;$AC$2,B230&gt;$AC$3),"Date not in September",IF(D230="","Pick project",IF(ISNA(MATCH(D230,ProjNames,0)),"Project not in list",IF(G230="","Add task description",IF(H230="","Pick NTIME or P6",IF(N(I230)&lt;=0,"Enter hours",IF(AND(AllowOT&lt;&gt;"Yes",SUMIF($B$7:$B$256,B230,$I$7:$I$256)&gt;INDEX($O$58:$O$87,DAY(B230))),"Day over "&amp;INDEX($O$58:$O$87,DAY(B230))&amp;" h","✓")))))))))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5" hidden="false" customHeight="false" outlineLevel="0" collapsed="false">
      <c r="A231" s="1"/>
      <c r="B231" s="10"/>
      <c r="C231" s="31" t="str">
        <f aca="false">IF(B231="","",TEXT(B231,"ddd"))</f>
        <v/>
      </c>
      <c r="D231" s="11"/>
      <c r="E231" s="8" t="str">
        <f aca="false">IF(D231="","",IFERROR(INDEX(ProjNumbers,MATCH(D231,ProjNames,0)),""))</f>
        <v/>
      </c>
      <c r="F231" s="8" t="str">
        <f aca="false">IF(D231="","",IFERROR(INDEX(ProjCodes,MATCH(D231,ProjNames,0)),""))</f>
        <v/>
      </c>
      <c r="G231" s="32"/>
      <c r="H231" s="11"/>
      <c r="I231" s="33"/>
      <c r="J231" s="8" t="str">
        <f aca="false">IF(COUNTA(B231,D231,G231,H231,I231)=0,"",IF(B231="","Enter date",IF(OR(B231&lt;$AC$2,B231&gt;$AC$3),"Date not in September",IF(D231="","Pick project",IF(ISNA(MATCH(D231,ProjNames,0)),"Project not in list",IF(G231="","Add task description",IF(H231="","Pick NTIME or P6",IF(N(I231)&lt;=0,"Enter hours",IF(AND(AllowOT&lt;&gt;"Yes",SUMIF($B$7:$B$256,B231,$I$7:$I$256)&gt;INDEX($O$58:$O$87,DAY(B231))),"Day over "&amp;INDEX($O$58:$O$87,DAY(B231))&amp;" h","✓")))))))))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5" hidden="false" customHeight="false" outlineLevel="0" collapsed="false">
      <c r="A232" s="1"/>
      <c r="B232" s="10"/>
      <c r="C232" s="31" t="str">
        <f aca="false">IF(B232="","",TEXT(B232,"ddd"))</f>
        <v/>
      </c>
      <c r="D232" s="11"/>
      <c r="E232" s="8" t="str">
        <f aca="false">IF(D232="","",IFERROR(INDEX(ProjNumbers,MATCH(D232,ProjNames,0)),""))</f>
        <v/>
      </c>
      <c r="F232" s="8" t="str">
        <f aca="false">IF(D232="","",IFERROR(INDEX(ProjCodes,MATCH(D232,ProjNames,0)),""))</f>
        <v/>
      </c>
      <c r="G232" s="32"/>
      <c r="H232" s="11"/>
      <c r="I232" s="33"/>
      <c r="J232" s="8" t="str">
        <f aca="false">IF(COUNTA(B232,D232,G232,H232,I232)=0,"",IF(B232="","Enter date",IF(OR(B232&lt;$AC$2,B232&gt;$AC$3),"Date not in September",IF(D232="","Pick project",IF(ISNA(MATCH(D232,ProjNames,0)),"Project not in list",IF(G232="","Add task description",IF(H232="","Pick NTIME or P6",IF(N(I232)&lt;=0,"Enter hours",IF(AND(AllowOT&lt;&gt;"Yes",SUMIF($B$7:$B$256,B232,$I$7:$I$256)&gt;INDEX($O$58:$O$87,DAY(B232))),"Day over "&amp;INDEX($O$58:$O$87,DAY(B232))&amp;" h","✓")))))))))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5" hidden="false" customHeight="false" outlineLevel="0" collapsed="false">
      <c r="A233" s="1"/>
      <c r="B233" s="10"/>
      <c r="C233" s="31" t="str">
        <f aca="false">IF(B233="","",TEXT(B233,"ddd"))</f>
        <v/>
      </c>
      <c r="D233" s="11"/>
      <c r="E233" s="8" t="str">
        <f aca="false">IF(D233="","",IFERROR(INDEX(ProjNumbers,MATCH(D233,ProjNames,0)),""))</f>
        <v/>
      </c>
      <c r="F233" s="8" t="str">
        <f aca="false">IF(D233="","",IFERROR(INDEX(ProjCodes,MATCH(D233,ProjNames,0)),""))</f>
        <v/>
      </c>
      <c r="G233" s="32"/>
      <c r="H233" s="11"/>
      <c r="I233" s="33"/>
      <c r="J233" s="8" t="str">
        <f aca="false">IF(COUNTA(B233,D233,G233,H233,I233)=0,"",IF(B233="","Enter date",IF(OR(B233&lt;$AC$2,B233&gt;$AC$3),"Date not in September",IF(D233="","Pick project",IF(ISNA(MATCH(D233,ProjNames,0)),"Project not in list",IF(G233="","Add task description",IF(H233="","Pick NTIME or P6",IF(N(I233)&lt;=0,"Enter hours",IF(AND(AllowOT&lt;&gt;"Yes",SUMIF($B$7:$B$256,B233,$I$7:$I$256)&gt;INDEX($O$58:$O$87,DAY(B233))),"Day over "&amp;INDEX($O$58:$O$87,DAY(B233))&amp;" h","✓")))))))))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5" hidden="false" customHeight="false" outlineLevel="0" collapsed="false">
      <c r="A234" s="1"/>
      <c r="B234" s="10"/>
      <c r="C234" s="31" t="str">
        <f aca="false">IF(B234="","",TEXT(B234,"ddd"))</f>
        <v/>
      </c>
      <c r="D234" s="11"/>
      <c r="E234" s="8" t="str">
        <f aca="false">IF(D234="","",IFERROR(INDEX(ProjNumbers,MATCH(D234,ProjNames,0)),""))</f>
        <v/>
      </c>
      <c r="F234" s="8" t="str">
        <f aca="false">IF(D234="","",IFERROR(INDEX(ProjCodes,MATCH(D234,ProjNames,0)),""))</f>
        <v/>
      </c>
      <c r="G234" s="32"/>
      <c r="H234" s="11"/>
      <c r="I234" s="33"/>
      <c r="J234" s="8" t="str">
        <f aca="false">IF(COUNTA(B234,D234,G234,H234,I234)=0,"",IF(B234="","Enter date",IF(OR(B234&lt;$AC$2,B234&gt;$AC$3),"Date not in September",IF(D234="","Pick project",IF(ISNA(MATCH(D234,ProjNames,0)),"Project not in list",IF(G234="","Add task description",IF(H234="","Pick NTIME or P6",IF(N(I234)&lt;=0,"Enter hours",IF(AND(AllowOT&lt;&gt;"Yes",SUMIF($B$7:$B$256,B234,$I$7:$I$256)&gt;INDEX($O$58:$O$87,DAY(B234))),"Day over "&amp;INDEX($O$58:$O$87,DAY(B234))&amp;" h","✓")))))))))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5" hidden="false" customHeight="false" outlineLevel="0" collapsed="false">
      <c r="A235" s="1"/>
      <c r="B235" s="10"/>
      <c r="C235" s="31" t="str">
        <f aca="false">IF(B235="","",TEXT(B235,"ddd"))</f>
        <v/>
      </c>
      <c r="D235" s="11"/>
      <c r="E235" s="8" t="str">
        <f aca="false">IF(D235="","",IFERROR(INDEX(ProjNumbers,MATCH(D235,ProjNames,0)),""))</f>
        <v/>
      </c>
      <c r="F235" s="8" t="str">
        <f aca="false">IF(D235="","",IFERROR(INDEX(ProjCodes,MATCH(D235,ProjNames,0)),""))</f>
        <v/>
      </c>
      <c r="G235" s="32"/>
      <c r="H235" s="11"/>
      <c r="I235" s="33"/>
      <c r="J235" s="8" t="str">
        <f aca="false">IF(COUNTA(B235,D235,G235,H235,I235)=0,"",IF(B235="","Enter date",IF(OR(B235&lt;$AC$2,B235&gt;$AC$3),"Date not in September",IF(D235="","Pick project",IF(ISNA(MATCH(D235,ProjNames,0)),"Project not in list",IF(G235="","Add task description",IF(H235="","Pick NTIME or P6",IF(N(I235)&lt;=0,"Enter hours",IF(AND(AllowOT&lt;&gt;"Yes",SUMIF($B$7:$B$256,B235,$I$7:$I$256)&gt;INDEX($O$58:$O$87,DAY(B235))),"Day over "&amp;INDEX($O$58:$O$87,DAY(B235))&amp;" h","✓")))))))))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5" hidden="false" customHeight="false" outlineLevel="0" collapsed="false">
      <c r="A236" s="1"/>
      <c r="B236" s="10"/>
      <c r="C236" s="31" t="str">
        <f aca="false">IF(B236="","",TEXT(B236,"ddd"))</f>
        <v/>
      </c>
      <c r="D236" s="11"/>
      <c r="E236" s="8" t="str">
        <f aca="false">IF(D236="","",IFERROR(INDEX(ProjNumbers,MATCH(D236,ProjNames,0)),""))</f>
        <v/>
      </c>
      <c r="F236" s="8" t="str">
        <f aca="false">IF(D236="","",IFERROR(INDEX(ProjCodes,MATCH(D236,ProjNames,0)),""))</f>
        <v/>
      </c>
      <c r="G236" s="32"/>
      <c r="H236" s="11"/>
      <c r="I236" s="33"/>
      <c r="J236" s="8" t="str">
        <f aca="false">IF(COUNTA(B236,D236,G236,H236,I236)=0,"",IF(B236="","Enter date",IF(OR(B236&lt;$AC$2,B236&gt;$AC$3),"Date not in September",IF(D236="","Pick project",IF(ISNA(MATCH(D236,ProjNames,0)),"Project not in list",IF(G236="","Add task description",IF(H236="","Pick NTIME or P6",IF(N(I236)&lt;=0,"Enter hours",IF(AND(AllowOT&lt;&gt;"Yes",SUMIF($B$7:$B$256,B236,$I$7:$I$256)&gt;INDEX($O$58:$O$87,DAY(B236))),"Day over "&amp;INDEX($O$58:$O$87,DAY(B236))&amp;" h","✓")))))))))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5" hidden="false" customHeight="false" outlineLevel="0" collapsed="false">
      <c r="A237" s="1"/>
      <c r="B237" s="10"/>
      <c r="C237" s="31" t="str">
        <f aca="false">IF(B237="","",TEXT(B237,"ddd"))</f>
        <v/>
      </c>
      <c r="D237" s="11"/>
      <c r="E237" s="8" t="str">
        <f aca="false">IF(D237="","",IFERROR(INDEX(ProjNumbers,MATCH(D237,ProjNames,0)),""))</f>
        <v/>
      </c>
      <c r="F237" s="8" t="str">
        <f aca="false">IF(D237="","",IFERROR(INDEX(ProjCodes,MATCH(D237,ProjNames,0)),""))</f>
        <v/>
      </c>
      <c r="G237" s="32"/>
      <c r="H237" s="11"/>
      <c r="I237" s="33"/>
      <c r="J237" s="8" t="str">
        <f aca="false">IF(COUNTA(B237,D237,G237,H237,I237)=0,"",IF(B237="","Enter date",IF(OR(B237&lt;$AC$2,B237&gt;$AC$3),"Date not in September",IF(D237="","Pick project",IF(ISNA(MATCH(D237,ProjNames,0)),"Project not in list",IF(G237="","Add task description",IF(H237="","Pick NTIME or P6",IF(N(I237)&lt;=0,"Enter hours",IF(AND(AllowOT&lt;&gt;"Yes",SUMIF($B$7:$B$256,B237,$I$7:$I$256)&gt;INDEX($O$58:$O$87,DAY(B237))),"Day over "&amp;INDEX($O$58:$O$87,DAY(B237))&amp;" h","✓")))))))))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5" hidden="false" customHeight="false" outlineLevel="0" collapsed="false">
      <c r="A238" s="1"/>
      <c r="B238" s="10"/>
      <c r="C238" s="31" t="str">
        <f aca="false">IF(B238="","",TEXT(B238,"ddd"))</f>
        <v/>
      </c>
      <c r="D238" s="11"/>
      <c r="E238" s="8" t="str">
        <f aca="false">IF(D238="","",IFERROR(INDEX(ProjNumbers,MATCH(D238,ProjNames,0)),""))</f>
        <v/>
      </c>
      <c r="F238" s="8" t="str">
        <f aca="false">IF(D238="","",IFERROR(INDEX(ProjCodes,MATCH(D238,ProjNames,0)),""))</f>
        <v/>
      </c>
      <c r="G238" s="32"/>
      <c r="H238" s="11"/>
      <c r="I238" s="33"/>
      <c r="J238" s="8" t="str">
        <f aca="false">IF(COUNTA(B238,D238,G238,H238,I238)=0,"",IF(B238="","Enter date",IF(OR(B238&lt;$AC$2,B238&gt;$AC$3),"Date not in September",IF(D238="","Pick project",IF(ISNA(MATCH(D238,ProjNames,0)),"Project not in list",IF(G238="","Add task description",IF(H238="","Pick NTIME or P6",IF(N(I238)&lt;=0,"Enter hours",IF(AND(AllowOT&lt;&gt;"Yes",SUMIF($B$7:$B$256,B238,$I$7:$I$256)&gt;INDEX($O$58:$O$87,DAY(B238))),"Day over "&amp;INDEX($O$58:$O$87,DAY(B238))&amp;" h","✓")))))))))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5" hidden="false" customHeight="false" outlineLevel="0" collapsed="false">
      <c r="A239" s="1"/>
      <c r="B239" s="10"/>
      <c r="C239" s="31" t="str">
        <f aca="false">IF(B239="","",TEXT(B239,"ddd"))</f>
        <v/>
      </c>
      <c r="D239" s="11"/>
      <c r="E239" s="8" t="str">
        <f aca="false">IF(D239="","",IFERROR(INDEX(ProjNumbers,MATCH(D239,ProjNames,0)),""))</f>
        <v/>
      </c>
      <c r="F239" s="8" t="str">
        <f aca="false">IF(D239="","",IFERROR(INDEX(ProjCodes,MATCH(D239,ProjNames,0)),""))</f>
        <v/>
      </c>
      <c r="G239" s="32"/>
      <c r="H239" s="11"/>
      <c r="I239" s="33"/>
      <c r="J239" s="8" t="str">
        <f aca="false">IF(COUNTA(B239,D239,G239,H239,I239)=0,"",IF(B239="","Enter date",IF(OR(B239&lt;$AC$2,B239&gt;$AC$3),"Date not in September",IF(D239="","Pick project",IF(ISNA(MATCH(D239,ProjNames,0)),"Project not in list",IF(G239="","Add task description",IF(H239="","Pick NTIME or P6",IF(N(I239)&lt;=0,"Enter hours",IF(AND(AllowOT&lt;&gt;"Yes",SUMIF($B$7:$B$256,B239,$I$7:$I$256)&gt;INDEX($O$58:$O$87,DAY(B239))),"Day over "&amp;INDEX($O$58:$O$87,DAY(B239))&amp;" h","✓")))))))))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5" hidden="false" customHeight="false" outlineLevel="0" collapsed="false">
      <c r="A240" s="1"/>
      <c r="B240" s="10"/>
      <c r="C240" s="31" t="str">
        <f aca="false">IF(B240="","",TEXT(B240,"ddd"))</f>
        <v/>
      </c>
      <c r="D240" s="11"/>
      <c r="E240" s="8" t="str">
        <f aca="false">IF(D240="","",IFERROR(INDEX(ProjNumbers,MATCH(D240,ProjNames,0)),""))</f>
        <v/>
      </c>
      <c r="F240" s="8" t="str">
        <f aca="false">IF(D240="","",IFERROR(INDEX(ProjCodes,MATCH(D240,ProjNames,0)),""))</f>
        <v/>
      </c>
      <c r="G240" s="32"/>
      <c r="H240" s="11"/>
      <c r="I240" s="33"/>
      <c r="J240" s="8" t="str">
        <f aca="false">IF(COUNTA(B240,D240,G240,H240,I240)=0,"",IF(B240="","Enter date",IF(OR(B240&lt;$AC$2,B240&gt;$AC$3),"Date not in September",IF(D240="","Pick project",IF(ISNA(MATCH(D240,ProjNames,0)),"Project not in list",IF(G240="","Add task description",IF(H240="","Pick NTIME or P6",IF(N(I240)&lt;=0,"Enter hours",IF(AND(AllowOT&lt;&gt;"Yes",SUMIF($B$7:$B$256,B240,$I$7:$I$256)&gt;INDEX($O$58:$O$87,DAY(B240))),"Day over "&amp;INDEX($O$58:$O$87,DAY(B240))&amp;" h","✓")))))))))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5" hidden="false" customHeight="false" outlineLevel="0" collapsed="false">
      <c r="A241" s="1"/>
      <c r="B241" s="10"/>
      <c r="C241" s="31" t="str">
        <f aca="false">IF(B241="","",TEXT(B241,"ddd"))</f>
        <v/>
      </c>
      <c r="D241" s="11"/>
      <c r="E241" s="8" t="str">
        <f aca="false">IF(D241="","",IFERROR(INDEX(ProjNumbers,MATCH(D241,ProjNames,0)),""))</f>
        <v/>
      </c>
      <c r="F241" s="8" t="str">
        <f aca="false">IF(D241="","",IFERROR(INDEX(ProjCodes,MATCH(D241,ProjNames,0)),""))</f>
        <v/>
      </c>
      <c r="G241" s="32"/>
      <c r="H241" s="11"/>
      <c r="I241" s="33"/>
      <c r="J241" s="8" t="str">
        <f aca="false">IF(COUNTA(B241,D241,G241,H241,I241)=0,"",IF(B241="","Enter date",IF(OR(B241&lt;$AC$2,B241&gt;$AC$3),"Date not in September",IF(D241="","Pick project",IF(ISNA(MATCH(D241,ProjNames,0)),"Project not in list",IF(G241="","Add task description",IF(H241="","Pick NTIME or P6",IF(N(I241)&lt;=0,"Enter hours",IF(AND(AllowOT&lt;&gt;"Yes",SUMIF($B$7:$B$256,B241,$I$7:$I$256)&gt;INDEX($O$58:$O$87,DAY(B241))),"Day over "&amp;INDEX($O$58:$O$87,DAY(B241))&amp;" h","✓")))))))))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5" hidden="false" customHeight="false" outlineLevel="0" collapsed="false">
      <c r="A242" s="1"/>
      <c r="B242" s="10"/>
      <c r="C242" s="31" t="str">
        <f aca="false">IF(B242="","",TEXT(B242,"ddd"))</f>
        <v/>
      </c>
      <c r="D242" s="11"/>
      <c r="E242" s="8" t="str">
        <f aca="false">IF(D242="","",IFERROR(INDEX(ProjNumbers,MATCH(D242,ProjNames,0)),""))</f>
        <v/>
      </c>
      <c r="F242" s="8" t="str">
        <f aca="false">IF(D242="","",IFERROR(INDEX(ProjCodes,MATCH(D242,ProjNames,0)),""))</f>
        <v/>
      </c>
      <c r="G242" s="32"/>
      <c r="H242" s="11"/>
      <c r="I242" s="33"/>
      <c r="J242" s="8" t="str">
        <f aca="false">IF(COUNTA(B242,D242,G242,H242,I242)=0,"",IF(B242="","Enter date",IF(OR(B242&lt;$AC$2,B242&gt;$AC$3),"Date not in September",IF(D242="","Pick project",IF(ISNA(MATCH(D242,ProjNames,0)),"Project not in list",IF(G242="","Add task description",IF(H242="","Pick NTIME or P6",IF(N(I242)&lt;=0,"Enter hours",IF(AND(AllowOT&lt;&gt;"Yes",SUMIF($B$7:$B$256,B242,$I$7:$I$256)&gt;INDEX($O$58:$O$87,DAY(B242))),"Day over "&amp;INDEX($O$58:$O$87,DAY(B242))&amp;" h","✓")))))))))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5" hidden="false" customHeight="false" outlineLevel="0" collapsed="false">
      <c r="A243" s="1"/>
      <c r="B243" s="10"/>
      <c r="C243" s="31" t="str">
        <f aca="false">IF(B243="","",TEXT(B243,"ddd"))</f>
        <v/>
      </c>
      <c r="D243" s="11"/>
      <c r="E243" s="8" t="str">
        <f aca="false">IF(D243="","",IFERROR(INDEX(ProjNumbers,MATCH(D243,ProjNames,0)),""))</f>
        <v/>
      </c>
      <c r="F243" s="8" t="str">
        <f aca="false">IF(D243="","",IFERROR(INDEX(ProjCodes,MATCH(D243,ProjNames,0)),""))</f>
        <v/>
      </c>
      <c r="G243" s="32"/>
      <c r="H243" s="11"/>
      <c r="I243" s="33"/>
      <c r="J243" s="8" t="str">
        <f aca="false">IF(COUNTA(B243,D243,G243,H243,I243)=0,"",IF(B243="","Enter date",IF(OR(B243&lt;$AC$2,B243&gt;$AC$3),"Date not in September",IF(D243="","Pick project",IF(ISNA(MATCH(D243,ProjNames,0)),"Project not in list",IF(G243="","Add task description",IF(H243="","Pick NTIME or P6",IF(N(I243)&lt;=0,"Enter hours",IF(AND(AllowOT&lt;&gt;"Yes",SUMIF($B$7:$B$256,B243,$I$7:$I$256)&gt;INDEX($O$58:$O$87,DAY(B243))),"Day over "&amp;INDEX($O$58:$O$87,DAY(B243))&amp;" h","✓")))))))))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5" hidden="false" customHeight="false" outlineLevel="0" collapsed="false">
      <c r="A244" s="1"/>
      <c r="B244" s="10"/>
      <c r="C244" s="31" t="str">
        <f aca="false">IF(B244="","",TEXT(B244,"ddd"))</f>
        <v/>
      </c>
      <c r="D244" s="11"/>
      <c r="E244" s="8" t="str">
        <f aca="false">IF(D244="","",IFERROR(INDEX(ProjNumbers,MATCH(D244,ProjNames,0)),""))</f>
        <v/>
      </c>
      <c r="F244" s="8" t="str">
        <f aca="false">IF(D244="","",IFERROR(INDEX(ProjCodes,MATCH(D244,ProjNames,0)),""))</f>
        <v/>
      </c>
      <c r="G244" s="32"/>
      <c r="H244" s="11"/>
      <c r="I244" s="33"/>
      <c r="J244" s="8" t="str">
        <f aca="false">IF(COUNTA(B244,D244,G244,H244,I244)=0,"",IF(B244="","Enter date",IF(OR(B244&lt;$AC$2,B244&gt;$AC$3),"Date not in September",IF(D244="","Pick project",IF(ISNA(MATCH(D244,ProjNames,0)),"Project not in list",IF(G244="","Add task description",IF(H244="","Pick NTIME or P6",IF(N(I244)&lt;=0,"Enter hours",IF(AND(AllowOT&lt;&gt;"Yes",SUMIF($B$7:$B$256,B244,$I$7:$I$256)&gt;INDEX($O$58:$O$87,DAY(B244))),"Day over "&amp;INDEX($O$58:$O$87,DAY(B244))&amp;" h","✓")))))))))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5" hidden="false" customHeight="false" outlineLevel="0" collapsed="false">
      <c r="A245" s="1"/>
      <c r="B245" s="10"/>
      <c r="C245" s="31" t="str">
        <f aca="false">IF(B245="","",TEXT(B245,"ddd"))</f>
        <v/>
      </c>
      <c r="D245" s="11"/>
      <c r="E245" s="8" t="str">
        <f aca="false">IF(D245="","",IFERROR(INDEX(ProjNumbers,MATCH(D245,ProjNames,0)),""))</f>
        <v/>
      </c>
      <c r="F245" s="8" t="str">
        <f aca="false">IF(D245="","",IFERROR(INDEX(ProjCodes,MATCH(D245,ProjNames,0)),""))</f>
        <v/>
      </c>
      <c r="G245" s="32"/>
      <c r="H245" s="11"/>
      <c r="I245" s="33"/>
      <c r="J245" s="8" t="str">
        <f aca="false">IF(COUNTA(B245,D245,G245,H245,I245)=0,"",IF(B245="","Enter date",IF(OR(B245&lt;$AC$2,B245&gt;$AC$3),"Date not in September",IF(D245="","Pick project",IF(ISNA(MATCH(D245,ProjNames,0)),"Project not in list",IF(G245="","Add task description",IF(H245="","Pick NTIME or P6",IF(N(I245)&lt;=0,"Enter hours",IF(AND(AllowOT&lt;&gt;"Yes",SUMIF($B$7:$B$256,B245,$I$7:$I$256)&gt;INDEX($O$58:$O$87,DAY(B245))),"Day over "&amp;INDEX($O$58:$O$87,DAY(B245))&amp;" h","✓")))))))))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5" hidden="false" customHeight="false" outlineLevel="0" collapsed="false">
      <c r="A246" s="1"/>
      <c r="B246" s="10"/>
      <c r="C246" s="31" t="str">
        <f aca="false">IF(B246="","",TEXT(B246,"ddd"))</f>
        <v/>
      </c>
      <c r="D246" s="11"/>
      <c r="E246" s="8" t="str">
        <f aca="false">IF(D246="","",IFERROR(INDEX(ProjNumbers,MATCH(D246,ProjNames,0)),""))</f>
        <v/>
      </c>
      <c r="F246" s="8" t="str">
        <f aca="false">IF(D246="","",IFERROR(INDEX(ProjCodes,MATCH(D246,ProjNames,0)),""))</f>
        <v/>
      </c>
      <c r="G246" s="32"/>
      <c r="H246" s="11"/>
      <c r="I246" s="33"/>
      <c r="J246" s="8" t="str">
        <f aca="false">IF(COUNTA(B246,D246,G246,H246,I246)=0,"",IF(B246="","Enter date",IF(OR(B246&lt;$AC$2,B246&gt;$AC$3),"Date not in September",IF(D246="","Pick project",IF(ISNA(MATCH(D246,ProjNames,0)),"Project not in list",IF(G246="","Add task description",IF(H246="","Pick NTIME or P6",IF(N(I246)&lt;=0,"Enter hours",IF(AND(AllowOT&lt;&gt;"Yes",SUMIF($B$7:$B$256,B246,$I$7:$I$256)&gt;INDEX($O$58:$O$87,DAY(B246))),"Day over "&amp;INDEX($O$58:$O$87,DAY(B246))&amp;" h","✓")))))))))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5" hidden="false" customHeight="false" outlineLevel="0" collapsed="false">
      <c r="A247" s="1"/>
      <c r="B247" s="10"/>
      <c r="C247" s="31" t="str">
        <f aca="false">IF(B247="","",TEXT(B247,"ddd"))</f>
        <v/>
      </c>
      <c r="D247" s="11"/>
      <c r="E247" s="8" t="str">
        <f aca="false">IF(D247="","",IFERROR(INDEX(ProjNumbers,MATCH(D247,ProjNames,0)),""))</f>
        <v/>
      </c>
      <c r="F247" s="8" t="str">
        <f aca="false">IF(D247="","",IFERROR(INDEX(ProjCodes,MATCH(D247,ProjNames,0)),""))</f>
        <v/>
      </c>
      <c r="G247" s="32"/>
      <c r="H247" s="11"/>
      <c r="I247" s="33"/>
      <c r="J247" s="8" t="str">
        <f aca="false">IF(COUNTA(B247,D247,G247,H247,I247)=0,"",IF(B247="","Enter date",IF(OR(B247&lt;$AC$2,B247&gt;$AC$3),"Date not in September",IF(D247="","Pick project",IF(ISNA(MATCH(D247,ProjNames,0)),"Project not in list",IF(G247="","Add task description",IF(H247="","Pick NTIME or P6",IF(N(I247)&lt;=0,"Enter hours",IF(AND(AllowOT&lt;&gt;"Yes",SUMIF($B$7:$B$256,B247,$I$7:$I$256)&gt;INDEX($O$58:$O$87,DAY(B247))),"Day over "&amp;INDEX($O$58:$O$87,DAY(B247))&amp;" h","✓")))))))))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5" hidden="false" customHeight="false" outlineLevel="0" collapsed="false">
      <c r="A248" s="1"/>
      <c r="B248" s="10"/>
      <c r="C248" s="31" t="str">
        <f aca="false">IF(B248="","",TEXT(B248,"ddd"))</f>
        <v/>
      </c>
      <c r="D248" s="11"/>
      <c r="E248" s="8" t="str">
        <f aca="false">IF(D248="","",IFERROR(INDEX(ProjNumbers,MATCH(D248,ProjNames,0)),""))</f>
        <v/>
      </c>
      <c r="F248" s="8" t="str">
        <f aca="false">IF(D248="","",IFERROR(INDEX(ProjCodes,MATCH(D248,ProjNames,0)),""))</f>
        <v/>
      </c>
      <c r="G248" s="32"/>
      <c r="H248" s="11"/>
      <c r="I248" s="33"/>
      <c r="J248" s="8" t="str">
        <f aca="false">IF(COUNTA(B248,D248,G248,H248,I248)=0,"",IF(B248="","Enter date",IF(OR(B248&lt;$AC$2,B248&gt;$AC$3),"Date not in September",IF(D248="","Pick project",IF(ISNA(MATCH(D248,ProjNames,0)),"Project not in list",IF(G248="","Add task description",IF(H248="","Pick NTIME or P6",IF(N(I248)&lt;=0,"Enter hours",IF(AND(AllowOT&lt;&gt;"Yes",SUMIF($B$7:$B$256,B248,$I$7:$I$256)&gt;INDEX($O$58:$O$87,DAY(B248))),"Day over "&amp;INDEX($O$58:$O$87,DAY(B248))&amp;" h","✓")))))))))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5" hidden="false" customHeight="false" outlineLevel="0" collapsed="false">
      <c r="A249" s="1"/>
      <c r="B249" s="10"/>
      <c r="C249" s="31" t="str">
        <f aca="false">IF(B249="","",TEXT(B249,"ddd"))</f>
        <v/>
      </c>
      <c r="D249" s="11"/>
      <c r="E249" s="8" t="str">
        <f aca="false">IF(D249="","",IFERROR(INDEX(ProjNumbers,MATCH(D249,ProjNames,0)),""))</f>
        <v/>
      </c>
      <c r="F249" s="8" t="str">
        <f aca="false">IF(D249="","",IFERROR(INDEX(ProjCodes,MATCH(D249,ProjNames,0)),""))</f>
        <v/>
      </c>
      <c r="G249" s="32"/>
      <c r="H249" s="11"/>
      <c r="I249" s="33"/>
      <c r="J249" s="8" t="str">
        <f aca="false">IF(COUNTA(B249,D249,G249,H249,I249)=0,"",IF(B249="","Enter date",IF(OR(B249&lt;$AC$2,B249&gt;$AC$3),"Date not in September",IF(D249="","Pick project",IF(ISNA(MATCH(D249,ProjNames,0)),"Project not in list",IF(G249="","Add task description",IF(H249="","Pick NTIME or P6",IF(N(I249)&lt;=0,"Enter hours",IF(AND(AllowOT&lt;&gt;"Yes",SUMIF($B$7:$B$256,B249,$I$7:$I$256)&gt;INDEX($O$58:$O$87,DAY(B249))),"Day over "&amp;INDEX($O$58:$O$87,DAY(B249))&amp;" h","✓")))))))))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5" hidden="false" customHeight="false" outlineLevel="0" collapsed="false">
      <c r="A250" s="1"/>
      <c r="B250" s="10"/>
      <c r="C250" s="31" t="str">
        <f aca="false">IF(B250="","",TEXT(B250,"ddd"))</f>
        <v/>
      </c>
      <c r="D250" s="11"/>
      <c r="E250" s="8" t="str">
        <f aca="false">IF(D250="","",IFERROR(INDEX(ProjNumbers,MATCH(D250,ProjNames,0)),""))</f>
        <v/>
      </c>
      <c r="F250" s="8" t="str">
        <f aca="false">IF(D250="","",IFERROR(INDEX(ProjCodes,MATCH(D250,ProjNames,0)),""))</f>
        <v/>
      </c>
      <c r="G250" s="32"/>
      <c r="H250" s="11"/>
      <c r="I250" s="33"/>
      <c r="J250" s="8" t="str">
        <f aca="false">IF(COUNTA(B250,D250,G250,H250,I250)=0,"",IF(B250="","Enter date",IF(OR(B250&lt;$AC$2,B250&gt;$AC$3),"Date not in September",IF(D250="","Pick project",IF(ISNA(MATCH(D250,ProjNames,0)),"Project not in list",IF(G250="","Add task description",IF(H250="","Pick NTIME or P6",IF(N(I250)&lt;=0,"Enter hours",IF(AND(AllowOT&lt;&gt;"Yes",SUMIF($B$7:$B$256,B250,$I$7:$I$256)&gt;INDEX($O$58:$O$87,DAY(B250))),"Day over "&amp;INDEX($O$58:$O$87,DAY(B250))&amp;" h","✓")))))))))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5" hidden="false" customHeight="false" outlineLevel="0" collapsed="false">
      <c r="A251" s="1"/>
      <c r="B251" s="10"/>
      <c r="C251" s="31" t="str">
        <f aca="false">IF(B251="","",TEXT(B251,"ddd"))</f>
        <v/>
      </c>
      <c r="D251" s="11"/>
      <c r="E251" s="8" t="str">
        <f aca="false">IF(D251="","",IFERROR(INDEX(ProjNumbers,MATCH(D251,ProjNames,0)),""))</f>
        <v/>
      </c>
      <c r="F251" s="8" t="str">
        <f aca="false">IF(D251="","",IFERROR(INDEX(ProjCodes,MATCH(D251,ProjNames,0)),""))</f>
        <v/>
      </c>
      <c r="G251" s="32"/>
      <c r="H251" s="11"/>
      <c r="I251" s="33"/>
      <c r="J251" s="8" t="str">
        <f aca="false">IF(COUNTA(B251,D251,G251,H251,I251)=0,"",IF(B251="","Enter date",IF(OR(B251&lt;$AC$2,B251&gt;$AC$3),"Date not in September",IF(D251="","Pick project",IF(ISNA(MATCH(D251,ProjNames,0)),"Project not in list",IF(G251="","Add task description",IF(H251="","Pick NTIME or P6",IF(N(I251)&lt;=0,"Enter hours",IF(AND(AllowOT&lt;&gt;"Yes",SUMIF($B$7:$B$256,B251,$I$7:$I$256)&gt;INDEX($O$58:$O$87,DAY(B251))),"Day over "&amp;INDEX($O$58:$O$87,DAY(B251))&amp;" h","✓")))))))))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5" hidden="false" customHeight="false" outlineLevel="0" collapsed="false">
      <c r="A252" s="1"/>
      <c r="B252" s="10"/>
      <c r="C252" s="31" t="str">
        <f aca="false">IF(B252="","",TEXT(B252,"ddd"))</f>
        <v/>
      </c>
      <c r="D252" s="11"/>
      <c r="E252" s="8" t="str">
        <f aca="false">IF(D252="","",IFERROR(INDEX(ProjNumbers,MATCH(D252,ProjNames,0)),""))</f>
        <v/>
      </c>
      <c r="F252" s="8" t="str">
        <f aca="false">IF(D252="","",IFERROR(INDEX(ProjCodes,MATCH(D252,ProjNames,0)),""))</f>
        <v/>
      </c>
      <c r="G252" s="32"/>
      <c r="H252" s="11"/>
      <c r="I252" s="33"/>
      <c r="J252" s="8" t="str">
        <f aca="false">IF(COUNTA(B252,D252,G252,H252,I252)=0,"",IF(B252="","Enter date",IF(OR(B252&lt;$AC$2,B252&gt;$AC$3),"Date not in September",IF(D252="","Pick project",IF(ISNA(MATCH(D252,ProjNames,0)),"Project not in list",IF(G252="","Add task description",IF(H252="","Pick NTIME or P6",IF(N(I252)&lt;=0,"Enter hours",IF(AND(AllowOT&lt;&gt;"Yes",SUMIF($B$7:$B$256,B252,$I$7:$I$256)&gt;INDEX($O$58:$O$87,DAY(B252))),"Day over "&amp;INDEX($O$58:$O$87,DAY(B252))&amp;" h","✓")))))))))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5" hidden="false" customHeight="false" outlineLevel="0" collapsed="false">
      <c r="A253" s="1"/>
      <c r="B253" s="10"/>
      <c r="C253" s="31" t="str">
        <f aca="false">IF(B253="","",TEXT(B253,"ddd"))</f>
        <v/>
      </c>
      <c r="D253" s="11"/>
      <c r="E253" s="8" t="str">
        <f aca="false">IF(D253="","",IFERROR(INDEX(ProjNumbers,MATCH(D253,ProjNames,0)),""))</f>
        <v/>
      </c>
      <c r="F253" s="8" t="str">
        <f aca="false">IF(D253="","",IFERROR(INDEX(ProjCodes,MATCH(D253,ProjNames,0)),""))</f>
        <v/>
      </c>
      <c r="G253" s="32"/>
      <c r="H253" s="11"/>
      <c r="I253" s="33"/>
      <c r="J253" s="8" t="str">
        <f aca="false">IF(COUNTA(B253,D253,G253,H253,I253)=0,"",IF(B253="","Enter date",IF(OR(B253&lt;$AC$2,B253&gt;$AC$3),"Date not in September",IF(D253="","Pick project",IF(ISNA(MATCH(D253,ProjNames,0)),"Project not in list",IF(G253="","Add task description",IF(H253="","Pick NTIME or P6",IF(N(I253)&lt;=0,"Enter hours",IF(AND(AllowOT&lt;&gt;"Yes",SUMIF($B$7:$B$256,B253,$I$7:$I$256)&gt;INDEX($O$58:$O$87,DAY(B253))),"Day over "&amp;INDEX($O$58:$O$87,DAY(B253))&amp;" h","✓")))))))))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5" hidden="false" customHeight="false" outlineLevel="0" collapsed="false">
      <c r="A254" s="1"/>
      <c r="B254" s="10"/>
      <c r="C254" s="31" t="str">
        <f aca="false">IF(B254="","",TEXT(B254,"ddd"))</f>
        <v/>
      </c>
      <c r="D254" s="11"/>
      <c r="E254" s="8" t="str">
        <f aca="false">IF(D254="","",IFERROR(INDEX(ProjNumbers,MATCH(D254,ProjNames,0)),""))</f>
        <v/>
      </c>
      <c r="F254" s="8" t="str">
        <f aca="false">IF(D254="","",IFERROR(INDEX(ProjCodes,MATCH(D254,ProjNames,0)),""))</f>
        <v/>
      </c>
      <c r="G254" s="32"/>
      <c r="H254" s="11"/>
      <c r="I254" s="33"/>
      <c r="J254" s="8" t="str">
        <f aca="false">IF(COUNTA(B254,D254,G254,H254,I254)=0,"",IF(B254="","Enter date",IF(OR(B254&lt;$AC$2,B254&gt;$AC$3),"Date not in September",IF(D254="","Pick project",IF(ISNA(MATCH(D254,ProjNames,0)),"Project not in list",IF(G254="","Add task description",IF(H254="","Pick NTIME or P6",IF(N(I254)&lt;=0,"Enter hours",IF(AND(AllowOT&lt;&gt;"Yes",SUMIF($B$7:$B$256,B254,$I$7:$I$256)&gt;INDEX($O$58:$O$87,DAY(B254))),"Day over "&amp;INDEX($O$58:$O$87,DAY(B254))&amp;" h","✓")))))))))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5" hidden="false" customHeight="false" outlineLevel="0" collapsed="false">
      <c r="A255" s="1"/>
      <c r="B255" s="10"/>
      <c r="C255" s="31" t="str">
        <f aca="false">IF(B255="","",TEXT(B255,"ddd"))</f>
        <v/>
      </c>
      <c r="D255" s="11"/>
      <c r="E255" s="8" t="str">
        <f aca="false">IF(D255="","",IFERROR(INDEX(ProjNumbers,MATCH(D255,ProjNames,0)),""))</f>
        <v/>
      </c>
      <c r="F255" s="8" t="str">
        <f aca="false">IF(D255="","",IFERROR(INDEX(ProjCodes,MATCH(D255,ProjNames,0)),""))</f>
        <v/>
      </c>
      <c r="G255" s="32"/>
      <c r="H255" s="11"/>
      <c r="I255" s="33"/>
      <c r="J255" s="8" t="str">
        <f aca="false">IF(COUNTA(B255,D255,G255,H255,I255)=0,"",IF(B255="","Enter date",IF(OR(B255&lt;$AC$2,B255&gt;$AC$3),"Date not in September",IF(D255="","Pick project",IF(ISNA(MATCH(D255,ProjNames,0)),"Project not in list",IF(G255="","Add task description",IF(H255="","Pick NTIME or P6",IF(N(I255)&lt;=0,"Enter hours",IF(AND(AllowOT&lt;&gt;"Yes",SUMIF($B$7:$B$256,B255,$I$7:$I$256)&gt;INDEX($O$58:$O$87,DAY(B255))),"Day over "&amp;INDEX($O$58:$O$87,DAY(B255))&amp;" h","✓")))))))))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5" hidden="false" customHeight="false" outlineLevel="0" collapsed="false">
      <c r="A256" s="1"/>
      <c r="B256" s="10"/>
      <c r="C256" s="31" t="str">
        <f aca="false">IF(B256="","",TEXT(B256,"ddd"))</f>
        <v/>
      </c>
      <c r="D256" s="11"/>
      <c r="E256" s="8" t="str">
        <f aca="false">IF(D256="","",IFERROR(INDEX(ProjNumbers,MATCH(D256,ProjNames,0)),""))</f>
        <v/>
      </c>
      <c r="F256" s="8" t="str">
        <f aca="false">IF(D256="","",IFERROR(INDEX(ProjCodes,MATCH(D256,ProjNames,0)),""))</f>
        <v/>
      </c>
      <c r="G256" s="32"/>
      <c r="H256" s="11"/>
      <c r="I256" s="33"/>
      <c r="J256" s="8" t="str">
        <f aca="false">IF(COUNTA(B256,D256,G256,H256,I256)=0,"",IF(B256="","Enter date",IF(OR(B256&lt;$AC$2,B256&gt;$AC$3),"Date not in September",IF(D256="","Pick project",IF(ISNA(MATCH(D256,ProjNames,0)),"Project not in list",IF(G256="","Add task description",IF(H256="","Pick NTIME or P6",IF(N(I256)&lt;=0,"Enter hours",IF(AND(AllowOT&lt;&gt;"Yes",SUMIF($B$7:$B$256,B256,$I$7:$I$256)&gt;INDEX($O$58:$O$87,DAY(B256))),"Day over "&amp;INDEX($O$58:$O$87,DAY(B256))&amp;" h","✓")))))))))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</sheetData>
  <conditionalFormatting sqref="J7:J256">
    <cfRule type="expression" priority="2" aboveAverage="0" equalAverage="0" bottom="0" percent="0" rank="0" text="" dxfId="0">
      <formula>AND(J7&lt;&gt;"",J7&lt;&gt;"✓")</formula>
    </cfRule>
  </conditionalFormatting>
  <conditionalFormatting sqref="H7:H256">
    <cfRule type="expression" priority="3" aboveAverage="0" equalAverage="0" bottom="0" percent="0" rank="0" text="" dxfId="1">
      <formula>H7="NTIME"</formula>
    </cfRule>
    <cfRule type="expression" priority="4" aboveAverage="0" equalAverage="0" bottom="0" percent="0" rank="0" text="" dxfId="2">
      <formula>H7="P6"</formula>
    </cfRule>
  </conditionalFormatting>
  <conditionalFormatting sqref="S5">
    <cfRule type="expression" priority="5" aboveAverage="0" equalAverage="0" bottom="0" percent="0" rank="0" text="" dxfId="3">
      <formula>S5&gt;0</formula>
    </cfRule>
  </conditionalFormatting>
  <conditionalFormatting sqref="L52:R52">
    <cfRule type="expression" priority="6" aboveAverage="0" equalAverage="0" bottom="0" percent="0" rank="0" text="" dxfId="4">
      <formula>$Q$52&gt;0</formula>
    </cfRule>
  </conditionalFormatting>
  <conditionalFormatting sqref="L58:U87">
    <cfRule type="expression" priority="7" aboveAverage="0" equalAverage="0" bottom="0" percent="0" rank="0" text="" dxfId="5">
      <formula>$L58=TODAY()</formula>
    </cfRule>
    <cfRule type="expression" priority="8" aboveAverage="0" equalAverage="0" bottom="0" percent="0" rank="0" text="" dxfId="6">
      <formula>OR($N58="Weekend",$N58="Leave",$N58="Public Holiday")</formula>
    </cfRule>
  </conditionalFormatting>
  <conditionalFormatting sqref="U58:U87">
    <cfRule type="expression" priority="9" aboveAverage="0" equalAverage="0" bottom="0" percent="0" rank="0" text="" dxfId="7">
      <formula>OR(U58="Not logged",LEFT(U58,5)="Over ",LEFT(U58,7)="Entries")</formula>
    </cfRule>
    <cfRule type="expression" priority="10" aboveAverage="0" equalAverage="0" bottom="0" percent="0" rank="0" text="" dxfId="8">
      <formula>LEFT(U58,1)="✓"</formula>
    </cfRule>
  </conditionalFormatting>
  <dataValidations count="7">
    <dataValidation allowBlank="false" error="Hours must be more than 0 and at most 24." errorStyle="stop" operator="between" showDropDown="false" showErrorMessage="true" showInputMessage="false" sqref="I7:I256" type="decimal">
      <formula1>0.01</formula1>
      <formula2>24</formula2>
    </dataValidation>
    <dataValidation allowBlank="false" error="Keep the task description to 200 characters." errorStyle="stop" operator="lessThanOrEqual" showDropDown="false" showErrorMessage="true" showInputMessage="false" sqref="G7:G256" type="textLength">
      <formula1>200</formula1>
      <formula2>0</formula2>
    </dataValidation>
    <dataValidation allowBlank="false" errorStyle="stop" operator="between" showDropDown="false" showErrorMessage="true" showInputMessage="false" sqref="O58:O87" type="decimal">
      <formula1>0</formula1>
      <formula2>24</formula2>
    </dataValidation>
    <dataValidation allowBlank="false" error="Pick a project from the list. Add new projects on the Projects sheet first." errorStyle="stop" errorTitle="Project" operator="between" showDropDown="false" showErrorMessage="true" showInputMessage="false" sqref="D7:D256" type="list">
      <formula1>ProjNames</formula1>
      <formula2>0</formula2>
    </dataValidation>
    <dataValidation allowBlank="false" errorStyle="stop" operator="between" showDropDown="false" showErrorMessage="true" showInputMessage="false" sqref="H7:H256" type="list">
      <formula1>"NTIME,P6"</formula1>
      <formula2>0</formula2>
    </dataValidation>
    <dataValidation allowBlank="false" errorStyle="stop" operator="between" showDropDown="false" showErrorMessage="true" showInputMessage="false" sqref="N58:N87" type="list">
      <formula1>"Working,Overhead only,Leave,Public Holiday,Weekend"</formula1>
      <formula2>0</formula2>
    </dataValidation>
    <dataValidation allowBlank="false" error="Enter a date in September 2026." errorStyle="stop" errorTitle="Date" operator="between" showDropDown="false" showErrorMessage="true" showInputMessage="false" sqref="B7:B256" type="date">
      <formula1>DATE(2026,9,1)</formula1>
      <formula2>DATE(2026,9,30)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true"/>
  </sheetPr>
  <dimension ref="A1:AH2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9" min="15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true" outlineLevel="0" max="34" min="23" style="0" width="13"/>
  </cols>
  <sheetData>
    <row r="1" customFormat="false" ht="22.05" hidden="false" customHeight="false" outlineLevel="0" collapsed="false">
      <c r="A1" s="1"/>
      <c r="B1" s="2" t="s">
        <v>103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75</v>
      </c>
      <c r="AD1" s="1"/>
      <c r="AE1" s="1"/>
      <c r="AF1" s="1"/>
      <c r="AG1" s="1"/>
      <c r="AH1" s="1"/>
    </row>
    <row r="2" customFormat="false" ht="15" hidden="false" customHeight="false" outlineLevel="0" collapsed="false">
      <c r="A2" s="1"/>
      <c r="B2" s="3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0" t="n">
        <v>46296</v>
      </c>
      <c r="AD2" s="1"/>
      <c r="AE2" s="1"/>
      <c r="AF2" s="1"/>
      <c r="AG2" s="1"/>
      <c r="AH2" s="1"/>
    </row>
    <row r="3" customFormat="false" ht="15" hidden="false" customHeight="false" outlineLevel="0" collapsed="false">
      <c r="A3" s="1"/>
      <c r="B3" s="4" t="s">
        <v>77</v>
      </c>
      <c r="C3" s="1"/>
      <c r="D3" s="1"/>
      <c r="E3" s="1"/>
      <c r="F3" s="1"/>
      <c r="G3" s="1"/>
      <c r="H3" s="1"/>
      <c r="I3" s="1"/>
      <c r="J3" s="1"/>
      <c r="K3" s="1"/>
      <c r="L3" s="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0" t="n">
        <v>46326</v>
      </c>
      <c r="AD3" s="1"/>
      <c r="AE3" s="1"/>
      <c r="AF3" s="1"/>
      <c r="AG3" s="1"/>
      <c r="AH3" s="1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3" t="s">
        <v>50</v>
      </c>
      <c r="M4" s="13" t="str">
        <f aca="false">IF(OHSystem="NTIME","NTIME (incl. overhead)","NTIME")</f>
        <v>NTIME</v>
      </c>
      <c r="N4" s="13" t="str">
        <f aca="false">IF(OHSystem="P6","P6 (incl. overhead)","P6")</f>
        <v>P6</v>
      </c>
      <c r="O4" s="13" t="s">
        <v>15</v>
      </c>
      <c r="P4" s="13" t="s">
        <v>24</v>
      </c>
      <c r="Q4" s="13" t="s">
        <v>51</v>
      </c>
      <c r="R4" s="13" t="s">
        <v>52</v>
      </c>
      <c r="S4" s="13" t="s">
        <v>53</v>
      </c>
      <c r="T4" s="1"/>
      <c r="U4" s="1"/>
      <c r="V4" s="1"/>
      <c r="W4" s="1"/>
      <c r="X4" s="1"/>
      <c r="Y4" s="1"/>
      <c r="Z4" s="1"/>
      <c r="AA4" s="1"/>
      <c r="AB4" s="1"/>
      <c r="AC4" s="30" t="n">
        <f aca="false">AC2-MOD(WEEKDAY(AC2,2)-WeekStartNum,7)</f>
        <v>46293</v>
      </c>
      <c r="AD4" s="1"/>
      <c r="AE4" s="1"/>
      <c r="AF4" s="1"/>
      <c r="AG4" s="1"/>
      <c r="AH4" s="1"/>
    </row>
    <row r="5" customFormat="false" ht="30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 t="n">
        <f aca="false">SUM($T$58:$T$88)</f>
        <v>0</v>
      </c>
      <c r="M5" s="15" t="n">
        <f aca="false">SUM($P$58:$P$88)+IF(OHSystem="NTIME",SUM($R$58:$R$88),0)</f>
        <v>0</v>
      </c>
      <c r="N5" s="16" t="n">
        <f aca="false">SUM($Q$58:$Q$88)+IF(OHSystem="P6",SUM($R$58:$R$88),0)</f>
        <v>0</v>
      </c>
      <c r="O5" s="17" t="n">
        <f aca="false">SUM($R$58:$R$88)</f>
        <v>0</v>
      </c>
      <c r="P5" s="14" t="n">
        <f aca="false">SUM($S$58:$S$88)</f>
        <v>0</v>
      </c>
      <c r="Q5" s="18" t="str">
        <f aca="false">IF(L5=0,"-",(SUM($P$58:$P$88)+SUM($Q$58:$Q$88))/L5)</f>
        <v>-</v>
      </c>
      <c r="R5" s="19" t="n">
        <f aca="false">SUMPRODUCT(($N$58:$N$88="Working")*(($P$58:$P$88+$Q$58:$Q$88)&gt;0))+COUNTIF($N$58:$N$88,"Overhead only")</f>
        <v>0</v>
      </c>
      <c r="S5" s="19" t="n">
        <f aca="false">COUNTIF($U$58:$U$88,"Not logged")</f>
        <v>12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5" hidden="false" customHeight="false" outlineLevel="0" collapsed="false">
      <c r="A6" s="1"/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5" hidden="false" customHeight="false" outlineLevel="0" collapsed="false">
      <c r="A7" s="1"/>
      <c r="B7" s="10"/>
      <c r="C7" s="31" t="str">
        <f aca="false">IF(B7="","",TEXT(B7,"ddd"))</f>
        <v/>
      </c>
      <c r="D7" s="11"/>
      <c r="E7" s="8" t="str">
        <f aca="false">IF(D7="","",IFERROR(INDEX(ProjNumbers,MATCH(D7,ProjNames,0)),""))</f>
        <v/>
      </c>
      <c r="F7" s="8" t="str">
        <f aca="false">IF(D7="","",IFERROR(INDEX(ProjCodes,MATCH(D7,ProjNames,0)),""))</f>
        <v/>
      </c>
      <c r="G7" s="32"/>
      <c r="H7" s="11"/>
      <c r="I7" s="33"/>
      <c r="J7" s="8" t="str">
        <f aca="false">IF(COUNTA(B7,D7,G7,H7,I7)=0,"",IF(B7="","Enter date",IF(OR(B7&lt;$AC$2,B7&gt;$AC$3),"Date not in October",IF(D7="","Pick project",IF(ISNA(MATCH(D7,ProjNames,0)),"Project not in list",IF(G7="","Add task description",IF(H7="","Pick NTIME or P6",IF(N(I7)&lt;=0,"Enter hours",IF(AND(AllowOT&lt;&gt;"Yes",SUMIF($B$7:$B$256,B7,$I$7:$I$256)&gt;INDEX($O$58:$O$88,DAY(B7))),"Day over "&amp;INDEX($O$58:$O$88,DAY(B7))&amp;" h","✓")))))))))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tr">
        <f aca="false">IF(Projects!B5="","",Projects!B5)</f>
        <v>Project A</v>
      </c>
      <c r="X7" s="1" t="n">
        <f aca="false">IF(W7="",0,SUMIFS($I$7:$I$256,$D$7:$D$256,W7,$H$7:$H$256,"NTIME"))</f>
        <v>0</v>
      </c>
      <c r="Y7" s="1" t="n">
        <f aca="false">IF(W7="",0,SUMIFS($I$7:$I$256,$D$7:$D$256,W7,$H$7:$H$256,"P6"))</f>
        <v>0</v>
      </c>
      <c r="Z7" s="1" t="n">
        <f aca="false">X7+Y7</f>
        <v>0</v>
      </c>
      <c r="AA7" s="1" t="n">
        <f aca="false">IF(Z7&gt;0,Z7+(201-1)/10^6,0)</f>
        <v>0</v>
      </c>
      <c r="AB7" s="1"/>
      <c r="AC7" s="1"/>
      <c r="AD7" s="1"/>
      <c r="AE7" s="1"/>
      <c r="AF7" s="1"/>
      <c r="AG7" s="1"/>
      <c r="AH7" s="1"/>
    </row>
    <row r="8" customFormat="false" ht="15" hidden="false" customHeight="false" outlineLevel="0" collapsed="false">
      <c r="A8" s="1"/>
      <c r="B8" s="10"/>
      <c r="C8" s="31" t="str">
        <f aca="false">IF(B8="","",TEXT(B8,"ddd"))</f>
        <v/>
      </c>
      <c r="D8" s="11"/>
      <c r="E8" s="8" t="str">
        <f aca="false">IF(D8="","",IFERROR(INDEX(ProjNumbers,MATCH(D8,ProjNames,0)),""))</f>
        <v/>
      </c>
      <c r="F8" s="8" t="str">
        <f aca="false">IF(D8="","",IFERROR(INDEX(ProjCodes,MATCH(D8,ProjNames,0)),""))</f>
        <v/>
      </c>
      <c r="G8" s="32"/>
      <c r="H8" s="11"/>
      <c r="I8" s="33"/>
      <c r="J8" s="8" t="str">
        <f aca="false">IF(COUNTA(B8,D8,G8,H8,I8)=0,"",IF(B8="","Enter date",IF(OR(B8&lt;$AC$2,B8&gt;$AC$3),"Date not in October",IF(D8="","Pick project",IF(ISNA(MATCH(D8,ProjNames,0)),"Project not in list",IF(G8="","Add task description",IF(H8="","Pick NTIME or P6",IF(N(I8)&lt;=0,"Enter hours",IF(AND(AllowOT&lt;&gt;"Yes",SUMIF($B$7:$B$256,B8,$I$7:$I$256)&gt;INDEX($O$58:$O$88,DAY(B8))),"Day over "&amp;INDEX($O$58:$O$88,DAY(B8))&amp;" h","✓")))))))))</f>
        <v/>
      </c>
      <c r="K8" s="1"/>
      <c r="L8" s="4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f aca="false">IF(Projects!B6="","",Projects!B6)</f>
        <v/>
      </c>
      <c r="X8" s="1" t="n">
        <f aca="false">IF(W8="",0,SUMIFS($I$7:$I$256,$D$7:$D$256,W8,$H$7:$H$256,"NTIME"))</f>
        <v>0</v>
      </c>
      <c r="Y8" s="1" t="n">
        <f aca="false">IF(W8="",0,SUMIFS($I$7:$I$256,$D$7:$D$256,W8,$H$7:$H$256,"P6"))</f>
        <v>0</v>
      </c>
      <c r="Z8" s="1" t="n">
        <f aca="false">X8+Y8</f>
        <v>0</v>
      </c>
      <c r="AA8" s="1" t="n">
        <f aca="false">IF(Z8&gt;0,Z8+(201-2)/10^6,0)</f>
        <v>0</v>
      </c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/>
      <c r="B9" s="10"/>
      <c r="C9" s="31" t="str">
        <f aca="false">IF(B9="","",TEXT(B9,"ddd"))</f>
        <v/>
      </c>
      <c r="D9" s="11"/>
      <c r="E9" s="8" t="str">
        <f aca="false">IF(D9="","",IFERROR(INDEX(ProjNumbers,MATCH(D9,ProjNames,0)),""))</f>
        <v/>
      </c>
      <c r="F9" s="8" t="str">
        <f aca="false">IF(D9="","",IFERROR(INDEX(ProjCodes,MATCH(D9,ProjNames,0)),""))</f>
        <v/>
      </c>
      <c r="G9" s="32"/>
      <c r="H9" s="11"/>
      <c r="I9" s="33"/>
      <c r="J9" s="8" t="str">
        <f aca="false">IF(COUNTA(B9,D9,G9,H9,I9)=0,"",IF(B9="","Enter date",IF(OR(B9&lt;$AC$2,B9&gt;$AC$3),"Date not in October",IF(D9="","Pick project",IF(ISNA(MATCH(D9,ProjNames,0)),"Project not in list",IF(G9="","Add task description",IF(H9="","Pick NTIME or P6",IF(N(I9)&lt;=0,"Enter hours",IF(AND(AllowOT&lt;&gt;"Yes",SUMIF($B$7:$B$256,B9,$I$7:$I$256)&gt;INDEX($O$58:$O$88,DAY(B9))),"Day over "&amp;INDEX($O$58:$O$88,DAY(B9))&amp;" h","✓")))))))))</f>
        <v/>
      </c>
      <c r="K9" s="1"/>
      <c r="L9" s="9" t="s">
        <v>81</v>
      </c>
      <c r="M9" s="9" t="s">
        <v>82</v>
      </c>
      <c r="N9" s="9" t="s">
        <v>83</v>
      </c>
      <c r="O9" s="20" t="s">
        <v>46</v>
      </c>
      <c r="P9" s="21" t="s">
        <v>56</v>
      </c>
      <c r="Q9" s="22" t="s">
        <v>15</v>
      </c>
      <c r="R9" s="9" t="s">
        <v>24</v>
      </c>
      <c r="S9" s="9" t="s">
        <v>57</v>
      </c>
      <c r="T9" s="1"/>
      <c r="U9" s="1"/>
      <c r="V9" s="1"/>
      <c r="W9" s="1" t="str">
        <f aca="false">IF(Projects!B7="","",Projects!B7)</f>
        <v/>
      </c>
      <c r="X9" s="1" t="n">
        <f aca="false">IF(W9="",0,SUMIFS($I$7:$I$256,$D$7:$D$256,W9,$H$7:$H$256,"NTIME"))</f>
        <v>0</v>
      </c>
      <c r="Y9" s="1" t="n">
        <f aca="false">IF(W9="",0,SUMIFS($I$7:$I$256,$D$7:$D$256,W9,$H$7:$H$256,"P6"))</f>
        <v>0</v>
      </c>
      <c r="Z9" s="1" t="n">
        <f aca="false">X9+Y9</f>
        <v>0</v>
      </c>
      <c r="AA9" s="1" t="n">
        <f aca="false">IF(Z9&gt;0,Z9+(201-3)/10^6,0)</f>
        <v>0</v>
      </c>
      <c r="AB9" s="1"/>
      <c r="AC9" s="1"/>
      <c r="AD9" s="1"/>
      <c r="AE9" s="1"/>
      <c r="AF9" s="1" t="s">
        <v>46</v>
      </c>
      <c r="AG9" s="1" t="s">
        <v>56</v>
      </c>
      <c r="AH9" s="1" t="s">
        <v>15</v>
      </c>
    </row>
    <row r="10" customFormat="false" ht="15" hidden="false" customHeight="false" outlineLevel="0" collapsed="false">
      <c r="A10" s="1"/>
      <c r="B10" s="10"/>
      <c r="C10" s="31" t="str">
        <f aca="false">IF(B10="","",TEXT(B10,"ddd"))</f>
        <v/>
      </c>
      <c r="D10" s="11"/>
      <c r="E10" s="8" t="str">
        <f aca="false">IF(D10="","",IFERROR(INDEX(ProjNumbers,MATCH(D10,ProjNames,0)),""))</f>
        <v/>
      </c>
      <c r="F10" s="8" t="str">
        <f aca="false">IF(D10="","",IFERROR(INDEX(ProjCodes,MATCH(D10,ProjNames,0)),""))</f>
        <v/>
      </c>
      <c r="G10" s="32"/>
      <c r="H10" s="11"/>
      <c r="I10" s="33"/>
      <c r="J10" s="8" t="str">
        <f aca="false">IF(COUNTA(B10,D10,G10,H10,I10)=0,"",IF(B10="","Enter date",IF(OR(B10&lt;$AC$2,B10&gt;$AC$3),"Date not in October",IF(D10="","Pick project",IF(ISNA(MATCH(D10,ProjNames,0)),"Project not in list",IF(G10="","Add task description",IF(H10="","Pick NTIME or P6",IF(N(I10)&lt;=0,"Enter hours",IF(AND(AllowOT&lt;&gt;"Yes",SUMIF($B$7:$B$256,B10,$I$7:$I$256)&gt;INDEX($O$58:$O$88,DAY(B10))),"Day over "&amp;INDEX($O$58:$O$88,DAY(B10))&amp;" h","✓")))))))))</f>
        <v/>
      </c>
      <c r="K10" s="1"/>
      <c r="L10" s="24" t="str">
        <f aca="false">"Week 1"&amp;IF(M10="",""," ("&amp;DAY(M10)&amp;"–"&amp;DAY(N10)&amp;")")</f>
        <v>Week 1 (1–4)</v>
      </c>
      <c r="M10" s="34" t="n">
        <f aca="false">IF($AC$4+7*0&gt;$AC$3,"",MAX($AC$2,$AC$4+7*0))</f>
        <v>46296</v>
      </c>
      <c r="N10" s="34" t="n">
        <f aca="false">IF(M10="","",MIN($AC$3,$AC$4+7*1-1))</f>
        <v>46299</v>
      </c>
      <c r="O10" s="24" t="n">
        <f aca="false">IF($M10="","",AF10+IF(OHSystem="NTIME",AH10,0))</f>
        <v>0</v>
      </c>
      <c r="P10" s="24" t="n">
        <f aca="false">IF($M10="","",AG10+IF(OHSystem="P6",AH10,0))</f>
        <v>0</v>
      </c>
      <c r="Q10" s="24" t="n">
        <f aca="false">IF($M10="","",AH10)</f>
        <v>0</v>
      </c>
      <c r="R10" s="24" t="n">
        <f aca="false">IF($M10="","",SUMIFS($S$58:$S$88,$L$58:$L$88,"&gt;="&amp;$M10,$L$58:$L$88,"&lt;="&amp;$N10))</f>
        <v>0</v>
      </c>
      <c r="S10" s="24" t="n">
        <f aca="false">IF($M10="","",SUMIFS($T$58:$T$88,$L$58:$L$88,"&gt;="&amp;$M10,$L$58:$L$88,"&lt;="&amp;$N10))</f>
        <v>0</v>
      </c>
      <c r="T10" s="1"/>
      <c r="U10" s="1"/>
      <c r="V10" s="1"/>
      <c r="W10" s="1" t="str">
        <f aca="false">IF(Projects!B8="","",Projects!B8)</f>
        <v/>
      </c>
      <c r="X10" s="1" t="n">
        <f aca="false">IF(W10="",0,SUMIFS($I$7:$I$256,$D$7:$D$256,W10,$H$7:$H$256,"NTIME"))</f>
        <v>0</v>
      </c>
      <c r="Y10" s="1" t="n">
        <f aca="false">IF(W10="",0,SUMIFS($I$7:$I$256,$D$7:$D$256,W10,$H$7:$H$256,"P6"))</f>
        <v>0</v>
      </c>
      <c r="Z10" s="1" t="n">
        <f aca="false">X10+Y10</f>
        <v>0</v>
      </c>
      <c r="AA10" s="1" t="n">
        <f aca="false">IF(Z10&gt;0,Z10+(201-4)/10^6,0)</f>
        <v>0</v>
      </c>
      <c r="AB10" s="1"/>
      <c r="AC10" s="1"/>
      <c r="AD10" s="1"/>
      <c r="AE10" s="1"/>
      <c r="AF10" s="1" t="n">
        <f aca="false">IF($M10="",0,SUMIFS($P$58:$P$88,$L$58:$L$88,"&gt;="&amp;$M10,$L$58:$L$88,"&lt;="&amp;$N10))</f>
        <v>0</v>
      </c>
      <c r="AG10" s="1" t="n">
        <f aca="false">IF($M10="",0,SUMIFS($Q$58:$Q$88,$L$58:$L$88,"&gt;="&amp;$M10,$L$58:$L$88,"&lt;="&amp;$N10))</f>
        <v>0</v>
      </c>
      <c r="AH10" s="1" t="n">
        <f aca="false">IF($M10="",0,SUMIFS($R$58:$R$88,$L$58:$L$88,"&gt;="&amp;$M10,$L$58:$L$88,"&lt;="&amp;$N10))</f>
        <v>0</v>
      </c>
    </row>
    <row r="11" customFormat="false" ht="15" hidden="false" customHeight="false" outlineLevel="0" collapsed="false">
      <c r="A11" s="1"/>
      <c r="B11" s="10"/>
      <c r="C11" s="31" t="str">
        <f aca="false">IF(B11="","",TEXT(B11,"ddd"))</f>
        <v/>
      </c>
      <c r="D11" s="11"/>
      <c r="E11" s="8" t="str">
        <f aca="false">IF(D11="","",IFERROR(INDEX(ProjNumbers,MATCH(D11,ProjNames,0)),""))</f>
        <v/>
      </c>
      <c r="F11" s="8" t="str">
        <f aca="false">IF(D11="","",IFERROR(INDEX(ProjCodes,MATCH(D11,ProjNames,0)),""))</f>
        <v/>
      </c>
      <c r="G11" s="32"/>
      <c r="H11" s="11"/>
      <c r="I11" s="33"/>
      <c r="J11" s="8" t="str">
        <f aca="false">IF(COUNTA(B11,D11,G11,H11,I11)=0,"",IF(B11="","Enter date",IF(OR(B11&lt;$AC$2,B11&gt;$AC$3),"Date not in October",IF(D11="","Pick project",IF(ISNA(MATCH(D11,ProjNames,0)),"Project not in list",IF(G11="","Add task description",IF(H11="","Pick NTIME or P6",IF(N(I11)&lt;=0,"Enter hours",IF(AND(AllowOT&lt;&gt;"Yes",SUMIF($B$7:$B$256,B11,$I$7:$I$256)&gt;INDEX($O$58:$O$88,DAY(B11))),"Day over "&amp;INDEX($O$58:$O$88,DAY(B11))&amp;" h","✓")))))))))</f>
        <v/>
      </c>
      <c r="K11" s="1"/>
      <c r="L11" s="24" t="str">
        <f aca="false">"Week 2"&amp;IF(M11="",""," ("&amp;DAY(M11)&amp;"–"&amp;DAY(N11)&amp;")")</f>
        <v>Week 2 (5–11)</v>
      </c>
      <c r="M11" s="34" t="n">
        <f aca="false">IF($AC$4+7*1&gt;$AC$3,"",MAX($AC$2,$AC$4+7*1))</f>
        <v>46300</v>
      </c>
      <c r="N11" s="34" t="n">
        <f aca="false">IF(M11="","",MIN($AC$3,$AC$4+7*2-1))</f>
        <v>46306</v>
      </c>
      <c r="O11" s="24" t="n">
        <f aca="false">IF($M11="","",AF11+IF(OHSystem="NTIME",AH11,0))</f>
        <v>0</v>
      </c>
      <c r="P11" s="24" t="n">
        <f aca="false">IF($M11="","",AG11+IF(OHSystem="P6",AH11,0))</f>
        <v>0</v>
      </c>
      <c r="Q11" s="24" t="n">
        <f aca="false">IF($M11="","",AH11)</f>
        <v>0</v>
      </c>
      <c r="R11" s="24" t="n">
        <f aca="false">IF($M11="","",SUMIFS($S$58:$S$88,$L$58:$L$88,"&gt;="&amp;$M11,$L$58:$L$88,"&lt;="&amp;$N11))</f>
        <v>0</v>
      </c>
      <c r="S11" s="24" t="n">
        <f aca="false">IF($M11="","",SUMIFS($T$58:$T$88,$L$58:$L$88,"&gt;="&amp;$M11,$L$58:$L$88,"&lt;="&amp;$N11))</f>
        <v>0</v>
      </c>
      <c r="T11" s="1"/>
      <c r="U11" s="1"/>
      <c r="V11" s="1"/>
      <c r="W11" s="1" t="str">
        <f aca="false">IF(Projects!B9="","",Projects!B9)</f>
        <v/>
      </c>
      <c r="X11" s="1" t="n">
        <f aca="false">IF(W11="",0,SUMIFS($I$7:$I$256,$D$7:$D$256,W11,$H$7:$H$256,"NTIME"))</f>
        <v>0</v>
      </c>
      <c r="Y11" s="1" t="n">
        <f aca="false">IF(W11="",0,SUMIFS($I$7:$I$256,$D$7:$D$256,W11,$H$7:$H$256,"P6"))</f>
        <v>0</v>
      </c>
      <c r="Z11" s="1" t="n">
        <f aca="false">X11+Y11</f>
        <v>0</v>
      </c>
      <c r="AA11" s="1" t="n">
        <f aca="false">IF(Z11&gt;0,Z11+(201-5)/10^6,0)</f>
        <v>0</v>
      </c>
      <c r="AB11" s="1"/>
      <c r="AC11" s="1"/>
      <c r="AD11" s="1"/>
      <c r="AE11" s="1"/>
      <c r="AF11" s="1" t="n">
        <f aca="false">IF($M11="",0,SUMIFS($P$58:$P$88,$L$58:$L$88,"&gt;="&amp;$M11,$L$58:$L$88,"&lt;="&amp;$N11))</f>
        <v>0</v>
      </c>
      <c r="AG11" s="1" t="n">
        <f aca="false">IF($M11="",0,SUMIFS($Q$58:$Q$88,$L$58:$L$88,"&gt;="&amp;$M11,$L$58:$L$88,"&lt;="&amp;$N11))</f>
        <v>0</v>
      </c>
      <c r="AH11" s="1" t="n">
        <f aca="false">IF($M11="",0,SUMIFS($R$58:$R$88,$L$58:$L$88,"&gt;="&amp;$M11,$L$58:$L$88,"&lt;="&amp;$N11))</f>
        <v>0</v>
      </c>
    </row>
    <row r="12" customFormat="false" ht="15" hidden="false" customHeight="false" outlineLevel="0" collapsed="false">
      <c r="A12" s="1"/>
      <c r="B12" s="10"/>
      <c r="C12" s="31" t="str">
        <f aca="false">IF(B12="","",TEXT(B12,"ddd"))</f>
        <v/>
      </c>
      <c r="D12" s="11"/>
      <c r="E12" s="8" t="str">
        <f aca="false">IF(D12="","",IFERROR(INDEX(ProjNumbers,MATCH(D12,ProjNames,0)),""))</f>
        <v/>
      </c>
      <c r="F12" s="8" t="str">
        <f aca="false">IF(D12="","",IFERROR(INDEX(ProjCodes,MATCH(D12,ProjNames,0)),""))</f>
        <v/>
      </c>
      <c r="G12" s="32"/>
      <c r="H12" s="11"/>
      <c r="I12" s="33"/>
      <c r="J12" s="8" t="str">
        <f aca="false">IF(COUNTA(B12,D12,G12,H12,I12)=0,"",IF(B12="","Enter date",IF(OR(B12&lt;$AC$2,B12&gt;$AC$3),"Date not in October",IF(D12="","Pick project",IF(ISNA(MATCH(D12,ProjNames,0)),"Project not in list",IF(G12="","Add task description",IF(H12="","Pick NTIME or P6",IF(N(I12)&lt;=0,"Enter hours",IF(AND(AllowOT&lt;&gt;"Yes",SUMIF($B$7:$B$256,B12,$I$7:$I$256)&gt;INDEX($O$58:$O$88,DAY(B12))),"Day over "&amp;INDEX($O$58:$O$88,DAY(B12))&amp;" h","✓")))))))))</f>
        <v/>
      </c>
      <c r="K12" s="1"/>
      <c r="L12" s="24" t="str">
        <f aca="false">"Week 3"&amp;IF(M12="",""," ("&amp;DAY(M12)&amp;"–"&amp;DAY(N12)&amp;")")</f>
        <v>Week 3 (12–18)</v>
      </c>
      <c r="M12" s="34" t="n">
        <f aca="false">IF($AC$4+7*2&gt;$AC$3,"",MAX($AC$2,$AC$4+7*2))</f>
        <v>46307</v>
      </c>
      <c r="N12" s="34" t="n">
        <f aca="false">IF(M12="","",MIN($AC$3,$AC$4+7*3-1))</f>
        <v>46313</v>
      </c>
      <c r="O12" s="24" t="n">
        <f aca="false">IF($M12="","",AF12+IF(OHSystem="NTIME",AH12,0))</f>
        <v>0</v>
      </c>
      <c r="P12" s="24" t="n">
        <f aca="false">IF($M12="","",AG12+IF(OHSystem="P6",AH12,0))</f>
        <v>0</v>
      </c>
      <c r="Q12" s="24" t="n">
        <f aca="false">IF($M12="","",AH12)</f>
        <v>0</v>
      </c>
      <c r="R12" s="24" t="n">
        <f aca="false">IF($M12="","",SUMIFS($S$58:$S$88,$L$58:$L$88,"&gt;="&amp;$M12,$L$58:$L$88,"&lt;="&amp;$N12))</f>
        <v>0</v>
      </c>
      <c r="S12" s="24" t="n">
        <f aca="false">IF($M12="","",SUMIFS($T$58:$T$88,$L$58:$L$88,"&gt;="&amp;$M12,$L$58:$L$88,"&lt;="&amp;$N12))</f>
        <v>0</v>
      </c>
      <c r="T12" s="1"/>
      <c r="U12" s="1"/>
      <c r="V12" s="1"/>
      <c r="W12" s="1" t="str">
        <f aca="false">IF(Projects!B10="","",Projects!B10)</f>
        <v/>
      </c>
      <c r="X12" s="1" t="n">
        <f aca="false">IF(W12="",0,SUMIFS($I$7:$I$256,$D$7:$D$256,W12,$H$7:$H$256,"NTIME"))</f>
        <v>0</v>
      </c>
      <c r="Y12" s="1" t="n">
        <f aca="false">IF(W12="",0,SUMIFS($I$7:$I$256,$D$7:$D$256,W12,$H$7:$H$256,"P6"))</f>
        <v>0</v>
      </c>
      <c r="Z12" s="1" t="n">
        <f aca="false">X12+Y12</f>
        <v>0</v>
      </c>
      <c r="AA12" s="1" t="n">
        <f aca="false">IF(Z12&gt;0,Z12+(201-6)/10^6,0)</f>
        <v>0</v>
      </c>
      <c r="AB12" s="1"/>
      <c r="AC12" s="1"/>
      <c r="AD12" s="1"/>
      <c r="AE12" s="1"/>
      <c r="AF12" s="1" t="n">
        <f aca="false">IF($M12="",0,SUMIFS($P$58:$P$88,$L$58:$L$88,"&gt;="&amp;$M12,$L$58:$L$88,"&lt;="&amp;$N12))</f>
        <v>0</v>
      </c>
      <c r="AG12" s="1" t="n">
        <f aca="false">IF($M12="",0,SUMIFS($Q$58:$Q$88,$L$58:$L$88,"&gt;="&amp;$M12,$L$58:$L$88,"&lt;="&amp;$N12))</f>
        <v>0</v>
      </c>
      <c r="AH12" s="1" t="n">
        <f aca="false">IF($M12="",0,SUMIFS($R$58:$R$88,$L$58:$L$88,"&gt;="&amp;$M12,$L$58:$L$88,"&lt;="&amp;$N12))</f>
        <v>0</v>
      </c>
    </row>
    <row r="13" customFormat="false" ht="15" hidden="false" customHeight="false" outlineLevel="0" collapsed="false">
      <c r="A13" s="1"/>
      <c r="B13" s="10"/>
      <c r="C13" s="31" t="str">
        <f aca="false">IF(B13="","",TEXT(B13,"ddd"))</f>
        <v/>
      </c>
      <c r="D13" s="11"/>
      <c r="E13" s="8" t="str">
        <f aca="false">IF(D13="","",IFERROR(INDEX(ProjNumbers,MATCH(D13,ProjNames,0)),""))</f>
        <v/>
      </c>
      <c r="F13" s="8" t="str">
        <f aca="false">IF(D13="","",IFERROR(INDEX(ProjCodes,MATCH(D13,ProjNames,0)),""))</f>
        <v/>
      </c>
      <c r="G13" s="32"/>
      <c r="H13" s="11"/>
      <c r="I13" s="33"/>
      <c r="J13" s="8" t="str">
        <f aca="false">IF(COUNTA(B13,D13,G13,H13,I13)=0,"",IF(B13="","Enter date",IF(OR(B13&lt;$AC$2,B13&gt;$AC$3),"Date not in October",IF(D13="","Pick project",IF(ISNA(MATCH(D13,ProjNames,0)),"Project not in list",IF(G13="","Add task description",IF(H13="","Pick NTIME or P6",IF(N(I13)&lt;=0,"Enter hours",IF(AND(AllowOT&lt;&gt;"Yes",SUMIF($B$7:$B$256,B13,$I$7:$I$256)&gt;INDEX($O$58:$O$88,DAY(B13))),"Day over "&amp;INDEX($O$58:$O$88,DAY(B13))&amp;" h","✓")))))))))</f>
        <v/>
      </c>
      <c r="K13" s="1"/>
      <c r="L13" s="24" t="str">
        <f aca="false">"Week 4"&amp;IF(M13="",""," ("&amp;DAY(M13)&amp;"–"&amp;DAY(N13)&amp;")")</f>
        <v>Week 4 (19–25)</v>
      </c>
      <c r="M13" s="34" t="n">
        <f aca="false">IF($AC$4+7*3&gt;$AC$3,"",MAX($AC$2,$AC$4+7*3))</f>
        <v>46314</v>
      </c>
      <c r="N13" s="34" t="n">
        <f aca="false">IF(M13="","",MIN($AC$3,$AC$4+7*4-1))</f>
        <v>46320</v>
      </c>
      <c r="O13" s="24" t="n">
        <f aca="false">IF($M13="","",AF13+IF(OHSystem="NTIME",AH13,0))</f>
        <v>0</v>
      </c>
      <c r="P13" s="24" t="n">
        <f aca="false">IF($M13="","",AG13+IF(OHSystem="P6",AH13,0))</f>
        <v>0</v>
      </c>
      <c r="Q13" s="24" t="n">
        <f aca="false">IF($M13="","",AH13)</f>
        <v>0</v>
      </c>
      <c r="R13" s="24" t="n">
        <f aca="false">IF($M13="","",SUMIFS($S$58:$S$88,$L$58:$L$88,"&gt;="&amp;$M13,$L$58:$L$88,"&lt;="&amp;$N13))</f>
        <v>0</v>
      </c>
      <c r="S13" s="24" t="n">
        <f aca="false">IF($M13="","",SUMIFS($T$58:$T$88,$L$58:$L$88,"&gt;="&amp;$M13,$L$58:$L$88,"&lt;="&amp;$N13))</f>
        <v>0</v>
      </c>
      <c r="T13" s="1"/>
      <c r="U13" s="1"/>
      <c r="V13" s="1"/>
      <c r="W13" s="1" t="str">
        <f aca="false">IF(Projects!B11="","",Projects!B11)</f>
        <v/>
      </c>
      <c r="X13" s="1" t="n">
        <f aca="false">IF(W13="",0,SUMIFS($I$7:$I$256,$D$7:$D$256,W13,$H$7:$H$256,"NTIME"))</f>
        <v>0</v>
      </c>
      <c r="Y13" s="1" t="n">
        <f aca="false">IF(W13="",0,SUMIFS($I$7:$I$256,$D$7:$D$256,W13,$H$7:$H$256,"P6"))</f>
        <v>0</v>
      </c>
      <c r="Z13" s="1" t="n">
        <f aca="false">X13+Y13</f>
        <v>0</v>
      </c>
      <c r="AA13" s="1" t="n">
        <f aca="false">IF(Z13&gt;0,Z13+(201-7)/10^6,0)</f>
        <v>0</v>
      </c>
      <c r="AB13" s="1"/>
      <c r="AC13" s="1"/>
      <c r="AD13" s="1"/>
      <c r="AE13" s="1"/>
      <c r="AF13" s="1" t="n">
        <f aca="false">IF($M13="",0,SUMIFS($P$58:$P$88,$L$58:$L$88,"&gt;="&amp;$M13,$L$58:$L$88,"&lt;="&amp;$N13))</f>
        <v>0</v>
      </c>
      <c r="AG13" s="1" t="n">
        <f aca="false">IF($M13="",0,SUMIFS($Q$58:$Q$88,$L$58:$L$88,"&gt;="&amp;$M13,$L$58:$L$88,"&lt;="&amp;$N13))</f>
        <v>0</v>
      </c>
      <c r="AH13" s="1" t="n">
        <f aca="false">IF($M13="",0,SUMIFS($R$58:$R$88,$L$58:$L$88,"&gt;="&amp;$M13,$L$58:$L$88,"&lt;="&amp;$N13))</f>
        <v>0</v>
      </c>
    </row>
    <row r="14" customFormat="false" ht="15" hidden="false" customHeight="false" outlineLevel="0" collapsed="false">
      <c r="A14" s="1"/>
      <c r="B14" s="10"/>
      <c r="C14" s="31" t="str">
        <f aca="false">IF(B14="","",TEXT(B14,"ddd"))</f>
        <v/>
      </c>
      <c r="D14" s="11"/>
      <c r="E14" s="8" t="str">
        <f aca="false">IF(D14="","",IFERROR(INDEX(ProjNumbers,MATCH(D14,ProjNames,0)),""))</f>
        <v/>
      </c>
      <c r="F14" s="8" t="str">
        <f aca="false">IF(D14="","",IFERROR(INDEX(ProjCodes,MATCH(D14,ProjNames,0)),""))</f>
        <v/>
      </c>
      <c r="G14" s="32"/>
      <c r="H14" s="11"/>
      <c r="I14" s="33"/>
      <c r="J14" s="8" t="str">
        <f aca="false">IF(COUNTA(B14,D14,G14,H14,I14)=0,"",IF(B14="","Enter date",IF(OR(B14&lt;$AC$2,B14&gt;$AC$3),"Date not in October",IF(D14="","Pick project",IF(ISNA(MATCH(D14,ProjNames,0)),"Project not in list",IF(G14="","Add task description",IF(H14="","Pick NTIME or P6",IF(N(I14)&lt;=0,"Enter hours",IF(AND(AllowOT&lt;&gt;"Yes",SUMIF($B$7:$B$256,B14,$I$7:$I$256)&gt;INDEX($O$58:$O$88,DAY(B14))),"Day over "&amp;INDEX($O$58:$O$88,DAY(B14))&amp;" h","✓")))))))))</f>
        <v/>
      </c>
      <c r="K14" s="1"/>
      <c r="L14" s="24" t="str">
        <f aca="false">"Week 5"&amp;IF(M14="",""," ("&amp;DAY(M14)&amp;"–"&amp;DAY(N14)&amp;")")</f>
        <v>Week 5 (26–31)</v>
      </c>
      <c r="M14" s="34" t="n">
        <f aca="false">IF($AC$4+7*4&gt;$AC$3,"",MAX($AC$2,$AC$4+7*4))</f>
        <v>46321</v>
      </c>
      <c r="N14" s="34" t="n">
        <f aca="false">IF(M14="","",MIN($AC$3,$AC$4+7*5-1))</f>
        <v>46326</v>
      </c>
      <c r="O14" s="24" t="n">
        <f aca="false">IF($M14="","",AF14+IF(OHSystem="NTIME",AH14,0))</f>
        <v>0</v>
      </c>
      <c r="P14" s="24" t="n">
        <f aca="false">IF($M14="","",AG14+IF(OHSystem="P6",AH14,0))</f>
        <v>0</v>
      </c>
      <c r="Q14" s="24" t="n">
        <f aca="false">IF($M14="","",AH14)</f>
        <v>0</v>
      </c>
      <c r="R14" s="24" t="n">
        <f aca="false">IF($M14="","",SUMIFS($S$58:$S$88,$L$58:$L$88,"&gt;="&amp;$M14,$L$58:$L$88,"&lt;="&amp;$N14))</f>
        <v>0</v>
      </c>
      <c r="S14" s="24" t="n">
        <f aca="false">IF($M14="","",SUMIFS($T$58:$T$88,$L$58:$L$88,"&gt;="&amp;$M14,$L$58:$L$88,"&lt;="&amp;$N14))</f>
        <v>0</v>
      </c>
      <c r="T14" s="1"/>
      <c r="U14" s="1"/>
      <c r="V14" s="1"/>
      <c r="W14" s="1" t="str">
        <f aca="false">IF(Projects!B12="","",Projects!B12)</f>
        <v/>
      </c>
      <c r="X14" s="1" t="n">
        <f aca="false">IF(W14="",0,SUMIFS($I$7:$I$256,$D$7:$D$256,W14,$H$7:$H$256,"NTIME"))</f>
        <v>0</v>
      </c>
      <c r="Y14" s="1" t="n">
        <f aca="false">IF(W14="",0,SUMIFS($I$7:$I$256,$D$7:$D$256,W14,$H$7:$H$256,"P6"))</f>
        <v>0</v>
      </c>
      <c r="Z14" s="1" t="n">
        <f aca="false">X14+Y14</f>
        <v>0</v>
      </c>
      <c r="AA14" s="1" t="n">
        <f aca="false">IF(Z14&gt;0,Z14+(201-8)/10^6,0)</f>
        <v>0</v>
      </c>
      <c r="AB14" s="1"/>
      <c r="AC14" s="1"/>
      <c r="AD14" s="1"/>
      <c r="AE14" s="1"/>
      <c r="AF14" s="1" t="n">
        <f aca="false">IF($M14="",0,SUMIFS($P$58:$P$88,$L$58:$L$88,"&gt;="&amp;$M14,$L$58:$L$88,"&lt;="&amp;$N14))</f>
        <v>0</v>
      </c>
      <c r="AG14" s="1" t="n">
        <f aca="false">IF($M14="",0,SUMIFS($Q$58:$Q$88,$L$58:$L$88,"&gt;="&amp;$M14,$L$58:$L$88,"&lt;="&amp;$N14))</f>
        <v>0</v>
      </c>
      <c r="AH14" s="1" t="n">
        <f aca="false">IF($M14="",0,SUMIFS($R$58:$R$88,$L$58:$L$88,"&gt;="&amp;$M14,$L$58:$L$88,"&lt;="&amp;$N14))</f>
        <v>0</v>
      </c>
    </row>
    <row r="15" customFormat="false" ht="15" hidden="false" customHeight="false" outlineLevel="0" collapsed="false">
      <c r="A15" s="1"/>
      <c r="B15" s="10"/>
      <c r="C15" s="31" t="str">
        <f aca="false">IF(B15="","",TEXT(B15,"ddd"))</f>
        <v/>
      </c>
      <c r="D15" s="11"/>
      <c r="E15" s="8" t="str">
        <f aca="false">IF(D15="","",IFERROR(INDEX(ProjNumbers,MATCH(D15,ProjNames,0)),""))</f>
        <v/>
      </c>
      <c r="F15" s="8" t="str">
        <f aca="false">IF(D15="","",IFERROR(INDEX(ProjCodes,MATCH(D15,ProjNames,0)),""))</f>
        <v/>
      </c>
      <c r="G15" s="32"/>
      <c r="H15" s="11"/>
      <c r="I15" s="33"/>
      <c r="J15" s="8" t="str">
        <f aca="false">IF(COUNTA(B15,D15,G15,H15,I15)=0,"",IF(B15="","Enter date",IF(OR(B15&lt;$AC$2,B15&gt;$AC$3),"Date not in October",IF(D15="","Pick project",IF(ISNA(MATCH(D15,ProjNames,0)),"Project not in list",IF(G15="","Add task description",IF(H15="","Pick NTIME or P6",IF(N(I15)&lt;=0,"Enter hours",IF(AND(AllowOT&lt;&gt;"Yes",SUMIF($B$7:$B$256,B15,$I$7:$I$256)&gt;INDEX($O$58:$O$88,DAY(B15))),"Day over "&amp;INDEX($O$58:$O$88,DAY(B15))&amp;" h","✓")))))))))</f>
        <v/>
      </c>
      <c r="K15" s="1"/>
      <c r="L15" s="24" t="str">
        <f aca="false">"Week 6"&amp;IF(M15="",""," ("&amp;DAY(M15)&amp;"–"&amp;DAY(N15)&amp;")")</f>
        <v>Week 6</v>
      </c>
      <c r="M15" s="34" t="str">
        <f aca="false">IF($AC$4+7*5&gt;$AC$3,"",MAX($AC$2,$AC$4+7*5))</f>
        <v/>
      </c>
      <c r="N15" s="34" t="str">
        <f aca="false">IF(M15="","",MIN($AC$3,$AC$4+7*6-1))</f>
        <v/>
      </c>
      <c r="O15" s="24" t="str">
        <f aca="false">IF($M15="","",AF15+IF(OHSystem="NTIME",AH15,0))</f>
        <v/>
      </c>
      <c r="P15" s="24" t="str">
        <f aca="false">IF($M15="","",AG15+IF(OHSystem="P6",AH15,0))</f>
        <v/>
      </c>
      <c r="Q15" s="24" t="str">
        <f aca="false">IF($M15="","",AH15)</f>
        <v/>
      </c>
      <c r="R15" s="24" t="str">
        <f aca="false">IF($M15="","",SUMIFS($S$58:$S$88,$L$58:$L$88,"&gt;="&amp;$M15,$L$58:$L$88,"&lt;="&amp;$N15))</f>
        <v/>
      </c>
      <c r="S15" s="24" t="str">
        <f aca="false">IF($M15="","",SUMIFS($T$58:$T$88,$L$58:$L$88,"&gt;="&amp;$M15,$L$58:$L$88,"&lt;="&amp;$N15))</f>
        <v/>
      </c>
      <c r="T15" s="1"/>
      <c r="U15" s="1"/>
      <c r="V15" s="1"/>
      <c r="W15" s="1" t="str">
        <f aca="false">IF(Projects!B13="","",Projects!B13)</f>
        <v/>
      </c>
      <c r="X15" s="1" t="n">
        <f aca="false">IF(W15="",0,SUMIFS($I$7:$I$256,$D$7:$D$256,W15,$H$7:$H$256,"NTIME"))</f>
        <v>0</v>
      </c>
      <c r="Y15" s="1" t="n">
        <f aca="false">IF(W15="",0,SUMIFS($I$7:$I$256,$D$7:$D$256,W15,$H$7:$H$256,"P6"))</f>
        <v>0</v>
      </c>
      <c r="Z15" s="1" t="n">
        <f aca="false">X15+Y15</f>
        <v>0</v>
      </c>
      <c r="AA15" s="1" t="n">
        <f aca="false">IF(Z15&gt;0,Z15+(201-9)/10^6,0)</f>
        <v>0</v>
      </c>
      <c r="AB15" s="1"/>
      <c r="AC15" s="1"/>
      <c r="AD15" s="1"/>
      <c r="AE15" s="1"/>
      <c r="AF15" s="1" t="n">
        <f aca="false">IF($M15="",0,SUMIFS($P$58:$P$88,$L$58:$L$88,"&gt;="&amp;$M15,$L$58:$L$88,"&lt;="&amp;$N15))</f>
        <v>0</v>
      </c>
      <c r="AG15" s="1" t="n">
        <f aca="false">IF($M15="",0,SUMIFS($Q$58:$Q$88,$L$58:$L$88,"&gt;="&amp;$M15,$L$58:$L$88,"&lt;="&amp;$N15))</f>
        <v>0</v>
      </c>
      <c r="AH15" s="1" t="n">
        <f aca="false">IF($M15="",0,SUMIFS($R$58:$R$88,$L$58:$L$88,"&gt;="&amp;$M15,$L$58:$L$88,"&lt;="&amp;$N15))</f>
        <v>0</v>
      </c>
    </row>
    <row r="16" customFormat="false" ht="15" hidden="false" customHeight="false" outlineLevel="0" collapsed="false">
      <c r="A16" s="1"/>
      <c r="B16" s="10"/>
      <c r="C16" s="31" t="str">
        <f aca="false">IF(B16="","",TEXT(B16,"ddd"))</f>
        <v/>
      </c>
      <c r="D16" s="11"/>
      <c r="E16" s="8" t="str">
        <f aca="false">IF(D16="","",IFERROR(INDEX(ProjNumbers,MATCH(D16,ProjNames,0)),""))</f>
        <v/>
      </c>
      <c r="F16" s="8" t="str">
        <f aca="false">IF(D16="","",IFERROR(INDEX(ProjCodes,MATCH(D16,ProjNames,0)),""))</f>
        <v/>
      </c>
      <c r="G16" s="32"/>
      <c r="H16" s="11"/>
      <c r="I16" s="33"/>
      <c r="J16" s="8" t="str">
        <f aca="false">IF(COUNTA(B16,D16,G16,H16,I16)=0,"",IF(B16="","Enter date",IF(OR(B16&lt;$AC$2,B16&gt;$AC$3),"Date not in October",IF(D16="","Pick project",IF(ISNA(MATCH(D16,ProjNames,0)),"Project not in list",IF(G16="","Add task description",IF(H16="","Pick NTIME or P6",IF(N(I16)&lt;=0,"Enter hours",IF(AND(AllowOT&lt;&gt;"Yes",SUMIF($B$7:$B$256,B16,$I$7:$I$256)&gt;INDEX($O$58:$O$88,DAY(B16))),"Day over "&amp;INDEX($O$58:$O$88,DAY(B16))&amp;" h","✓")))))))))</f>
        <v/>
      </c>
      <c r="K16" s="1"/>
      <c r="L16" s="27" t="s">
        <v>84</v>
      </c>
      <c r="M16" s="27"/>
      <c r="N16" s="27"/>
      <c r="O16" s="27" t="n">
        <f aca="false">SUM(O10:O15)</f>
        <v>0</v>
      </c>
      <c r="P16" s="27" t="n">
        <f aca="false">SUM(P10:P15)</f>
        <v>0</v>
      </c>
      <c r="Q16" s="27" t="n">
        <f aca="false">SUM(Q10:Q15)</f>
        <v>0</v>
      </c>
      <c r="R16" s="27" t="n">
        <f aca="false">SUM(R10:R15)</f>
        <v>0</v>
      </c>
      <c r="S16" s="27" t="n">
        <f aca="false">SUM(S10:S15)</f>
        <v>0</v>
      </c>
      <c r="T16" s="1"/>
      <c r="U16" s="1"/>
      <c r="V16" s="1"/>
      <c r="W16" s="1" t="str">
        <f aca="false">IF(Projects!B14="","",Projects!B14)</f>
        <v/>
      </c>
      <c r="X16" s="1" t="n">
        <f aca="false">IF(W16="",0,SUMIFS($I$7:$I$256,$D$7:$D$256,W16,$H$7:$H$256,"NTIME"))</f>
        <v>0</v>
      </c>
      <c r="Y16" s="1" t="n">
        <f aca="false">IF(W16="",0,SUMIFS($I$7:$I$256,$D$7:$D$256,W16,$H$7:$H$256,"P6"))</f>
        <v>0</v>
      </c>
      <c r="Z16" s="1" t="n">
        <f aca="false">X16+Y16</f>
        <v>0</v>
      </c>
      <c r="AA16" s="1" t="n">
        <f aca="false">IF(Z16&gt;0,Z16+(201-10)/10^6,0)</f>
        <v>0</v>
      </c>
      <c r="AB16" s="1"/>
      <c r="AC16" s="1"/>
      <c r="AD16" s="1"/>
      <c r="AE16" s="1"/>
      <c r="AF16" s="1" t="n">
        <f aca="false">SUM(AF10:AF15)</f>
        <v>0</v>
      </c>
      <c r="AG16" s="1" t="n">
        <f aca="false">SUM(AG10:AG15)</f>
        <v>0</v>
      </c>
      <c r="AH16" s="1" t="n">
        <f aca="false">SUM(AH10:AH15)</f>
        <v>0</v>
      </c>
    </row>
    <row r="17" customFormat="false" ht="15" hidden="false" customHeight="false" outlineLevel="0" collapsed="false">
      <c r="A17" s="1"/>
      <c r="B17" s="10"/>
      <c r="C17" s="31" t="str">
        <f aca="false">IF(B17="","",TEXT(B17,"ddd"))</f>
        <v/>
      </c>
      <c r="D17" s="11"/>
      <c r="E17" s="8" t="str">
        <f aca="false">IF(D17="","",IFERROR(INDEX(ProjNumbers,MATCH(D17,ProjNames,0)),""))</f>
        <v/>
      </c>
      <c r="F17" s="8" t="str">
        <f aca="false">IF(D17="","",IFERROR(INDEX(ProjCodes,MATCH(D17,ProjNames,0)),""))</f>
        <v/>
      </c>
      <c r="G17" s="32"/>
      <c r="H17" s="11"/>
      <c r="I17" s="33"/>
      <c r="J17" s="8" t="str">
        <f aca="false">IF(COUNTA(B17,D17,G17,H17,I17)=0,"",IF(B17="","Enter date",IF(OR(B17&lt;$AC$2,B17&gt;$AC$3),"Date not in October",IF(D17="","Pick project",IF(ISNA(MATCH(D17,ProjNames,0)),"Project not in list",IF(G17="","Add task description",IF(H17="","Pick NTIME or P6",IF(N(I17)&lt;=0,"Enter hours",IF(AND(AllowOT&lt;&gt;"Yes",SUMIF($B$7:$B$256,B17,$I$7:$I$256)&gt;INDEX($O$58:$O$88,DAY(B17))),"Day over "&amp;INDEX($O$58:$O$88,DAY(B17))&amp;" h","✓")))))))))</f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tr">
        <f aca="false">IF(Projects!B15="","",Projects!B15)</f>
        <v/>
      </c>
      <c r="X17" s="1" t="n">
        <f aca="false">IF(W17="",0,SUMIFS($I$7:$I$256,$D$7:$D$256,W17,$H$7:$H$256,"NTIME"))</f>
        <v>0</v>
      </c>
      <c r="Y17" s="1" t="n">
        <f aca="false">IF(W17="",0,SUMIFS($I$7:$I$256,$D$7:$D$256,W17,$H$7:$H$256,"P6"))</f>
        <v>0</v>
      </c>
      <c r="Z17" s="1" t="n">
        <f aca="false">X17+Y17</f>
        <v>0</v>
      </c>
      <c r="AA17" s="1" t="n">
        <f aca="false">IF(Z17&gt;0,Z17+(201-11)/10^6,0)</f>
        <v>0</v>
      </c>
      <c r="AB17" s="1"/>
      <c r="AC17" s="1"/>
      <c r="AD17" s="1"/>
      <c r="AE17" s="1"/>
      <c r="AF17" s="1"/>
      <c r="AG17" s="1"/>
      <c r="AH17" s="1"/>
    </row>
    <row r="18" customFormat="false" ht="15" hidden="false" customHeight="false" outlineLevel="0" collapsed="false">
      <c r="A18" s="1"/>
      <c r="B18" s="10"/>
      <c r="C18" s="31" t="str">
        <f aca="false">IF(B18="","",TEXT(B18,"ddd"))</f>
        <v/>
      </c>
      <c r="D18" s="11"/>
      <c r="E18" s="8" t="str">
        <f aca="false">IF(D18="","",IFERROR(INDEX(ProjNumbers,MATCH(D18,ProjNames,0)),""))</f>
        <v/>
      </c>
      <c r="F18" s="8" t="str">
        <f aca="false">IF(D18="","",IFERROR(INDEX(ProjCodes,MATCH(D18,ProjNames,0)),""))</f>
        <v/>
      </c>
      <c r="G18" s="32"/>
      <c r="H18" s="11"/>
      <c r="I18" s="33"/>
      <c r="J18" s="8" t="str">
        <f aca="false">IF(COUNTA(B18,D18,G18,H18,I18)=0,"",IF(B18="","Enter date",IF(OR(B18&lt;$AC$2,B18&gt;$AC$3),"Date not in October",IF(D18="","Pick project",IF(ISNA(MATCH(D18,ProjNames,0)),"Project not in list",IF(G18="","Add task description",IF(H18="","Pick NTIME or P6",IF(N(I18)&lt;=0,"Enter hours",IF(AND(AllowOT&lt;&gt;"Yes",SUMIF($B$7:$B$256,B18,$I$7:$I$256)&gt;INDEX($O$58:$O$88,DAY(B18))),"Day over "&amp;INDEX($O$58:$O$88,DAY(B18))&amp;" h","✓")))))))))</f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 aca="false">IF(Projects!B16="","",Projects!B16)</f>
        <v/>
      </c>
      <c r="X18" s="1" t="n">
        <f aca="false">IF(W18="",0,SUMIFS($I$7:$I$256,$D$7:$D$256,W18,$H$7:$H$256,"NTIME"))</f>
        <v>0</v>
      </c>
      <c r="Y18" s="1" t="n">
        <f aca="false">IF(W18="",0,SUMIFS($I$7:$I$256,$D$7:$D$256,W18,$H$7:$H$256,"P6"))</f>
        <v>0</v>
      </c>
      <c r="Z18" s="1" t="n">
        <f aca="false">X18+Y18</f>
        <v>0</v>
      </c>
      <c r="AA18" s="1" t="n">
        <f aca="false">IF(Z18&gt;0,Z18+(201-12)/10^6,0)</f>
        <v>0</v>
      </c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/>
      <c r="B19" s="10"/>
      <c r="C19" s="31" t="str">
        <f aca="false">IF(B19="","",TEXT(B19,"ddd"))</f>
        <v/>
      </c>
      <c r="D19" s="11"/>
      <c r="E19" s="8" t="str">
        <f aca="false">IF(D19="","",IFERROR(INDEX(ProjNumbers,MATCH(D19,ProjNames,0)),""))</f>
        <v/>
      </c>
      <c r="F19" s="8" t="str">
        <f aca="false">IF(D19="","",IFERROR(INDEX(ProjCodes,MATCH(D19,ProjNames,0)),""))</f>
        <v/>
      </c>
      <c r="G19" s="32"/>
      <c r="H19" s="11"/>
      <c r="I19" s="33"/>
      <c r="J19" s="8" t="str">
        <f aca="false">IF(COUNTA(B19,D19,G19,H19,I19)=0,"",IF(B19="","Enter date",IF(OR(B19&lt;$AC$2,B19&gt;$AC$3),"Date not in October",IF(D19="","Pick project",IF(ISNA(MATCH(D19,ProjNames,0)),"Project not in list",IF(G19="","Add task description",IF(H19="","Pick NTIME or P6",IF(N(I19)&lt;=0,"Enter hours",IF(AND(AllowOT&lt;&gt;"Yes",SUMIF($B$7:$B$256,B19,$I$7:$I$256)&gt;INDEX($O$58:$O$88,DAY(B19))),"Day over "&amp;INDEX($O$58:$O$88,DAY(B19))&amp;" h","✓")))))))))</f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tr">
        <f aca="false">IF(Projects!B17="","",Projects!B17)</f>
        <v/>
      </c>
      <c r="X19" s="1" t="n">
        <f aca="false">IF(W19="",0,SUMIFS($I$7:$I$256,$D$7:$D$256,W19,$H$7:$H$256,"NTIME"))</f>
        <v>0</v>
      </c>
      <c r="Y19" s="1" t="n">
        <f aca="false">IF(W19="",0,SUMIFS($I$7:$I$256,$D$7:$D$256,W19,$H$7:$H$256,"P6"))</f>
        <v>0</v>
      </c>
      <c r="Z19" s="1" t="n">
        <f aca="false">X19+Y19</f>
        <v>0</v>
      </c>
      <c r="AA19" s="1" t="n">
        <f aca="false">IF(Z19&gt;0,Z19+(201-13)/10^6,0)</f>
        <v>0</v>
      </c>
      <c r="AB19" s="1"/>
      <c r="AC19" s="1"/>
      <c r="AD19" s="1"/>
      <c r="AE19" s="1"/>
      <c r="AF19" s="1"/>
      <c r="AG19" s="1"/>
      <c r="AH19" s="1"/>
    </row>
    <row r="20" customFormat="false" ht="15" hidden="false" customHeight="false" outlineLevel="0" collapsed="false">
      <c r="A20" s="1"/>
      <c r="B20" s="10"/>
      <c r="C20" s="31" t="str">
        <f aca="false">IF(B20="","",TEXT(B20,"ddd"))</f>
        <v/>
      </c>
      <c r="D20" s="11"/>
      <c r="E20" s="8" t="str">
        <f aca="false">IF(D20="","",IFERROR(INDEX(ProjNumbers,MATCH(D20,ProjNames,0)),""))</f>
        <v/>
      </c>
      <c r="F20" s="8" t="str">
        <f aca="false">IF(D20="","",IFERROR(INDEX(ProjCodes,MATCH(D20,ProjNames,0)),""))</f>
        <v/>
      </c>
      <c r="G20" s="32"/>
      <c r="H20" s="11"/>
      <c r="I20" s="33"/>
      <c r="J20" s="8" t="str">
        <f aca="false">IF(COUNTA(B20,D20,G20,H20,I20)=0,"",IF(B20="","Enter date",IF(OR(B20&lt;$AC$2,B20&gt;$AC$3),"Date not in October",IF(D20="","Pick project",IF(ISNA(MATCH(D20,ProjNames,0)),"Project not in list",IF(G20="","Add task description",IF(H20="","Pick NTIME or P6",IF(N(I20)&lt;=0,"Enter hours",IF(AND(AllowOT&lt;&gt;"Yes",SUMIF($B$7:$B$256,B20,$I$7:$I$256)&gt;INDEX($O$58:$O$88,DAY(B20))),"Day over "&amp;INDEX($O$58:$O$88,DAY(B20))&amp;" h","✓")))))))))</f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tr">
        <f aca="false">IF(Projects!B18="","",Projects!B18)</f>
        <v/>
      </c>
      <c r="X20" s="1" t="n">
        <f aca="false">IF(W20="",0,SUMIFS($I$7:$I$256,$D$7:$D$256,W20,$H$7:$H$256,"NTIME"))</f>
        <v>0</v>
      </c>
      <c r="Y20" s="1" t="n">
        <f aca="false">IF(W20="",0,SUMIFS($I$7:$I$256,$D$7:$D$256,W20,$H$7:$H$256,"P6"))</f>
        <v>0</v>
      </c>
      <c r="Z20" s="1" t="n">
        <f aca="false">X20+Y20</f>
        <v>0</v>
      </c>
      <c r="AA20" s="1" t="n">
        <f aca="false">IF(Z20&gt;0,Z20+(201-14)/10^6,0)</f>
        <v>0</v>
      </c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/>
      <c r="B21" s="10"/>
      <c r="C21" s="31" t="str">
        <f aca="false">IF(B21="","",TEXT(B21,"ddd"))</f>
        <v/>
      </c>
      <c r="D21" s="11"/>
      <c r="E21" s="8" t="str">
        <f aca="false">IF(D21="","",IFERROR(INDEX(ProjNumbers,MATCH(D21,ProjNames,0)),""))</f>
        <v/>
      </c>
      <c r="F21" s="8" t="str">
        <f aca="false">IF(D21="","",IFERROR(INDEX(ProjCodes,MATCH(D21,ProjNames,0)),""))</f>
        <v/>
      </c>
      <c r="G21" s="32"/>
      <c r="H21" s="11"/>
      <c r="I21" s="33"/>
      <c r="J21" s="8" t="str">
        <f aca="false">IF(COUNTA(B21,D21,G21,H21,I21)=0,"",IF(B21="","Enter date",IF(OR(B21&lt;$AC$2,B21&gt;$AC$3),"Date not in October",IF(D21="","Pick project",IF(ISNA(MATCH(D21,ProjNames,0)),"Project not in list",IF(G21="","Add task description",IF(H21="","Pick NTIME or P6",IF(N(I21)&lt;=0,"Enter hours",IF(AND(AllowOT&lt;&gt;"Yes",SUMIF($B$7:$B$256,B21,$I$7:$I$256)&gt;INDEX($O$58:$O$88,DAY(B21))),"Day over "&amp;INDEX($O$58:$O$88,DAY(B21))&amp;" h","✓")))))))))</f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tr">
        <f aca="false">IF(Projects!B19="","",Projects!B19)</f>
        <v/>
      </c>
      <c r="X21" s="1" t="n">
        <f aca="false">IF(W21="",0,SUMIFS($I$7:$I$256,$D$7:$D$256,W21,$H$7:$H$256,"NTIME"))</f>
        <v>0</v>
      </c>
      <c r="Y21" s="1" t="n">
        <f aca="false">IF(W21="",0,SUMIFS($I$7:$I$256,$D$7:$D$256,W21,$H$7:$H$256,"P6"))</f>
        <v>0</v>
      </c>
      <c r="Z21" s="1" t="n">
        <f aca="false">X21+Y21</f>
        <v>0</v>
      </c>
      <c r="AA21" s="1" t="n">
        <f aca="false">IF(Z21&gt;0,Z21+(201-15)/10^6,0)</f>
        <v>0</v>
      </c>
      <c r="AB21" s="1"/>
      <c r="AC21" s="1"/>
      <c r="AD21" s="1"/>
      <c r="AE21" s="1"/>
      <c r="AF21" s="1"/>
      <c r="AG21" s="1"/>
      <c r="AH21" s="1"/>
    </row>
    <row r="22" customFormat="false" ht="15" hidden="false" customHeight="false" outlineLevel="0" collapsed="false">
      <c r="A22" s="1"/>
      <c r="B22" s="10"/>
      <c r="C22" s="31" t="str">
        <f aca="false">IF(B22="","",TEXT(B22,"ddd"))</f>
        <v/>
      </c>
      <c r="D22" s="11"/>
      <c r="E22" s="8" t="str">
        <f aca="false">IF(D22="","",IFERROR(INDEX(ProjNumbers,MATCH(D22,ProjNames,0)),""))</f>
        <v/>
      </c>
      <c r="F22" s="8" t="str">
        <f aca="false">IF(D22="","",IFERROR(INDEX(ProjCodes,MATCH(D22,ProjNames,0)),""))</f>
        <v/>
      </c>
      <c r="G22" s="32"/>
      <c r="H22" s="11"/>
      <c r="I22" s="33"/>
      <c r="J22" s="8" t="str">
        <f aca="false">IF(COUNTA(B22,D22,G22,H22,I22)=0,"",IF(B22="","Enter date",IF(OR(B22&lt;$AC$2,B22&gt;$AC$3),"Date not in October",IF(D22="","Pick project",IF(ISNA(MATCH(D22,ProjNames,0)),"Project not in list",IF(G22="","Add task description",IF(H22="","Pick NTIME or P6",IF(N(I22)&lt;=0,"Enter hours",IF(AND(AllowOT&lt;&gt;"Yes",SUMIF($B$7:$B$256,B22,$I$7:$I$256)&gt;INDEX($O$58:$O$88,DAY(B22))),"Day over "&amp;INDEX($O$58:$O$88,DAY(B22))&amp;" h","✓")))))))))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tr">
        <f aca="false">IF(Projects!B20="","",Projects!B20)</f>
        <v/>
      </c>
      <c r="X22" s="1" t="n">
        <f aca="false">IF(W22="",0,SUMIFS($I$7:$I$256,$D$7:$D$256,W22,$H$7:$H$256,"NTIME"))</f>
        <v>0</v>
      </c>
      <c r="Y22" s="1" t="n">
        <f aca="false">IF(W22="",0,SUMIFS($I$7:$I$256,$D$7:$D$256,W22,$H$7:$H$256,"P6"))</f>
        <v>0</v>
      </c>
      <c r="Z22" s="1" t="n">
        <f aca="false">X22+Y22</f>
        <v>0</v>
      </c>
      <c r="AA22" s="1" t="n">
        <f aca="false">IF(Z22&gt;0,Z22+(201-16)/10^6,0)</f>
        <v>0</v>
      </c>
      <c r="AB22" s="1"/>
      <c r="AC22" s="1"/>
      <c r="AD22" s="1"/>
      <c r="AE22" s="1"/>
      <c r="AF22" s="1"/>
      <c r="AG22" s="1"/>
      <c r="AH22" s="1"/>
    </row>
    <row r="23" customFormat="false" ht="15" hidden="false" customHeight="false" outlineLevel="0" collapsed="false">
      <c r="A23" s="1"/>
      <c r="B23" s="10"/>
      <c r="C23" s="31" t="str">
        <f aca="false">IF(B23="","",TEXT(B23,"ddd"))</f>
        <v/>
      </c>
      <c r="D23" s="11"/>
      <c r="E23" s="8" t="str">
        <f aca="false">IF(D23="","",IFERROR(INDEX(ProjNumbers,MATCH(D23,ProjNames,0)),""))</f>
        <v/>
      </c>
      <c r="F23" s="8" t="str">
        <f aca="false">IF(D23="","",IFERROR(INDEX(ProjCodes,MATCH(D23,ProjNames,0)),""))</f>
        <v/>
      </c>
      <c r="G23" s="32"/>
      <c r="H23" s="11"/>
      <c r="I23" s="33"/>
      <c r="J23" s="8" t="str">
        <f aca="false">IF(COUNTA(B23,D23,G23,H23,I23)=0,"",IF(B23="","Enter date",IF(OR(B23&lt;$AC$2,B23&gt;$AC$3),"Date not in October",IF(D23="","Pick project",IF(ISNA(MATCH(D23,ProjNames,0)),"Project not in list",IF(G23="","Add task description",IF(H23="","Pick NTIME or P6",IF(N(I23)&lt;=0,"Enter hours",IF(AND(AllowOT&lt;&gt;"Yes",SUMIF($B$7:$B$256,B23,$I$7:$I$256)&gt;INDEX($O$58:$O$88,DAY(B23))),"Day over "&amp;INDEX($O$58:$O$88,DAY(B23))&amp;" h","✓")))))))))</f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tr">
        <f aca="false">IF(Projects!B21="","",Projects!B21)</f>
        <v/>
      </c>
      <c r="X23" s="1" t="n">
        <f aca="false">IF(W23="",0,SUMIFS($I$7:$I$256,$D$7:$D$256,W23,$H$7:$H$256,"NTIME"))</f>
        <v>0</v>
      </c>
      <c r="Y23" s="1" t="n">
        <f aca="false">IF(W23="",0,SUMIFS($I$7:$I$256,$D$7:$D$256,W23,$H$7:$H$256,"P6"))</f>
        <v>0</v>
      </c>
      <c r="Z23" s="1" t="n">
        <f aca="false">X23+Y23</f>
        <v>0</v>
      </c>
      <c r="AA23" s="1" t="n">
        <f aca="false">IF(Z23&gt;0,Z23+(201-17)/10^6,0)</f>
        <v>0</v>
      </c>
      <c r="AB23" s="1"/>
      <c r="AC23" s="1"/>
      <c r="AD23" s="1"/>
      <c r="AE23" s="1"/>
      <c r="AF23" s="1"/>
      <c r="AG23" s="1"/>
      <c r="AH23" s="1"/>
    </row>
    <row r="24" customFormat="false" ht="15" hidden="false" customHeight="false" outlineLevel="0" collapsed="false">
      <c r="A24" s="1"/>
      <c r="B24" s="10"/>
      <c r="C24" s="31" t="str">
        <f aca="false">IF(B24="","",TEXT(B24,"ddd"))</f>
        <v/>
      </c>
      <c r="D24" s="11"/>
      <c r="E24" s="8" t="str">
        <f aca="false">IF(D24="","",IFERROR(INDEX(ProjNumbers,MATCH(D24,ProjNames,0)),""))</f>
        <v/>
      </c>
      <c r="F24" s="8" t="str">
        <f aca="false">IF(D24="","",IFERROR(INDEX(ProjCodes,MATCH(D24,ProjNames,0)),""))</f>
        <v/>
      </c>
      <c r="G24" s="32"/>
      <c r="H24" s="11"/>
      <c r="I24" s="33"/>
      <c r="J24" s="8" t="str">
        <f aca="false">IF(COUNTA(B24,D24,G24,H24,I24)=0,"",IF(B24="","Enter date",IF(OR(B24&lt;$AC$2,B24&gt;$AC$3),"Date not in October",IF(D24="","Pick project",IF(ISNA(MATCH(D24,ProjNames,0)),"Project not in list",IF(G24="","Add task description",IF(H24="","Pick NTIME or P6",IF(N(I24)&lt;=0,"Enter hours",IF(AND(AllowOT&lt;&gt;"Yes",SUMIF($B$7:$B$256,B24,$I$7:$I$256)&gt;INDEX($O$58:$O$88,DAY(B24))),"Day over "&amp;INDEX($O$58:$O$88,DAY(B24))&amp;" h","✓")))))))))</f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tr">
        <f aca="false">IF(Projects!B22="","",Projects!B22)</f>
        <v/>
      </c>
      <c r="X24" s="1" t="n">
        <f aca="false">IF(W24="",0,SUMIFS($I$7:$I$256,$D$7:$D$256,W24,$H$7:$H$256,"NTIME"))</f>
        <v>0</v>
      </c>
      <c r="Y24" s="1" t="n">
        <f aca="false">IF(W24="",0,SUMIFS($I$7:$I$256,$D$7:$D$256,W24,$H$7:$H$256,"P6"))</f>
        <v>0</v>
      </c>
      <c r="Z24" s="1" t="n">
        <f aca="false">X24+Y24</f>
        <v>0</v>
      </c>
      <c r="AA24" s="1" t="n">
        <f aca="false">IF(Z24&gt;0,Z24+(201-18)/10^6,0)</f>
        <v>0</v>
      </c>
      <c r="AB24" s="1"/>
      <c r="AC24" s="1"/>
      <c r="AD24" s="1"/>
      <c r="AE24" s="1"/>
      <c r="AF24" s="1"/>
      <c r="AG24" s="1"/>
      <c r="AH24" s="1"/>
    </row>
    <row r="25" customFormat="false" ht="15" hidden="false" customHeight="false" outlineLevel="0" collapsed="false">
      <c r="A25" s="1"/>
      <c r="B25" s="10"/>
      <c r="C25" s="31" t="str">
        <f aca="false">IF(B25="","",TEXT(B25,"ddd"))</f>
        <v/>
      </c>
      <c r="D25" s="11"/>
      <c r="E25" s="8" t="str">
        <f aca="false">IF(D25="","",IFERROR(INDEX(ProjNumbers,MATCH(D25,ProjNames,0)),""))</f>
        <v/>
      </c>
      <c r="F25" s="8" t="str">
        <f aca="false">IF(D25="","",IFERROR(INDEX(ProjCodes,MATCH(D25,ProjNames,0)),""))</f>
        <v/>
      </c>
      <c r="G25" s="32"/>
      <c r="H25" s="11"/>
      <c r="I25" s="33"/>
      <c r="J25" s="8" t="str">
        <f aca="false">IF(COUNTA(B25,D25,G25,H25,I25)=0,"",IF(B25="","Enter date",IF(OR(B25&lt;$AC$2,B25&gt;$AC$3),"Date not in October",IF(D25="","Pick project",IF(ISNA(MATCH(D25,ProjNames,0)),"Project not in list",IF(G25="","Add task description",IF(H25="","Pick NTIME or P6",IF(N(I25)&lt;=0,"Enter hours",IF(AND(AllowOT&lt;&gt;"Yes",SUMIF($B$7:$B$256,B25,$I$7:$I$256)&gt;INDEX($O$58:$O$88,DAY(B25))),"Day over "&amp;INDEX($O$58:$O$88,DAY(B25))&amp;" h","✓")))))))))</f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tr">
        <f aca="false">IF(Projects!B23="","",Projects!B23)</f>
        <v/>
      </c>
      <c r="X25" s="1" t="n">
        <f aca="false">IF(W25="",0,SUMIFS($I$7:$I$256,$D$7:$D$256,W25,$H$7:$H$256,"NTIME"))</f>
        <v>0</v>
      </c>
      <c r="Y25" s="1" t="n">
        <f aca="false">IF(W25="",0,SUMIFS($I$7:$I$256,$D$7:$D$256,W25,$H$7:$H$256,"P6"))</f>
        <v>0</v>
      </c>
      <c r="Z25" s="1" t="n">
        <f aca="false">X25+Y25</f>
        <v>0</v>
      </c>
      <c r="AA25" s="1" t="n">
        <f aca="false">IF(Z25&gt;0,Z25+(201-19)/10^6,0)</f>
        <v>0</v>
      </c>
      <c r="AB25" s="1"/>
      <c r="AC25" s="1"/>
      <c r="AD25" s="1"/>
      <c r="AE25" s="1"/>
      <c r="AF25" s="1"/>
      <c r="AG25" s="1"/>
      <c r="AH25" s="1"/>
    </row>
    <row r="26" customFormat="false" ht="15" hidden="false" customHeight="false" outlineLevel="0" collapsed="false">
      <c r="A26" s="1"/>
      <c r="B26" s="10"/>
      <c r="C26" s="31" t="str">
        <f aca="false">IF(B26="","",TEXT(B26,"ddd"))</f>
        <v/>
      </c>
      <c r="D26" s="11"/>
      <c r="E26" s="8" t="str">
        <f aca="false">IF(D26="","",IFERROR(INDEX(ProjNumbers,MATCH(D26,ProjNames,0)),""))</f>
        <v/>
      </c>
      <c r="F26" s="8" t="str">
        <f aca="false">IF(D26="","",IFERROR(INDEX(ProjCodes,MATCH(D26,ProjNames,0)),""))</f>
        <v/>
      </c>
      <c r="G26" s="32"/>
      <c r="H26" s="11"/>
      <c r="I26" s="33"/>
      <c r="J26" s="8" t="str">
        <f aca="false">IF(COUNTA(B26,D26,G26,H26,I26)=0,"",IF(B26="","Enter date",IF(OR(B26&lt;$AC$2,B26&gt;$AC$3),"Date not in October",IF(D26="","Pick project",IF(ISNA(MATCH(D26,ProjNames,0)),"Project not in list",IF(G26="","Add task description",IF(H26="","Pick NTIME or P6",IF(N(I26)&lt;=0,"Enter hours",IF(AND(AllowOT&lt;&gt;"Yes",SUMIF($B$7:$B$256,B26,$I$7:$I$256)&gt;INDEX($O$58:$O$88,DAY(B26))),"Day over "&amp;INDEX($O$58:$O$88,DAY(B26))&amp;" h","✓")))))))))</f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tr">
        <f aca="false">IF(Projects!B24="","",Projects!B24)</f>
        <v/>
      </c>
      <c r="X26" s="1" t="n">
        <f aca="false">IF(W26="",0,SUMIFS($I$7:$I$256,$D$7:$D$256,W26,$H$7:$H$256,"NTIME"))</f>
        <v>0</v>
      </c>
      <c r="Y26" s="1" t="n">
        <f aca="false">IF(W26="",0,SUMIFS($I$7:$I$256,$D$7:$D$256,W26,$H$7:$H$256,"P6"))</f>
        <v>0</v>
      </c>
      <c r="Z26" s="1" t="n">
        <f aca="false">X26+Y26</f>
        <v>0</v>
      </c>
      <c r="AA26" s="1" t="n">
        <f aca="false">IF(Z26&gt;0,Z26+(201-20)/10^6,0)</f>
        <v>0</v>
      </c>
      <c r="AB26" s="1"/>
      <c r="AC26" s="1"/>
      <c r="AD26" s="1"/>
      <c r="AE26" s="1"/>
      <c r="AF26" s="1"/>
      <c r="AG26" s="1"/>
      <c r="AH26" s="1"/>
    </row>
    <row r="27" customFormat="false" ht="15" hidden="false" customHeight="false" outlineLevel="0" collapsed="false">
      <c r="A27" s="1"/>
      <c r="B27" s="10"/>
      <c r="C27" s="31" t="str">
        <f aca="false">IF(B27="","",TEXT(B27,"ddd"))</f>
        <v/>
      </c>
      <c r="D27" s="11"/>
      <c r="E27" s="8" t="str">
        <f aca="false">IF(D27="","",IFERROR(INDEX(ProjNumbers,MATCH(D27,ProjNames,0)),""))</f>
        <v/>
      </c>
      <c r="F27" s="8" t="str">
        <f aca="false">IF(D27="","",IFERROR(INDEX(ProjCodes,MATCH(D27,ProjNames,0)),""))</f>
        <v/>
      </c>
      <c r="G27" s="32"/>
      <c r="H27" s="11"/>
      <c r="I27" s="33"/>
      <c r="J27" s="8" t="str">
        <f aca="false">IF(COUNTA(B27,D27,G27,H27,I27)=0,"",IF(B27="","Enter date",IF(OR(B27&lt;$AC$2,B27&gt;$AC$3),"Date not in October",IF(D27="","Pick project",IF(ISNA(MATCH(D27,ProjNames,0)),"Project not in list",IF(G27="","Add task description",IF(H27="","Pick NTIME or P6",IF(N(I27)&lt;=0,"Enter hours",IF(AND(AllowOT&lt;&gt;"Yes",SUMIF($B$7:$B$256,B27,$I$7:$I$256)&gt;INDEX($O$58:$O$88,DAY(B27))),"Day over "&amp;INDEX($O$58:$O$88,DAY(B27))&amp;" h","✓")))))))))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aca="false">IF(Projects!B25="","",Projects!B25)</f>
        <v/>
      </c>
      <c r="X27" s="1" t="n">
        <f aca="false">IF(W27="",0,SUMIFS($I$7:$I$256,$D$7:$D$256,W27,$H$7:$H$256,"NTIME"))</f>
        <v>0</v>
      </c>
      <c r="Y27" s="1" t="n">
        <f aca="false">IF(W27="",0,SUMIFS($I$7:$I$256,$D$7:$D$256,W27,$H$7:$H$256,"P6"))</f>
        <v>0</v>
      </c>
      <c r="Z27" s="1" t="n">
        <f aca="false">X27+Y27</f>
        <v>0</v>
      </c>
      <c r="AA27" s="1" t="n">
        <f aca="false">IF(Z27&gt;0,Z27+(201-21)/10^6,0)</f>
        <v>0</v>
      </c>
      <c r="AB27" s="1"/>
      <c r="AC27" s="1"/>
      <c r="AD27" s="1"/>
      <c r="AE27" s="1"/>
      <c r="AF27" s="1"/>
      <c r="AG27" s="1"/>
      <c r="AH27" s="1"/>
    </row>
    <row r="28" customFormat="false" ht="15" hidden="false" customHeight="false" outlineLevel="0" collapsed="false">
      <c r="A28" s="1"/>
      <c r="B28" s="10"/>
      <c r="C28" s="31" t="str">
        <f aca="false">IF(B28="","",TEXT(B28,"ddd"))</f>
        <v/>
      </c>
      <c r="D28" s="11"/>
      <c r="E28" s="8" t="str">
        <f aca="false">IF(D28="","",IFERROR(INDEX(ProjNumbers,MATCH(D28,ProjNames,0)),""))</f>
        <v/>
      </c>
      <c r="F28" s="8" t="str">
        <f aca="false">IF(D28="","",IFERROR(INDEX(ProjCodes,MATCH(D28,ProjNames,0)),""))</f>
        <v/>
      </c>
      <c r="G28" s="32"/>
      <c r="H28" s="11"/>
      <c r="I28" s="33"/>
      <c r="J28" s="8" t="str">
        <f aca="false">IF(COUNTA(B28,D28,G28,H28,I28)=0,"",IF(B28="","Enter date",IF(OR(B28&lt;$AC$2,B28&gt;$AC$3),"Date not in October",IF(D28="","Pick project",IF(ISNA(MATCH(D28,ProjNames,0)),"Project not in list",IF(G28="","Add task description",IF(H28="","Pick NTIME or P6",IF(N(I28)&lt;=0,"Enter hours",IF(AND(AllowOT&lt;&gt;"Yes",SUMIF($B$7:$B$256,B28,$I$7:$I$256)&gt;INDEX($O$58:$O$88,DAY(B28))),"Day over "&amp;INDEX($O$58:$O$88,DAY(B28))&amp;" h","✓")))))))))</f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tr">
        <f aca="false">IF(Projects!B26="","",Projects!B26)</f>
        <v/>
      </c>
      <c r="X28" s="1" t="n">
        <f aca="false">IF(W28="",0,SUMIFS($I$7:$I$256,$D$7:$D$256,W28,$H$7:$H$256,"NTIME"))</f>
        <v>0</v>
      </c>
      <c r="Y28" s="1" t="n">
        <f aca="false">IF(W28="",0,SUMIFS($I$7:$I$256,$D$7:$D$256,W28,$H$7:$H$256,"P6"))</f>
        <v>0</v>
      </c>
      <c r="Z28" s="1" t="n">
        <f aca="false">X28+Y28</f>
        <v>0</v>
      </c>
      <c r="AA28" s="1" t="n">
        <f aca="false">IF(Z28&gt;0,Z28+(201-22)/10^6,0)</f>
        <v>0</v>
      </c>
      <c r="AB28" s="1"/>
      <c r="AC28" s="1"/>
      <c r="AD28" s="1"/>
      <c r="AE28" s="1"/>
      <c r="AF28" s="1"/>
      <c r="AG28" s="1"/>
      <c r="AH28" s="1"/>
    </row>
    <row r="29" customFormat="false" ht="15" hidden="false" customHeight="false" outlineLevel="0" collapsed="false">
      <c r="A29" s="1"/>
      <c r="B29" s="10"/>
      <c r="C29" s="31" t="str">
        <f aca="false">IF(B29="","",TEXT(B29,"ddd"))</f>
        <v/>
      </c>
      <c r="D29" s="11"/>
      <c r="E29" s="8" t="str">
        <f aca="false">IF(D29="","",IFERROR(INDEX(ProjNumbers,MATCH(D29,ProjNames,0)),""))</f>
        <v/>
      </c>
      <c r="F29" s="8" t="str">
        <f aca="false">IF(D29="","",IFERROR(INDEX(ProjCodes,MATCH(D29,ProjNames,0)),""))</f>
        <v/>
      </c>
      <c r="G29" s="32"/>
      <c r="H29" s="11"/>
      <c r="I29" s="33"/>
      <c r="J29" s="8" t="str">
        <f aca="false">IF(COUNTA(B29,D29,G29,H29,I29)=0,"",IF(B29="","Enter date",IF(OR(B29&lt;$AC$2,B29&gt;$AC$3),"Date not in October",IF(D29="","Pick project",IF(ISNA(MATCH(D29,ProjNames,0)),"Project not in list",IF(G29="","Add task description",IF(H29="","Pick NTIME or P6",IF(N(I29)&lt;=0,"Enter hours",IF(AND(AllowOT&lt;&gt;"Yes",SUMIF($B$7:$B$256,B29,$I$7:$I$256)&gt;INDEX($O$58:$O$88,DAY(B29))),"Day over "&amp;INDEX($O$58:$O$88,DAY(B29))&amp;" h","✓")))))))))</f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tr">
        <f aca="false">IF(Projects!B27="","",Projects!B27)</f>
        <v/>
      </c>
      <c r="X29" s="1" t="n">
        <f aca="false">IF(W29="",0,SUMIFS($I$7:$I$256,$D$7:$D$256,W29,$H$7:$H$256,"NTIME"))</f>
        <v>0</v>
      </c>
      <c r="Y29" s="1" t="n">
        <f aca="false">IF(W29="",0,SUMIFS($I$7:$I$256,$D$7:$D$256,W29,$H$7:$H$256,"P6"))</f>
        <v>0</v>
      </c>
      <c r="Z29" s="1" t="n">
        <f aca="false">X29+Y29</f>
        <v>0</v>
      </c>
      <c r="AA29" s="1" t="n">
        <f aca="false">IF(Z29&gt;0,Z29+(201-23)/10^6,0)</f>
        <v>0</v>
      </c>
      <c r="AB29" s="1"/>
      <c r="AC29" s="1"/>
      <c r="AD29" s="1"/>
      <c r="AE29" s="1"/>
      <c r="AF29" s="1"/>
      <c r="AG29" s="1"/>
      <c r="AH29" s="1"/>
    </row>
    <row r="30" customFormat="false" ht="15" hidden="false" customHeight="false" outlineLevel="0" collapsed="false">
      <c r="A30" s="1"/>
      <c r="B30" s="10"/>
      <c r="C30" s="31" t="str">
        <f aca="false">IF(B30="","",TEXT(B30,"ddd"))</f>
        <v/>
      </c>
      <c r="D30" s="11"/>
      <c r="E30" s="8" t="str">
        <f aca="false">IF(D30="","",IFERROR(INDEX(ProjNumbers,MATCH(D30,ProjNames,0)),""))</f>
        <v/>
      </c>
      <c r="F30" s="8" t="str">
        <f aca="false">IF(D30="","",IFERROR(INDEX(ProjCodes,MATCH(D30,ProjNames,0)),""))</f>
        <v/>
      </c>
      <c r="G30" s="32"/>
      <c r="H30" s="11"/>
      <c r="I30" s="33"/>
      <c r="J30" s="8" t="str">
        <f aca="false">IF(COUNTA(B30,D30,G30,H30,I30)=0,"",IF(B30="","Enter date",IF(OR(B30&lt;$AC$2,B30&gt;$AC$3),"Date not in October",IF(D30="","Pick project",IF(ISNA(MATCH(D30,ProjNames,0)),"Project not in list",IF(G30="","Add task description",IF(H30="","Pick NTIME or P6",IF(N(I30)&lt;=0,"Enter hours",IF(AND(AllowOT&lt;&gt;"Yes",SUMIF($B$7:$B$256,B30,$I$7:$I$256)&gt;INDEX($O$58:$O$88,DAY(B30))),"Day over "&amp;INDEX($O$58:$O$88,DAY(B30))&amp;" h","✓")))))))))</f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tr">
        <f aca="false">IF(Projects!B28="","",Projects!B28)</f>
        <v/>
      </c>
      <c r="X30" s="1" t="n">
        <f aca="false">IF(W30="",0,SUMIFS($I$7:$I$256,$D$7:$D$256,W30,$H$7:$H$256,"NTIME"))</f>
        <v>0</v>
      </c>
      <c r="Y30" s="1" t="n">
        <f aca="false">IF(W30="",0,SUMIFS($I$7:$I$256,$D$7:$D$256,W30,$H$7:$H$256,"P6"))</f>
        <v>0</v>
      </c>
      <c r="Z30" s="1" t="n">
        <f aca="false">X30+Y30</f>
        <v>0</v>
      </c>
      <c r="AA30" s="1" t="n">
        <f aca="false">IF(Z30&gt;0,Z30+(201-24)/10^6,0)</f>
        <v>0</v>
      </c>
      <c r="AB30" s="1"/>
      <c r="AC30" s="1"/>
      <c r="AD30" s="1"/>
      <c r="AE30" s="1"/>
      <c r="AF30" s="1"/>
      <c r="AG30" s="1"/>
      <c r="AH30" s="1"/>
    </row>
    <row r="31" customFormat="false" ht="15" hidden="false" customHeight="false" outlineLevel="0" collapsed="false">
      <c r="A31" s="1"/>
      <c r="B31" s="10"/>
      <c r="C31" s="31" t="str">
        <f aca="false">IF(B31="","",TEXT(B31,"ddd"))</f>
        <v/>
      </c>
      <c r="D31" s="11"/>
      <c r="E31" s="8" t="str">
        <f aca="false">IF(D31="","",IFERROR(INDEX(ProjNumbers,MATCH(D31,ProjNames,0)),""))</f>
        <v/>
      </c>
      <c r="F31" s="8" t="str">
        <f aca="false">IF(D31="","",IFERROR(INDEX(ProjCodes,MATCH(D31,ProjNames,0)),""))</f>
        <v/>
      </c>
      <c r="G31" s="32"/>
      <c r="H31" s="11"/>
      <c r="I31" s="33"/>
      <c r="J31" s="8" t="str">
        <f aca="false">IF(COUNTA(B31,D31,G31,H31,I31)=0,"",IF(B31="","Enter date",IF(OR(B31&lt;$AC$2,B31&gt;$AC$3),"Date not in October",IF(D31="","Pick project",IF(ISNA(MATCH(D31,ProjNames,0)),"Project not in list",IF(G31="","Add task description",IF(H31="","Pick NTIME or P6",IF(N(I31)&lt;=0,"Enter hours",IF(AND(AllowOT&lt;&gt;"Yes",SUMIF($B$7:$B$256,B31,$I$7:$I$256)&gt;INDEX($O$58:$O$88,DAY(B31))),"Day over "&amp;INDEX($O$58:$O$88,DAY(B31))&amp;" h","✓")))))))))</f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tr">
        <f aca="false">IF(Projects!B29="","",Projects!B29)</f>
        <v/>
      </c>
      <c r="X31" s="1" t="n">
        <f aca="false">IF(W31="",0,SUMIFS($I$7:$I$256,$D$7:$D$256,W31,$H$7:$H$256,"NTIME"))</f>
        <v>0</v>
      </c>
      <c r="Y31" s="1" t="n">
        <f aca="false">IF(W31="",0,SUMIFS($I$7:$I$256,$D$7:$D$256,W31,$H$7:$H$256,"P6"))</f>
        <v>0</v>
      </c>
      <c r="Z31" s="1" t="n">
        <f aca="false">X31+Y31</f>
        <v>0</v>
      </c>
      <c r="AA31" s="1" t="n">
        <f aca="false">IF(Z31&gt;0,Z31+(201-25)/10^6,0)</f>
        <v>0</v>
      </c>
      <c r="AB31" s="1"/>
      <c r="AC31" s="1"/>
      <c r="AD31" s="1"/>
      <c r="AE31" s="1"/>
      <c r="AF31" s="1"/>
      <c r="AG31" s="1"/>
      <c r="AH31" s="1"/>
    </row>
    <row r="32" customFormat="false" ht="15" hidden="false" customHeight="false" outlineLevel="0" collapsed="false">
      <c r="A32" s="1"/>
      <c r="B32" s="10"/>
      <c r="C32" s="31" t="str">
        <f aca="false">IF(B32="","",TEXT(B32,"ddd"))</f>
        <v/>
      </c>
      <c r="D32" s="11"/>
      <c r="E32" s="8" t="str">
        <f aca="false">IF(D32="","",IFERROR(INDEX(ProjNumbers,MATCH(D32,ProjNames,0)),""))</f>
        <v/>
      </c>
      <c r="F32" s="8" t="str">
        <f aca="false">IF(D32="","",IFERROR(INDEX(ProjCodes,MATCH(D32,ProjNames,0)),""))</f>
        <v/>
      </c>
      <c r="G32" s="32"/>
      <c r="H32" s="11"/>
      <c r="I32" s="33"/>
      <c r="J32" s="8" t="str">
        <f aca="false">IF(COUNTA(B32,D32,G32,H32,I32)=0,"",IF(B32="","Enter date",IF(OR(B32&lt;$AC$2,B32&gt;$AC$3),"Date not in October",IF(D32="","Pick project",IF(ISNA(MATCH(D32,ProjNames,0)),"Project not in list",IF(G32="","Add task description",IF(H32="","Pick NTIME or P6",IF(N(I32)&lt;=0,"Enter hours",IF(AND(AllowOT&lt;&gt;"Yes",SUMIF($B$7:$B$256,B32,$I$7:$I$256)&gt;INDEX($O$58:$O$88,DAY(B32))),"Day over "&amp;INDEX($O$58:$O$88,DAY(B32))&amp;" h","✓")))))))))</f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tr">
        <f aca="false">IF(Projects!B30="","",Projects!B30)</f>
        <v/>
      </c>
      <c r="X32" s="1" t="n">
        <f aca="false">IF(W32="",0,SUMIFS($I$7:$I$256,$D$7:$D$256,W32,$H$7:$H$256,"NTIME"))</f>
        <v>0</v>
      </c>
      <c r="Y32" s="1" t="n">
        <f aca="false">IF(W32="",0,SUMIFS($I$7:$I$256,$D$7:$D$256,W32,$H$7:$H$256,"P6"))</f>
        <v>0</v>
      </c>
      <c r="Z32" s="1" t="n">
        <f aca="false">X32+Y32</f>
        <v>0</v>
      </c>
      <c r="AA32" s="1" t="n">
        <f aca="false">IF(Z32&gt;0,Z32+(201-26)/10^6,0)</f>
        <v>0</v>
      </c>
      <c r="AB32" s="1"/>
      <c r="AC32" s="1"/>
      <c r="AD32" s="1"/>
      <c r="AE32" s="1"/>
      <c r="AF32" s="1"/>
      <c r="AG32" s="1"/>
      <c r="AH32" s="1"/>
    </row>
    <row r="33" customFormat="false" ht="15" hidden="false" customHeight="false" outlineLevel="0" collapsed="false">
      <c r="A33" s="1"/>
      <c r="B33" s="10"/>
      <c r="C33" s="31" t="str">
        <f aca="false">IF(B33="","",TEXT(B33,"ddd"))</f>
        <v/>
      </c>
      <c r="D33" s="11"/>
      <c r="E33" s="8" t="str">
        <f aca="false">IF(D33="","",IFERROR(INDEX(ProjNumbers,MATCH(D33,ProjNames,0)),""))</f>
        <v/>
      </c>
      <c r="F33" s="8" t="str">
        <f aca="false">IF(D33="","",IFERROR(INDEX(ProjCodes,MATCH(D33,ProjNames,0)),""))</f>
        <v/>
      </c>
      <c r="G33" s="32"/>
      <c r="H33" s="11"/>
      <c r="I33" s="33"/>
      <c r="J33" s="8" t="str">
        <f aca="false">IF(COUNTA(B33,D33,G33,H33,I33)=0,"",IF(B33="","Enter date",IF(OR(B33&lt;$AC$2,B33&gt;$AC$3),"Date not in October",IF(D33="","Pick project",IF(ISNA(MATCH(D33,ProjNames,0)),"Project not in list",IF(G33="","Add task description",IF(H33="","Pick NTIME or P6",IF(N(I33)&lt;=0,"Enter hours",IF(AND(AllowOT&lt;&gt;"Yes",SUMIF($B$7:$B$256,B33,$I$7:$I$256)&gt;INDEX($O$58:$O$88,DAY(B33))),"Day over "&amp;INDEX($O$58:$O$88,DAY(B33))&amp;" h","✓")))))))))</f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tr">
        <f aca="false">IF(Projects!B31="","",Projects!B31)</f>
        <v/>
      </c>
      <c r="X33" s="1" t="n">
        <f aca="false">IF(W33="",0,SUMIFS($I$7:$I$256,$D$7:$D$256,W33,$H$7:$H$256,"NTIME"))</f>
        <v>0</v>
      </c>
      <c r="Y33" s="1" t="n">
        <f aca="false">IF(W33="",0,SUMIFS($I$7:$I$256,$D$7:$D$256,W33,$H$7:$H$256,"P6"))</f>
        <v>0</v>
      </c>
      <c r="Z33" s="1" t="n">
        <f aca="false">X33+Y33</f>
        <v>0</v>
      </c>
      <c r="AA33" s="1" t="n">
        <f aca="false">IF(Z33&gt;0,Z33+(201-27)/10^6,0)</f>
        <v>0</v>
      </c>
      <c r="AB33" s="1"/>
      <c r="AC33" s="1"/>
      <c r="AD33" s="1"/>
      <c r="AE33" s="1"/>
      <c r="AF33" s="1"/>
      <c r="AG33" s="1"/>
      <c r="AH33" s="1"/>
    </row>
    <row r="34" customFormat="false" ht="15" hidden="false" customHeight="false" outlineLevel="0" collapsed="false">
      <c r="A34" s="1"/>
      <c r="B34" s="10"/>
      <c r="C34" s="31" t="str">
        <f aca="false">IF(B34="","",TEXT(B34,"ddd"))</f>
        <v/>
      </c>
      <c r="D34" s="11"/>
      <c r="E34" s="8" t="str">
        <f aca="false">IF(D34="","",IFERROR(INDEX(ProjNumbers,MATCH(D34,ProjNames,0)),""))</f>
        <v/>
      </c>
      <c r="F34" s="8" t="str">
        <f aca="false">IF(D34="","",IFERROR(INDEX(ProjCodes,MATCH(D34,ProjNames,0)),""))</f>
        <v/>
      </c>
      <c r="G34" s="32"/>
      <c r="H34" s="11"/>
      <c r="I34" s="33"/>
      <c r="J34" s="8" t="str">
        <f aca="false">IF(COUNTA(B34,D34,G34,H34,I34)=0,"",IF(B34="","Enter date",IF(OR(B34&lt;$AC$2,B34&gt;$AC$3),"Date not in October",IF(D34="","Pick project",IF(ISNA(MATCH(D34,ProjNames,0)),"Project not in list",IF(G34="","Add task description",IF(H34="","Pick NTIME or P6",IF(N(I34)&lt;=0,"Enter hours",IF(AND(AllowOT&lt;&gt;"Yes",SUMIF($B$7:$B$256,B34,$I$7:$I$256)&gt;INDEX($O$58:$O$88,DAY(B34))),"Day over "&amp;INDEX($O$58:$O$88,DAY(B34))&amp;" h","✓")))))))))</f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tr">
        <f aca="false">IF(Projects!B32="","",Projects!B32)</f>
        <v/>
      </c>
      <c r="X34" s="1" t="n">
        <f aca="false">IF(W34="",0,SUMIFS($I$7:$I$256,$D$7:$D$256,W34,$H$7:$H$256,"NTIME"))</f>
        <v>0</v>
      </c>
      <c r="Y34" s="1" t="n">
        <f aca="false">IF(W34="",0,SUMIFS($I$7:$I$256,$D$7:$D$256,W34,$H$7:$H$256,"P6"))</f>
        <v>0</v>
      </c>
      <c r="Z34" s="1" t="n">
        <f aca="false">X34+Y34</f>
        <v>0</v>
      </c>
      <c r="AA34" s="1" t="n">
        <f aca="false">IF(Z34&gt;0,Z34+(201-28)/10^6,0)</f>
        <v>0</v>
      </c>
      <c r="AB34" s="1"/>
      <c r="AC34" s="1"/>
      <c r="AD34" s="1"/>
      <c r="AE34" s="1"/>
      <c r="AF34" s="1"/>
      <c r="AG34" s="1"/>
      <c r="AH34" s="1"/>
    </row>
    <row r="35" customFormat="false" ht="15" hidden="false" customHeight="false" outlineLevel="0" collapsed="false">
      <c r="A35" s="1"/>
      <c r="B35" s="10"/>
      <c r="C35" s="31" t="str">
        <f aca="false">IF(B35="","",TEXT(B35,"ddd"))</f>
        <v/>
      </c>
      <c r="D35" s="11"/>
      <c r="E35" s="8" t="str">
        <f aca="false">IF(D35="","",IFERROR(INDEX(ProjNumbers,MATCH(D35,ProjNames,0)),""))</f>
        <v/>
      </c>
      <c r="F35" s="8" t="str">
        <f aca="false">IF(D35="","",IFERROR(INDEX(ProjCodes,MATCH(D35,ProjNames,0)),""))</f>
        <v/>
      </c>
      <c r="G35" s="32"/>
      <c r="H35" s="11"/>
      <c r="I35" s="33"/>
      <c r="J35" s="8" t="str">
        <f aca="false">IF(COUNTA(B35,D35,G35,H35,I35)=0,"",IF(B35="","Enter date",IF(OR(B35&lt;$AC$2,B35&gt;$AC$3),"Date not in October",IF(D35="","Pick project",IF(ISNA(MATCH(D35,ProjNames,0)),"Project not in list",IF(G35="","Add task description",IF(H35="","Pick NTIME or P6",IF(N(I35)&lt;=0,"Enter hours",IF(AND(AllowOT&lt;&gt;"Yes",SUMIF($B$7:$B$256,B35,$I$7:$I$256)&gt;INDEX($O$58:$O$88,DAY(B35))),"Day over "&amp;INDEX($O$58:$O$88,DAY(B35))&amp;" h","✓")))))))))</f>
        <v/>
      </c>
      <c r="K35" s="1"/>
      <c r="L35" s="4" t="s">
        <v>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 t="str">
        <f aca="false">IF(Projects!B33="","",Projects!B33)</f>
        <v/>
      </c>
      <c r="X35" s="1" t="n">
        <f aca="false">IF(W35="",0,SUMIFS($I$7:$I$256,$D$7:$D$256,W35,$H$7:$H$256,"NTIME"))</f>
        <v>0</v>
      </c>
      <c r="Y35" s="1" t="n">
        <f aca="false">IF(W35="",0,SUMIFS($I$7:$I$256,$D$7:$D$256,W35,$H$7:$H$256,"P6"))</f>
        <v>0</v>
      </c>
      <c r="Z35" s="1" t="n">
        <f aca="false">X35+Y35</f>
        <v>0</v>
      </c>
      <c r="AA35" s="1" t="n">
        <f aca="false">IF(Z35&gt;0,Z35+(201-29)/10^6,0)</f>
        <v>0</v>
      </c>
      <c r="AB35" s="1"/>
      <c r="AC35" s="1"/>
      <c r="AD35" s="1"/>
      <c r="AE35" s="1"/>
      <c r="AF35" s="1"/>
      <c r="AG35" s="1"/>
      <c r="AH35" s="1"/>
    </row>
    <row r="36" customFormat="false" ht="23.85" hidden="false" customHeight="false" outlineLevel="0" collapsed="false">
      <c r="A36" s="1"/>
      <c r="B36" s="10"/>
      <c r="C36" s="31" t="str">
        <f aca="false">IF(B36="","",TEXT(B36,"ddd"))</f>
        <v/>
      </c>
      <c r="D36" s="11"/>
      <c r="E36" s="8" t="str">
        <f aca="false">IF(D36="","",IFERROR(INDEX(ProjNumbers,MATCH(D36,ProjNames,0)),""))</f>
        <v/>
      </c>
      <c r="F36" s="8" t="str">
        <f aca="false">IF(D36="","",IFERROR(INDEX(ProjCodes,MATCH(D36,ProjNames,0)),""))</f>
        <v/>
      </c>
      <c r="G36" s="32"/>
      <c r="H36" s="11"/>
      <c r="I36" s="33"/>
      <c r="J36" s="8" t="str">
        <f aca="false">IF(COUNTA(B36,D36,G36,H36,I36)=0,"",IF(B36="","Enter date",IF(OR(B36&lt;$AC$2,B36&gt;$AC$3),"Date not in October",IF(D36="","Pick project",IF(ISNA(MATCH(D36,ProjNames,0)),"Project not in list",IF(G36="","Add task description",IF(H36="","Pick NTIME or P6",IF(N(I36)&lt;=0,"Enter hours",IF(AND(AllowOT&lt;&gt;"Yes",SUMIF($B$7:$B$256,B36,$I$7:$I$256)&gt;INDEX($O$58:$O$88,DAY(B36))),"Day over "&amp;INDEX($O$58:$O$88,DAY(B36))&amp;" h","✓")))))))))</f>
        <v/>
      </c>
      <c r="K36" s="1"/>
      <c r="L36" s="9" t="s">
        <v>72</v>
      </c>
      <c r="M36" s="9" t="s">
        <v>36</v>
      </c>
      <c r="N36" s="9" t="s">
        <v>37</v>
      </c>
      <c r="O36" s="20" t="s">
        <v>46</v>
      </c>
      <c r="P36" s="21" t="s">
        <v>56</v>
      </c>
      <c r="Q36" s="9" t="s">
        <v>57</v>
      </c>
      <c r="R36" s="9" t="s">
        <v>86</v>
      </c>
      <c r="S36" s="1"/>
      <c r="T36" s="1"/>
      <c r="U36" s="1"/>
      <c r="V36" s="1"/>
      <c r="W36" s="1" t="str">
        <f aca="false">IF(Projects!B34="","",Projects!B34)</f>
        <v/>
      </c>
      <c r="X36" s="1" t="n">
        <f aca="false">IF(W36="",0,SUMIFS($I$7:$I$256,$D$7:$D$256,W36,$H$7:$H$256,"NTIME"))</f>
        <v>0</v>
      </c>
      <c r="Y36" s="1" t="n">
        <f aca="false">IF(W36="",0,SUMIFS($I$7:$I$256,$D$7:$D$256,W36,$H$7:$H$256,"P6"))</f>
        <v>0</v>
      </c>
      <c r="Z36" s="1" t="n">
        <f aca="false">X36+Y36</f>
        <v>0</v>
      </c>
      <c r="AA36" s="1" t="n">
        <f aca="false">IF(Z36&gt;0,Z36+(201-30)/10^6,0)</f>
        <v>0</v>
      </c>
      <c r="AB36" s="1"/>
      <c r="AC36" s="1"/>
      <c r="AD36" s="1"/>
      <c r="AE36" s="1"/>
      <c r="AF36" s="1"/>
      <c r="AG36" s="1"/>
      <c r="AH36" s="1"/>
    </row>
    <row r="37" customFormat="false" ht="15" hidden="false" customHeight="false" outlineLevel="0" collapsed="false">
      <c r="A37" s="1"/>
      <c r="B37" s="10"/>
      <c r="C37" s="31" t="str">
        <f aca="false">IF(B37="","",TEXT(B37,"ddd"))</f>
        <v/>
      </c>
      <c r="D37" s="11"/>
      <c r="E37" s="8" t="str">
        <f aca="false">IF(D37="","",IFERROR(INDEX(ProjNumbers,MATCH(D37,ProjNames,0)),""))</f>
        <v/>
      </c>
      <c r="F37" s="8" t="str">
        <f aca="false">IF(D37="","",IFERROR(INDEX(ProjCodes,MATCH(D37,ProjNames,0)),""))</f>
        <v/>
      </c>
      <c r="G37" s="32"/>
      <c r="H37" s="11"/>
      <c r="I37" s="33"/>
      <c r="J37" s="8" t="str">
        <f aca="false">IF(COUNTA(B37,D37,G37,H37,I37)=0,"",IF(B37="","Enter date",IF(OR(B37&lt;$AC$2,B37&gt;$AC$3),"Date not in October",IF(D37="","Pick project",IF(ISNA(MATCH(D37,ProjNames,0)),"Project not in list",IF(G37="","Add task description",IF(H37="","Pick NTIME or P6",IF(N(I37)&lt;=0,"Enter hours",IF(AND(AllowOT&lt;&gt;"Yes",SUMIF($B$7:$B$256,B37,$I$7:$I$256)&gt;INDEX($O$58:$O$88,DAY(B37))),"Day over "&amp;INDEX($O$58:$O$88,DAY(B37))&amp;" h","✓")))))))))</f>
        <v/>
      </c>
      <c r="K37" s="1"/>
      <c r="L37" s="24" t="str">
        <f aca="false">IF($AD37=0,"",INDEX($W$7:$W$206,$AD37))</f>
        <v/>
      </c>
      <c r="M37" s="24" t="str">
        <f aca="false">IF($AD37=0,"",INDEX(ProjNumbers,$AD37))</f>
        <v/>
      </c>
      <c r="N37" s="24" t="str">
        <f aca="false">IF($AD37=0,"",INDEX(ProjCodes,$AD37))</f>
        <v/>
      </c>
      <c r="O37" s="24" t="str">
        <f aca="false">IF($AD37=0,"",INDEX($X$7:$X$206,$AD37))</f>
        <v/>
      </c>
      <c r="P37" s="24" t="str">
        <f aca="false">IF($AD37=0,"",INDEX($Y$7:$Y$206,$AD37))</f>
        <v/>
      </c>
      <c r="Q37" s="24" t="str">
        <f aca="false">IF($AD37=0,"",INDEX($Z$7:$Z$206,$AD37))</f>
        <v/>
      </c>
      <c r="R37" s="25" t="str">
        <f aca="false">IF(OR($AD37=0,$L$5=0),"",Q37/$L$5)</f>
        <v/>
      </c>
      <c r="S37" s="1"/>
      <c r="T37" s="1"/>
      <c r="U37" s="1"/>
      <c r="V37" s="1"/>
      <c r="W37" s="1" t="str">
        <f aca="false">IF(Projects!B35="","",Projects!B35)</f>
        <v/>
      </c>
      <c r="X37" s="1" t="n">
        <f aca="false">IF(W37="",0,SUMIFS($I$7:$I$256,$D$7:$D$256,W37,$H$7:$H$256,"NTIME"))</f>
        <v>0</v>
      </c>
      <c r="Y37" s="1" t="n">
        <f aca="false">IF(W37="",0,SUMIFS($I$7:$I$256,$D$7:$D$256,W37,$H$7:$H$256,"P6"))</f>
        <v>0</v>
      </c>
      <c r="Z37" s="1" t="n">
        <f aca="false">X37+Y37</f>
        <v>0</v>
      </c>
      <c r="AA37" s="1" t="n">
        <f aca="false">IF(Z37&gt;0,Z37+(201-31)/10^6,0)</f>
        <v>0</v>
      </c>
      <c r="AB37" s="1"/>
      <c r="AC37" s="1"/>
      <c r="AD37" s="1" t="n">
        <f aca="false">IF(LARGE($AA$7:$AA$206,1)&lt;=0,0,MATCH(LARGE($AA$7:$AA$206,1),$AA$7:$AA$206,0))</f>
        <v>0</v>
      </c>
      <c r="AE37" s="1"/>
      <c r="AF37" s="1"/>
      <c r="AG37" s="1"/>
      <c r="AH37" s="1"/>
    </row>
    <row r="38" customFormat="false" ht="15" hidden="false" customHeight="false" outlineLevel="0" collapsed="false">
      <c r="A38" s="1"/>
      <c r="B38" s="10"/>
      <c r="C38" s="31" t="str">
        <f aca="false">IF(B38="","",TEXT(B38,"ddd"))</f>
        <v/>
      </c>
      <c r="D38" s="11"/>
      <c r="E38" s="8" t="str">
        <f aca="false">IF(D38="","",IFERROR(INDEX(ProjNumbers,MATCH(D38,ProjNames,0)),""))</f>
        <v/>
      </c>
      <c r="F38" s="8" t="str">
        <f aca="false">IF(D38="","",IFERROR(INDEX(ProjCodes,MATCH(D38,ProjNames,0)),""))</f>
        <v/>
      </c>
      <c r="G38" s="32"/>
      <c r="H38" s="11"/>
      <c r="I38" s="33"/>
      <c r="J38" s="8" t="str">
        <f aca="false">IF(COUNTA(B38,D38,G38,H38,I38)=0,"",IF(B38="","Enter date",IF(OR(B38&lt;$AC$2,B38&gt;$AC$3),"Date not in October",IF(D38="","Pick project",IF(ISNA(MATCH(D38,ProjNames,0)),"Project not in list",IF(G38="","Add task description",IF(H38="","Pick NTIME or P6",IF(N(I38)&lt;=0,"Enter hours",IF(AND(AllowOT&lt;&gt;"Yes",SUMIF($B$7:$B$256,B38,$I$7:$I$256)&gt;INDEX($O$58:$O$88,DAY(B38))),"Day over "&amp;INDEX($O$58:$O$88,DAY(B38))&amp;" h","✓")))))))))</f>
        <v/>
      </c>
      <c r="K38" s="1"/>
      <c r="L38" s="24" t="str">
        <f aca="false">IF($AD38=0,"",INDEX($W$7:$W$206,$AD38))</f>
        <v/>
      </c>
      <c r="M38" s="24" t="str">
        <f aca="false">IF($AD38=0,"",INDEX(ProjNumbers,$AD38))</f>
        <v/>
      </c>
      <c r="N38" s="24" t="str">
        <f aca="false">IF($AD38=0,"",INDEX(ProjCodes,$AD38))</f>
        <v/>
      </c>
      <c r="O38" s="24" t="str">
        <f aca="false">IF($AD38=0,"",INDEX($X$7:$X$206,$AD38))</f>
        <v/>
      </c>
      <c r="P38" s="24" t="str">
        <f aca="false">IF($AD38=0,"",INDEX($Y$7:$Y$206,$AD38))</f>
        <v/>
      </c>
      <c r="Q38" s="24" t="str">
        <f aca="false">IF($AD38=0,"",INDEX($Z$7:$Z$206,$AD38))</f>
        <v/>
      </c>
      <c r="R38" s="25" t="str">
        <f aca="false">IF(OR($AD38=0,$L$5=0),"",Q38/$L$5)</f>
        <v/>
      </c>
      <c r="S38" s="1"/>
      <c r="T38" s="1"/>
      <c r="U38" s="1"/>
      <c r="V38" s="1"/>
      <c r="W38" s="1" t="str">
        <f aca="false">IF(Projects!B36="","",Projects!B36)</f>
        <v/>
      </c>
      <c r="X38" s="1" t="n">
        <f aca="false">IF(W38="",0,SUMIFS($I$7:$I$256,$D$7:$D$256,W38,$H$7:$H$256,"NTIME"))</f>
        <v>0</v>
      </c>
      <c r="Y38" s="1" t="n">
        <f aca="false">IF(W38="",0,SUMIFS($I$7:$I$256,$D$7:$D$256,W38,$H$7:$H$256,"P6"))</f>
        <v>0</v>
      </c>
      <c r="Z38" s="1" t="n">
        <f aca="false">X38+Y38</f>
        <v>0</v>
      </c>
      <c r="AA38" s="1" t="n">
        <f aca="false">IF(Z38&gt;0,Z38+(201-32)/10^6,0)</f>
        <v>0</v>
      </c>
      <c r="AB38" s="1"/>
      <c r="AC38" s="1"/>
      <c r="AD38" s="1" t="n">
        <f aca="false">IF(LARGE($AA$7:$AA$206,2)&lt;=0,0,MATCH(LARGE($AA$7:$AA$206,2),$AA$7:$AA$206,0))</f>
        <v>0</v>
      </c>
      <c r="AE38" s="1"/>
      <c r="AF38" s="1"/>
      <c r="AG38" s="1"/>
      <c r="AH38" s="1"/>
    </row>
    <row r="39" customFormat="false" ht="15" hidden="false" customHeight="false" outlineLevel="0" collapsed="false">
      <c r="A39" s="1"/>
      <c r="B39" s="10"/>
      <c r="C39" s="31" t="str">
        <f aca="false">IF(B39="","",TEXT(B39,"ddd"))</f>
        <v/>
      </c>
      <c r="D39" s="11"/>
      <c r="E39" s="8" t="str">
        <f aca="false">IF(D39="","",IFERROR(INDEX(ProjNumbers,MATCH(D39,ProjNames,0)),""))</f>
        <v/>
      </c>
      <c r="F39" s="8" t="str">
        <f aca="false">IF(D39="","",IFERROR(INDEX(ProjCodes,MATCH(D39,ProjNames,0)),""))</f>
        <v/>
      </c>
      <c r="G39" s="32"/>
      <c r="H39" s="11"/>
      <c r="I39" s="33"/>
      <c r="J39" s="8" t="str">
        <f aca="false">IF(COUNTA(B39,D39,G39,H39,I39)=0,"",IF(B39="","Enter date",IF(OR(B39&lt;$AC$2,B39&gt;$AC$3),"Date not in October",IF(D39="","Pick project",IF(ISNA(MATCH(D39,ProjNames,0)),"Project not in list",IF(G39="","Add task description",IF(H39="","Pick NTIME or P6",IF(N(I39)&lt;=0,"Enter hours",IF(AND(AllowOT&lt;&gt;"Yes",SUMIF($B$7:$B$256,B39,$I$7:$I$256)&gt;INDEX($O$58:$O$88,DAY(B39))),"Day over "&amp;INDEX($O$58:$O$88,DAY(B39))&amp;" h","✓")))))))))</f>
        <v/>
      </c>
      <c r="K39" s="1"/>
      <c r="L39" s="24" t="str">
        <f aca="false">IF($AD39=0,"",INDEX($W$7:$W$206,$AD39))</f>
        <v/>
      </c>
      <c r="M39" s="24" t="str">
        <f aca="false">IF($AD39=0,"",INDEX(ProjNumbers,$AD39))</f>
        <v/>
      </c>
      <c r="N39" s="24" t="str">
        <f aca="false">IF($AD39=0,"",INDEX(ProjCodes,$AD39))</f>
        <v/>
      </c>
      <c r="O39" s="24" t="str">
        <f aca="false">IF($AD39=0,"",INDEX($X$7:$X$206,$AD39))</f>
        <v/>
      </c>
      <c r="P39" s="24" t="str">
        <f aca="false">IF($AD39=0,"",INDEX($Y$7:$Y$206,$AD39))</f>
        <v/>
      </c>
      <c r="Q39" s="24" t="str">
        <f aca="false">IF($AD39=0,"",INDEX($Z$7:$Z$206,$AD39))</f>
        <v/>
      </c>
      <c r="R39" s="25" t="str">
        <f aca="false">IF(OR($AD39=0,$L$5=0),"",Q39/$L$5)</f>
        <v/>
      </c>
      <c r="S39" s="1"/>
      <c r="T39" s="1"/>
      <c r="U39" s="1"/>
      <c r="V39" s="1"/>
      <c r="W39" s="1" t="str">
        <f aca="false">IF(Projects!B37="","",Projects!B37)</f>
        <v/>
      </c>
      <c r="X39" s="1" t="n">
        <f aca="false">IF(W39="",0,SUMIFS($I$7:$I$256,$D$7:$D$256,W39,$H$7:$H$256,"NTIME"))</f>
        <v>0</v>
      </c>
      <c r="Y39" s="1" t="n">
        <f aca="false">IF(W39="",0,SUMIFS($I$7:$I$256,$D$7:$D$256,W39,$H$7:$H$256,"P6"))</f>
        <v>0</v>
      </c>
      <c r="Z39" s="1" t="n">
        <f aca="false">X39+Y39</f>
        <v>0</v>
      </c>
      <c r="AA39" s="1" t="n">
        <f aca="false">IF(Z39&gt;0,Z39+(201-33)/10^6,0)</f>
        <v>0</v>
      </c>
      <c r="AB39" s="1"/>
      <c r="AC39" s="1"/>
      <c r="AD39" s="1" t="n">
        <f aca="false">IF(LARGE($AA$7:$AA$206,3)&lt;=0,0,MATCH(LARGE($AA$7:$AA$206,3),$AA$7:$AA$206,0))</f>
        <v>0</v>
      </c>
      <c r="AE39" s="1"/>
      <c r="AF39" s="1"/>
      <c r="AG39" s="1"/>
      <c r="AH39" s="1"/>
    </row>
    <row r="40" customFormat="false" ht="15" hidden="false" customHeight="false" outlineLevel="0" collapsed="false">
      <c r="A40" s="1"/>
      <c r="B40" s="10"/>
      <c r="C40" s="31" t="str">
        <f aca="false">IF(B40="","",TEXT(B40,"ddd"))</f>
        <v/>
      </c>
      <c r="D40" s="11"/>
      <c r="E40" s="8" t="str">
        <f aca="false">IF(D40="","",IFERROR(INDEX(ProjNumbers,MATCH(D40,ProjNames,0)),""))</f>
        <v/>
      </c>
      <c r="F40" s="8" t="str">
        <f aca="false">IF(D40="","",IFERROR(INDEX(ProjCodes,MATCH(D40,ProjNames,0)),""))</f>
        <v/>
      </c>
      <c r="G40" s="32"/>
      <c r="H40" s="11"/>
      <c r="I40" s="33"/>
      <c r="J40" s="8" t="str">
        <f aca="false">IF(COUNTA(B40,D40,G40,H40,I40)=0,"",IF(B40="","Enter date",IF(OR(B40&lt;$AC$2,B40&gt;$AC$3),"Date not in October",IF(D40="","Pick project",IF(ISNA(MATCH(D40,ProjNames,0)),"Project not in list",IF(G40="","Add task description",IF(H40="","Pick NTIME or P6",IF(N(I40)&lt;=0,"Enter hours",IF(AND(AllowOT&lt;&gt;"Yes",SUMIF($B$7:$B$256,B40,$I$7:$I$256)&gt;INDEX($O$58:$O$88,DAY(B40))),"Day over "&amp;INDEX($O$58:$O$88,DAY(B40))&amp;" h","✓")))))))))</f>
        <v/>
      </c>
      <c r="K40" s="1"/>
      <c r="L40" s="24" t="str">
        <f aca="false">IF($AD40=0,"",INDEX($W$7:$W$206,$AD40))</f>
        <v/>
      </c>
      <c r="M40" s="24" t="str">
        <f aca="false">IF($AD40=0,"",INDEX(ProjNumbers,$AD40))</f>
        <v/>
      </c>
      <c r="N40" s="24" t="str">
        <f aca="false">IF($AD40=0,"",INDEX(ProjCodes,$AD40))</f>
        <v/>
      </c>
      <c r="O40" s="24" t="str">
        <f aca="false">IF($AD40=0,"",INDEX($X$7:$X$206,$AD40))</f>
        <v/>
      </c>
      <c r="P40" s="24" t="str">
        <f aca="false">IF($AD40=0,"",INDEX($Y$7:$Y$206,$AD40))</f>
        <v/>
      </c>
      <c r="Q40" s="24" t="str">
        <f aca="false">IF($AD40=0,"",INDEX($Z$7:$Z$206,$AD40))</f>
        <v/>
      </c>
      <c r="R40" s="25" t="str">
        <f aca="false">IF(OR($AD40=0,$L$5=0),"",Q40/$L$5)</f>
        <v/>
      </c>
      <c r="S40" s="1"/>
      <c r="T40" s="1"/>
      <c r="U40" s="1"/>
      <c r="V40" s="1"/>
      <c r="W40" s="1" t="str">
        <f aca="false">IF(Projects!B38="","",Projects!B38)</f>
        <v/>
      </c>
      <c r="X40" s="1" t="n">
        <f aca="false">IF(W40="",0,SUMIFS($I$7:$I$256,$D$7:$D$256,W40,$H$7:$H$256,"NTIME"))</f>
        <v>0</v>
      </c>
      <c r="Y40" s="1" t="n">
        <f aca="false">IF(W40="",0,SUMIFS($I$7:$I$256,$D$7:$D$256,W40,$H$7:$H$256,"P6"))</f>
        <v>0</v>
      </c>
      <c r="Z40" s="1" t="n">
        <f aca="false">X40+Y40</f>
        <v>0</v>
      </c>
      <c r="AA40" s="1" t="n">
        <f aca="false">IF(Z40&gt;0,Z40+(201-34)/10^6,0)</f>
        <v>0</v>
      </c>
      <c r="AB40" s="1"/>
      <c r="AC40" s="1"/>
      <c r="AD40" s="1" t="n">
        <f aca="false">IF(LARGE($AA$7:$AA$206,4)&lt;=0,0,MATCH(LARGE($AA$7:$AA$206,4),$AA$7:$AA$206,0))</f>
        <v>0</v>
      </c>
      <c r="AE40" s="1"/>
      <c r="AF40" s="1"/>
      <c r="AG40" s="1"/>
      <c r="AH40" s="1"/>
    </row>
    <row r="41" customFormat="false" ht="15" hidden="false" customHeight="false" outlineLevel="0" collapsed="false">
      <c r="A41" s="1"/>
      <c r="B41" s="10"/>
      <c r="C41" s="31" t="str">
        <f aca="false">IF(B41="","",TEXT(B41,"ddd"))</f>
        <v/>
      </c>
      <c r="D41" s="11"/>
      <c r="E41" s="8" t="str">
        <f aca="false">IF(D41="","",IFERROR(INDEX(ProjNumbers,MATCH(D41,ProjNames,0)),""))</f>
        <v/>
      </c>
      <c r="F41" s="8" t="str">
        <f aca="false">IF(D41="","",IFERROR(INDEX(ProjCodes,MATCH(D41,ProjNames,0)),""))</f>
        <v/>
      </c>
      <c r="G41" s="32"/>
      <c r="H41" s="11"/>
      <c r="I41" s="33"/>
      <c r="J41" s="8" t="str">
        <f aca="false">IF(COUNTA(B41,D41,G41,H41,I41)=0,"",IF(B41="","Enter date",IF(OR(B41&lt;$AC$2,B41&gt;$AC$3),"Date not in October",IF(D41="","Pick project",IF(ISNA(MATCH(D41,ProjNames,0)),"Project not in list",IF(G41="","Add task description",IF(H41="","Pick NTIME or P6",IF(N(I41)&lt;=0,"Enter hours",IF(AND(AllowOT&lt;&gt;"Yes",SUMIF($B$7:$B$256,B41,$I$7:$I$256)&gt;INDEX($O$58:$O$88,DAY(B41))),"Day over "&amp;INDEX($O$58:$O$88,DAY(B41))&amp;" h","✓")))))))))</f>
        <v/>
      </c>
      <c r="K41" s="1"/>
      <c r="L41" s="24" t="str">
        <f aca="false">IF($AD41=0,"",INDEX($W$7:$W$206,$AD41))</f>
        <v/>
      </c>
      <c r="M41" s="24" t="str">
        <f aca="false">IF($AD41=0,"",INDEX(ProjNumbers,$AD41))</f>
        <v/>
      </c>
      <c r="N41" s="24" t="str">
        <f aca="false">IF($AD41=0,"",INDEX(ProjCodes,$AD41))</f>
        <v/>
      </c>
      <c r="O41" s="24" t="str">
        <f aca="false">IF($AD41=0,"",INDEX($X$7:$X$206,$AD41))</f>
        <v/>
      </c>
      <c r="P41" s="24" t="str">
        <f aca="false">IF($AD41=0,"",INDEX($Y$7:$Y$206,$AD41))</f>
        <v/>
      </c>
      <c r="Q41" s="24" t="str">
        <f aca="false">IF($AD41=0,"",INDEX($Z$7:$Z$206,$AD41))</f>
        <v/>
      </c>
      <c r="R41" s="25" t="str">
        <f aca="false">IF(OR($AD41=0,$L$5=0),"",Q41/$L$5)</f>
        <v/>
      </c>
      <c r="S41" s="1"/>
      <c r="T41" s="1"/>
      <c r="U41" s="1"/>
      <c r="V41" s="1"/>
      <c r="W41" s="1" t="str">
        <f aca="false">IF(Projects!B39="","",Projects!B39)</f>
        <v/>
      </c>
      <c r="X41" s="1" t="n">
        <f aca="false">IF(W41="",0,SUMIFS($I$7:$I$256,$D$7:$D$256,W41,$H$7:$H$256,"NTIME"))</f>
        <v>0</v>
      </c>
      <c r="Y41" s="1" t="n">
        <f aca="false">IF(W41="",0,SUMIFS($I$7:$I$256,$D$7:$D$256,W41,$H$7:$H$256,"P6"))</f>
        <v>0</v>
      </c>
      <c r="Z41" s="1" t="n">
        <f aca="false">X41+Y41</f>
        <v>0</v>
      </c>
      <c r="AA41" s="1" t="n">
        <f aca="false">IF(Z41&gt;0,Z41+(201-35)/10^6,0)</f>
        <v>0</v>
      </c>
      <c r="AB41" s="1"/>
      <c r="AC41" s="1"/>
      <c r="AD41" s="1" t="n">
        <f aca="false">IF(LARGE($AA$7:$AA$206,5)&lt;=0,0,MATCH(LARGE($AA$7:$AA$206,5),$AA$7:$AA$206,0))</f>
        <v>0</v>
      </c>
      <c r="AE41" s="1"/>
      <c r="AF41" s="1"/>
      <c r="AG41" s="1"/>
      <c r="AH41" s="1"/>
    </row>
    <row r="42" customFormat="false" ht="15" hidden="false" customHeight="false" outlineLevel="0" collapsed="false">
      <c r="A42" s="1"/>
      <c r="B42" s="10"/>
      <c r="C42" s="31" t="str">
        <f aca="false">IF(B42="","",TEXT(B42,"ddd"))</f>
        <v/>
      </c>
      <c r="D42" s="11"/>
      <c r="E42" s="8" t="str">
        <f aca="false">IF(D42="","",IFERROR(INDEX(ProjNumbers,MATCH(D42,ProjNames,0)),""))</f>
        <v/>
      </c>
      <c r="F42" s="8" t="str">
        <f aca="false">IF(D42="","",IFERROR(INDEX(ProjCodes,MATCH(D42,ProjNames,0)),""))</f>
        <v/>
      </c>
      <c r="G42" s="32"/>
      <c r="H42" s="11"/>
      <c r="I42" s="33"/>
      <c r="J42" s="8" t="str">
        <f aca="false">IF(COUNTA(B42,D42,G42,H42,I42)=0,"",IF(B42="","Enter date",IF(OR(B42&lt;$AC$2,B42&gt;$AC$3),"Date not in October",IF(D42="","Pick project",IF(ISNA(MATCH(D42,ProjNames,0)),"Project not in list",IF(G42="","Add task description",IF(H42="","Pick NTIME or P6",IF(N(I42)&lt;=0,"Enter hours",IF(AND(AllowOT&lt;&gt;"Yes",SUMIF($B$7:$B$256,B42,$I$7:$I$256)&gt;INDEX($O$58:$O$88,DAY(B42))),"Day over "&amp;INDEX($O$58:$O$88,DAY(B42))&amp;" h","✓")))))))))</f>
        <v/>
      </c>
      <c r="K42" s="1"/>
      <c r="L42" s="24" t="str">
        <f aca="false">IF($AD42=0,"",INDEX($W$7:$W$206,$AD42))</f>
        <v/>
      </c>
      <c r="M42" s="24" t="str">
        <f aca="false">IF($AD42=0,"",INDEX(ProjNumbers,$AD42))</f>
        <v/>
      </c>
      <c r="N42" s="24" t="str">
        <f aca="false">IF($AD42=0,"",INDEX(ProjCodes,$AD42))</f>
        <v/>
      </c>
      <c r="O42" s="24" t="str">
        <f aca="false">IF($AD42=0,"",INDEX($X$7:$X$206,$AD42))</f>
        <v/>
      </c>
      <c r="P42" s="24" t="str">
        <f aca="false">IF($AD42=0,"",INDEX($Y$7:$Y$206,$AD42))</f>
        <v/>
      </c>
      <c r="Q42" s="24" t="str">
        <f aca="false">IF($AD42=0,"",INDEX($Z$7:$Z$206,$AD42))</f>
        <v/>
      </c>
      <c r="R42" s="25" t="str">
        <f aca="false">IF(OR($AD42=0,$L$5=0),"",Q42/$L$5)</f>
        <v/>
      </c>
      <c r="S42" s="1"/>
      <c r="T42" s="1"/>
      <c r="U42" s="1"/>
      <c r="V42" s="1"/>
      <c r="W42" s="1" t="str">
        <f aca="false">IF(Projects!B40="","",Projects!B40)</f>
        <v/>
      </c>
      <c r="X42" s="1" t="n">
        <f aca="false">IF(W42="",0,SUMIFS($I$7:$I$256,$D$7:$D$256,W42,$H$7:$H$256,"NTIME"))</f>
        <v>0</v>
      </c>
      <c r="Y42" s="1" t="n">
        <f aca="false">IF(W42="",0,SUMIFS($I$7:$I$256,$D$7:$D$256,W42,$H$7:$H$256,"P6"))</f>
        <v>0</v>
      </c>
      <c r="Z42" s="1" t="n">
        <f aca="false">X42+Y42</f>
        <v>0</v>
      </c>
      <c r="AA42" s="1" t="n">
        <f aca="false">IF(Z42&gt;0,Z42+(201-36)/10^6,0)</f>
        <v>0</v>
      </c>
      <c r="AB42" s="1"/>
      <c r="AC42" s="1"/>
      <c r="AD42" s="1" t="n">
        <f aca="false">IF(LARGE($AA$7:$AA$206,6)&lt;=0,0,MATCH(LARGE($AA$7:$AA$206,6),$AA$7:$AA$206,0))</f>
        <v>0</v>
      </c>
      <c r="AE42" s="1"/>
      <c r="AF42" s="1"/>
      <c r="AG42" s="1"/>
      <c r="AH42" s="1"/>
    </row>
    <row r="43" customFormat="false" ht="15" hidden="false" customHeight="false" outlineLevel="0" collapsed="false">
      <c r="A43" s="1"/>
      <c r="B43" s="10"/>
      <c r="C43" s="31" t="str">
        <f aca="false">IF(B43="","",TEXT(B43,"ddd"))</f>
        <v/>
      </c>
      <c r="D43" s="11"/>
      <c r="E43" s="8" t="str">
        <f aca="false">IF(D43="","",IFERROR(INDEX(ProjNumbers,MATCH(D43,ProjNames,0)),""))</f>
        <v/>
      </c>
      <c r="F43" s="8" t="str">
        <f aca="false">IF(D43="","",IFERROR(INDEX(ProjCodes,MATCH(D43,ProjNames,0)),""))</f>
        <v/>
      </c>
      <c r="G43" s="32"/>
      <c r="H43" s="11"/>
      <c r="I43" s="33"/>
      <c r="J43" s="8" t="str">
        <f aca="false">IF(COUNTA(B43,D43,G43,H43,I43)=0,"",IF(B43="","Enter date",IF(OR(B43&lt;$AC$2,B43&gt;$AC$3),"Date not in October",IF(D43="","Pick project",IF(ISNA(MATCH(D43,ProjNames,0)),"Project not in list",IF(G43="","Add task description",IF(H43="","Pick NTIME or P6",IF(N(I43)&lt;=0,"Enter hours",IF(AND(AllowOT&lt;&gt;"Yes",SUMIF($B$7:$B$256,B43,$I$7:$I$256)&gt;INDEX($O$58:$O$88,DAY(B43))),"Day over "&amp;INDEX($O$58:$O$88,DAY(B43))&amp;" h","✓")))))))))</f>
        <v/>
      </c>
      <c r="K43" s="1"/>
      <c r="L43" s="24" t="str">
        <f aca="false">IF($AD43=0,"",INDEX($W$7:$W$206,$AD43))</f>
        <v/>
      </c>
      <c r="M43" s="24" t="str">
        <f aca="false">IF($AD43=0,"",INDEX(ProjNumbers,$AD43))</f>
        <v/>
      </c>
      <c r="N43" s="24" t="str">
        <f aca="false">IF($AD43=0,"",INDEX(ProjCodes,$AD43))</f>
        <v/>
      </c>
      <c r="O43" s="24" t="str">
        <f aca="false">IF($AD43=0,"",INDEX($X$7:$X$206,$AD43))</f>
        <v/>
      </c>
      <c r="P43" s="24" t="str">
        <f aca="false">IF($AD43=0,"",INDEX($Y$7:$Y$206,$AD43))</f>
        <v/>
      </c>
      <c r="Q43" s="24" t="str">
        <f aca="false">IF($AD43=0,"",INDEX($Z$7:$Z$206,$AD43))</f>
        <v/>
      </c>
      <c r="R43" s="25" t="str">
        <f aca="false">IF(OR($AD43=0,$L$5=0),"",Q43/$L$5)</f>
        <v/>
      </c>
      <c r="S43" s="1"/>
      <c r="T43" s="1"/>
      <c r="U43" s="1"/>
      <c r="V43" s="1"/>
      <c r="W43" s="1" t="str">
        <f aca="false">IF(Projects!B41="","",Projects!B41)</f>
        <v/>
      </c>
      <c r="X43" s="1" t="n">
        <f aca="false">IF(W43="",0,SUMIFS($I$7:$I$256,$D$7:$D$256,W43,$H$7:$H$256,"NTIME"))</f>
        <v>0</v>
      </c>
      <c r="Y43" s="1" t="n">
        <f aca="false">IF(W43="",0,SUMIFS($I$7:$I$256,$D$7:$D$256,W43,$H$7:$H$256,"P6"))</f>
        <v>0</v>
      </c>
      <c r="Z43" s="1" t="n">
        <f aca="false">X43+Y43</f>
        <v>0</v>
      </c>
      <c r="AA43" s="1" t="n">
        <f aca="false">IF(Z43&gt;0,Z43+(201-37)/10^6,0)</f>
        <v>0</v>
      </c>
      <c r="AB43" s="1"/>
      <c r="AC43" s="1"/>
      <c r="AD43" s="1" t="n">
        <f aca="false">IF(LARGE($AA$7:$AA$206,7)&lt;=0,0,MATCH(LARGE($AA$7:$AA$206,7),$AA$7:$AA$206,0))</f>
        <v>0</v>
      </c>
      <c r="AE43" s="1"/>
      <c r="AF43" s="1"/>
      <c r="AG43" s="1"/>
      <c r="AH43" s="1"/>
    </row>
    <row r="44" customFormat="false" ht="15" hidden="false" customHeight="false" outlineLevel="0" collapsed="false">
      <c r="A44" s="1"/>
      <c r="B44" s="10"/>
      <c r="C44" s="31" t="str">
        <f aca="false">IF(B44="","",TEXT(B44,"ddd"))</f>
        <v/>
      </c>
      <c r="D44" s="11"/>
      <c r="E44" s="8" t="str">
        <f aca="false">IF(D44="","",IFERROR(INDEX(ProjNumbers,MATCH(D44,ProjNames,0)),""))</f>
        <v/>
      </c>
      <c r="F44" s="8" t="str">
        <f aca="false">IF(D44="","",IFERROR(INDEX(ProjCodes,MATCH(D44,ProjNames,0)),""))</f>
        <v/>
      </c>
      <c r="G44" s="32"/>
      <c r="H44" s="11"/>
      <c r="I44" s="33"/>
      <c r="J44" s="8" t="str">
        <f aca="false">IF(COUNTA(B44,D44,G44,H44,I44)=0,"",IF(B44="","Enter date",IF(OR(B44&lt;$AC$2,B44&gt;$AC$3),"Date not in October",IF(D44="","Pick project",IF(ISNA(MATCH(D44,ProjNames,0)),"Project not in list",IF(G44="","Add task description",IF(H44="","Pick NTIME or P6",IF(N(I44)&lt;=0,"Enter hours",IF(AND(AllowOT&lt;&gt;"Yes",SUMIF($B$7:$B$256,B44,$I$7:$I$256)&gt;INDEX($O$58:$O$88,DAY(B44))),"Day over "&amp;INDEX($O$58:$O$88,DAY(B44))&amp;" h","✓")))))))))</f>
        <v/>
      </c>
      <c r="K44" s="1"/>
      <c r="L44" s="24" t="str">
        <f aca="false">IF($AD44=0,"",INDEX($W$7:$W$206,$AD44))</f>
        <v/>
      </c>
      <c r="M44" s="24" t="str">
        <f aca="false">IF($AD44=0,"",INDEX(ProjNumbers,$AD44))</f>
        <v/>
      </c>
      <c r="N44" s="24" t="str">
        <f aca="false">IF($AD44=0,"",INDEX(ProjCodes,$AD44))</f>
        <v/>
      </c>
      <c r="O44" s="24" t="str">
        <f aca="false">IF($AD44=0,"",INDEX($X$7:$X$206,$AD44))</f>
        <v/>
      </c>
      <c r="P44" s="24" t="str">
        <f aca="false">IF($AD44=0,"",INDEX($Y$7:$Y$206,$AD44))</f>
        <v/>
      </c>
      <c r="Q44" s="24" t="str">
        <f aca="false">IF($AD44=0,"",INDEX($Z$7:$Z$206,$AD44))</f>
        <v/>
      </c>
      <c r="R44" s="25" t="str">
        <f aca="false">IF(OR($AD44=0,$L$5=0),"",Q44/$L$5)</f>
        <v/>
      </c>
      <c r="S44" s="1"/>
      <c r="T44" s="1"/>
      <c r="U44" s="1"/>
      <c r="V44" s="1"/>
      <c r="W44" s="1" t="str">
        <f aca="false">IF(Projects!B42="","",Projects!B42)</f>
        <v/>
      </c>
      <c r="X44" s="1" t="n">
        <f aca="false">IF(W44="",0,SUMIFS($I$7:$I$256,$D$7:$D$256,W44,$H$7:$H$256,"NTIME"))</f>
        <v>0</v>
      </c>
      <c r="Y44" s="1" t="n">
        <f aca="false">IF(W44="",0,SUMIFS($I$7:$I$256,$D$7:$D$256,W44,$H$7:$H$256,"P6"))</f>
        <v>0</v>
      </c>
      <c r="Z44" s="1" t="n">
        <f aca="false">X44+Y44</f>
        <v>0</v>
      </c>
      <c r="AA44" s="1" t="n">
        <f aca="false">IF(Z44&gt;0,Z44+(201-38)/10^6,0)</f>
        <v>0</v>
      </c>
      <c r="AB44" s="1"/>
      <c r="AC44" s="1"/>
      <c r="AD44" s="1" t="n">
        <f aca="false">IF(LARGE($AA$7:$AA$206,8)&lt;=0,0,MATCH(LARGE($AA$7:$AA$206,8),$AA$7:$AA$206,0))</f>
        <v>0</v>
      </c>
      <c r="AE44" s="1"/>
      <c r="AF44" s="1"/>
      <c r="AG44" s="1"/>
      <c r="AH44" s="1"/>
    </row>
    <row r="45" customFormat="false" ht="15" hidden="false" customHeight="false" outlineLevel="0" collapsed="false">
      <c r="A45" s="1"/>
      <c r="B45" s="10"/>
      <c r="C45" s="31" t="str">
        <f aca="false">IF(B45="","",TEXT(B45,"ddd"))</f>
        <v/>
      </c>
      <c r="D45" s="11"/>
      <c r="E45" s="8" t="str">
        <f aca="false">IF(D45="","",IFERROR(INDEX(ProjNumbers,MATCH(D45,ProjNames,0)),""))</f>
        <v/>
      </c>
      <c r="F45" s="8" t="str">
        <f aca="false">IF(D45="","",IFERROR(INDEX(ProjCodes,MATCH(D45,ProjNames,0)),""))</f>
        <v/>
      </c>
      <c r="G45" s="32"/>
      <c r="H45" s="11"/>
      <c r="I45" s="33"/>
      <c r="J45" s="8" t="str">
        <f aca="false">IF(COUNTA(B45,D45,G45,H45,I45)=0,"",IF(B45="","Enter date",IF(OR(B45&lt;$AC$2,B45&gt;$AC$3),"Date not in October",IF(D45="","Pick project",IF(ISNA(MATCH(D45,ProjNames,0)),"Project not in list",IF(G45="","Add task description",IF(H45="","Pick NTIME or P6",IF(N(I45)&lt;=0,"Enter hours",IF(AND(AllowOT&lt;&gt;"Yes",SUMIF($B$7:$B$256,B45,$I$7:$I$256)&gt;INDEX($O$58:$O$88,DAY(B45))),"Day over "&amp;INDEX($O$58:$O$88,DAY(B45))&amp;" h","✓")))))))))</f>
        <v/>
      </c>
      <c r="K45" s="1"/>
      <c r="L45" s="24" t="str">
        <f aca="false">IF($AD45=0,"",INDEX($W$7:$W$206,$AD45))</f>
        <v/>
      </c>
      <c r="M45" s="24" t="str">
        <f aca="false">IF($AD45=0,"",INDEX(ProjNumbers,$AD45))</f>
        <v/>
      </c>
      <c r="N45" s="24" t="str">
        <f aca="false">IF($AD45=0,"",INDEX(ProjCodes,$AD45))</f>
        <v/>
      </c>
      <c r="O45" s="24" t="str">
        <f aca="false">IF($AD45=0,"",INDEX($X$7:$X$206,$AD45))</f>
        <v/>
      </c>
      <c r="P45" s="24" t="str">
        <f aca="false">IF($AD45=0,"",INDEX($Y$7:$Y$206,$AD45))</f>
        <v/>
      </c>
      <c r="Q45" s="24" t="str">
        <f aca="false">IF($AD45=0,"",INDEX($Z$7:$Z$206,$AD45))</f>
        <v/>
      </c>
      <c r="R45" s="25" t="str">
        <f aca="false">IF(OR($AD45=0,$L$5=0),"",Q45/$L$5)</f>
        <v/>
      </c>
      <c r="S45" s="1"/>
      <c r="T45" s="1"/>
      <c r="U45" s="1"/>
      <c r="V45" s="1"/>
      <c r="W45" s="1" t="str">
        <f aca="false">IF(Projects!B43="","",Projects!B43)</f>
        <v/>
      </c>
      <c r="X45" s="1" t="n">
        <f aca="false">IF(W45="",0,SUMIFS($I$7:$I$256,$D$7:$D$256,W45,$H$7:$H$256,"NTIME"))</f>
        <v>0</v>
      </c>
      <c r="Y45" s="1" t="n">
        <f aca="false">IF(W45="",0,SUMIFS($I$7:$I$256,$D$7:$D$256,W45,$H$7:$H$256,"P6"))</f>
        <v>0</v>
      </c>
      <c r="Z45" s="1" t="n">
        <f aca="false">X45+Y45</f>
        <v>0</v>
      </c>
      <c r="AA45" s="1" t="n">
        <f aca="false">IF(Z45&gt;0,Z45+(201-39)/10^6,0)</f>
        <v>0</v>
      </c>
      <c r="AB45" s="1"/>
      <c r="AC45" s="1"/>
      <c r="AD45" s="1" t="n">
        <f aca="false">IF(LARGE($AA$7:$AA$206,9)&lt;=0,0,MATCH(LARGE($AA$7:$AA$206,9),$AA$7:$AA$206,0))</f>
        <v>0</v>
      </c>
      <c r="AE45" s="1"/>
      <c r="AF45" s="1"/>
      <c r="AG45" s="1"/>
      <c r="AH45" s="1"/>
    </row>
    <row r="46" customFormat="false" ht="15" hidden="false" customHeight="false" outlineLevel="0" collapsed="false">
      <c r="A46" s="1"/>
      <c r="B46" s="10"/>
      <c r="C46" s="31" t="str">
        <f aca="false">IF(B46="","",TEXT(B46,"ddd"))</f>
        <v/>
      </c>
      <c r="D46" s="11"/>
      <c r="E46" s="8" t="str">
        <f aca="false">IF(D46="","",IFERROR(INDEX(ProjNumbers,MATCH(D46,ProjNames,0)),""))</f>
        <v/>
      </c>
      <c r="F46" s="8" t="str">
        <f aca="false">IF(D46="","",IFERROR(INDEX(ProjCodes,MATCH(D46,ProjNames,0)),""))</f>
        <v/>
      </c>
      <c r="G46" s="32"/>
      <c r="H46" s="11"/>
      <c r="I46" s="33"/>
      <c r="J46" s="8" t="str">
        <f aca="false">IF(COUNTA(B46,D46,G46,H46,I46)=0,"",IF(B46="","Enter date",IF(OR(B46&lt;$AC$2,B46&gt;$AC$3),"Date not in October",IF(D46="","Pick project",IF(ISNA(MATCH(D46,ProjNames,0)),"Project not in list",IF(G46="","Add task description",IF(H46="","Pick NTIME or P6",IF(N(I46)&lt;=0,"Enter hours",IF(AND(AllowOT&lt;&gt;"Yes",SUMIF($B$7:$B$256,B46,$I$7:$I$256)&gt;INDEX($O$58:$O$88,DAY(B46))),"Day over "&amp;INDEX($O$58:$O$88,DAY(B46))&amp;" h","✓")))))))))</f>
        <v/>
      </c>
      <c r="K46" s="1"/>
      <c r="L46" s="24" t="str">
        <f aca="false">IF($AD46=0,"",INDEX($W$7:$W$206,$AD46))</f>
        <v/>
      </c>
      <c r="M46" s="24" t="str">
        <f aca="false">IF($AD46=0,"",INDEX(ProjNumbers,$AD46))</f>
        <v/>
      </c>
      <c r="N46" s="24" t="str">
        <f aca="false">IF($AD46=0,"",INDEX(ProjCodes,$AD46))</f>
        <v/>
      </c>
      <c r="O46" s="24" t="str">
        <f aca="false">IF($AD46=0,"",INDEX($X$7:$X$206,$AD46))</f>
        <v/>
      </c>
      <c r="P46" s="24" t="str">
        <f aca="false">IF($AD46=0,"",INDEX($Y$7:$Y$206,$AD46))</f>
        <v/>
      </c>
      <c r="Q46" s="24" t="str">
        <f aca="false">IF($AD46=0,"",INDEX($Z$7:$Z$206,$AD46))</f>
        <v/>
      </c>
      <c r="R46" s="25" t="str">
        <f aca="false">IF(OR($AD46=0,$L$5=0),"",Q46/$L$5)</f>
        <v/>
      </c>
      <c r="S46" s="1"/>
      <c r="T46" s="1"/>
      <c r="U46" s="1"/>
      <c r="V46" s="1"/>
      <c r="W46" s="1" t="str">
        <f aca="false">IF(Projects!B44="","",Projects!B44)</f>
        <v/>
      </c>
      <c r="X46" s="1" t="n">
        <f aca="false">IF(W46="",0,SUMIFS($I$7:$I$256,$D$7:$D$256,W46,$H$7:$H$256,"NTIME"))</f>
        <v>0</v>
      </c>
      <c r="Y46" s="1" t="n">
        <f aca="false">IF(W46="",0,SUMIFS($I$7:$I$256,$D$7:$D$256,W46,$H$7:$H$256,"P6"))</f>
        <v>0</v>
      </c>
      <c r="Z46" s="1" t="n">
        <f aca="false">X46+Y46</f>
        <v>0</v>
      </c>
      <c r="AA46" s="1" t="n">
        <f aca="false">IF(Z46&gt;0,Z46+(201-40)/10^6,0)</f>
        <v>0</v>
      </c>
      <c r="AB46" s="1"/>
      <c r="AC46" s="1"/>
      <c r="AD46" s="1" t="n">
        <f aca="false">IF(LARGE($AA$7:$AA$206,10)&lt;=0,0,MATCH(LARGE($AA$7:$AA$206,10),$AA$7:$AA$206,0))</f>
        <v>0</v>
      </c>
      <c r="AE46" s="1"/>
      <c r="AF46" s="1"/>
      <c r="AG46" s="1"/>
      <c r="AH46" s="1"/>
    </row>
    <row r="47" customFormat="false" ht="15" hidden="false" customHeight="false" outlineLevel="0" collapsed="false">
      <c r="A47" s="1"/>
      <c r="B47" s="10"/>
      <c r="C47" s="31" t="str">
        <f aca="false">IF(B47="","",TEXT(B47,"ddd"))</f>
        <v/>
      </c>
      <c r="D47" s="11"/>
      <c r="E47" s="8" t="str">
        <f aca="false">IF(D47="","",IFERROR(INDEX(ProjNumbers,MATCH(D47,ProjNames,0)),""))</f>
        <v/>
      </c>
      <c r="F47" s="8" t="str">
        <f aca="false">IF(D47="","",IFERROR(INDEX(ProjCodes,MATCH(D47,ProjNames,0)),""))</f>
        <v/>
      </c>
      <c r="G47" s="32"/>
      <c r="H47" s="11"/>
      <c r="I47" s="33"/>
      <c r="J47" s="8" t="str">
        <f aca="false">IF(COUNTA(B47,D47,G47,H47,I47)=0,"",IF(B47="","Enter date",IF(OR(B47&lt;$AC$2,B47&gt;$AC$3),"Date not in October",IF(D47="","Pick project",IF(ISNA(MATCH(D47,ProjNames,0)),"Project not in list",IF(G47="","Add task description",IF(H47="","Pick NTIME or P6",IF(N(I47)&lt;=0,"Enter hours",IF(AND(AllowOT&lt;&gt;"Yes",SUMIF($B$7:$B$256,B47,$I$7:$I$256)&gt;INDEX($O$58:$O$88,DAY(B47))),"Day over "&amp;INDEX($O$58:$O$88,DAY(B47))&amp;" h","✓")))))))))</f>
        <v/>
      </c>
      <c r="K47" s="1"/>
      <c r="L47" s="24" t="str">
        <f aca="false">IF($AD47=0,"",INDEX($W$7:$W$206,$AD47))</f>
        <v/>
      </c>
      <c r="M47" s="24" t="str">
        <f aca="false">IF($AD47=0,"",INDEX(ProjNumbers,$AD47))</f>
        <v/>
      </c>
      <c r="N47" s="24" t="str">
        <f aca="false">IF($AD47=0,"",INDEX(ProjCodes,$AD47))</f>
        <v/>
      </c>
      <c r="O47" s="24" t="str">
        <f aca="false">IF($AD47=0,"",INDEX($X$7:$X$206,$AD47))</f>
        <v/>
      </c>
      <c r="P47" s="24" t="str">
        <f aca="false">IF($AD47=0,"",INDEX($Y$7:$Y$206,$AD47))</f>
        <v/>
      </c>
      <c r="Q47" s="24" t="str">
        <f aca="false">IF($AD47=0,"",INDEX($Z$7:$Z$206,$AD47))</f>
        <v/>
      </c>
      <c r="R47" s="25" t="str">
        <f aca="false">IF(OR($AD47=0,$L$5=0),"",Q47/$L$5)</f>
        <v/>
      </c>
      <c r="S47" s="1"/>
      <c r="T47" s="1"/>
      <c r="U47" s="1"/>
      <c r="V47" s="1"/>
      <c r="W47" s="1" t="str">
        <f aca="false">IF(Projects!B45="","",Projects!B45)</f>
        <v/>
      </c>
      <c r="X47" s="1" t="n">
        <f aca="false">IF(W47="",0,SUMIFS($I$7:$I$256,$D$7:$D$256,W47,$H$7:$H$256,"NTIME"))</f>
        <v>0</v>
      </c>
      <c r="Y47" s="1" t="n">
        <f aca="false">IF(W47="",0,SUMIFS($I$7:$I$256,$D$7:$D$256,W47,$H$7:$H$256,"P6"))</f>
        <v>0</v>
      </c>
      <c r="Z47" s="1" t="n">
        <f aca="false">X47+Y47</f>
        <v>0</v>
      </c>
      <c r="AA47" s="1" t="n">
        <f aca="false">IF(Z47&gt;0,Z47+(201-41)/10^6,0)</f>
        <v>0</v>
      </c>
      <c r="AB47" s="1"/>
      <c r="AC47" s="1"/>
      <c r="AD47" s="1" t="n">
        <f aca="false">IF(LARGE($AA$7:$AA$206,11)&lt;=0,0,MATCH(LARGE($AA$7:$AA$206,11),$AA$7:$AA$206,0))</f>
        <v>0</v>
      </c>
      <c r="AE47" s="1"/>
      <c r="AF47" s="1"/>
      <c r="AG47" s="1"/>
      <c r="AH47" s="1"/>
    </row>
    <row r="48" customFormat="false" ht="15" hidden="false" customHeight="false" outlineLevel="0" collapsed="false">
      <c r="A48" s="1"/>
      <c r="B48" s="10"/>
      <c r="C48" s="31" t="str">
        <f aca="false">IF(B48="","",TEXT(B48,"ddd"))</f>
        <v/>
      </c>
      <c r="D48" s="11"/>
      <c r="E48" s="8" t="str">
        <f aca="false">IF(D48="","",IFERROR(INDEX(ProjNumbers,MATCH(D48,ProjNames,0)),""))</f>
        <v/>
      </c>
      <c r="F48" s="8" t="str">
        <f aca="false">IF(D48="","",IFERROR(INDEX(ProjCodes,MATCH(D48,ProjNames,0)),""))</f>
        <v/>
      </c>
      <c r="G48" s="32"/>
      <c r="H48" s="11"/>
      <c r="I48" s="33"/>
      <c r="J48" s="8" t="str">
        <f aca="false">IF(COUNTA(B48,D48,G48,H48,I48)=0,"",IF(B48="","Enter date",IF(OR(B48&lt;$AC$2,B48&gt;$AC$3),"Date not in October",IF(D48="","Pick project",IF(ISNA(MATCH(D48,ProjNames,0)),"Project not in list",IF(G48="","Add task description",IF(H48="","Pick NTIME or P6",IF(N(I48)&lt;=0,"Enter hours",IF(AND(AllowOT&lt;&gt;"Yes",SUMIF($B$7:$B$256,B48,$I$7:$I$256)&gt;INDEX($O$58:$O$88,DAY(B48))),"Day over "&amp;INDEX($O$58:$O$88,DAY(B48))&amp;" h","✓")))))))))</f>
        <v/>
      </c>
      <c r="K48" s="1"/>
      <c r="L48" s="24" t="str">
        <f aca="false">IF($AD48=0,"",INDEX($W$7:$W$206,$AD48))</f>
        <v/>
      </c>
      <c r="M48" s="24" t="str">
        <f aca="false">IF($AD48=0,"",INDEX(ProjNumbers,$AD48))</f>
        <v/>
      </c>
      <c r="N48" s="24" t="str">
        <f aca="false">IF($AD48=0,"",INDEX(ProjCodes,$AD48))</f>
        <v/>
      </c>
      <c r="O48" s="24" t="str">
        <f aca="false">IF($AD48=0,"",INDEX($X$7:$X$206,$AD48))</f>
        <v/>
      </c>
      <c r="P48" s="24" t="str">
        <f aca="false">IF($AD48=0,"",INDEX($Y$7:$Y$206,$AD48))</f>
        <v/>
      </c>
      <c r="Q48" s="24" t="str">
        <f aca="false">IF($AD48=0,"",INDEX($Z$7:$Z$206,$AD48))</f>
        <v/>
      </c>
      <c r="R48" s="25" t="str">
        <f aca="false">IF(OR($AD48=0,$L$5=0),"",Q48/$L$5)</f>
        <v/>
      </c>
      <c r="S48" s="1"/>
      <c r="T48" s="1"/>
      <c r="U48" s="1"/>
      <c r="V48" s="1"/>
      <c r="W48" s="1" t="str">
        <f aca="false">IF(Projects!B46="","",Projects!B46)</f>
        <v/>
      </c>
      <c r="X48" s="1" t="n">
        <f aca="false">IF(W48="",0,SUMIFS($I$7:$I$256,$D$7:$D$256,W48,$H$7:$H$256,"NTIME"))</f>
        <v>0</v>
      </c>
      <c r="Y48" s="1" t="n">
        <f aca="false">IF(W48="",0,SUMIFS($I$7:$I$256,$D$7:$D$256,W48,$H$7:$H$256,"P6"))</f>
        <v>0</v>
      </c>
      <c r="Z48" s="1" t="n">
        <f aca="false">X48+Y48</f>
        <v>0</v>
      </c>
      <c r="AA48" s="1" t="n">
        <f aca="false">IF(Z48&gt;0,Z48+(201-42)/10^6,0)</f>
        <v>0</v>
      </c>
      <c r="AB48" s="1"/>
      <c r="AC48" s="1"/>
      <c r="AD48" s="1" t="n">
        <f aca="false">IF(LARGE($AA$7:$AA$206,12)&lt;=0,0,MATCH(LARGE($AA$7:$AA$206,12),$AA$7:$AA$206,0))</f>
        <v>0</v>
      </c>
      <c r="AE48" s="1"/>
      <c r="AF48" s="1"/>
      <c r="AG48" s="1"/>
      <c r="AH48" s="1"/>
    </row>
    <row r="49" customFormat="false" ht="15" hidden="false" customHeight="false" outlineLevel="0" collapsed="false">
      <c r="A49" s="1"/>
      <c r="B49" s="10"/>
      <c r="C49" s="31" t="str">
        <f aca="false">IF(B49="","",TEXT(B49,"ddd"))</f>
        <v/>
      </c>
      <c r="D49" s="11"/>
      <c r="E49" s="8" t="str">
        <f aca="false">IF(D49="","",IFERROR(INDEX(ProjNumbers,MATCH(D49,ProjNames,0)),""))</f>
        <v/>
      </c>
      <c r="F49" s="8" t="str">
        <f aca="false">IF(D49="","",IFERROR(INDEX(ProjCodes,MATCH(D49,ProjNames,0)),""))</f>
        <v/>
      </c>
      <c r="G49" s="32"/>
      <c r="H49" s="11"/>
      <c r="I49" s="33"/>
      <c r="J49" s="8" t="str">
        <f aca="false">IF(COUNTA(B49,D49,G49,H49,I49)=0,"",IF(B49="","Enter date",IF(OR(B49&lt;$AC$2,B49&gt;$AC$3),"Date not in October",IF(D49="","Pick project",IF(ISNA(MATCH(D49,ProjNames,0)),"Project not in list",IF(G49="","Add task description",IF(H49="","Pick NTIME or P6",IF(N(I49)&lt;=0,"Enter hours",IF(AND(AllowOT&lt;&gt;"Yes",SUMIF($B$7:$B$256,B49,$I$7:$I$256)&gt;INDEX($O$58:$O$88,DAY(B49))),"Day over "&amp;INDEX($O$58:$O$88,DAY(B49))&amp;" h","✓")))))))))</f>
        <v/>
      </c>
      <c r="K49" s="1"/>
      <c r="L49" s="24" t="str">
        <f aca="false">IF($AD49=0,"",INDEX($W$7:$W$206,$AD49))</f>
        <v/>
      </c>
      <c r="M49" s="24" t="str">
        <f aca="false">IF($AD49=0,"",INDEX(ProjNumbers,$AD49))</f>
        <v/>
      </c>
      <c r="N49" s="24" t="str">
        <f aca="false">IF($AD49=0,"",INDEX(ProjCodes,$AD49))</f>
        <v/>
      </c>
      <c r="O49" s="24" t="str">
        <f aca="false">IF($AD49=0,"",INDEX($X$7:$X$206,$AD49))</f>
        <v/>
      </c>
      <c r="P49" s="24" t="str">
        <f aca="false">IF($AD49=0,"",INDEX($Y$7:$Y$206,$AD49))</f>
        <v/>
      </c>
      <c r="Q49" s="24" t="str">
        <f aca="false">IF($AD49=0,"",INDEX($Z$7:$Z$206,$AD49))</f>
        <v/>
      </c>
      <c r="R49" s="25" t="str">
        <f aca="false">IF(OR($AD49=0,$L$5=0),"",Q49/$L$5)</f>
        <v/>
      </c>
      <c r="S49" s="1"/>
      <c r="T49" s="1"/>
      <c r="U49" s="1"/>
      <c r="V49" s="1"/>
      <c r="W49" s="1" t="str">
        <f aca="false">IF(Projects!B47="","",Projects!B47)</f>
        <v/>
      </c>
      <c r="X49" s="1" t="n">
        <f aca="false">IF(W49="",0,SUMIFS($I$7:$I$256,$D$7:$D$256,W49,$H$7:$H$256,"NTIME"))</f>
        <v>0</v>
      </c>
      <c r="Y49" s="1" t="n">
        <f aca="false">IF(W49="",0,SUMIFS($I$7:$I$256,$D$7:$D$256,W49,$H$7:$H$256,"P6"))</f>
        <v>0</v>
      </c>
      <c r="Z49" s="1" t="n">
        <f aca="false">X49+Y49</f>
        <v>0</v>
      </c>
      <c r="AA49" s="1" t="n">
        <f aca="false">IF(Z49&gt;0,Z49+(201-43)/10^6,0)</f>
        <v>0</v>
      </c>
      <c r="AB49" s="1"/>
      <c r="AC49" s="1"/>
      <c r="AD49" s="1" t="n">
        <f aca="false">IF(LARGE($AA$7:$AA$206,13)&lt;=0,0,MATCH(LARGE($AA$7:$AA$206,13),$AA$7:$AA$206,0))</f>
        <v>0</v>
      </c>
      <c r="AE49" s="1"/>
      <c r="AF49" s="1"/>
      <c r="AG49" s="1"/>
      <c r="AH49" s="1"/>
    </row>
    <row r="50" customFormat="false" ht="15" hidden="false" customHeight="false" outlineLevel="0" collapsed="false">
      <c r="A50" s="1"/>
      <c r="B50" s="10"/>
      <c r="C50" s="31" t="str">
        <f aca="false">IF(B50="","",TEXT(B50,"ddd"))</f>
        <v/>
      </c>
      <c r="D50" s="11"/>
      <c r="E50" s="8" t="str">
        <f aca="false">IF(D50="","",IFERROR(INDEX(ProjNumbers,MATCH(D50,ProjNames,0)),""))</f>
        <v/>
      </c>
      <c r="F50" s="8" t="str">
        <f aca="false">IF(D50="","",IFERROR(INDEX(ProjCodes,MATCH(D50,ProjNames,0)),""))</f>
        <v/>
      </c>
      <c r="G50" s="32"/>
      <c r="H50" s="11"/>
      <c r="I50" s="33"/>
      <c r="J50" s="8" t="str">
        <f aca="false">IF(COUNTA(B50,D50,G50,H50,I50)=0,"",IF(B50="","Enter date",IF(OR(B50&lt;$AC$2,B50&gt;$AC$3),"Date not in October",IF(D50="","Pick project",IF(ISNA(MATCH(D50,ProjNames,0)),"Project not in list",IF(G50="","Add task description",IF(H50="","Pick NTIME or P6",IF(N(I50)&lt;=0,"Enter hours",IF(AND(AllowOT&lt;&gt;"Yes",SUMIF($B$7:$B$256,B50,$I$7:$I$256)&gt;INDEX($O$58:$O$88,DAY(B50))),"Day over "&amp;INDEX($O$58:$O$88,DAY(B50))&amp;" h","✓")))))))))</f>
        <v/>
      </c>
      <c r="K50" s="1"/>
      <c r="L50" s="24" t="str">
        <f aca="false">IF($AD50=0,"",INDEX($W$7:$W$206,$AD50))</f>
        <v/>
      </c>
      <c r="M50" s="24" t="str">
        <f aca="false">IF($AD50=0,"",INDEX(ProjNumbers,$AD50))</f>
        <v/>
      </c>
      <c r="N50" s="24" t="str">
        <f aca="false">IF($AD50=0,"",INDEX(ProjCodes,$AD50))</f>
        <v/>
      </c>
      <c r="O50" s="24" t="str">
        <f aca="false">IF($AD50=0,"",INDEX($X$7:$X$206,$AD50))</f>
        <v/>
      </c>
      <c r="P50" s="24" t="str">
        <f aca="false">IF($AD50=0,"",INDEX($Y$7:$Y$206,$AD50))</f>
        <v/>
      </c>
      <c r="Q50" s="24" t="str">
        <f aca="false">IF($AD50=0,"",INDEX($Z$7:$Z$206,$AD50))</f>
        <v/>
      </c>
      <c r="R50" s="25" t="str">
        <f aca="false">IF(OR($AD50=0,$L$5=0),"",Q50/$L$5)</f>
        <v/>
      </c>
      <c r="S50" s="1"/>
      <c r="T50" s="1"/>
      <c r="U50" s="1"/>
      <c r="V50" s="1"/>
      <c r="W50" s="1" t="str">
        <f aca="false">IF(Projects!B48="","",Projects!B48)</f>
        <v/>
      </c>
      <c r="X50" s="1" t="n">
        <f aca="false">IF(W50="",0,SUMIFS($I$7:$I$256,$D$7:$D$256,W50,$H$7:$H$256,"NTIME"))</f>
        <v>0</v>
      </c>
      <c r="Y50" s="1" t="n">
        <f aca="false">IF(W50="",0,SUMIFS($I$7:$I$256,$D$7:$D$256,W50,$H$7:$H$256,"P6"))</f>
        <v>0</v>
      </c>
      <c r="Z50" s="1" t="n">
        <f aca="false">X50+Y50</f>
        <v>0</v>
      </c>
      <c r="AA50" s="1" t="n">
        <f aca="false">IF(Z50&gt;0,Z50+(201-44)/10^6,0)</f>
        <v>0</v>
      </c>
      <c r="AB50" s="1"/>
      <c r="AC50" s="1"/>
      <c r="AD50" s="1" t="n">
        <f aca="false">IF(LARGE($AA$7:$AA$206,14)&lt;=0,0,MATCH(LARGE($AA$7:$AA$206,14),$AA$7:$AA$206,0))</f>
        <v>0</v>
      </c>
      <c r="AE50" s="1"/>
      <c r="AF50" s="1"/>
      <c r="AG50" s="1"/>
      <c r="AH50" s="1"/>
    </row>
    <row r="51" customFormat="false" ht="15" hidden="false" customHeight="false" outlineLevel="0" collapsed="false">
      <c r="A51" s="1"/>
      <c r="B51" s="10"/>
      <c r="C51" s="31" t="str">
        <f aca="false">IF(B51="","",TEXT(B51,"ddd"))</f>
        <v/>
      </c>
      <c r="D51" s="11"/>
      <c r="E51" s="8" t="str">
        <f aca="false">IF(D51="","",IFERROR(INDEX(ProjNumbers,MATCH(D51,ProjNames,0)),""))</f>
        <v/>
      </c>
      <c r="F51" s="8" t="str">
        <f aca="false">IF(D51="","",IFERROR(INDEX(ProjCodes,MATCH(D51,ProjNames,0)),""))</f>
        <v/>
      </c>
      <c r="G51" s="32"/>
      <c r="H51" s="11"/>
      <c r="I51" s="33"/>
      <c r="J51" s="8" t="str">
        <f aca="false">IF(COUNTA(B51,D51,G51,H51,I51)=0,"",IF(B51="","Enter date",IF(OR(B51&lt;$AC$2,B51&gt;$AC$3),"Date not in October",IF(D51="","Pick project",IF(ISNA(MATCH(D51,ProjNames,0)),"Project not in list",IF(G51="","Add task description",IF(H51="","Pick NTIME or P6",IF(N(I51)&lt;=0,"Enter hours",IF(AND(AllowOT&lt;&gt;"Yes",SUMIF($B$7:$B$256,B51,$I$7:$I$256)&gt;INDEX($O$58:$O$88,DAY(B51))),"Day over "&amp;INDEX($O$58:$O$88,DAY(B51))&amp;" h","✓")))))))))</f>
        <v/>
      </c>
      <c r="K51" s="1"/>
      <c r="L51" s="24" t="str">
        <f aca="false">IF($AD51=0,"",INDEX($W$7:$W$206,$AD51))</f>
        <v/>
      </c>
      <c r="M51" s="24" t="str">
        <f aca="false">IF($AD51=0,"",INDEX(ProjNumbers,$AD51))</f>
        <v/>
      </c>
      <c r="N51" s="24" t="str">
        <f aca="false">IF($AD51=0,"",INDEX(ProjCodes,$AD51))</f>
        <v/>
      </c>
      <c r="O51" s="24" t="str">
        <f aca="false">IF($AD51=0,"",INDEX($X$7:$X$206,$AD51))</f>
        <v/>
      </c>
      <c r="P51" s="24" t="str">
        <f aca="false">IF($AD51=0,"",INDEX($Y$7:$Y$206,$AD51))</f>
        <v/>
      </c>
      <c r="Q51" s="24" t="str">
        <f aca="false">IF($AD51=0,"",INDEX($Z$7:$Z$206,$AD51))</f>
        <v/>
      </c>
      <c r="R51" s="25" t="str">
        <f aca="false">IF(OR($AD51=0,$L$5=0),"",Q51/$L$5)</f>
        <v/>
      </c>
      <c r="S51" s="1"/>
      <c r="T51" s="1"/>
      <c r="U51" s="1"/>
      <c r="V51" s="1"/>
      <c r="W51" s="1" t="str">
        <f aca="false">IF(Projects!B49="","",Projects!B49)</f>
        <v/>
      </c>
      <c r="X51" s="1" t="n">
        <f aca="false">IF(W51="",0,SUMIFS($I$7:$I$256,$D$7:$D$256,W51,$H$7:$H$256,"NTIME"))</f>
        <v>0</v>
      </c>
      <c r="Y51" s="1" t="n">
        <f aca="false">IF(W51="",0,SUMIFS($I$7:$I$256,$D$7:$D$256,W51,$H$7:$H$256,"P6"))</f>
        <v>0</v>
      </c>
      <c r="Z51" s="1" t="n">
        <f aca="false">X51+Y51</f>
        <v>0</v>
      </c>
      <c r="AA51" s="1" t="n">
        <f aca="false">IF(Z51&gt;0,Z51+(201-45)/10^6,0)</f>
        <v>0</v>
      </c>
      <c r="AB51" s="1"/>
      <c r="AC51" s="1"/>
      <c r="AD51" s="1" t="n">
        <f aca="false">IF(LARGE($AA$7:$AA$206,15)&lt;=0,0,MATCH(LARGE($AA$7:$AA$206,15),$AA$7:$AA$206,0))</f>
        <v>0</v>
      </c>
      <c r="AE51" s="1"/>
      <c r="AF51" s="1"/>
      <c r="AG51" s="1"/>
      <c r="AH51" s="1"/>
    </row>
    <row r="52" customFormat="false" ht="15" hidden="false" customHeight="false" outlineLevel="0" collapsed="false">
      <c r="A52" s="1"/>
      <c r="B52" s="10"/>
      <c r="C52" s="31" t="str">
        <f aca="false">IF(B52="","",TEXT(B52,"ddd"))</f>
        <v/>
      </c>
      <c r="D52" s="11"/>
      <c r="E52" s="8" t="str">
        <f aca="false">IF(D52="","",IFERROR(INDEX(ProjNumbers,MATCH(D52,ProjNames,0)),""))</f>
        <v/>
      </c>
      <c r="F52" s="8" t="str">
        <f aca="false">IF(D52="","",IFERROR(INDEX(ProjCodes,MATCH(D52,ProjNames,0)),""))</f>
        <v/>
      </c>
      <c r="G52" s="32"/>
      <c r="H52" s="11"/>
      <c r="I52" s="33"/>
      <c r="J52" s="8" t="str">
        <f aca="false">IF(COUNTA(B52,D52,G52,H52,I52)=0,"",IF(B52="","Enter date",IF(OR(B52&lt;$AC$2,B52&gt;$AC$3),"Date not in October",IF(D52="","Pick project",IF(ISNA(MATCH(D52,ProjNames,0)),"Project not in list",IF(G52="","Add task description",IF(H52="","Pick NTIME or P6",IF(N(I52)&lt;=0,"Enter hours",IF(AND(AllowOT&lt;&gt;"Yes",SUMIF($B$7:$B$256,B52,$I$7:$I$256)&gt;INDEX($O$58:$O$88,DAY(B52))),"Day over "&amp;INDEX($O$58:$O$88,DAY(B52))&amp;" h","✓")))))))))</f>
        <v/>
      </c>
      <c r="K52" s="1"/>
      <c r="L52" s="24" t="s">
        <v>87</v>
      </c>
      <c r="M52" s="24"/>
      <c r="N52" s="24"/>
      <c r="O52" s="24" t="n">
        <f aca="false">SUM($P$58:$P$88)-SUM($X$7:$X$206)</f>
        <v>0</v>
      </c>
      <c r="P52" s="24" t="n">
        <f aca="false">SUM($Q$58:$Q$88)-SUM($Y$7:$Y$206)</f>
        <v>0</v>
      </c>
      <c r="Q52" s="24" t="n">
        <f aca="false">O52+P52</f>
        <v>0</v>
      </c>
      <c r="R52" s="25" t="str">
        <f aca="false">IF($L$5=0,"",Q52/$L$5)</f>
        <v/>
      </c>
      <c r="S52" s="1"/>
      <c r="T52" s="1"/>
      <c r="U52" s="1"/>
      <c r="V52" s="1"/>
      <c r="W52" s="1" t="str">
        <f aca="false">IF(Projects!B50="","",Projects!B50)</f>
        <v/>
      </c>
      <c r="X52" s="1" t="n">
        <f aca="false">IF(W52="",0,SUMIFS($I$7:$I$256,$D$7:$D$256,W52,$H$7:$H$256,"NTIME"))</f>
        <v>0</v>
      </c>
      <c r="Y52" s="1" t="n">
        <f aca="false">IF(W52="",0,SUMIFS($I$7:$I$256,$D$7:$D$256,W52,$H$7:$H$256,"P6"))</f>
        <v>0</v>
      </c>
      <c r="Z52" s="1" t="n">
        <f aca="false">X52+Y52</f>
        <v>0</v>
      </c>
      <c r="AA52" s="1" t="n">
        <f aca="false">IF(Z52&gt;0,Z52+(201-46)/10^6,0)</f>
        <v>0</v>
      </c>
      <c r="AB52" s="1"/>
      <c r="AC52" s="1"/>
      <c r="AD52" s="1"/>
      <c r="AE52" s="1"/>
      <c r="AF52" s="1"/>
      <c r="AG52" s="1"/>
      <c r="AH52" s="1"/>
    </row>
    <row r="53" customFormat="false" ht="15" hidden="false" customHeight="false" outlineLevel="0" collapsed="false">
      <c r="A53" s="1"/>
      <c r="B53" s="10"/>
      <c r="C53" s="31" t="str">
        <f aca="false">IF(B53="","",TEXT(B53,"ddd"))</f>
        <v/>
      </c>
      <c r="D53" s="11"/>
      <c r="E53" s="8" t="str">
        <f aca="false">IF(D53="","",IFERROR(INDEX(ProjNumbers,MATCH(D53,ProjNames,0)),""))</f>
        <v/>
      </c>
      <c r="F53" s="8" t="str">
        <f aca="false">IF(D53="","",IFERROR(INDEX(ProjCodes,MATCH(D53,ProjNames,0)),""))</f>
        <v/>
      </c>
      <c r="G53" s="32"/>
      <c r="H53" s="11"/>
      <c r="I53" s="33"/>
      <c r="J53" s="8" t="str">
        <f aca="false">IF(COUNTA(B53,D53,G53,H53,I53)=0,"",IF(B53="","Enter date",IF(OR(B53&lt;$AC$2,B53&gt;$AC$3),"Date not in October",IF(D53="","Pick project",IF(ISNA(MATCH(D53,ProjNames,0)),"Project not in list",IF(G53="","Add task description",IF(H53="","Pick NTIME or P6",IF(N(I53)&lt;=0,"Enter hours",IF(AND(AllowOT&lt;&gt;"Yes",SUMIF($B$7:$B$256,B53,$I$7:$I$256)&gt;INDEX($O$58:$O$88,DAY(B53))),"Day over "&amp;INDEX($O$58:$O$88,DAY(B53))&amp;" h","✓")))))))))</f>
        <v/>
      </c>
      <c r="K53" s="1"/>
      <c r="L53" s="24" t="s">
        <v>15</v>
      </c>
      <c r="M53" s="24" t="s">
        <v>88</v>
      </c>
      <c r="N53" s="24"/>
      <c r="O53" s="24" t="str">
        <f aca="false">IF(OHSystem="NTIME",O5,"")</f>
        <v/>
      </c>
      <c r="P53" s="24" t="str">
        <f aca="false">IF(OHSystem="P6",O5,"")</f>
        <v/>
      </c>
      <c r="Q53" s="24" t="n">
        <f aca="false">O5</f>
        <v>0</v>
      </c>
      <c r="R53" s="25" t="str">
        <f aca="false">IF($L$5=0,"",Q53/$L$5)</f>
        <v/>
      </c>
      <c r="S53" s="1"/>
      <c r="T53" s="1"/>
      <c r="U53" s="1"/>
      <c r="V53" s="1"/>
      <c r="W53" s="1" t="str">
        <f aca="false">IF(Projects!B51="","",Projects!B51)</f>
        <v/>
      </c>
      <c r="X53" s="1" t="n">
        <f aca="false">IF(W53="",0,SUMIFS($I$7:$I$256,$D$7:$D$256,W53,$H$7:$H$256,"NTIME"))</f>
        <v>0</v>
      </c>
      <c r="Y53" s="1" t="n">
        <f aca="false">IF(W53="",0,SUMIFS($I$7:$I$256,$D$7:$D$256,W53,$H$7:$H$256,"P6"))</f>
        <v>0</v>
      </c>
      <c r="Z53" s="1" t="n">
        <f aca="false">X53+Y53</f>
        <v>0</v>
      </c>
      <c r="AA53" s="1" t="n">
        <f aca="false">IF(Z53&gt;0,Z53+(201-47)/10^6,0)</f>
        <v>0</v>
      </c>
      <c r="AB53" s="1"/>
      <c r="AC53" s="1"/>
      <c r="AD53" s="1"/>
      <c r="AE53" s="1"/>
      <c r="AF53" s="1"/>
      <c r="AG53" s="1"/>
      <c r="AH53" s="1"/>
    </row>
    <row r="54" customFormat="false" ht="15" hidden="false" customHeight="false" outlineLevel="0" collapsed="false">
      <c r="A54" s="1"/>
      <c r="B54" s="10"/>
      <c r="C54" s="31" t="str">
        <f aca="false">IF(B54="","",TEXT(B54,"ddd"))</f>
        <v/>
      </c>
      <c r="D54" s="11"/>
      <c r="E54" s="8" t="str">
        <f aca="false">IF(D54="","",IFERROR(INDEX(ProjNumbers,MATCH(D54,ProjNames,0)),""))</f>
        <v/>
      </c>
      <c r="F54" s="8" t="str">
        <f aca="false">IF(D54="","",IFERROR(INDEX(ProjCodes,MATCH(D54,ProjNames,0)),""))</f>
        <v/>
      </c>
      <c r="G54" s="32"/>
      <c r="H54" s="11"/>
      <c r="I54" s="33"/>
      <c r="J54" s="8" t="str">
        <f aca="false">IF(COUNTA(B54,D54,G54,H54,I54)=0,"",IF(B54="","Enter date",IF(OR(B54&lt;$AC$2,B54&gt;$AC$3),"Date not in October",IF(D54="","Pick project",IF(ISNA(MATCH(D54,ProjNames,0)),"Project not in list",IF(G54="","Add task description",IF(H54="","Pick NTIME or P6",IF(N(I54)&lt;=0,"Enter hours",IF(AND(AllowOT&lt;&gt;"Yes",SUMIF($B$7:$B$256,B54,$I$7:$I$256)&gt;INDEX($O$58:$O$88,DAY(B54))),"Day over "&amp;INDEX($O$58:$O$88,DAY(B54))&amp;" h","✓")))))))))</f>
        <v/>
      </c>
      <c r="K54" s="1"/>
      <c r="L54" s="27" t="s">
        <v>57</v>
      </c>
      <c r="M54" s="27"/>
      <c r="N54" s="27"/>
      <c r="O54" s="27" t="n">
        <f aca="false">M5</f>
        <v>0</v>
      </c>
      <c r="P54" s="27" t="n">
        <f aca="false">N5</f>
        <v>0</v>
      </c>
      <c r="Q54" s="27" t="n">
        <f aca="false">L5</f>
        <v>0</v>
      </c>
      <c r="R54" s="27"/>
      <c r="S54" s="1"/>
      <c r="T54" s="1"/>
      <c r="U54" s="1"/>
      <c r="V54" s="1"/>
      <c r="W54" s="1" t="str">
        <f aca="false">IF(Projects!B52="","",Projects!B52)</f>
        <v/>
      </c>
      <c r="X54" s="1" t="n">
        <f aca="false">IF(W54="",0,SUMIFS($I$7:$I$256,$D$7:$D$256,W54,$H$7:$H$256,"NTIME"))</f>
        <v>0</v>
      </c>
      <c r="Y54" s="1" t="n">
        <f aca="false">IF(W54="",0,SUMIFS($I$7:$I$256,$D$7:$D$256,W54,$H$7:$H$256,"P6"))</f>
        <v>0</v>
      </c>
      <c r="Z54" s="1" t="n">
        <f aca="false">X54+Y54</f>
        <v>0</v>
      </c>
      <c r="AA54" s="1" t="n">
        <f aca="false">IF(Z54&gt;0,Z54+(201-48)/10^6,0)</f>
        <v>0</v>
      </c>
      <c r="AB54" s="1"/>
      <c r="AC54" s="1"/>
      <c r="AD54" s="1"/>
      <c r="AE54" s="1"/>
      <c r="AF54" s="1"/>
      <c r="AG54" s="1"/>
      <c r="AH54" s="1"/>
    </row>
    <row r="55" customFormat="false" ht="15" hidden="false" customHeight="false" outlineLevel="0" collapsed="false">
      <c r="A55" s="1"/>
      <c r="B55" s="10"/>
      <c r="C55" s="31" t="str">
        <f aca="false">IF(B55="","",TEXT(B55,"ddd"))</f>
        <v/>
      </c>
      <c r="D55" s="11"/>
      <c r="E55" s="8" t="str">
        <f aca="false">IF(D55="","",IFERROR(INDEX(ProjNumbers,MATCH(D55,ProjNames,0)),""))</f>
        <v/>
      </c>
      <c r="F55" s="8" t="str">
        <f aca="false">IF(D55="","",IFERROR(INDEX(ProjCodes,MATCH(D55,ProjNames,0)),""))</f>
        <v/>
      </c>
      <c r="G55" s="32"/>
      <c r="H55" s="11"/>
      <c r="I55" s="33"/>
      <c r="J55" s="8" t="str">
        <f aca="false">IF(COUNTA(B55,D55,G55,H55,I55)=0,"",IF(B55="","Enter date",IF(OR(B55&lt;$AC$2,B55&gt;$AC$3),"Date not in October",IF(D55="","Pick project",IF(ISNA(MATCH(D55,ProjNames,0)),"Project not in list",IF(G55="","Add task description",IF(H55="","Pick NTIME or P6",IF(N(I55)&lt;=0,"Enter hours",IF(AND(AllowOT&lt;&gt;"Yes",SUMIF($B$7:$B$256,B55,$I$7:$I$256)&gt;INDEX($O$58:$O$88,DAY(B55))),"Day over "&amp;INDEX($O$58:$O$88,DAY(B55))&amp;" h","✓")))))))))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tr">
        <f aca="false">IF(Projects!B53="","",Projects!B53)</f>
        <v/>
      </c>
      <c r="X55" s="1" t="n">
        <f aca="false">IF(W55="",0,SUMIFS($I$7:$I$256,$D$7:$D$256,W55,$H$7:$H$256,"NTIME"))</f>
        <v>0</v>
      </c>
      <c r="Y55" s="1" t="n">
        <f aca="false">IF(W55="",0,SUMIFS($I$7:$I$256,$D$7:$D$256,W55,$H$7:$H$256,"P6"))</f>
        <v>0</v>
      </c>
      <c r="Z55" s="1" t="n">
        <f aca="false">X55+Y55</f>
        <v>0</v>
      </c>
      <c r="AA55" s="1" t="n">
        <f aca="false">IF(Z55&gt;0,Z55+(201-49)/10^6,0)</f>
        <v>0</v>
      </c>
      <c r="AB55" s="1"/>
      <c r="AC55" s="1"/>
      <c r="AD55" s="1"/>
      <c r="AE55" s="1"/>
      <c r="AF55" s="1"/>
      <c r="AG55" s="1"/>
      <c r="AH55" s="1"/>
    </row>
    <row r="56" customFormat="false" ht="15" hidden="false" customHeight="false" outlineLevel="0" collapsed="false">
      <c r="A56" s="1"/>
      <c r="B56" s="10"/>
      <c r="C56" s="31" t="str">
        <f aca="false">IF(B56="","",TEXT(B56,"ddd"))</f>
        <v/>
      </c>
      <c r="D56" s="11"/>
      <c r="E56" s="8" t="str">
        <f aca="false">IF(D56="","",IFERROR(INDEX(ProjNumbers,MATCH(D56,ProjNames,0)),""))</f>
        <v/>
      </c>
      <c r="F56" s="8" t="str">
        <f aca="false">IF(D56="","",IFERROR(INDEX(ProjCodes,MATCH(D56,ProjNames,0)),""))</f>
        <v/>
      </c>
      <c r="G56" s="32"/>
      <c r="H56" s="11"/>
      <c r="I56" s="33"/>
      <c r="J56" s="8" t="str">
        <f aca="false">IF(COUNTA(B56,D56,G56,H56,I56)=0,"",IF(B56="","Enter date",IF(OR(B56&lt;$AC$2,B56&gt;$AC$3),"Date not in October",IF(D56="","Pick project",IF(ISNA(MATCH(D56,ProjNames,0)),"Project not in list",IF(G56="","Add task description",IF(H56="","Pick NTIME or P6",IF(N(I56)&lt;=0,"Enter hours",IF(AND(AllowOT&lt;&gt;"Yes",SUMIF($B$7:$B$256,B56,$I$7:$I$256)&gt;INDEX($O$58:$O$88,DAY(B56))),"Day over "&amp;INDEX($O$58:$O$88,DAY(B56))&amp;" h","✓")))))))))</f>
        <v/>
      </c>
      <c r="K56" s="1"/>
      <c r="L56" s="4" t="s">
        <v>89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 aca="false">IF(Projects!B54="","",Projects!B54)</f>
        <v/>
      </c>
      <c r="X56" s="1" t="n">
        <f aca="false">IF(W56="",0,SUMIFS($I$7:$I$256,$D$7:$D$256,W56,$H$7:$H$256,"NTIME"))</f>
        <v>0</v>
      </c>
      <c r="Y56" s="1" t="n">
        <f aca="false">IF(W56="",0,SUMIFS($I$7:$I$256,$D$7:$D$256,W56,$H$7:$H$256,"P6"))</f>
        <v>0</v>
      </c>
      <c r="Z56" s="1" t="n">
        <f aca="false">X56+Y56</f>
        <v>0</v>
      </c>
      <c r="AA56" s="1" t="n">
        <f aca="false">IF(Z56&gt;0,Z56+(201-50)/10^6,0)</f>
        <v>0</v>
      </c>
      <c r="AB56" s="1"/>
      <c r="AC56" s="1"/>
      <c r="AD56" s="1"/>
      <c r="AE56" s="1"/>
      <c r="AF56" s="1"/>
      <c r="AG56" s="1"/>
      <c r="AH56" s="1"/>
    </row>
    <row r="57" customFormat="false" ht="15" hidden="false" customHeight="false" outlineLevel="0" collapsed="false">
      <c r="A57" s="1"/>
      <c r="B57" s="10"/>
      <c r="C57" s="31" t="str">
        <f aca="false">IF(B57="","",TEXT(B57,"ddd"))</f>
        <v/>
      </c>
      <c r="D57" s="11"/>
      <c r="E57" s="8" t="str">
        <f aca="false">IF(D57="","",IFERROR(INDEX(ProjNumbers,MATCH(D57,ProjNames,0)),""))</f>
        <v/>
      </c>
      <c r="F57" s="8" t="str">
        <f aca="false">IF(D57="","",IFERROR(INDEX(ProjCodes,MATCH(D57,ProjNames,0)),""))</f>
        <v/>
      </c>
      <c r="G57" s="32"/>
      <c r="H57" s="11"/>
      <c r="I57" s="33"/>
      <c r="J57" s="8" t="str">
        <f aca="false">IF(COUNTA(B57,D57,G57,H57,I57)=0,"",IF(B57="","Enter date",IF(OR(B57&lt;$AC$2,B57&gt;$AC$3),"Date not in October",IF(D57="","Pick project",IF(ISNA(MATCH(D57,ProjNames,0)),"Project not in list",IF(G57="","Add task description",IF(H57="","Pick NTIME or P6",IF(N(I57)&lt;=0,"Enter hours",IF(AND(AllowOT&lt;&gt;"Yes",SUMIF($B$7:$B$256,B57,$I$7:$I$256)&gt;INDEX($O$58:$O$88,DAY(B57))),"Day over "&amp;INDEX($O$58:$O$88,DAY(B57))&amp;" h","✓")))))))))</f>
        <v/>
      </c>
      <c r="K57" s="1"/>
      <c r="L57" s="9" t="s">
        <v>33</v>
      </c>
      <c r="M57" s="9" t="s">
        <v>34</v>
      </c>
      <c r="N57" s="9" t="s">
        <v>90</v>
      </c>
      <c r="O57" s="9" t="s">
        <v>91</v>
      </c>
      <c r="P57" s="20" t="s">
        <v>46</v>
      </c>
      <c r="Q57" s="21" t="s">
        <v>56</v>
      </c>
      <c r="R57" s="22" t="s">
        <v>15</v>
      </c>
      <c r="S57" s="9" t="s">
        <v>24</v>
      </c>
      <c r="T57" s="9" t="s">
        <v>57</v>
      </c>
      <c r="U57" s="9" t="s">
        <v>92</v>
      </c>
      <c r="V57" s="1"/>
      <c r="W57" s="1" t="str">
        <f aca="false">IF(Projects!B55="","",Projects!B55)</f>
        <v/>
      </c>
      <c r="X57" s="1" t="n">
        <f aca="false">IF(W57="",0,SUMIFS($I$7:$I$256,$D$7:$D$256,W57,$H$7:$H$256,"NTIME"))</f>
        <v>0</v>
      </c>
      <c r="Y57" s="1" t="n">
        <f aca="false">IF(W57="",0,SUMIFS($I$7:$I$256,$D$7:$D$256,W57,$H$7:$H$256,"P6"))</f>
        <v>0</v>
      </c>
      <c r="Z57" s="1" t="n">
        <f aca="false">X57+Y57</f>
        <v>0</v>
      </c>
      <c r="AA57" s="1" t="n">
        <f aca="false">IF(Z57&gt;0,Z57+(201-51)/10^6,0)</f>
        <v>0</v>
      </c>
      <c r="AB57" s="1"/>
      <c r="AC57" s="1"/>
      <c r="AD57" s="1"/>
      <c r="AE57" s="1"/>
      <c r="AF57" s="1"/>
      <c r="AG57" s="1"/>
      <c r="AH57" s="1"/>
    </row>
    <row r="58" customFormat="false" ht="15" hidden="false" customHeight="false" outlineLevel="0" collapsed="false">
      <c r="A58" s="1"/>
      <c r="B58" s="10"/>
      <c r="C58" s="31" t="str">
        <f aca="false">IF(B58="","",TEXT(B58,"ddd"))</f>
        <v/>
      </c>
      <c r="D58" s="11"/>
      <c r="E58" s="8" t="str">
        <f aca="false">IF(D58="","",IFERROR(INDEX(ProjNumbers,MATCH(D58,ProjNames,0)),""))</f>
        <v/>
      </c>
      <c r="F58" s="8" t="str">
        <f aca="false">IF(D58="","",IFERROR(INDEX(ProjCodes,MATCH(D58,ProjNames,0)),""))</f>
        <v/>
      </c>
      <c r="G58" s="32"/>
      <c r="H58" s="11"/>
      <c r="I58" s="33"/>
      <c r="J58" s="8" t="str">
        <f aca="false">IF(COUNTA(B58,D58,G58,H58,I58)=0,"",IF(B58="","Enter date",IF(OR(B58&lt;$AC$2,B58&gt;$AC$3),"Date not in October",IF(D58="","Pick project",IF(ISNA(MATCH(D58,ProjNames,0)),"Project not in list",IF(G58="","Add task description",IF(H58="","Pick NTIME or P6",IF(N(I58)&lt;=0,"Enter hours",IF(AND(AllowOT&lt;&gt;"Yes",SUMIF($B$7:$B$256,B58,$I$7:$I$256)&gt;INDEX($O$58:$O$88,DAY(B58))),"Day over "&amp;INDEX($O$58:$O$88,DAY(B58))&amp;" h","✓")))))))))</f>
        <v/>
      </c>
      <c r="K58" s="1"/>
      <c r="L58" s="35" t="n">
        <v>46296</v>
      </c>
      <c r="M58" s="36" t="str">
        <f aca="false">TEXT(L58,"ddd")</f>
        <v>Thu</v>
      </c>
      <c r="N58" s="37" t="s">
        <v>93</v>
      </c>
      <c r="O58" s="37" t="n">
        <f aca="false">AvailHours</f>
        <v>8</v>
      </c>
      <c r="P58" s="24" t="n">
        <f aca="false">SUMIFS($I$7:$I$256,$B$7:$B$256,L58,$H$7:$H$256,"NTIME")</f>
        <v>0</v>
      </c>
      <c r="Q58" s="24" t="n">
        <f aca="false">SUMIFS($I$7:$I$256,$B$7:$B$256,L58,$H$7:$H$256,"P6")</f>
        <v>0</v>
      </c>
      <c r="R58" s="24" t="n">
        <f aca="false">IF(N58="Overhead only",O58,IF(AND(N58="Working",P58+Q58&gt;0),MAX(0,O58-P58-Q58),0))</f>
        <v>0</v>
      </c>
      <c r="S58" s="24" t="n">
        <f aca="false">IF(OR(N58="Working",N58="Overhead only"),MAX(0,P58+Q58-O58),0)</f>
        <v>0</v>
      </c>
      <c r="T58" s="24" t="n">
        <f aca="false">P58+Q58+R58</f>
        <v>0</v>
      </c>
      <c r="U58" s="24" t="str">
        <f aca="true">IF(N58="Working",IF(P58+Q58=0,IF(L58&lt;=TODAY(),"Not logged",""),IF(P58+Q58&gt;O58,IF(AllowOT="Yes","Overtime","Over "&amp;O58&amp;" h!"),"✓")),IF(N58="Overhead only","✓ Overhead day",IF(P58+Q58&gt;0,"Entries on "&amp;LOWER(N58)&amp;" day",N58)))</f>
        <v>Not logged</v>
      </c>
      <c r="V58" s="1"/>
      <c r="W58" s="1" t="str">
        <f aca="false">IF(Projects!B56="","",Projects!B56)</f>
        <v/>
      </c>
      <c r="X58" s="1" t="n">
        <f aca="false">IF(W58="",0,SUMIFS($I$7:$I$256,$D$7:$D$256,W58,$H$7:$H$256,"NTIME"))</f>
        <v>0</v>
      </c>
      <c r="Y58" s="1" t="n">
        <f aca="false">IF(W58="",0,SUMIFS($I$7:$I$256,$D$7:$D$256,W58,$H$7:$H$256,"P6"))</f>
        <v>0</v>
      </c>
      <c r="Z58" s="1" t="n">
        <f aca="false">X58+Y58</f>
        <v>0</v>
      </c>
      <c r="AA58" s="1" t="n">
        <f aca="false">IF(Z58&gt;0,Z58+(201-52)/10^6,0)</f>
        <v>0</v>
      </c>
      <c r="AB58" s="1"/>
      <c r="AC58" s="1"/>
      <c r="AD58" s="1"/>
      <c r="AE58" s="1"/>
      <c r="AF58" s="1"/>
      <c r="AG58" s="1"/>
      <c r="AH58" s="1"/>
    </row>
    <row r="59" customFormat="false" ht="15" hidden="false" customHeight="false" outlineLevel="0" collapsed="false">
      <c r="A59" s="1"/>
      <c r="B59" s="10"/>
      <c r="C59" s="31" t="str">
        <f aca="false">IF(B59="","",TEXT(B59,"ddd"))</f>
        <v/>
      </c>
      <c r="D59" s="11"/>
      <c r="E59" s="8" t="str">
        <f aca="false">IF(D59="","",IFERROR(INDEX(ProjNumbers,MATCH(D59,ProjNames,0)),""))</f>
        <v/>
      </c>
      <c r="F59" s="8" t="str">
        <f aca="false">IF(D59="","",IFERROR(INDEX(ProjCodes,MATCH(D59,ProjNames,0)),""))</f>
        <v/>
      </c>
      <c r="G59" s="32"/>
      <c r="H59" s="11"/>
      <c r="I59" s="33"/>
      <c r="J59" s="8" t="str">
        <f aca="false">IF(COUNTA(B59,D59,G59,H59,I59)=0,"",IF(B59="","Enter date",IF(OR(B59&lt;$AC$2,B59&gt;$AC$3),"Date not in October",IF(D59="","Pick project",IF(ISNA(MATCH(D59,ProjNames,0)),"Project not in list",IF(G59="","Add task description",IF(H59="","Pick NTIME or P6",IF(N(I59)&lt;=0,"Enter hours",IF(AND(AllowOT&lt;&gt;"Yes",SUMIF($B$7:$B$256,B59,$I$7:$I$256)&gt;INDEX($O$58:$O$88,DAY(B59))),"Day over "&amp;INDEX($O$58:$O$88,DAY(B59))&amp;" h","✓")))))))))</f>
        <v/>
      </c>
      <c r="K59" s="1"/>
      <c r="L59" s="35" t="n">
        <v>46297</v>
      </c>
      <c r="M59" s="36" t="str">
        <f aca="false">TEXT(L59,"ddd")</f>
        <v>Fri</v>
      </c>
      <c r="N59" s="37" t="s">
        <v>93</v>
      </c>
      <c r="O59" s="37" t="n">
        <f aca="false">AvailHours</f>
        <v>8</v>
      </c>
      <c r="P59" s="24" t="n">
        <f aca="false">SUMIFS($I$7:$I$256,$B$7:$B$256,L59,$H$7:$H$256,"NTIME")</f>
        <v>0</v>
      </c>
      <c r="Q59" s="24" t="n">
        <f aca="false">SUMIFS($I$7:$I$256,$B$7:$B$256,L59,$H$7:$H$256,"P6")</f>
        <v>0</v>
      </c>
      <c r="R59" s="24" t="n">
        <f aca="false">IF(N59="Overhead only",O59,IF(AND(N59="Working",P59+Q59&gt;0),MAX(0,O59-P59-Q59),0))</f>
        <v>0</v>
      </c>
      <c r="S59" s="24" t="n">
        <f aca="false">IF(OR(N59="Working",N59="Overhead only"),MAX(0,P59+Q59-O59),0)</f>
        <v>0</v>
      </c>
      <c r="T59" s="24" t="n">
        <f aca="false">P59+Q59+R59</f>
        <v>0</v>
      </c>
      <c r="U59" s="24" t="str">
        <f aca="true">IF(N59="Working",IF(P59+Q59=0,IF(L59&lt;=TODAY(),"Not logged",""),IF(P59+Q59&gt;O59,IF(AllowOT="Yes","Overtime","Over "&amp;O59&amp;" h!"),"✓")),IF(N59="Overhead only","✓ Overhead day",IF(P59+Q59&gt;0,"Entries on "&amp;LOWER(N59)&amp;" day",N59)))</f>
        <v>Not logged</v>
      </c>
      <c r="V59" s="1"/>
      <c r="W59" s="1" t="str">
        <f aca="false">IF(Projects!B57="","",Projects!B57)</f>
        <v/>
      </c>
      <c r="X59" s="1" t="n">
        <f aca="false">IF(W59="",0,SUMIFS($I$7:$I$256,$D$7:$D$256,W59,$H$7:$H$256,"NTIME"))</f>
        <v>0</v>
      </c>
      <c r="Y59" s="1" t="n">
        <f aca="false">IF(W59="",0,SUMIFS($I$7:$I$256,$D$7:$D$256,W59,$H$7:$H$256,"P6"))</f>
        <v>0</v>
      </c>
      <c r="Z59" s="1" t="n">
        <f aca="false">X59+Y59</f>
        <v>0</v>
      </c>
      <c r="AA59" s="1" t="n">
        <f aca="false">IF(Z59&gt;0,Z59+(201-53)/10^6,0)</f>
        <v>0</v>
      </c>
      <c r="AB59" s="1"/>
      <c r="AC59" s="1"/>
      <c r="AD59" s="1"/>
      <c r="AE59" s="1"/>
      <c r="AF59" s="1"/>
      <c r="AG59" s="1"/>
      <c r="AH59" s="1"/>
    </row>
    <row r="60" customFormat="false" ht="15" hidden="false" customHeight="false" outlineLevel="0" collapsed="false">
      <c r="A60" s="1"/>
      <c r="B60" s="10"/>
      <c r="C60" s="31" t="str">
        <f aca="false">IF(B60="","",TEXT(B60,"ddd"))</f>
        <v/>
      </c>
      <c r="D60" s="11"/>
      <c r="E60" s="8" t="str">
        <f aca="false">IF(D60="","",IFERROR(INDEX(ProjNumbers,MATCH(D60,ProjNames,0)),""))</f>
        <v/>
      </c>
      <c r="F60" s="8" t="str">
        <f aca="false">IF(D60="","",IFERROR(INDEX(ProjCodes,MATCH(D60,ProjNames,0)),""))</f>
        <v/>
      </c>
      <c r="G60" s="32"/>
      <c r="H60" s="11"/>
      <c r="I60" s="33"/>
      <c r="J60" s="8" t="str">
        <f aca="false">IF(COUNTA(B60,D60,G60,H60,I60)=0,"",IF(B60="","Enter date",IF(OR(B60&lt;$AC$2,B60&gt;$AC$3),"Date not in October",IF(D60="","Pick project",IF(ISNA(MATCH(D60,ProjNames,0)),"Project not in list",IF(G60="","Add task description",IF(H60="","Pick NTIME or P6",IF(N(I60)&lt;=0,"Enter hours",IF(AND(AllowOT&lt;&gt;"Yes",SUMIF($B$7:$B$256,B60,$I$7:$I$256)&gt;INDEX($O$58:$O$88,DAY(B60))),"Day over "&amp;INDEX($O$58:$O$88,DAY(B60))&amp;" h","✓")))))))))</f>
        <v/>
      </c>
      <c r="K60" s="1"/>
      <c r="L60" s="35" t="n">
        <v>46298</v>
      </c>
      <c r="M60" s="36" t="str">
        <f aca="false">TEXT(L60,"ddd")</f>
        <v>Sat</v>
      </c>
      <c r="N60" s="37" t="s">
        <v>94</v>
      </c>
      <c r="O60" s="37" t="n">
        <f aca="false">AvailHours</f>
        <v>8</v>
      </c>
      <c r="P60" s="24" t="n">
        <f aca="false">SUMIFS($I$7:$I$256,$B$7:$B$256,L60,$H$7:$H$256,"NTIME")</f>
        <v>0</v>
      </c>
      <c r="Q60" s="24" t="n">
        <f aca="false">SUMIFS($I$7:$I$256,$B$7:$B$256,L60,$H$7:$H$256,"P6")</f>
        <v>0</v>
      </c>
      <c r="R60" s="24" t="n">
        <f aca="false">IF(N60="Overhead only",O60,IF(AND(N60="Working",P60+Q60&gt;0),MAX(0,O60-P60-Q60),0))</f>
        <v>0</v>
      </c>
      <c r="S60" s="24" t="n">
        <f aca="false">IF(OR(N60="Working",N60="Overhead only"),MAX(0,P60+Q60-O60),0)</f>
        <v>0</v>
      </c>
      <c r="T60" s="24" t="n">
        <f aca="false">P60+Q60+R60</f>
        <v>0</v>
      </c>
      <c r="U60" s="24" t="str">
        <f aca="true">IF(N60="Working",IF(P60+Q60=0,IF(L60&lt;=TODAY(),"Not logged",""),IF(P60+Q60&gt;O60,IF(AllowOT="Yes","Overtime","Over "&amp;O60&amp;" h!"),"✓")),IF(N60="Overhead only","✓ Overhead day",IF(P60+Q60&gt;0,"Entries on "&amp;LOWER(N60)&amp;" day",N60)))</f>
        <v>Weekend</v>
      </c>
      <c r="V60" s="1"/>
      <c r="W60" s="1" t="str">
        <f aca="false">IF(Projects!B58="","",Projects!B58)</f>
        <v/>
      </c>
      <c r="X60" s="1" t="n">
        <f aca="false">IF(W60="",0,SUMIFS($I$7:$I$256,$D$7:$D$256,W60,$H$7:$H$256,"NTIME"))</f>
        <v>0</v>
      </c>
      <c r="Y60" s="1" t="n">
        <f aca="false">IF(W60="",0,SUMIFS($I$7:$I$256,$D$7:$D$256,W60,$H$7:$H$256,"P6"))</f>
        <v>0</v>
      </c>
      <c r="Z60" s="1" t="n">
        <f aca="false">X60+Y60</f>
        <v>0</v>
      </c>
      <c r="AA60" s="1" t="n">
        <f aca="false">IF(Z60&gt;0,Z60+(201-54)/10^6,0)</f>
        <v>0</v>
      </c>
      <c r="AB60" s="1"/>
      <c r="AC60" s="1"/>
      <c r="AD60" s="1"/>
      <c r="AE60" s="1"/>
      <c r="AF60" s="1"/>
      <c r="AG60" s="1"/>
      <c r="AH60" s="1"/>
    </row>
    <row r="61" customFormat="false" ht="15" hidden="false" customHeight="false" outlineLevel="0" collapsed="false">
      <c r="A61" s="1"/>
      <c r="B61" s="10"/>
      <c r="C61" s="31" t="str">
        <f aca="false">IF(B61="","",TEXT(B61,"ddd"))</f>
        <v/>
      </c>
      <c r="D61" s="11"/>
      <c r="E61" s="8" t="str">
        <f aca="false">IF(D61="","",IFERROR(INDEX(ProjNumbers,MATCH(D61,ProjNames,0)),""))</f>
        <v/>
      </c>
      <c r="F61" s="8" t="str">
        <f aca="false">IF(D61="","",IFERROR(INDEX(ProjCodes,MATCH(D61,ProjNames,0)),""))</f>
        <v/>
      </c>
      <c r="G61" s="32"/>
      <c r="H61" s="11"/>
      <c r="I61" s="33"/>
      <c r="J61" s="8" t="str">
        <f aca="false">IF(COUNTA(B61,D61,G61,H61,I61)=0,"",IF(B61="","Enter date",IF(OR(B61&lt;$AC$2,B61&gt;$AC$3),"Date not in October",IF(D61="","Pick project",IF(ISNA(MATCH(D61,ProjNames,0)),"Project not in list",IF(G61="","Add task description",IF(H61="","Pick NTIME or P6",IF(N(I61)&lt;=0,"Enter hours",IF(AND(AllowOT&lt;&gt;"Yes",SUMIF($B$7:$B$256,B61,$I$7:$I$256)&gt;INDEX($O$58:$O$88,DAY(B61))),"Day over "&amp;INDEX($O$58:$O$88,DAY(B61))&amp;" h","✓")))))))))</f>
        <v/>
      </c>
      <c r="K61" s="1"/>
      <c r="L61" s="35" t="n">
        <v>46299</v>
      </c>
      <c r="M61" s="36" t="str">
        <f aca="false">TEXT(L61,"ddd")</f>
        <v>Sun</v>
      </c>
      <c r="N61" s="37" t="s">
        <v>94</v>
      </c>
      <c r="O61" s="37" t="n">
        <f aca="false">AvailHours</f>
        <v>8</v>
      </c>
      <c r="P61" s="24" t="n">
        <f aca="false">SUMIFS($I$7:$I$256,$B$7:$B$256,L61,$H$7:$H$256,"NTIME")</f>
        <v>0</v>
      </c>
      <c r="Q61" s="24" t="n">
        <f aca="false">SUMIFS($I$7:$I$256,$B$7:$B$256,L61,$H$7:$H$256,"P6")</f>
        <v>0</v>
      </c>
      <c r="R61" s="24" t="n">
        <f aca="false">IF(N61="Overhead only",O61,IF(AND(N61="Working",P61+Q61&gt;0),MAX(0,O61-P61-Q61),0))</f>
        <v>0</v>
      </c>
      <c r="S61" s="24" t="n">
        <f aca="false">IF(OR(N61="Working",N61="Overhead only"),MAX(0,P61+Q61-O61),0)</f>
        <v>0</v>
      </c>
      <c r="T61" s="24" t="n">
        <f aca="false">P61+Q61+R61</f>
        <v>0</v>
      </c>
      <c r="U61" s="24" t="str">
        <f aca="true">IF(N61="Working",IF(P61+Q61=0,IF(L61&lt;=TODAY(),"Not logged",""),IF(P61+Q61&gt;O61,IF(AllowOT="Yes","Overtime","Over "&amp;O61&amp;" h!"),"✓")),IF(N61="Overhead only","✓ Overhead day",IF(P61+Q61&gt;0,"Entries on "&amp;LOWER(N61)&amp;" day",N61)))</f>
        <v>Weekend</v>
      </c>
      <c r="V61" s="1"/>
      <c r="W61" s="1" t="str">
        <f aca="false">IF(Projects!B59="","",Projects!B59)</f>
        <v/>
      </c>
      <c r="X61" s="1" t="n">
        <f aca="false">IF(W61="",0,SUMIFS($I$7:$I$256,$D$7:$D$256,W61,$H$7:$H$256,"NTIME"))</f>
        <v>0</v>
      </c>
      <c r="Y61" s="1" t="n">
        <f aca="false">IF(W61="",0,SUMIFS($I$7:$I$256,$D$7:$D$256,W61,$H$7:$H$256,"P6"))</f>
        <v>0</v>
      </c>
      <c r="Z61" s="1" t="n">
        <f aca="false">X61+Y61</f>
        <v>0</v>
      </c>
      <c r="AA61" s="1" t="n">
        <f aca="false">IF(Z61&gt;0,Z61+(201-55)/10^6,0)</f>
        <v>0</v>
      </c>
      <c r="AB61" s="1"/>
      <c r="AC61" s="1"/>
      <c r="AD61" s="1"/>
      <c r="AE61" s="1"/>
      <c r="AF61" s="1"/>
      <c r="AG61" s="1"/>
      <c r="AH61" s="1"/>
    </row>
    <row r="62" customFormat="false" ht="15" hidden="false" customHeight="false" outlineLevel="0" collapsed="false">
      <c r="A62" s="1"/>
      <c r="B62" s="10"/>
      <c r="C62" s="31" t="str">
        <f aca="false">IF(B62="","",TEXT(B62,"ddd"))</f>
        <v/>
      </c>
      <c r="D62" s="11"/>
      <c r="E62" s="8" t="str">
        <f aca="false">IF(D62="","",IFERROR(INDEX(ProjNumbers,MATCH(D62,ProjNames,0)),""))</f>
        <v/>
      </c>
      <c r="F62" s="8" t="str">
        <f aca="false">IF(D62="","",IFERROR(INDEX(ProjCodes,MATCH(D62,ProjNames,0)),""))</f>
        <v/>
      </c>
      <c r="G62" s="32"/>
      <c r="H62" s="11"/>
      <c r="I62" s="33"/>
      <c r="J62" s="8" t="str">
        <f aca="false">IF(COUNTA(B62,D62,G62,H62,I62)=0,"",IF(B62="","Enter date",IF(OR(B62&lt;$AC$2,B62&gt;$AC$3),"Date not in October",IF(D62="","Pick project",IF(ISNA(MATCH(D62,ProjNames,0)),"Project not in list",IF(G62="","Add task description",IF(H62="","Pick NTIME or P6",IF(N(I62)&lt;=0,"Enter hours",IF(AND(AllowOT&lt;&gt;"Yes",SUMIF($B$7:$B$256,B62,$I$7:$I$256)&gt;INDEX($O$58:$O$88,DAY(B62))),"Day over "&amp;INDEX($O$58:$O$88,DAY(B62))&amp;" h","✓")))))))))</f>
        <v/>
      </c>
      <c r="K62" s="1"/>
      <c r="L62" s="35" t="n">
        <v>46300</v>
      </c>
      <c r="M62" s="36" t="str">
        <f aca="false">TEXT(L62,"ddd")</f>
        <v>Mon</v>
      </c>
      <c r="N62" s="37" t="s">
        <v>93</v>
      </c>
      <c r="O62" s="37" t="n">
        <f aca="false">AvailHours</f>
        <v>8</v>
      </c>
      <c r="P62" s="24" t="n">
        <f aca="false">SUMIFS($I$7:$I$256,$B$7:$B$256,L62,$H$7:$H$256,"NTIME")</f>
        <v>0</v>
      </c>
      <c r="Q62" s="24" t="n">
        <f aca="false">SUMIFS($I$7:$I$256,$B$7:$B$256,L62,$H$7:$H$256,"P6")</f>
        <v>0</v>
      </c>
      <c r="R62" s="24" t="n">
        <f aca="false">IF(N62="Overhead only",O62,IF(AND(N62="Working",P62+Q62&gt;0),MAX(0,O62-P62-Q62),0))</f>
        <v>0</v>
      </c>
      <c r="S62" s="24" t="n">
        <f aca="false">IF(OR(N62="Working",N62="Overhead only"),MAX(0,P62+Q62-O62),0)</f>
        <v>0</v>
      </c>
      <c r="T62" s="24" t="n">
        <f aca="false">P62+Q62+R62</f>
        <v>0</v>
      </c>
      <c r="U62" s="24" t="str">
        <f aca="true">IF(N62="Working",IF(P62+Q62=0,IF(L62&lt;=TODAY(),"Not logged",""),IF(P62+Q62&gt;O62,IF(AllowOT="Yes","Overtime","Over "&amp;O62&amp;" h!"),"✓")),IF(N62="Overhead only","✓ Overhead day",IF(P62+Q62&gt;0,"Entries on "&amp;LOWER(N62)&amp;" day",N62)))</f>
        <v>Not logged</v>
      </c>
      <c r="V62" s="1"/>
      <c r="W62" s="1" t="str">
        <f aca="false">IF(Projects!B60="","",Projects!B60)</f>
        <v/>
      </c>
      <c r="X62" s="1" t="n">
        <f aca="false">IF(W62="",0,SUMIFS($I$7:$I$256,$D$7:$D$256,W62,$H$7:$H$256,"NTIME"))</f>
        <v>0</v>
      </c>
      <c r="Y62" s="1" t="n">
        <f aca="false">IF(W62="",0,SUMIFS($I$7:$I$256,$D$7:$D$256,W62,$H$7:$H$256,"P6"))</f>
        <v>0</v>
      </c>
      <c r="Z62" s="1" t="n">
        <f aca="false">X62+Y62</f>
        <v>0</v>
      </c>
      <c r="AA62" s="1" t="n">
        <f aca="false">IF(Z62&gt;0,Z62+(201-56)/10^6,0)</f>
        <v>0</v>
      </c>
      <c r="AB62" s="1"/>
      <c r="AC62" s="1"/>
      <c r="AD62" s="1"/>
      <c r="AE62" s="1"/>
      <c r="AF62" s="1"/>
      <c r="AG62" s="1"/>
      <c r="AH62" s="1"/>
    </row>
    <row r="63" customFormat="false" ht="15" hidden="false" customHeight="false" outlineLevel="0" collapsed="false">
      <c r="A63" s="1"/>
      <c r="B63" s="10"/>
      <c r="C63" s="31" t="str">
        <f aca="false">IF(B63="","",TEXT(B63,"ddd"))</f>
        <v/>
      </c>
      <c r="D63" s="11"/>
      <c r="E63" s="8" t="str">
        <f aca="false">IF(D63="","",IFERROR(INDEX(ProjNumbers,MATCH(D63,ProjNames,0)),""))</f>
        <v/>
      </c>
      <c r="F63" s="8" t="str">
        <f aca="false">IF(D63="","",IFERROR(INDEX(ProjCodes,MATCH(D63,ProjNames,0)),""))</f>
        <v/>
      </c>
      <c r="G63" s="32"/>
      <c r="H63" s="11"/>
      <c r="I63" s="33"/>
      <c r="J63" s="8" t="str">
        <f aca="false">IF(COUNTA(B63,D63,G63,H63,I63)=0,"",IF(B63="","Enter date",IF(OR(B63&lt;$AC$2,B63&gt;$AC$3),"Date not in October",IF(D63="","Pick project",IF(ISNA(MATCH(D63,ProjNames,0)),"Project not in list",IF(G63="","Add task description",IF(H63="","Pick NTIME or P6",IF(N(I63)&lt;=0,"Enter hours",IF(AND(AllowOT&lt;&gt;"Yes",SUMIF($B$7:$B$256,B63,$I$7:$I$256)&gt;INDEX($O$58:$O$88,DAY(B63))),"Day over "&amp;INDEX($O$58:$O$88,DAY(B63))&amp;" h","✓")))))))))</f>
        <v/>
      </c>
      <c r="K63" s="1"/>
      <c r="L63" s="35" t="n">
        <v>46301</v>
      </c>
      <c r="M63" s="36" t="str">
        <f aca="false">TEXT(L63,"ddd")</f>
        <v>Tue</v>
      </c>
      <c r="N63" s="37" t="s">
        <v>93</v>
      </c>
      <c r="O63" s="37" t="n">
        <f aca="false">AvailHours</f>
        <v>8</v>
      </c>
      <c r="P63" s="24" t="n">
        <f aca="false">SUMIFS($I$7:$I$256,$B$7:$B$256,L63,$H$7:$H$256,"NTIME")</f>
        <v>0</v>
      </c>
      <c r="Q63" s="24" t="n">
        <f aca="false">SUMIFS($I$7:$I$256,$B$7:$B$256,L63,$H$7:$H$256,"P6")</f>
        <v>0</v>
      </c>
      <c r="R63" s="24" t="n">
        <f aca="false">IF(N63="Overhead only",O63,IF(AND(N63="Working",P63+Q63&gt;0),MAX(0,O63-P63-Q63),0))</f>
        <v>0</v>
      </c>
      <c r="S63" s="24" t="n">
        <f aca="false">IF(OR(N63="Working",N63="Overhead only"),MAX(0,P63+Q63-O63),0)</f>
        <v>0</v>
      </c>
      <c r="T63" s="24" t="n">
        <f aca="false">P63+Q63+R63</f>
        <v>0</v>
      </c>
      <c r="U63" s="24" t="str">
        <f aca="true">IF(N63="Working",IF(P63+Q63=0,IF(L63&lt;=TODAY(),"Not logged",""),IF(P63+Q63&gt;O63,IF(AllowOT="Yes","Overtime","Over "&amp;O63&amp;" h!"),"✓")),IF(N63="Overhead only","✓ Overhead day",IF(P63+Q63&gt;0,"Entries on "&amp;LOWER(N63)&amp;" day",N63)))</f>
        <v>Not logged</v>
      </c>
      <c r="V63" s="1"/>
      <c r="W63" s="1" t="str">
        <f aca="false">IF(Projects!B61="","",Projects!B61)</f>
        <v/>
      </c>
      <c r="X63" s="1" t="n">
        <f aca="false">IF(W63="",0,SUMIFS($I$7:$I$256,$D$7:$D$256,W63,$H$7:$H$256,"NTIME"))</f>
        <v>0</v>
      </c>
      <c r="Y63" s="1" t="n">
        <f aca="false">IF(W63="",0,SUMIFS($I$7:$I$256,$D$7:$D$256,W63,$H$7:$H$256,"P6"))</f>
        <v>0</v>
      </c>
      <c r="Z63" s="1" t="n">
        <f aca="false">X63+Y63</f>
        <v>0</v>
      </c>
      <c r="AA63" s="1" t="n">
        <f aca="false">IF(Z63&gt;0,Z63+(201-57)/10^6,0)</f>
        <v>0</v>
      </c>
      <c r="AB63" s="1"/>
      <c r="AC63" s="1"/>
      <c r="AD63" s="1"/>
      <c r="AE63" s="1"/>
      <c r="AF63" s="1"/>
      <c r="AG63" s="1"/>
      <c r="AH63" s="1"/>
    </row>
    <row r="64" customFormat="false" ht="15" hidden="false" customHeight="false" outlineLevel="0" collapsed="false">
      <c r="A64" s="1"/>
      <c r="B64" s="10"/>
      <c r="C64" s="31" t="str">
        <f aca="false">IF(B64="","",TEXT(B64,"ddd"))</f>
        <v/>
      </c>
      <c r="D64" s="11"/>
      <c r="E64" s="8" t="str">
        <f aca="false">IF(D64="","",IFERROR(INDEX(ProjNumbers,MATCH(D64,ProjNames,0)),""))</f>
        <v/>
      </c>
      <c r="F64" s="8" t="str">
        <f aca="false">IF(D64="","",IFERROR(INDEX(ProjCodes,MATCH(D64,ProjNames,0)),""))</f>
        <v/>
      </c>
      <c r="G64" s="32"/>
      <c r="H64" s="11"/>
      <c r="I64" s="33"/>
      <c r="J64" s="8" t="str">
        <f aca="false">IF(COUNTA(B64,D64,G64,H64,I64)=0,"",IF(B64="","Enter date",IF(OR(B64&lt;$AC$2,B64&gt;$AC$3),"Date not in October",IF(D64="","Pick project",IF(ISNA(MATCH(D64,ProjNames,0)),"Project not in list",IF(G64="","Add task description",IF(H64="","Pick NTIME or P6",IF(N(I64)&lt;=0,"Enter hours",IF(AND(AllowOT&lt;&gt;"Yes",SUMIF($B$7:$B$256,B64,$I$7:$I$256)&gt;INDEX($O$58:$O$88,DAY(B64))),"Day over "&amp;INDEX($O$58:$O$88,DAY(B64))&amp;" h","✓")))))))))</f>
        <v/>
      </c>
      <c r="K64" s="1"/>
      <c r="L64" s="35" t="n">
        <v>46302</v>
      </c>
      <c r="M64" s="36" t="str">
        <f aca="false">TEXT(L64,"ddd")</f>
        <v>Wed</v>
      </c>
      <c r="N64" s="37" t="s">
        <v>93</v>
      </c>
      <c r="O64" s="37" t="n">
        <f aca="false">AvailHours</f>
        <v>8</v>
      </c>
      <c r="P64" s="24" t="n">
        <f aca="false">SUMIFS($I$7:$I$256,$B$7:$B$256,L64,$H$7:$H$256,"NTIME")</f>
        <v>0</v>
      </c>
      <c r="Q64" s="24" t="n">
        <f aca="false">SUMIFS($I$7:$I$256,$B$7:$B$256,L64,$H$7:$H$256,"P6")</f>
        <v>0</v>
      </c>
      <c r="R64" s="24" t="n">
        <f aca="false">IF(N64="Overhead only",O64,IF(AND(N64="Working",P64+Q64&gt;0),MAX(0,O64-P64-Q64),0))</f>
        <v>0</v>
      </c>
      <c r="S64" s="24" t="n">
        <f aca="false">IF(OR(N64="Working",N64="Overhead only"),MAX(0,P64+Q64-O64),0)</f>
        <v>0</v>
      </c>
      <c r="T64" s="24" t="n">
        <f aca="false">P64+Q64+R64</f>
        <v>0</v>
      </c>
      <c r="U64" s="24" t="str">
        <f aca="true">IF(N64="Working",IF(P64+Q64=0,IF(L64&lt;=TODAY(),"Not logged",""),IF(P64+Q64&gt;O64,IF(AllowOT="Yes","Overtime","Over "&amp;O64&amp;" h!"),"✓")),IF(N64="Overhead only","✓ Overhead day",IF(P64+Q64&gt;0,"Entries on "&amp;LOWER(N64)&amp;" day",N64)))</f>
        <v>Not logged</v>
      </c>
      <c r="V64" s="1"/>
      <c r="W64" s="1" t="str">
        <f aca="false">IF(Projects!B62="","",Projects!B62)</f>
        <v/>
      </c>
      <c r="X64" s="1" t="n">
        <f aca="false">IF(W64="",0,SUMIFS($I$7:$I$256,$D$7:$D$256,W64,$H$7:$H$256,"NTIME"))</f>
        <v>0</v>
      </c>
      <c r="Y64" s="1" t="n">
        <f aca="false">IF(W64="",0,SUMIFS($I$7:$I$256,$D$7:$D$256,W64,$H$7:$H$256,"P6"))</f>
        <v>0</v>
      </c>
      <c r="Z64" s="1" t="n">
        <f aca="false">X64+Y64</f>
        <v>0</v>
      </c>
      <c r="AA64" s="1" t="n">
        <f aca="false">IF(Z64&gt;0,Z64+(201-58)/10^6,0)</f>
        <v>0</v>
      </c>
      <c r="AB64" s="1"/>
      <c r="AC64" s="1"/>
      <c r="AD64" s="1"/>
      <c r="AE64" s="1"/>
      <c r="AF64" s="1"/>
      <c r="AG64" s="1"/>
      <c r="AH64" s="1"/>
    </row>
    <row r="65" customFormat="false" ht="15" hidden="false" customHeight="false" outlineLevel="0" collapsed="false">
      <c r="A65" s="1"/>
      <c r="B65" s="10"/>
      <c r="C65" s="31" t="str">
        <f aca="false">IF(B65="","",TEXT(B65,"ddd"))</f>
        <v/>
      </c>
      <c r="D65" s="11"/>
      <c r="E65" s="8" t="str">
        <f aca="false">IF(D65="","",IFERROR(INDEX(ProjNumbers,MATCH(D65,ProjNames,0)),""))</f>
        <v/>
      </c>
      <c r="F65" s="8" t="str">
        <f aca="false">IF(D65="","",IFERROR(INDEX(ProjCodes,MATCH(D65,ProjNames,0)),""))</f>
        <v/>
      </c>
      <c r="G65" s="32"/>
      <c r="H65" s="11"/>
      <c r="I65" s="33"/>
      <c r="J65" s="8" t="str">
        <f aca="false">IF(COUNTA(B65,D65,G65,H65,I65)=0,"",IF(B65="","Enter date",IF(OR(B65&lt;$AC$2,B65&gt;$AC$3),"Date not in October",IF(D65="","Pick project",IF(ISNA(MATCH(D65,ProjNames,0)),"Project not in list",IF(G65="","Add task description",IF(H65="","Pick NTIME or P6",IF(N(I65)&lt;=0,"Enter hours",IF(AND(AllowOT&lt;&gt;"Yes",SUMIF($B$7:$B$256,B65,$I$7:$I$256)&gt;INDEX($O$58:$O$88,DAY(B65))),"Day over "&amp;INDEX($O$58:$O$88,DAY(B65))&amp;" h","✓")))))))))</f>
        <v/>
      </c>
      <c r="K65" s="1"/>
      <c r="L65" s="35" t="n">
        <v>46303</v>
      </c>
      <c r="M65" s="36" t="str">
        <f aca="false">TEXT(L65,"ddd")</f>
        <v>Thu</v>
      </c>
      <c r="N65" s="37" t="s">
        <v>93</v>
      </c>
      <c r="O65" s="37" t="n">
        <f aca="false">AvailHours</f>
        <v>8</v>
      </c>
      <c r="P65" s="24" t="n">
        <f aca="false">SUMIFS($I$7:$I$256,$B$7:$B$256,L65,$H$7:$H$256,"NTIME")</f>
        <v>0</v>
      </c>
      <c r="Q65" s="24" t="n">
        <f aca="false">SUMIFS($I$7:$I$256,$B$7:$B$256,L65,$H$7:$H$256,"P6")</f>
        <v>0</v>
      </c>
      <c r="R65" s="24" t="n">
        <f aca="false">IF(N65="Overhead only",O65,IF(AND(N65="Working",P65+Q65&gt;0),MAX(0,O65-P65-Q65),0))</f>
        <v>0</v>
      </c>
      <c r="S65" s="24" t="n">
        <f aca="false">IF(OR(N65="Working",N65="Overhead only"),MAX(0,P65+Q65-O65),0)</f>
        <v>0</v>
      </c>
      <c r="T65" s="24" t="n">
        <f aca="false">P65+Q65+R65</f>
        <v>0</v>
      </c>
      <c r="U65" s="24" t="str">
        <f aca="true">IF(N65="Working",IF(P65+Q65=0,IF(L65&lt;=TODAY(),"Not logged",""),IF(P65+Q65&gt;O65,IF(AllowOT="Yes","Overtime","Over "&amp;O65&amp;" h!"),"✓")),IF(N65="Overhead only","✓ Overhead day",IF(P65+Q65&gt;0,"Entries on "&amp;LOWER(N65)&amp;" day",N65)))</f>
        <v>Not logged</v>
      </c>
      <c r="V65" s="1"/>
      <c r="W65" s="1" t="str">
        <f aca="false">IF(Projects!B63="","",Projects!B63)</f>
        <v/>
      </c>
      <c r="X65" s="1" t="n">
        <f aca="false">IF(W65="",0,SUMIFS($I$7:$I$256,$D$7:$D$256,W65,$H$7:$H$256,"NTIME"))</f>
        <v>0</v>
      </c>
      <c r="Y65" s="1" t="n">
        <f aca="false">IF(W65="",0,SUMIFS($I$7:$I$256,$D$7:$D$256,W65,$H$7:$H$256,"P6"))</f>
        <v>0</v>
      </c>
      <c r="Z65" s="1" t="n">
        <f aca="false">X65+Y65</f>
        <v>0</v>
      </c>
      <c r="AA65" s="1" t="n">
        <f aca="false">IF(Z65&gt;0,Z65+(201-59)/10^6,0)</f>
        <v>0</v>
      </c>
      <c r="AB65" s="1"/>
      <c r="AC65" s="1"/>
      <c r="AD65" s="1"/>
      <c r="AE65" s="1"/>
      <c r="AF65" s="1"/>
      <c r="AG65" s="1"/>
      <c r="AH65" s="1"/>
    </row>
    <row r="66" customFormat="false" ht="15" hidden="false" customHeight="false" outlineLevel="0" collapsed="false">
      <c r="A66" s="1"/>
      <c r="B66" s="10"/>
      <c r="C66" s="31" t="str">
        <f aca="false">IF(B66="","",TEXT(B66,"ddd"))</f>
        <v/>
      </c>
      <c r="D66" s="11"/>
      <c r="E66" s="8" t="str">
        <f aca="false">IF(D66="","",IFERROR(INDEX(ProjNumbers,MATCH(D66,ProjNames,0)),""))</f>
        <v/>
      </c>
      <c r="F66" s="8" t="str">
        <f aca="false">IF(D66="","",IFERROR(INDEX(ProjCodes,MATCH(D66,ProjNames,0)),""))</f>
        <v/>
      </c>
      <c r="G66" s="32"/>
      <c r="H66" s="11"/>
      <c r="I66" s="33"/>
      <c r="J66" s="8" t="str">
        <f aca="false">IF(COUNTA(B66,D66,G66,H66,I66)=0,"",IF(B66="","Enter date",IF(OR(B66&lt;$AC$2,B66&gt;$AC$3),"Date not in October",IF(D66="","Pick project",IF(ISNA(MATCH(D66,ProjNames,0)),"Project not in list",IF(G66="","Add task description",IF(H66="","Pick NTIME or P6",IF(N(I66)&lt;=0,"Enter hours",IF(AND(AllowOT&lt;&gt;"Yes",SUMIF($B$7:$B$256,B66,$I$7:$I$256)&gt;INDEX($O$58:$O$88,DAY(B66))),"Day over "&amp;INDEX($O$58:$O$88,DAY(B66))&amp;" h","✓")))))))))</f>
        <v/>
      </c>
      <c r="K66" s="1"/>
      <c r="L66" s="35" t="n">
        <v>46304</v>
      </c>
      <c r="M66" s="36" t="str">
        <f aca="false">TEXT(L66,"ddd")</f>
        <v>Fri</v>
      </c>
      <c r="N66" s="37" t="s">
        <v>93</v>
      </c>
      <c r="O66" s="37" t="n">
        <f aca="false">AvailHours</f>
        <v>8</v>
      </c>
      <c r="P66" s="24" t="n">
        <f aca="false">SUMIFS($I$7:$I$256,$B$7:$B$256,L66,$H$7:$H$256,"NTIME")</f>
        <v>0</v>
      </c>
      <c r="Q66" s="24" t="n">
        <f aca="false">SUMIFS($I$7:$I$256,$B$7:$B$256,L66,$H$7:$H$256,"P6")</f>
        <v>0</v>
      </c>
      <c r="R66" s="24" t="n">
        <f aca="false">IF(N66="Overhead only",O66,IF(AND(N66="Working",P66+Q66&gt;0),MAX(0,O66-P66-Q66),0))</f>
        <v>0</v>
      </c>
      <c r="S66" s="24" t="n">
        <f aca="false">IF(OR(N66="Working",N66="Overhead only"),MAX(0,P66+Q66-O66),0)</f>
        <v>0</v>
      </c>
      <c r="T66" s="24" t="n">
        <f aca="false">P66+Q66+R66</f>
        <v>0</v>
      </c>
      <c r="U66" s="24" t="str">
        <f aca="true">IF(N66="Working",IF(P66+Q66=0,IF(L66&lt;=TODAY(),"Not logged",""),IF(P66+Q66&gt;O66,IF(AllowOT="Yes","Overtime","Over "&amp;O66&amp;" h!"),"✓")),IF(N66="Overhead only","✓ Overhead day",IF(P66+Q66&gt;0,"Entries on "&amp;LOWER(N66)&amp;" day",N66)))</f>
        <v>Not logged</v>
      </c>
      <c r="V66" s="1"/>
      <c r="W66" s="1" t="str">
        <f aca="false">IF(Projects!B64="","",Projects!B64)</f>
        <v/>
      </c>
      <c r="X66" s="1" t="n">
        <f aca="false">IF(W66="",0,SUMIFS($I$7:$I$256,$D$7:$D$256,W66,$H$7:$H$256,"NTIME"))</f>
        <v>0</v>
      </c>
      <c r="Y66" s="1" t="n">
        <f aca="false">IF(W66="",0,SUMIFS($I$7:$I$256,$D$7:$D$256,W66,$H$7:$H$256,"P6"))</f>
        <v>0</v>
      </c>
      <c r="Z66" s="1" t="n">
        <f aca="false">X66+Y66</f>
        <v>0</v>
      </c>
      <c r="AA66" s="1" t="n">
        <f aca="false">IF(Z66&gt;0,Z66+(201-60)/10^6,0)</f>
        <v>0</v>
      </c>
      <c r="AB66" s="1"/>
      <c r="AC66" s="1"/>
      <c r="AD66" s="1"/>
      <c r="AE66" s="1"/>
      <c r="AF66" s="1"/>
      <c r="AG66" s="1"/>
      <c r="AH66" s="1"/>
    </row>
    <row r="67" customFormat="false" ht="15" hidden="false" customHeight="false" outlineLevel="0" collapsed="false">
      <c r="A67" s="1"/>
      <c r="B67" s="10"/>
      <c r="C67" s="31" t="str">
        <f aca="false">IF(B67="","",TEXT(B67,"ddd"))</f>
        <v/>
      </c>
      <c r="D67" s="11"/>
      <c r="E67" s="8" t="str">
        <f aca="false">IF(D67="","",IFERROR(INDEX(ProjNumbers,MATCH(D67,ProjNames,0)),""))</f>
        <v/>
      </c>
      <c r="F67" s="8" t="str">
        <f aca="false">IF(D67="","",IFERROR(INDEX(ProjCodes,MATCH(D67,ProjNames,0)),""))</f>
        <v/>
      </c>
      <c r="G67" s="32"/>
      <c r="H67" s="11"/>
      <c r="I67" s="33"/>
      <c r="J67" s="8" t="str">
        <f aca="false">IF(COUNTA(B67,D67,G67,H67,I67)=0,"",IF(B67="","Enter date",IF(OR(B67&lt;$AC$2,B67&gt;$AC$3),"Date not in October",IF(D67="","Pick project",IF(ISNA(MATCH(D67,ProjNames,0)),"Project not in list",IF(G67="","Add task description",IF(H67="","Pick NTIME or P6",IF(N(I67)&lt;=0,"Enter hours",IF(AND(AllowOT&lt;&gt;"Yes",SUMIF($B$7:$B$256,B67,$I$7:$I$256)&gt;INDEX($O$58:$O$88,DAY(B67))),"Day over "&amp;INDEX($O$58:$O$88,DAY(B67))&amp;" h","✓")))))))))</f>
        <v/>
      </c>
      <c r="K67" s="1"/>
      <c r="L67" s="35" t="n">
        <v>46305</v>
      </c>
      <c r="M67" s="36" t="str">
        <f aca="false">TEXT(L67,"ddd")</f>
        <v>Sat</v>
      </c>
      <c r="N67" s="37" t="s">
        <v>94</v>
      </c>
      <c r="O67" s="37" t="n">
        <f aca="false">AvailHours</f>
        <v>8</v>
      </c>
      <c r="P67" s="24" t="n">
        <f aca="false">SUMIFS($I$7:$I$256,$B$7:$B$256,L67,$H$7:$H$256,"NTIME")</f>
        <v>0</v>
      </c>
      <c r="Q67" s="24" t="n">
        <f aca="false">SUMIFS($I$7:$I$256,$B$7:$B$256,L67,$H$7:$H$256,"P6")</f>
        <v>0</v>
      </c>
      <c r="R67" s="24" t="n">
        <f aca="false">IF(N67="Overhead only",O67,IF(AND(N67="Working",P67+Q67&gt;0),MAX(0,O67-P67-Q67),0))</f>
        <v>0</v>
      </c>
      <c r="S67" s="24" t="n">
        <f aca="false">IF(OR(N67="Working",N67="Overhead only"),MAX(0,P67+Q67-O67),0)</f>
        <v>0</v>
      </c>
      <c r="T67" s="24" t="n">
        <f aca="false">P67+Q67+R67</f>
        <v>0</v>
      </c>
      <c r="U67" s="24" t="str">
        <f aca="true">IF(N67="Working",IF(P67+Q67=0,IF(L67&lt;=TODAY(),"Not logged",""),IF(P67+Q67&gt;O67,IF(AllowOT="Yes","Overtime","Over "&amp;O67&amp;" h!"),"✓")),IF(N67="Overhead only","✓ Overhead day",IF(P67+Q67&gt;0,"Entries on "&amp;LOWER(N67)&amp;" day",N67)))</f>
        <v>Weekend</v>
      </c>
      <c r="V67" s="1"/>
      <c r="W67" s="1" t="str">
        <f aca="false">IF(Projects!B65="","",Projects!B65)</f>
        <v/>
      </c>
      <c r="X67" s="1" t="n">
        <f aca="false">IF(W67="",0,SUMIFS($I$7:$I$256,$D$7:$D$256,W67,$H$7:$H$256,"NTIME"))</f>
        <v>0</v>
      </c>
      <c r="Y67" s="1" t="n">
        <f aca="false">IF(W67="",0,SUMIFS($I$7:$I$256,$D$7:$D$256,W67,$H$7:$H$256,"P6"))</f>
        <v>0</v>
      </c>
      <c r="Z67" s="1" t="n">
        <f aca="false">X67+Y67</f>
        <v>0</v>
      </c>
      <c r="AA67" s="1" t="n">
        <f aca="false">IF(Z67&gt;0,Z67+(201-61)/10^6,0)</f>
        <v>0</v>
      </c>
      <c r="AB67" s="1"/>
      <c r="AC67" s="1"/>
      <c r="AD67" s="1"/>
      <c r="AE67" s="1"/>
      <c r="AF67" s="1"/>
      <c r="AG67" s="1"/>
      <c r="AH67" s="1"/>
    </row>
    <row r="68" customFormat="false" ht="15" hidden="false" customHeight="false" outlineLevel="0" collapsed="false">
      <c r="A68" s="1"/>
      <c r="B68" s="10"/>
      <c r="C68" s="31" t="str">
        <f aca="false">IF(B68="","",TEXT(B68,"ddd"))</f>
        <v/>
      </c>
      <c r="D68" s="11"/>
      <c r="E68" s="8" t="str">
        <f aca="false">IF(D68="","",IFERROR(INDEX(ProjNumbers,MATCH(D68,ProjNames,0)),""))</f>
        <v/>
      </c>
      <c r="F68" s="8" t="str">
        <f aca="false">IF(D68="","",IFERROR(INDEX(ProjCodes,MATCH(D68,ProjNames,0)),""))</f>
        <v/>
      </c>
      <c r="G68" s="32"/>
      <c r="H68" s="11"/>
      <c r="I68" s="33"/>
      <c r="J68" s="8" t="str">
        <f aca="false">IF(COUNTA(B68,D68,G68,H68,I68)=0,"",IF(B68="","Enter date",IF(OR(B68&lt;$AC$2,B68&gt;$AC$3),"Date not in October",IF(D68="","Pick project",IF(ISNA(MATCH(D68,ProjNames,0)),"Project not in list",IF(G68="","Add task description",IF(H68="","Pick NTIME or P6",IF(N(I68)&lt;=0,"Enter hours",IF(AND(AllowOT&lt;&gt;"Yes",SUMIF($B$7:$B$256,B68,$I$7:$I$256)&gt;INDEX($O$58:$O$88,DAY(B68))),"Day over "&amp;INDEX($O$58:$O$88,DAY(B68))&amp;" h","✓")))))))))</f>
        <v/>
      </c>
      <c r="K68" s="1"/>
      <c r="L68" s="35" t="n">
        <v>46306</v>
      </c>
      <c r="M68" s="36" t="str">
        <f aca="false">TEXT(L68,"ddd")</f>
        <v>Sun</v>
      </c>
      <c r="N68" s="37" t="s">
        <v>94</v>
      </c>
      <c r="O68" s="37" t="n">
        <f aca="false">AvailHours</f>
        <v>8</v>
      </c>
      <c r="P68" s="24" t="n">
        <f aca="false">SUMIFS($I$7:$I$256,$B$7:$B$256,L68,$H$7:$H$256,"NTIME")</f>
        <v>0</v>
      </c>
      <c r="Q68" s="24" t="n">
        <f aca="false">SUMIFS($I$7:$I$256,$B$7:$B$256,L68,$H$7:$H$256,"P6")</f>
        <v>0</v>
      </c>
      <c r="R68" s="24" t="n">
        <f aca="false">IF(N68="Overhead only",O68,IF(AND(N68="Working",P68+Q68&gt;0),MAX(0,O68-P68-Q68),0))</f>
        <v>0</v>
      </c>
      <c r="S68" s="24" t="n">
        <f aca="false">IF(OR(N68="Working",N68="Overhead only"),MAX(0,P68+Q68-O68),0)</f>
        <v>0</v>
      </c>
      <c r="T68" s="24" t="n">
        <f aca="false">P68+Q68+R68</f>
        <v>0</v>
      </c>
      <c r="U68" s="24" t="str">
        <f aca="true">IF(N68="Working",IF(P68+Q68=0,IF(L68&lt;=TODAY(),"Not logged",""),IF(P68+Q68&gt;O68,IF(AllowOT="Yes","Overtime","Over "&amp;O68&amp;" h!"),"✓")),IF(N68="Overhead only","✓ Overhead day",IF(P68+Q68&gt;0,"Entries on "&amp;LOWER(N68)&amp;" day",N68)))</f>
        <v>Weekend</v>
      </c>
      <c r="V68" s="1"/>
      <c r="W68" s="1" t="str">
        <f aca="false">IF(Projects!B66="","",Projects!B66)</f>
        <v/>
      </c>
      <c r="X68" s="1" t="n">
        <f aca="false">IF(W68="",0,SUMIFS($I$7:$I$256,$D$7:$D$256,W68,$H$7:$H$256,"NTIME"))</f>
        <v>0</v>
      </c>
      <c r="Y68" s="1" t="n">
        <f aca="false">IF(W68="",0,SUMIFS($I$7:$I$256,$D$7:$D$256,W68,$H$7:$H$256,"P6"))</f>
        <v>0</v>
      </c>
      <c r="Z68" s="1" t="n">
        <f aca="false">X68+Y68</f>
        <v>0</v>
      </c>
      <c r="AA68" s="1" t="n">
        <f aca="false">IF(Z68&gt;0,Z68+(201-62)/10^6,0)</f>
        <v>0</v>
      </c>
      <c r="AB68" s="1"/>
      <c r="AC68" s="1"/>
      <c r="AD68" s="1"/>
      <c r="AE68" s="1"/>
      <c r="AF68" s="1"/>
      <c r="AG68" s="1"/>
      <c r="AH68" s="1"/>
    </row>
    <row r="69" customFormat="false" ht="15" hidden="false" customHeight="false" outlineLevel="0" collapsed="false">
      <c r="A69" s="1"/>
      <c r="B69" s="10"/>
      <c r="C69" s="31" t="str">
        <f aca="false">IF(B69="","",TEXT(B69,"ddd"))</f>
        <v/>
      </c>
      <c r="D69" s="11"/>
      <c r="E69" s="8" t="str">
        <f aca="false">IF(D69="","",IFERROR(INDEX(ProjNumbers,MATCH(D69,ProjNames,0)),""))</f>
        <v/>
      </c>
      <c r="F69" s="8" t="str">
        <f aca="false">IF(D69="","",IFERROR(INDEX(ProjCodes,MATCH(D69,ProjNames,0)),""))</f>
        <v/>
      </c>
      <c r="G69" s="32"/>
      <c r="H69" s="11"/>
      <c r="I69" s="33"/>
      <c r="J69" s="8" t="str">
        <f aca="false">IF(COUNTA(B69,D69,G69,H69,I69)=0,"",IF(B69="","Enter date",IF(OR(B69&lt;$AC$2,B69&gt;$AC$3),"Date not in October",IF(D69="","Pick project",IF(ISNA(MATCH(D69,ProjNames,0)),"Project not in list",IF(G69="","Add task description",IF(H69="","Pick NTIME or P6",IF(N(I69)&lt;=0,"Enter hours",IF(AND(AllowOT&lt;&gt;"Yes",SUMIF($B$7:$B$256,B69,$I$7:$I$256)&gt;INDEX($O$58:$O$88,DAY(B69))),"Day over "&amp;INDEX($O$58:$O$88,DAY(B69))&amp;" h","✓")))))))))</f>
        <v/>
      </c>
      <c r="K69" s="1"/>
      <c r="L69" s="35" t="n">
        <v>46307</v>
      </c>
      <c r="M69" s="36" t="str">
        <f aca="false">TEXT(L69,"ddd")</f>
        <v>Mon</v>
      </c>
      <c r="N69" s="37" t="s">
        <v>93</v>
      </c>
      <c r="O69" s="37" t="n">
        <f aca="false">AvailHours</f>
        <v>8</v>
      </c>
      <c r="P69" s="24" t="n">
        <f aca="false">SUMIFS($I$7:$I$256,$B$7:$B$256,L69,$H$7:$H$256,"NTIME")</f>
        <v>0</v>
      </c>
      <c r="Q69" s="24" t="n">
        <f aca="false">SUMIFS($I$7:$I$256,$B$7:$B$256,L69,$H$7:$H$256,"P6")</f>
        <v>0</v>
      </c>
      <c r="R69" s="24" t="n">
        <f aca="false">IF(N69="Overhead only",O69,IF(AND(N69="Working",P69+Q69&gt;0),MAX(0,O69-P69-Q69),0))</f>
        <v>0</v>
      </c>
      <c r="S69" s="24" t="n">
        <f aca="false">IF(OR(N69="Working",N69="Overhead only"),MAX(0,P69+Q69-O69),0)</f>
        <v>0</v>
      </c>
      <c r="T69" s="24" t="n">
        <f aca="false">P69+Q69+R69</f>
        <v>0</v>
      </c>
      <c r="U69" s="24" t="str">
        <f aca="true">IF(N69="Working",IF(P69+Q69=0,IF(L69&lt;=TODAY(),"Not logged",""),IF(P69+Q69&gt;O69,IF(AllowOT="Yes","Overtime","Over "&amp;O69&amp;" h!"),"✓")),IF(N69="Overhead only","✓ Overhead day",IF(P69+Q69&gt;0,"Entries on "&amp;LOWER(N69)&amp;" day",N69)))</f>
        <v>Not logged</v>
      </c>
      <c r="V69" s="1"/>
      <c r="W69" s="1" t="str">
        <f aca="false">IF(Projects!B67="","",Projects!B67)</f>
        <v/>
      </c>
      <c r="X69" s="1" t="n">
        <f aca="false">IF(W69="",0,SUMIFS($I$7:$I$256,$D$7:$D$256,W69,$H$7:$H$256,"NTIME"))</f>
        <v>0</v>
      </c>
      <c r="Y69" s="1" t="n">
        <f aca="false">IF(W69="",0,SUMIFS($I$7:$I$256,$D$7:$D$256,W69,$H$7:$H$256,"P6"))</f>
        <v>0</v>
      </c>
      <c r="Z69" s="1" t="n">
        <f aca="false">X69+Y69</f>
        <v>0</v>
      </c>
      <c r="AA69" s="1" t="n">
        <f aca="false">IF(Z69&gt;0,Z69+(201-63)/10^6,0)</f>
        <v>0</v>
      </c>
      <c r="AB69" s="1"/>
      <c r="AC69" s="1"/>
      <c r="AD69" s="1"/>
      <c r="AE69" s="1"/>
      <c r="AF69" s="1"/>
      <c r="AG69" s="1"/>
      <c r="AH69" s="1"/>
    </row>
    <row r="70" customFormat="false" ht="15" hidden="false" customHeight="false" outlineLevel="0" collapsed="false">
      <c r="A70" s="1"/>
      <c r="B70" s="10"/>
      <c r="C70" s="31" t="str">
        <f aca="false">IF(B70="","",TEXT(B70,"ddd"))</f>
        <v/>
      </c>
      <c r="D70" s="11"/>
      <c r="E70" s="8" t="str">
        <f aca="false">IF(D70="","",IFERROR(INDEX(ProjNumbers,MATCH(D70,ProjNames,0)),""))</f>
        <v/>
      </c>
      <c r="F70" s="8" t="str">
        <f aca="false">IF(D70="","",IFERROR(INDEX(ProjCodes,MATCH(D70,ProjNames,0)),""))</f>
        <v/>
      </c>
      <c r="G70" s="32"/>
      <c r="H70" s="11"/>
      <c r="I70" s="33"/>
      <c r="J70" s="8" t="str">
        <f aca="false">IF(COUNTA(B70,D70,G70,H70,I70)=0,"",IF(B70="","Enter date",IF(OR(B70&lt;$AC$2,B70&gt;$AC$3),"Date not in October",IF(D70="","Pick project",IF(ISNA(MATCH(D70,ProjNames,0)),"Project not in list",IF(G70="","Add task description",IF(H70="","Pick NTIME or P6",IF(N(I70)&lt;=0,"Enter hours",IF(AND(AllowOT&lt;&gt;"Yes",SUMIF($B$7:$B$256,B70,$I$7:$I$256)&gt;INDEX($O$58:$O$88,DAY(B70))),"Day over "&amp;INDEX($O$58:$O$88,DAY(B70))&amp;" h","✓")))))))))</f>
        <v/>
      </c>
      <c r="K70" s="1"/>
      <c r="L70" s="35" t="n">
        <v>46308</v>
      </c>
      <c r="M70" s="36" t="str">
        <f aca="false">TEXT(L70,"ddd")</f>
        <v>Tue</v>
      </c>
      <c r="N70" s="37" t="s">
        <v>93</v>
      </c>
      <c r="O70" s="37" t="n">
        <f aca="false">AvailHours</f>
        <v>8</v>
      </c>
      <c r="P70" s="24" t="n">
        <f aca="false">SUMIFS($I$7:$I$256,$B$7:$B$256,L70,$H$7:$H$256,"NTIME")</f>
        <v>0</v>
      </c>
      <c r="Q70" s="24" t="n">
        <f aca="false">SUMIFS($I$7:$I$256,$B$7:$B$256,L70,$H$7:$H$256,"P6")</f>
        <v>0</v>
      </c>
      <c r="R70" s="24" t="n">
        <f aca="false">IF(N70="Overhead only",O70,IF(AND(N70="Working",P70+Q70&gt;0),MAX(0,O70-P70-Q70),0))</f>
        <v>0</v>
      </c>
      <c r="S70" s="24" t="n">
        <f aca="false">IF(OR(N70="Working",N70="Overhead only"),MAX(0,P70+Q70-O70),0)</f>
        <v>0</v>
      </c>
      <c r="T70" s="24" t="n">
        <f aca="false">P70+Q70+R70</f>
        <v>0</v>
      </c>
      <c r="U70" s="24" t="str">
        <f aca="true">IF(N70="Working",IF(P70+Q70=0,IF(L70&lt;=TODAY(),"Not logged",""),IF(P70+Q70&gt;O70,IF(AllowOT="Yes","Overtime","Over "&amp;O70&amp;" h!"),"✓")),IF(N70="Overhead only","✓ Overhead day",IF(P70+Q70&gt;0,"Entries on "&amp;LOWER(N70)&amp;" day",N70)))</f>
        <v>Not logged</v>
      </c>
      <c r="V70" s="1"/>
      <c r="W70" s="1" t="str">
        <f aca="false">IF(Projects!B68="","",Projects!B68)</f>
        <v/>
      </c>
      <c r="X70" s="1" t="n">
        <f aca="false">IF(W70="",0,SUMIFS($I$7:$I$256,$D$7:$D$256,W70,$H$7:$H$256,"NTIME"))</f>
        <v>0</v>
      </c>
      <c r="Y70" s="1" t="n">
        <f aca="false">IF(W70="",0,SUMIFS($I$7:$I$256,$D$7:$D$256,W70,$H$7:$H$256,"P6"))</f>
        <v>0</v>
      </c>
      <c r="Z70" s="1" t="n">
        <f aca="false">X70+Y70</f>
        <v>0</v>
      </c>
      <c r="AA70" s="1" t="n">
        <f aca="false">IF(Z70&gt;0,Z70+(201-64)/10^6,0)</f>
        <v>0</v>
      </c>
      <c r="AB70" s="1"/>
      <c r="AC70" s="1"/>
      <c r="AD70" s="1"/>
      <c r="AE70" s="1"/>
      <c r="AF70" s="1"/>
      <c r="AG70" s="1"/>
      <c r="AH70" s="1"/>
    </row>
    <row r="71" customFormat="false" ht="15" hidden="false" customHeight="false" outlineLevel="0" collapsed="false">
      <c r="A71" s="1"/>
      <c r="B71" s="10"/>
      <c r="C71" s="31" t="str">
        <f aca="false">IF(B71="","",TEXT(B71,"ddd"))</f>
        <v/>
      </c>
      <c r="D71" s="11"/>
      <c r="E71" s="8" t="str">
        <f aca="false">IF(D71="","",IFERROR(INDEX(ProjNumbers,MATCH(D71,ProjNames,0)),""))</f>
        <v/>
      </c>
      <c r="F71" s="8" t="str">
        <f aca="false">IF(D71="","",IFERROR(INDEX(ProjCodes,MATCH(D71,ProjNames,0)),""))</f>
        <v/>
      </c>
      <c r="G71" s="32"/>
      <c r="H71" s="11"/>
      <c r="I71" s="33"/>
      <c r="J71" s="8" t="str">
        <f aca="false">IF(COUNTA(B71,D71,G71,H71,I71)=0,"",IF(B71="","Enter date",IF(OR(B71&lt;$AC$2,B71&gt;$AC$3),"Date not in October",IF(D71="","Pick project",IF(ISNA(MATCH(D71,ProjNames,0)),"Project not in list",IF(G71="","Add task description",IF(H71="","Pick NTIME or P6",IF(N(I71)&lt;=0,"Enter hours",IF(AND(AllowOT&lt;&gt;"Yes",SUMIF($B$7:$B$256,B71,$I$7:$I$256)&gt;INDEX($O$58:$O$88,DAY(B71))),"Day over "&amp;INDEX($O$58:$O$88,DAY(B71))&amp;" h","✓")))))))))</f>
        <v/>
      </c>
      <c r="K71" s="1"/>
      <c r="L71" s="35" t="n">
        <v>46309</v>
      </c>
      <c r="M71" s="36" t="str">
        <f aca="false">TEXT(L71,"ddd")</f>
        <v>Wed</v>
      </c>
      <c r="N71" s="37" t="s">
        <v>93</v>
      </c>
      <c r="O71" s="37" t="n">
        <f aca="false">AvailHours</f>
        <v>8</v>
      </c>
      <c r="P71" s="24" t="n">
        <f aca="false">SUMIFS($I$7:$I$256,$B$7:$B$256,L71,$H$7:$H$256,"NTIME")</f>
        <v>0</v>
      </c>
      <c r="Q71" s="24" t="n">
        <f aca="false">SUMIFS($I$7:$I$256,$B$7:$B$256,L71,$H$7:$H$256,"P6")</f>
        <v>0</v>
      </c>
      <c r="R71" s="24" t="n">
        <f aca="false">IF(N71="Overhead only",O71,IF(AND(N71="Working",P71+Q71&gt;0),MAX(0,O71-P71-Q71),0))</f>
        <v>0</v>
      </c>
      <c r="S71" s="24" t="n">
        <f aca="false">IF(OR(N71="Working",N71="Overhead only"),MAX(0,P71+Q71-O71),0)</f>
        <v>0</v>
      </c>
      <c r="T71" s="24" t="n">
        <f aca="false">P71+Q71+R71</f>
        <v>0</v>
      </c>
      <c r="U71" s="24" t="str">
        <f aca="true">IF(N71="Working",IF(P71+Q71=0,IF(L71&lt;=TODAY(),"Not logged",""),IF(P71+Q71&gt;O71,IF(AllowOT="Yes","Overtime","Over "&amp;O71&amp;" h!"),"✓")),IF(N71="Overhead only","✓ Overhead day",IF(P71+Q71&gt;0,"Entries on "&amp;LOWER(N71)&amp;" day",N71)))</f>
        <v>Not logged</v>
      </c>
      <c r="V71" s="1"/>
      <c r="W71" s="1" t="str">
        <f aca="false">IF(Projects!B69="","",Projects!B69)</f>
        <v/>
      </c>
      <c r="X71" s="1" t="n">
        <f aca="false">IF(W71="",0,SUMIFS($I$7:$I$256,$D$7:$D$256,W71,$H$7:$H$256,"NTIME"))</f>
        <v>0</v>
      </c>
      <c r="Y71" s="1" t="n">
        <f aca="false">IF(W71="",0,SUMIFS($I$7:$I$256,$D$7:$D$256,W71,$H$7:$H$256,"P6"))</f>
        <v>0</v>
      </c>
      <c r="Z71" s="1" t="n">
        <f aca="false">X71+Y71</f>
        <v>0</v>
      </c>
      <c r="AA71" s="1" t="n">
        <f aca="false">IF(Z71&gt;0,Z71+(201-65)/10^6,0)</f>
        <v>0</v>
      </c>
      <c r="AB71" s="1"/>
      <c r="AC71" s="1"/>
      <c r="AD71" s="1"/>
      <c r="AE71" s="1"/>
      <c r="AF71" s="1"/>
      <c r="AG71" s="1"/>
      <c r="AH71" s="1"/>
    </row>
    <row r="72" customFormat="false" ht="15" hidden="false" customHeight="false" outlineLevel="0" collapsed="false">
      <c r="A72" s="1"/>
      <c r="B72" s="10"/>
      <c r="C72" s="31" t="str">
        <f aca="false">IF(B72="","",TEXT(B72,"ddd"))</f>
        <v/>
      </c>
      <c r="D72" s="11"/>
      <c r="E72" s="8" t="str">
        <f aca="false">IF(D72="","",IFERROR(INDEX(ProjNumbers,MATCH(D72,ProjNames,0)),""))</f>
        <v/>
      </c>
      <c r="F72" s="8" t="str">
        <f aca="false">IF(D72="","",IFERROR(INDEX(ProjCodes,MATCH(D72,ProjNames,0)),""))</f>
        <v/>
      </c>
      <c r="G72" s="32"/>
      <c r="H72" s="11"/>
      <c r="I72" s="33"/>
      <c r="J72" s="8" t="str">
        <f aca="false">IF(COUNTA(B72,D72,G72,H72,I72)=0,"",IF(B72="","Enter date",IF(OR(B72&lt;$AC$2,B72&gt;$AC$3),"Date not in October",IF(D72="","Pick project",IF(ISNA(MATCH(D72,ProjNames,0)),"Project not in list",IF(G72="","Add task description",IF(H72="","Pick NTIME or P6",IF(N(I72)&lt;=0,"Enter hours",IF(AND(AllowOT&lt;&gt;"Yes",SUMIF($B$7:$B$256,B72,$I$7:$I$256)&gt;INDEX($O$58:$O$88,DAY(B72))),"Day over "&amp;INDEX($O$58:$O$88,DAY(B72))&amp;" h","✓")))))))))</f>
        <v/>
      </c>
      <c r="K72" s="1"/>
      <c r="L72" s="35" t="n">
        <v>46310</v>
      </c>
      <c r="M72" s="36" t="str">
        <f aca="false">TEXT(L72,"ddd")</f>
        <v>Thu</v>
      </c>
      <c r="N72" s="37" t="s">
        <v>93</v>
      </c>
      <c r="O72" s="37" t="n">
        <f aca="false">AvailHours</f>
        <v>8</v>
      </c>
      <c r="P72" s="24" t="n">
        <f aca="false">SUMIFS($I$7:$I$256,$B$7:$B$256,L72,$H$7:$H$256,"NTIME")</f>
        <v>0</v>
      </c>
      <c r="Q72" s="24" t="n">
        <f aca="false">SUMIFS($I$7:$I$256,$B$7:$B$256,L72,$H$7:$H$256,"P6")</f>
        <v>0</v>
      </c>
      <c r="R72" s="24" t="n">
        <f aca="false">IF(N72="Overhead only",O72,IF(AND(N72="Working",P72+Q72&gt;0),MAX(0,O72-P72-Q72),0))</f>
        <v>0</v>
      </c>
      <c r="S72" s="24" t="n">
        <f aca="false">IF(OR(N72="Working",N72="Overhead only"),MAX(0,P72+Q72-O72),0)</f>
        <v>0</v>
      </c>
      <c r="T72" s="24" t="n">
        <f aca="false">P72+Q72+R72</f>
        <v>0</v>
      </c>
      <c r="U72" s="24" t="str">
        <f aca="true">IF(N72="Working",IF(P72+Q72=0,IF(L72&lt;=TODAY(),"Not logged",""),IF(P72+Q72&gt;O72,IF(AllowOT="Yes","Overtime","Over "&amp;O72&amp;" h!"),"✓")),IF(N72="Overhead only","✓ Overhead day",IF(P72+Q72&gt;0,"Entries on "&amp;LOWER(N72)&amp;" day",N72)))</f>
        <v>Not logged</v>
      </c>
      <c r="V72" s="1"/>
      <c r="W72" s="1" t="str">
        <f aca="false">IF(Projects!B70="","",Projects!B70)</f>
        <v/>
      </c>
      <c r="X72" s="1" t="n">
        <f aca="false">IF(W72="",0,SUMIFS($I$7:$I$256,$D$7:$D$256,W72,$H$7:$H$256,"NTIME"))</f>
        <v>0</v>
      </c>
      <c r="Y72" s="1" t="n">
        <f aca="false">IF(W72="",0,SUMIFS($I$7:$I$256,$D$7:$D$256,W72,$H$7:$H$256,"P6"))</f>
        <v>0</v>
      </c>
      <c r="Z72" s="1" t="n">
        <f aca="false">X72+Y72</f>
        <v>0</v>
      </c>
      <c r="AA72" s="1" t="n">
        <f aca="false">IF(Z72&gt;0,Z72+(201-66)/10^6,0)</f>
        <v>0</v>
      </c>
      <c r="AB72" s="1"/>
      <c r="AC72" s="1"/>
      <c r="AD72" s="1"/>
      <c r="AE72" s="1"/>
      <c r="AF72" s="1"/>
      <c r="AG72" s="1"/>
      <c r="AH72" s="1"/>
    </row>
    <row r="73" customFormat="false" ht="15" hidden="false" customHeight="false" outlineLevel="0" collapsed="false">
      <c r="A73" s="1"/>
      <c r="B73" s="10"/>
      <c r="C73" s="31" t="str">
        <f aca="false">IF(B73="","",TEXT(B73,"ddd"))</f>
        <v/>
      </c>
      <c r="D73" s="11"/>
      <c r="E73" s="8" t="str">
        <f aca="false">IF(D73="","",IFERROR(INDEX(ProjNumbers,MATCH(D73,ProjNames,0)),""))</f>
        <v/>
      </c>
      <c r="F73" s="8" t="str">
        <f aca="false">IF(D73="","",IFERROR(INDEX(ProjCodes,MATCH(D73,ProjNames,0)),""))</f>
        <v/>
      </c>
      <c r="G73" s="32"/>
      <c r="H73" s="11"/>
      <c r="I73" s="33"/>
      <c r="J73" s="8" t="str">
        <f aca="false">IF(COUNTA(B73,D73,G73,H73,I73)=0,"",IF(B73="","Enter date",IF(OR(B73&lt;$AC$2,B73&gt;$AC$3),"Date not in October",IF(D73="","Pick project",IF(ISNA(MATCH(D73,ProjNames,0)),"Project not in list",IF(G73="","Add task description",IF(H73="","Pick NTIME or P6",IF(N(I73)&lt;=0,"Enter hours",IF(AND(AllowOT&lt;&gt;"Yes",SUMIF($B$7:$B$256,B73,$I$7:$I$256)&gt;INDEX($O$58:$O$88,DAY(B73))),"Day over "&amp;INDEX($O$58:$O$88,DAY(B73))&amp;" h","✓")))))))))</f>
        <v/>
      </c>
      <c r="K73" s="1"/>
      <c r="L73" s="35" t="n">
        <v>46311</v>
      </c>
      <c r="M73" s="36" t="str">
        <f aca="false">TEXT(L73,"ddd")</f>
        <v>Fri</v>
      </c>
      <c r="N73" s="37" t="s">
        <v>93</v>
      </c>
      <c r="O73" s="37" t="n">
        <f aca="false">AvailHours</f>
        <v>8</v>
      </c>
      <c r="P73" s="24" t="n">
        <f aca="false">SUMIFS($I$7:$I$256,$B$7:$B$256,L73,$H$7:$H$256,"NTIME")</f>
        <v>0</v>
      </c>
      <c r="Q73" s="24" t="n">
        <f aca="false">SUMIFS($I$7:$I$256,$B$7:$B$256,L73,$H$7:$H$256,"P6")</f>
        <v>0</v>
      </c>
      <c r="R73" s="24" t="n">
        <f aca="false">IF(N73="Overhead only",O73,IF(AND(N73="Working",P73+Q73&gt;0),MAX(0,O73-P73-Q73),0))</f>
        <v>0</v>
      </c>
      <c r="S73" s="24" t="n">
        <f aca="false">IF(OR(N73="Working",N73="Overhead only"),MAX(0,P73+Q73-O73),0)</f>
        <v>0</v>
      </c>
      <c r="T73" s="24" t="n">
        <f aca="false">P73+Q73+R73</f>
        <v>0</v>
      </c>
      <c r="U73" s="24" t="str">
        <f aca="true">IF(N73="Working",IF(P73+Q73=0,IF(L73&lt;=TODAY(),"Not logged",""),IF(P73+Q73&gt;O73,IF(AllowOT="Yes","Overtime","Over "&amp;O73&amp;" h!"),"✓")),IF(N73="Overhead only","✓ Overhead day",IF(P73+Q73&gt;0,"Entries on "&amp;LOWER(N73)&amp;" day",N73)))</f>
        <v>Not logged</v>
      </c>
      <c r="V73" s="1"/>
      <c r="W73" s="1" t="str">
        <f aca="false">IF(Projects!B71="","",Projects!B71)</f>
        <v/>
      </c>
      <c r="X73" s="1" t="n">
        <f aca="false">IF(W73="",0,SUMIFS($I$7:$I$256,$D$7:$D$256,W73,$H$7:$H$256,"NTIME"))</f>
        <v>0</v>
      </c>
      <c r="Y73" s="1" t="n">
        <f aca="false">IF(W73="",0,SUMIFS($I$7:$I$256,$D$7:$D$256,W73,$H$7:$H$256,"P6"))</f>
        <v>0</v>
      </c>
      <c r="Z73" s="1" t="n">
        <f aca="false">X73+Y73</f>
        <v>0</v>
      </c>
      <c r="AA73" s="1" t="n">
        <f aca="false">IF(Z73&gt;0,Z73+(201-67)/10^6,0)</f>
        <v>0</v>
      </c>
      <c r="AB73" s="1"/>
      <c r="AC73" s="1"/>
      <c r="AD73" s="1"/>
      <c r="AE73" s="1"/>
      <c r="AF73" s="1"/>
      <c r="AG73" s="1"/>
      <c r="AH73" s="1"/>
    </row>
    <row r="74" customFormat="false" ht="15" hidden="false" customHeight="false" outlineLevel="0" collapsed="false">
      <c r="A74" s="1"/>
      <c r="B74" s="10"/>
      <c r="C74" s="31" t="str">
        <f aca="false">IF(B74="","",TEXT(B74,"ddd"))</f>
        <v/>
      </c>
      <c r="D74" s="11"/>
      <c r="E74" s="8" t="str">
        <f aca="false">IF(D74="","",IFERROR(INDEX(ProjNumbers,MATCH(D74,ProjNames,0)),""))</f>
        <v/>
      </c>
      <c r="F74" s="8" t="str">
        <f aca="false">IF(D74="","",IFERROR(INDEX(ProjCodes,MATCH(D74,ProjNames,0)),""))</f>
        <v/>
      </c>
      <c r="G74" s="32"/>
      <c r="H74" s="11"/>
      <c r="I74" s="33"/>
      <c r="J74" s="8" t="str">
        <f aca="false">IF(COUNTA(B74,D74,G74,H74,I74)=0,"",IF(B74="","Enter date",IF(OR(B74&lt;$AC$2,B74&gt;$AC$3),"Date not in October",IF(D74="","Pick project",IF(ISNA(MATCH(D74,ProjNames,0)),"Project not in list",IF(G74="","Add task description",IF(H74="","Pick NTIME or P6",IF(N(I74)&lt;=0,"Enter hours",IF(AND(AllowOT&lt;&gt;"Yes",SUMIF($B$7:$B$256,B74,$I$7:$I$256)&gt;INDEX($O$58:$O$88,DAY(B74))),"Day over "&amp;INDEX($O$58:$O$88,DAY(B74))&amp;" h","✓")))))))))</f>
        <v/>
      </c>
      <c r="K74" s="1"/>
      <c r="L74" s="35" t="n">
        <v>46312</v>
      </c>
      <c r="M74" s="36" t="str">
        <f aca="false">TEXT(L74,"ddd")</f>
        <v>Sat</v>
      </c>
      <c r="N74" s="37" t="s">
        <v>94</v>
      </c>
      <c r="O74" s="37" t="n">
        <f aca="false">AvailHours</f>
        <v>8</v>
      </c>
      <c r="P74" s="24" t="n">
        <f aca="false">SUMIFS($I$7:$I$256,$B$7:$B$256,L74,$H$7:$H$256,"NTIME")</f>
        <v>0</v>
      </c>
      <c r="Q74" s="24" t="n">
        <f aca="false">SUMIFS($I$7:$I$256,$B$7:$B$256,L74,$H$7:$H$256,"P6")</f>
        <v>0</v>
      </c>
      <c r="R74" s="24" t="n">
        <f aca="false">IF(N74="Overhead only",O74,IF(AND(N74="Working",P74+Q74&gt;0),MAX(0,O74-P74-Q74),0))</f>
        <v>0</v>
      </c>
      <c r="S74" s="24" t="n">
        <f aca="false">IF(OR(N74="Working",N74="Overhead only"),MAX(0,P74+Q74-O74),0)</f>
        <v>0</v>
      </c>
      <c r="T74" s="24" t="n">
        <f aca="false">P74+Q74+R74</f>
        <v>0</v>
      </c>
      <c r="U74" s="24" t="str">
        <f aca="true">IF(N74="Working",IF(P74+Q74=0,IF(L74&lt;=TODAY(),"Not logged",""),IF(P74+Q74&gt;O74,IF(AllowOT="Yes","Overtime","Over "&amp;O74&amp;" h!"),"✓")),IF(N74="Overhead only","✓ Overhead day",IF(P74+Q74&gt;0,"Entries on "&amp;LOWER(N74)&amp;" day",N74)))</f>
        <v>Weekend</v>
      </c>
      <c r="V74" s="1"/>
      <c r="W74" s="1" t="str">
        <f aca="false">IF(Projects!B72="","",Projects!B72)</f>
        <v/>
      </c>
      <c r="X74" s="1" t="n">
        <f aca="false">IF(W74="",0,SUMIFS($I$7:$I$256,$D$7:$D$256,W74,$H$7:$H$256,"NTIME"))</f>
        <v>0</v>
      </c>
      <c r="Y74" s="1" t="n">
        <f aca="false">IF(W74="",0,SUMIFS($I$7:$I$256,$D$7:$D$256,W74,$H$7:$H$256,"P6"))</f>
        <v>0</v>
      </c>
      <c r="Z74" s="1" t="n">
        <f aca="false">X74+Y74</f>
        <v>0</v>
      </c>
      <c r="AA74" s="1" t="n">
        <f aca="false">IF(Z74&gt;0,Z74+(201-68)/10^6,0)</f>
        <v>0</v>
      </c>
      <c r="AB74" s="1"/>
      <c r="AC74" s="1"/>
      <c r="AD74" s="1"/>
      <c r="AE74" s="1"/>
      <c r="AF74" s="1"/>
      <c r="AG74" s="1"/>
      <c r="AH74" s="1"/>
    </row>
    <row r="75" customFormat="false" ht="15" hidden="false" customHeight="false" outlineLevel="0" collapsed="false">
      <c r="A75" s="1"/>
      <c r="B75" s="10"/>
      <c r="C75" s="31" t="str">
        <f aca="false">IF(B75="","",TEXT(B75,"ddd"))</f>
        <v/>
      </c>
      <c r="D75" s="11"/>
      <c r="E75" s="8" t="str">
        <f aca="false">IF(D75="","",IFERROR(INDEX(ProjNumbers,MATCH(D75,ProjNames,0)),""))</f>
        <v/>
      </c>
      <c r="F75" s="8" t="str">
        <f aca="false">IF(D75="","",IFERROR(INDEX(ProjCodes,MATCH(D75,ProjNames,0)),""))</f>
        <v/>
      </c>
      <c r="G75" s="32"/>
      <c r="H75" s="11"/>
      <c r="I75" s="33"/>
      <c r="J75" s="8" t="str">
        <f aca="false">IF(COUNTA(B75,D75,G75,H75,I75)=0,"",IF(B75="","Enter date",IF(OR(B75&lt;$AC$2,B75&gt;$AC$3),"Date not in October",IF(D75="","Pick project",IF(ISNA(MATCH(D75,ProjNames,0)),"Project not in list",IF(G75="","Add task description",IF(H75="","Pick NTIME or P6",IF(N(I75)&lt;=0,"Enter hours",IF(AND(AllowOT&lt;&gt;"Yes",SUMIF($B$7:$B$256,B75,$I$7:$I$256)&gt;INDEX($O$58:$O$88,DAY(B75))),"Day over "&amp;INDEX($O$58:$O$88,DAY(B75))&amp;" h","✓")))))))))</f>
        <v/>
      </c>
      <c r="K75" s="1"/>
      <c r="L75" s="35" t="n">
        <v>46313</v>
      </c>
      <c r="M75" s="36" t="str">
        <f aca="false">TEXT(L75,"ddd")</f>
        <v>Sun</v>
      </c>
      <c r="N75" s="37" t="s">
        <v>94</v>
      </c>
      <c r="O75" s="37" t="n">
        <f aca="false">AvailHours</f>
        <v>8</v>
      </c>
      <c r="P75" s="24" t="n">
        <f aca="false">SUMIFS($I$7:$I$256,$B$7:$B$256,L75,$H$7:$H$256,"NTIME")</f>
        <v>0</v>
      </c>
      <c r="Q75" s="24" t="n">
        <f aca="false">SUMIFS($I$7:$I$256,$B$7:$B$256,L75,$H$7:$H$256,"P6")</f>
        <v>0</v>
      </c>
      <c r="R75" s="24" t="n">
        <f aca="false">IF(N75="Overhead only",O75,IF(AND(N75="Working",P75+Q75&gt;0),MAX(0,O75-P75-Q75),0))</f>
        <v>0</v>
      </c>
      <c r="S75" s="24" t="n">
        <f aca="false">IF(OR(N75="Working",N75="Overhead only"),MAX(0,P75+Q75-O75),0)</f>
        <v>0</v>
      </c>
      <c r="T75" s="24" t="n">
        <f aca="false">P75+Q75+R75</f>
        <v>0</v>
      </c>
      <c r="U75" s="24" t="str">
        <f aca="true">IF(N75="Working",IF(P75+Q75=0,IF(L75&lt;=TODAY(),"Not logged",""),IF(P75+Q75&gt;O75,IF(AllowOT="Yes","Overtime","Over "&amp;O75&amp;" h!"),"✓")),IF(N75="Overhead only","✓ Overhead day",IF(P75+Q75&gt;0,"Entries on "&amp;LOWER(N75)&amp;" day",N75)))</f>
        <v>Weekend</v>
      </c>
      <c r="V75" s="1"/>
      <c r="W75" s="1" t="str">
        <f aca="false">IF(Projects!B73="","",Projects!B73)</f>
        <v/>
      </c>
      <c r="X75" s="1" t="n">
        <f aca="false">IF(W75="",0,SUMIFS($I$7:$I$256,$D$7:$D$256,W75,$H$7:$H$256,"NTIME"))</f>
        <v>0</v>
      </c>
      <c r="Y75" s="1" t="n">
        <f aca="false">IF(W75="",0,SUMIFS($I$7:$I$256,$D$7:$D$256,W75,$H$7:$H$256,"P6"))</f>
        <v>0</v>
      </c>
      <c r="Z75" s="1" t="n">
        <f aca="false">X75+Y75</f>
        <v>0</v>
      </c>
      <c r="AA75" s="1" t="n">
        <f aca="false">IF(Z75&gt;0,Z75+(201-69)/10^6,0)</f>
        <v>0</v>
      </c>
      <c r="AB75" s="1"/>
      <c r="AC75" s="1"/>
      <c r="AD75" s="1"/>
      <c r="AE75" s="1"/>
      <c r="AF75" s="1"/>
      <c r="AG75" s="1"/>
      <c r="AH75" s="1"/>
    </row>
    <row r="76" customFormat="false" ht="15" hidden="false" customHeight="false" outlineLevel="0" collapsed="false">
      <c r="A76" s="1"/>
      <c r="B76" s="10"/>
      <c r="C76" s="31" t="str">
        <f aca="false">IF(B76="","",TEXT(B76,"ddd"))</f>
        <v/>
      </c>
      <c r="D76" s="11"/>
      <c r="E76" s="8" t="str">
        <f aca="false">IF(D76="","",IFERROR(INDEX(ProjNumbers,MATCH(D76,ProjNames,0)),""))</f>
        <v/>
      </c>
      <c r="F76" s="8" t="str">
        <f aca="false">IF(D76="","",IFERROR(INDEX(ProjCodes,MATCH(D76,ProjNames,0)),""))</f>
        <v/>
      </c>
      <c r="G76" s="32"/>
      <c r="H76" s="11"/>
      <c r="I76" s="33"/>
      <c r="J76" s="8" t="str">
        <f aca="false">IF(COUNTA(B76,D76,G76,H76,I76)=0,"",IF(B76="","Enter date",IF(OR(B76&lt;$AC$2,B76&gt;$AC$3),"Date not in October",IF(D76="","Pick project",IF(ISNA(MATCH(D76,ProjNames,0)),"Project not in list",IF(G76="","Add task description",IF(H76="","Pick NTIME or P6",IF(N(I76)&lt;=0,"Enter hours",IF(AND(AllowOT&lt;&gt;"Yes",SUMIF($B$7:$B$256,B76,$I$7:$I$256)&gt;INDEX($O$58:$O$88,DAY(B76))),"Day over "&amp;INDEX($O$58:$O$88,DAY(B76))&amp;" h","✓")))))))))</f>
        <v/>
      </c>
      <c r="K76" s="1"/>
      <c r="L76" s="35" t="n">
        <v>46314</v>
      </c>
      <c r="M76" s="36" t="str">
        <f aca="false">TEXT(L76,"ddd")</f>
        <v>Mon</v>
      </c>
      <c r="N76" s="37" t="s">
        <v>93</v>
      </c>
      <c r="O76" s="37" t="n">
        <f aca="false">AvailHours</f>
        <v>8</v>
      </c>
      <c r="P76" s="24" t="n">
        <f aca="false">SUMIFS($I$7:$I$256,$B$7:$B$256,L76,$H$7:$H$256,"NTIME")</f>
        <v>0</v>
      </c>
      <c r="Q76" s="24" t="n">
        <f aca="false">SUMIFS($I$7:$I$256,$B$7:$B$256,L76,$H$7:$H$256,"P6")</f>
        <v>0</v>
      </c>
      <c r="R76" s="24" t="n">
        <f aca="false">IF(N76="Overhead only",O76,IF(AND(N76="Working",P76+Q76&gt;0),MAX(0,O76-P76-Q76),0))</f>
        <v>0</v>
      </c>
      <c r="S76" s="24" t="n">
        <f aca="false">IF(OR(N76="Working",N76="Overhead only"),MAX(0,P76+Q76-O76),0)</f>
        <v>0</v>
      </c>
      <c r="T76" s="24" t="n">
        <f aca="false">P76+Q76+R76</f>
        <v>0</v>
      </c>
      <c r="U76" s="24" t="str">
        <f aca="true">IF(N76="Working",IF(P76+Q76=0,IF(L76&lt;=TODAY(),"Not logged",""),IF(P76+Q76&gt;O76,IF(AllowOT="Yes","Overtime","Over "&amp;O76&amp;" h!"),"✓")),IF(N76="Overhead only","✓ Overhead day",IF(P76+Q76&gt;0,"Entries on "&amp;LOWER(N76)&amp;" day",N76)))</f>
        <v/>
      </c>
      <c r="V76" s="1"/>
      <c r="W76" s="1" t="str">
        <f aca="false">IF(Projects!B74="","",Projects!B74)</f>
        <v/>
      </c>
      <c r="X76" s="1" t="n">
        <f aca="false">IF(W76="",0,SUMIFS($I$7:$I$256,$D$7:$D$256,W76,$H$7:$H$256,"NTIME"))</f>
        <v>0</v>
      </c>
      <c r="Y76" s="1" t="n">
        <f aca="false">IF(W76="",0,SUMIFS($I$7:$I$256,$D$7:$D$256,W76,$H$7:$H$256,"P6"))</f>
        <v>0</v>
      </c>
      <c r="Z76" s="1" t="n">
        <f aca="false">X76+Y76</f>
        <v>0</v>
      </c>
      <c r="AA76" s="1" t="n">
        <f aca="false">IF(Z76&gt;0,Z76+(201-70)/10^6,0)</f>
        <v>0</v>
      </c>
      <c r="AB76" s="1"/>
      <c r="AC76" s="1"/>
      <c r="AD76" s="1"/>
      <c r="AE76" s="1"/>
      <c r="AF76" s="1"/>
      <c r="AG76" s="1"/>
      <c r="AH76" s="1"/>
    </row>
    <row r="77" customFormat="false" ht="15" hidden="false" customHeight="false" outlineLevel="0" collapsed="false">
      <c r="A77" s="1"/>
      <c r="B77" s="10"/>
      <c r="C77" s="31" t="str">
        <f aca="false">IF(B77="","",TEXT(B77,"ddd"))</f>
        <v/>
      </c>
      <c r="D77" s="11"/>
      <c r="E77" s="8" t="str">
        <f aca="false">IF(D77="","",IFERROR(INDEX(ProjNumbers,MATCH(D77,ProjNames,0)),""))</f>
        <v/>
      </c>
      <c r="F77" s="8" t="str">
        <f aca="false">IF(D77="","",IFERROR(INDEX(ProjCodes,MATCH(D77,ProjNames,0)),""))</f>
        <v/>
      </c>
      <c r="G77" s="32"/>
      <c r="H77" s="11"/>
      <c r="I77" s="33"/>
      <c r="J77" s="8" t="str">
        <f aca="false">IF(COUNTA(B77,D77,G77,H77,I77)=0,"",IF(B77="","Enter date",IF(OR(B77&lt;$AC$2,B77&gt;$AC$3),"Date not in October",IF(D77="","Pick project",IF(ISNA(MATCH(D77,ProjNames,0)),"Project not in list",IF(G77="","Add task description",IF(H77="","Pick NTIME or P6",IF(N(I77)&lt;=0,"Enter hours",IF(AND(AllowOT&lt;&gt;"Yes",SUMIF($B$7:$B$256,B77,$I$7:$I$256)&gt;INDEX($O$58:$O$88,DAY(B77))),"Day over "&amp;INDEX($O$58:$O$88,DAY(B77))&amp;" h","✓")))))))))</f>
        <v/>
      </c>
      <c r="K77" s="1"/>
      <c r="L77" s="35" t="n">
        <v>46315</v>
      </c>
      <c r="M77" s="36" t="str">
        <f aca="false">TEXT(L77,"ddd")</f>
        <v>Tue</v>
      </c>
      <c r="N77" s="37" t="s">
        <v>93</v>
      </c>
      <c r="O77" s="37" t="n">
        <f aca="false">AvailHours</f>
        <v>8</v>
      </c>
      <c r="P77" s="24" t="n">
        <f aca="false">SUMIFS($I$7:$I$256,$B$7:$B$256,L77,$H$7:$H$256,"NTIME")</f>
        <v>0</v>
      </c>
      <c r="Q77" s="24" t="n">
        <f aca="false">SUMIFS($I$7:$I$256,$B$7:$B$256,L77,$H$7:$H$256,"P6")</f>
        <v>0</v>
      </c>
      <c r="R77" s="24" t="n">
        <f aca="false">IF(N77="Overhead only",O77,IF(AND(N77="Working",P77+Q77&gt;0),MAX(0,O77-P77-Q77),0))</f>
        <v>0</v>
      </c>
      <c r="S77" s="24" t="n">
        <f aca="false">IF(OR(N77="Working",N77="Overhead only"),MAX(0,P77+Q77-O77),0)</f>
        <v>0</v>
      </c>
      <c r="T77" s="24" t="n">
        <f aca="false">P77+Q77+R77</f>
        <v>0</v>
      </c>
      <c r="U77" s="24" t="str">
        <f aca="true">IF(N77="Working",IF(P77+Q77=0,IF(L77&lt;=TODAY(),"Not logged",""),IF(P77+Q77&gt;O77,IF(AllowOT="Yes","Overtime","Over "&amp;O77&amp;" h!"),"✓")),IF(N77="Overhead only","✓ Overhead day",IF(P77+Q77&gt;0,"Entries on "&amp;LOWER(N77)&amp;" day",N77)))</f>
        <v/>
      </c>
      <c r="V77" s="1"/>
      <c r="W77" s="1" t="str">
        <f aca="false">IF(Projects!B75="","",Projects!B75)</f>
        <v/>
      </c>
      <c r="X77" s="1" t="n">
        <f aca="false">IF(W77="",0,SUMIFS($I$7:$I$256,$D$7:$D$256,W77,$H$7:$H$256,"NTIME"))</f>
        <v>0</v>
      </c>
      <c r="Y77" s="1" t="n">
        <f aca="false">IF(W77="",0,SUMIFS($I$7:$I$256,$D$7:$D$256,W77,$H$7:$H$256,"P6"))</f>
        <v>0</v>
      </c>
      <c r="Z77" s="1" t="n">
        <f aca="false">X77+Y77</f>
        <v>0</v>
      </c>
      <c r="AA77" s="1" t="n">
        <f aca="false">IF(Z77&gt;0,Z77+(201-71)/10^6,0)</f>
        <v>0</v>
      </c>
      <c r="AB77" s="1"/>
      <c r="AC77" s="1"/>
      <c r="AD77" s="1"/>
      <c r="AE77" s="1"/>
      <c r="AF77" s="1"/>
      <c r="AG77" s="1"/>
      <c r="AH77" s="1"/>
    </row>
    <row r="78" customFormat="false" ht="15" hidden="false" customHeight="false" outlineLevel="0" collapsed="false">
      <c r="A78" s="1"/>
      <c r="B78" s="10"/>
      <c r="C78" s="31" t="str">
        <f aca="false">IF(B78="","",TEXT(B78,"ddd"))</f>
        <v/>
      </c>
      <c r="D78" s="11"/>
      <c r="E78" s="8" t="str">
        <f aca="false">IF(D78="","",IFERROR(INDEX(ProjNumbers,MATCH(D78,ProjNames,0)),""))</f>
        <v/>
      </c>
      <c r="F78" s="8" t="str">
        <f aca="false">IF(D78="","",IFERROR(INDEX(ProjCodes,MATCH(D78,ProjNames,0)),""))</f>
        <v/>
      </c>
      <c r="G78" s="32"/>
      <c r="H78" s="11"/>
      <c r="I78" s="33"/>
      <c r="J78" s="8" t="str">
        <f aca="false">IF(COUNTA(B78,D78,G78,H78,I78)=0,"",IF(B78="","Enter date",IF(OR(B78&lt;$AC$2,B78&gt;$AC$3),"Date not in October",IF(D78="","Pick project",IF(ISNA(MATCH(D78,ProjNames,0)),"Project not in list",IF(G78="","Add task description",IF(H78="","Pick NTIME or P6",IF(N(I78)&lt;=0,"Enter hours",IF(AND(AllowOT&lt;&gt;"Yes",SUMIF($B$7:$B$256,B78,$I$7:$I$256)&gt;INDEX($O$58:$O$88,DAY(B78))),"Day over "&amp;INDEX($O$58:$O$88,DAY(B78))&amp;" h","✓")))))))))</f>
        <v/>
      </c>
      <c r="K78" s="1"/>
      <c r="L78" s="35" t="n">
        <v>46316</v>
      </c>
      <c r="M78" s="36" t="str">
        <f aca="false">TEXT(L78,"ddd")</f>
        <v>Wed</v>
      </c>
      <c r="N78" s="37" t="s">
        <v>93</v>
      </c>
      <c r="O78" s="37" t="n">
        <f aca="false">AvailHours</f>
        <v>8</v>
      </c>
      <c r="P78" s="24" t="n">
        <f aca="false">SUMIFS($I$7:$I$256,$B$7:$B$256,L78,$H$7:$H$256,"NTIME")</f>
        <v>0</v>
      </c>
      <c r="Q78" s="24" t="n">
        <f aca="false">SUMIFS($I$7:$I$256,$B$7:$B$256,L78,$H$7:$H$256,"P6")</f>
        <v>0</v>
      </c>
      <c r="R78" s="24" t="n">
        <f aca="false">IF(N78="Overhead only",O78,IF(AND(N78="Working",P78+Q78&gt;0),MAX(0,O78-P78-Q78),0))</f>
        <v>0</v>
      </c>
      <c r="S78" s="24" t="n">
        <f aca="false">IF(OR(N78="Working",N78="Overhead only"),MAX(0,P78+Q78-O78),0)</f>
        <v>0</v>
      </c>
      <c r="T78" s="24" t="n">
        <f aca="false">P78+Q78+R78</f>
        <v>0</v>
      </c>
      <c r="U78" s="24" t="str">
        <f aca="true">IF(N78="Working",IF(P78+Q78=0,IF(L78&lt;=TODAY(),"Not logged",""),IF(P78+Q78&gt;O78,IF(AllowOT="Yes","Overtime","Over "&amp;O78&amp;" h!"),"✓")),IF(N78="Overhead only","✓ Overhead day",IF(P78+Q78&gt;0,"Entries on "&amp;LOWER(N78)&amp;" day",N78)))</f>
        <v/>
      </c>
      <c r="V78" s="1"/>
      <c r="W78" s="1" t="str">
        <f aca="false">IF(Projects!B76="","",Projects!B76)</f>
        <v/>
      </c>
      <c r="X78" s="1" t="n">
        <f aca="false">IF(W78="",0,SUMIFS($I$7:$I$256,$D$7:$D$256,W78,$H$7:$H$256,"NTIME"))</f>
        <v>0</v>
      </c>
      <c r="Y78" s="1" t="n">
        <f aca="false">IF(W78="",0,SUMIFS($I$7:$I$256,$D$7:$D$256,W78,$H$7:$H$256,"P6"))</f>
        <v>0</v>
      </c>
      <c r="Z78" s="1" t="n">
        <f aca="false">X78+Y78</f>
        <v>0</v>
      </c>
      <c r="AA78" s="1" t="n">
        <f aca="false">IF(Z78&gt;0,Z78+(201-72)/10^6,0)</f>
        <v>0</v>
      </c>
      <c r="AB78" s="1"/>
      <c r="AC78" s="1"/>
      <c r="AD78" s="1"/>
      <c r="AE78" s="1"/>
      <c r="AF78" s="1"/>
      <c r="AG78" s="1"/>
      <c r="AH78" s="1"/>
    </row>
    <row r="79" customFormat="false" ht="15" hidden="false" customHeight="false" outlineLevel="0" collapsed="false">
      <c r="A79" s="1"/>
      <c r="B79" s="10"/>
      <c r="C79" s="31" t="str">
        <f aca="false">IF(B79="","",TEXT(B79,"ddd"))</f>
        <v/>
      </c>
      <c r="D79" s="11"/>
      <c r="E79" s="8" t="str">
        <f aca="false">IF(D79="","",IFERROR(INDEX(ProjNumbers,MATCH(D79,ProjNames,0)),""))</f>
        <v/>
      </c>
      <c r="F79" s="8" t="str">
        <f aca="false">IF(D79="","",IFERROR(INDEX(ProjCodes,MATCH(D79,ProjNames,0)),""))</f>
        <v/>
      </c>
      <c r="G79" s="32"/>
      <c r="H79" s="11"/>
      <c r="I79" s="33"/>
      <c r="J79" s="8" t="str">
        <f aca="false">IF(COUNTA(B79,D79,G79,H79,I79)=0,"",IF(B79="","Enter date",IF(OR(B79&lt;$AC$2,B79&gt;$AC$3),"Date not in October",IF(D79="","Pick project",IF(ISNA(MATCH(D79,ProjNames,0)),"Project not in list",IF(G79="","Add task description",IF(H79="","Pick NTIME or P6",IF(N(I79)&lt;=0,"Enter hours",IF(AND(AllowOT&lt;&gt;"Yes",SUMIF($B$7:$B$256,B79,$I$7:$I$256)&gt;INDEX($O$58:$O$88,DAY(B79))),"Day over "&amp;INDEX($O$58:$O$88,DAY(B79))&amp;" h","✓")))))))))</f>
        <v/>
      </c>
      <c r="K79" s="1"/>
      <c r="L79" s="35" t="n">
        <v>46317</v>
      </c>
      <c r="M79" s="36" t="str">
        <f aca="false">TEXT(L79,"ddd")</f>
        <v>Thu</v>
      </c>
      <c r="N79" s="37" t="s">
        <v>93</v>
      </c>
      <c r="O79" s="37" t="n">
        <f aca="false">AvailHours</f>
        <v>8</v>
      </c>
      <c r="P79" s="24" t="n">
        <f aca="false">SUMIFS($I$7:$I$256,$B$7:$B$256,L79,$H$7:$H$256,"NTIME")</f>
        <v>0</v>
      </c>
      <c r="Q79" s="24" t="n">
        <f aca="false">SUMIFS($I$7:$I$256,$B$7:$B$256,L79,$H$7:$H$256,"P6")</f>
        <v>0</v>
      </c>
      <c r="R79" s="24" t="n">
        <f aca="false">IF(N79="Overhead only",O79,IF(AND(N79="Working",P79+Q79&gt;0),MAX(0,O79-P79-Q79),0))</f>
        <v>0</v>
      </c>
      <c r="S79" s="24" t="n">
        <f aca="false">IF(OR(N79="Working",N79="Overhead only"),MAX(0,P79+Q79-O79),0)</f>
        <v>0</v>
      </c>
      <c r="T79" s="24" t="n">
        <f aca="false">P79+Q79+R79</f>
        <v>0</v>
      </c>
      <c r="U79" s="24" t="str">
        <f aca="true">IF(N79="Working",IF(P79+Q79=0,IF(L79&lt;=TODAY(),"Not logged",""),IF(P79+Q79&gt;O79,IF(AllowOT="Yes","Overtime","Over "&amp;O79&amp;" h!"),"✓")),IF(N79="Overhead only","✓ Overhead day",IF(P79+Q79&gt;0,"Entries on "&amp;LOWER(N79)&amp;" day",N79)))</f>
        <v/>
      </c>
      <c r="V79" s="1"/>
      <c r="W79" s="1" t="str">
        <f aca="false">IF(Projects!B77="","",Projects!B77)</f>
        <v/>
      </c>
      <c r="X79" s="1" t="n">
        <f aca="false">IF(W79="",0,SUMIFS($I$7:$I$256,$D$7:$D$256,W79,$H$7:$H$256,"NTIME"))</f>
        <v>0</v>
      </c>
      <c r="Y79" s="1" t="n">
        <f aca="false">IF(W79="",0,SUMIFS($I$7:$I$256,$D$7:$D$256,W79,$H$7:$H$256,"P6"))</f>
        <v>0</v>
      </c>
      <c r="Z79" s="1" t="n">
        <f aca="false">X79+Y79</f>
        <v>0</v>
      </c>
      <c r="AA79" s="1" t="n">
        <f aca="false">IF(Z79&gt;0,Z79+(201-73)/10^6,0)</f>
        <v>0</v>
      </c>
      <c r="AB79" s="1"/>
      <c r="AC79" s="1"/>
      <c r="AD79" s="1"/>
      <c r="AE79" s="1"/>
      <c r="AF79" s="1"/>
      <c r="AG79" s="1"/>
      <c r="AH79" s="1"/>
    </row>
    <row r="80" customFormat="false" ht="15" hidden="false" customHeight="false" outlineLevel="0" collapsed="false">
      <c r="A80" s="1"/>
      <c r="B80" s="10"/>
      <c r="C80" s="31" t="str">
        <f aca="false">IF(B80="","",TEXT(B80,"ddd"))</f>
        <v/>
      </c>
      <c r="D80" s="11"/>
      <c r="E80" s="8" t="str">
        <f aca="false">IF(D80="","",IFERROR(INDEX(ProjNumbers,MATCH(D80,ProjNames,0)),""))</f>
        <v/>
      </c>
      <c r="F80" s="8" t="str">
        <f aca="false">IF(D80="","",IFERROR(INDEX(ProjCodes,MATCH(D80,ProjNames,0)),""))</f>
        <v/>
      </c>
      <c r="G80" s="32"/>
      <c r="H80" s="11"/>
      <c r="I80" s="33"/>
      <c r="J80" s="8" t="str">
        <f aca="false">IF(COUNTA(B80,D80,G80,H80,I80)=0,"",IF(B80="","Enter date",IF(OR(B80&lt;$AC$2,B80&gt;$AC$3),"Date not in October",IF(D80="","Pick project",IF(ISNA(MATCH(D80,ProjNames,0)),"Project not in list",IF(G80="","Add task description",IF(H80="","Pick NTIME or P6",IF(N(I80)&lt;=0,"Enter hours",IF(AND(AllowOT&lt;&gt;"Yes",SUMIF($B$7:$B$256,B80,$I$7:$I$256)&gt;INDEX($O$58:$O$88,DAY(B80))),"Day over "&amp;INDEX($O$58:$O$88,DAY(B80))&amp;" h","✓")))))))))</f>
        <v/>
      </c>
      <c r="K80" s="1"/>
      <c r="L80" s="35" t="n">
        <v>46318</v>
      </c>
      <c r="M80" s="36" t="str">
        <f aca="false">TEXT(L80,"ddd")</f>
        <v>Fri</v>
      </c>
      <c r="N80" s="37" t="s">
        <v>93</v>
      </c>
      <c r="O80" s="37" t="n">
        <f aca="false">AvailHours</f>
        <v>8</v>
      </c>
      <c r="P80" s="24" t="n">
        <f aca="false">SUMIFS($I$7:$I$256,$B$7:$B$256,L80,$H$7:$H$256,"NTIME")</f>
        <v>0</v>
      </c>
      <c r="Q80" s="24" t="n">
        <f aca="false">SUMIFS($I$7:$I$256,$B$7:$B$256,L80,$H$7:$H$256,"P6")</f>
        <v>0</v>
      </c>
      <c r="R80" s="24" t="n">
        <f aca="false">IF(N80="Overhead only",O80,IF(AND(N80="Working",P80+Q80&gt;0),MAX(0,O80-P80-Q80),0))</f>
        <v>0</v>
      </c>
      <c r="S80" s="24" t="n">
        <f aca="false">IF(OR(N80="Working",N80="Overhead only"),MAX(0,P80+Q80-O80),0)</f>
        <v>0</v>
      </c>
      <c r="T80" s="24" t="n">
        <f aca="false">P80+Q80+R80</f>
        <v>0</v>
      </c>
      <c r="U80" s="24" t="str">
        <f aca="true">IF(N80="Working",IF(P80+Q80=0,IF(L80&lt;=TODAY(),"Not logged",""),IF(P80+Q80&gt;O80,IF(AllowOT="Yes","Overtime","Over "&amp;O80&amp;" h!"),"✓")),IF(N80="Overhead only","✓ Overhead day",IF(P80+Q80&gt;0,"Entries on "&amp;LOWER(N80)&amp;" day",N80)))</f>
        <v/>
      </c>
      <c r="V80" s="1"/>
      <c r="W80" s="1" t="str">
        <f aca="false">IF(Projects!B78="","",Projects!B78)</f>
        <v/>
      </c>
      <c r="X80" s="1" t="n">
        <f aca="false">IF(W80="",0,SUMIFS($I$7:$I$256,$D$7:$D$256,W80,$H$7:$H$256,"NTIME"))</f>
        <v>0</v>
      </c>
      <c r="Y80" s="1" t="n">
        <f aca="false">IF(W80="",0,SUMIFS($I$7:$I$256,$D$7:$D$256,W80,$H$7:$H$256,"P6"))</f>
        <v>0</v>
      </c>
      <c r="Z80" s="1" t="n">
        <f aca="false">X80+Y80</f>
        <v>0</v>
      </c>
      <c r="AA80" s="1" t="n">
        <f aca="false">IF(Z80&gt;0,Z80+(201-74)/10^6,0)</f>
        <v>0</v>
      </c>
      <c r="AB80" s="1"/>
      <c r="AC80" s="1"/>
      <c r="AD80" s="1"/>
      <c r="AE80" s="1"/>
      <c r="AF80" s="1"/>
      <c r="AG80" s="1"/>
      <c r="AH80" s="1"/>
    </row>
    <row r="81" customFormat="false" ht="15" hidden="false" customHeight="false" outlineLevel="0" collapsed="false">
      <c r="A81" s="1"/>
      <c r="B81" s="10"/>
      <c r="C81" s="31" t="str">
        <f aca="false">IF(B81="","",TEXT(B81,"ddd"))</f>
        <v/>
      </c>
      <c r="D81" s="11"/>
      <c r="E81" s="8" t="str">
        <f aca="false">IF(D81="","",IFERROR(INDEX(ProjNumbers,MATCH(D81,ProjNames,0)),""))</f>
        <v/>
      </c>
      <c r="F81" s="8" t="str">
        <f aca="false">IF(D81="","",IFERROR(INDEX(ProjCodes,MATCH(D81,ProjNames,0)),""))</f>
        <v/>
      </c>
      <c r="G81" s="32"/>
      <c r="H81" s="11"/>
      <c r="I81" s="33"/>
      <c r="J81" s="8" t="str">
        <f aca="false">IF(COUNTA(B81,D81,G81,H81,I81)=0,"",IF(B81="","Enter date",IF(OR(B81&lt;$AC$2,B81&gt;$AC$3),"Date not in October",IF(D81="","Pick project",IF(ISNA(MATCH(D81,ProjNames,0)),"Project not in list",IF(G81="","Add task description",IF(H81="","Pick NTIME or P6",IF(N(I81)&lt;=0,"Enter hours",IF(AND(AllowOT&lt;&gt;"Yes",SUMIF($B$7:$B$256,B81,$I$7:$I$256)&gt;INDEX($O$58:$O$88,DAY(B81))),"Day over "&amp;INDEX($O$58:$O$88,DAY(B81))&amp;" h","✓")))))))))</f>
        <v/>
      </c>
      <c r="K81" s="1"/>
      <c r="L81" s="35" t="n">
        <v>46319</v>
      </c>
      <c r="M81" s="36" t="str">
        <f aca="false">TEXT(L81,"ddd")</f>
        <v>Sat</v>
      </c>
      <c r="N81" s="37" t="s">
        <v>94</v>
      </c>
      <c r="O81" s="37" t="n">
        <f aca="false">AvailHours</f>
        <v>8</v>
      </c>
      <c r="P81" s="24" t="n">
        <f aca="false">SUMIFS($I$7:$I$256,$B$7:$B$256,L81,$H$7:$H$256,"NTIME")</f>
        <v>0</v>
      </c>
      <c r="Q81" s="24" t="n">
        <f aca="false">SUMIFS($I$7:$I$256,$B$7:$B$256,L81,$H$7:$H$256,"P6")</f>
        <v>0</v>
      </c>
      <c r="R81" s="24" t="n">
        <f aca="false">IF(N81="Overhead only",O81,IF(AND(N81="Working",P81+Q81&gt;0),MAX(0,O81-P81-Q81),0))</f>
        <v>0</v>
      </c>
      <c r="S81" s="24" t="n">
        <f aca="false">IF(OR(N81="Working",N81="Overhead only"),MAX(0,P81+Q81-O81),0)</f>
        <v>0</v>
      </c>
      <c r="T81" s="24" t="n">
        <f aca="false">P81+Q81+R81</f>
        <v>0</v>
      </c>
      <c r="U81" s="24" t="str">
        <f aca="true">IF(N81="Working",IF(P81+Q81=0,IF(L81&lt;=TODAY(),"Not logged",""),IF(P81+Q81&gt;O81,IF(AllowOT="Yes","Overtime","Over "&amp;O81&amp;" h!"),"✓")),IF(N81="Overhead only","✓ Overhead day",IF(P81+Q81&gt;0,"Entries on "&amp;LOWER(N81)&amp;" day",N81)))</f>
        <v>Weekend</v>
      </c>
      <c r="V81" s="1"/>
      <c r="W81" s="1" t="str">
        <f aca="false">IF(Projects!B79="","",Projects!B79)</f>
        <v/>
      </c>
      <c r="X81" s="1" t="n">
        <f aca="false">IF(W81="",0,SUMIFS($I$7:$I$256,$D$7:$D$256,W81,$H$7:$H$256,"NTIME"))</f>
        <v>0</v>
      </c>
      <c r="Y81" s="1" t="n">
        <f aca="false">IF(W81="",0,SUMIFS($I$7:$I$256,$D$7:$D$256,W81,$H$7:$H$256,"P6"))</f>
        <v>0</v>
      </c>
      <c r="Z81" s="1" t="n">
        <f aca="false">X81+Y81</f>
        <v>0</v>
      </c>
      <c r="AA81" s="1" t="n">
        <f aca="false">IF(Z81&gt;0,Z81+(201-75)/10^6,0)</f>
        <v>0</v>
      </c>
      <c r="AB81" s="1"/>
      <c r="AC81" s="1"/>
      <c r="AD81" s="1"/>
      <c r="AE81" s="1"/>
      <c r="AF81" s="1"/>
      <c r="AG81" s="1"/>
      <c r="AH81" s="1"/>
    </row>
    <row r="82" customFormat="false" ht="15" hidden="false" customHeight="false" outlineLevel="0" collapsed="false">
      <c r="A82" s="1"/>
      <c r="B82" s="10"/>
      <c r="C82" s="31" t="str">
        <f aca="false">IF(B82="","",TEXT(B82,"ddd"))</f>
        <v/>
      </c>
      <c r="D82" s="11"/>
      <c r="E82" s="8" t="str">
        <f aca="false">IF(D82="","",IFERROR(INDEX(ProjNumbers,MATCH(D82,ProjNames,0)),""))</f>
        <v/>
      </c>
      <c r="F82" s="8" t="str">
        <f aca="false">IF(D82="","",IFERROR(INDEX(ProjCodes,MATCH(D82,ProjNames,0)),""))</f>
        <v/>
      </c>
      <c r="G82" s="32"/>
      <c r="H82" s="11"/>
      <c r="I82" s="33"/>
      <c r="J82" s="8" t="str">
        <f aca="false">IF(COUNTA(B82,D82,G82,H82,I82)=0,"",IF(B82="","Enter date",IF(OR(B82&lt;$AC$2,B82&gt;$AC$3),"Date not in October",IF(D82="","Pick project",IF(ISNA(MATCH(D82,ProjNames,0)),"Project not in list",IF(G82="","Add task description",IF(H82="","Pick NTIME or P6",IF(N(I82)&lt;=0,"Enter hours",IF(AND(AllowOT&lt;&gt;"Yes",SUMIF($B$7:$B$256,B82,$I$7:$I$256)&gt;INDEX($O$58:$O$88,DAY(B82))),"Day over "&amp;INDEX($O$58:$O$88,DAY(B82))&amp;" h","✓")))))))))</f>
        <v/>
      </c>
      <c r="K82" s="1"/>
      <c r="L82" s="35" t="n">
        <v>46320</v>
      </c>
      <c r="M82" s="36" t="str">
        <f aca="false">TEXT(L82,"ddd")</f>
        <v>Sun</v>
      </c>
      <c r="N82" s="37" t="s">
        <v>94</v>
      </c>
      <c r="O82" s="37" t="n">
        <f aca="false">AvailHours</f>
        <v>8</v>
      </c>
      <c r="P82" s="24" t="n">
        <f aca="false">SUMIFS($I$7:$I$256,$B$7:$B$256,L82,$H$7:$H$256,"NTIME")</f>
        <v>0</v>
      </c>
      <c r="Q82" s="24" t="n">
        <f aca="false">SUMIFS($I$7:$I$256,$B$7:$B$256,L82,$H$7:$H$256,"P6")</f>
        <v>0</v>
      </c>
      <c r="R82" s="24" t="n">
        <f aca="false">IF(N82="Overhead only",O82,IF(AND(N82="Working",P82+Q82&gt;0),MAX(0,O82-P82-Q82),0))</f>
        <v>0</v>
      </c>
      <c r="S82" s="24" t="n">
        <f aca="false">IF(OR(N82="Working",N82="Overhead only"),MAX(0,P82+Q82-O82),0)</f>
        <v>0</v>
      </c>
      <c r="T82" s="24" t="n">
        <f aca="false">P82+Q82+R82</f>
        <v>0</v>
      </c>
      <c r="U82" s="24" t="str">
        <f aca="true">IF(N82="Working",IF(P82+Q82=0,IF(L82&lt;=TODAY(),"Not logged",""),IF(P82+Q82&gt;O82,IF(AllowOT="Yes","Overtime","Over "&amp;O82&amp;" h!"),"✓")),IF(N82="Overhead only","✓ Overhead day",IF(P82+Q82&gt;0,"Entries on "&amp;LOWER(N82)&amp;" day",N82)))</f>
        <v>Weekend</v>
      </c>
      <c r="V82" s="1"/>
      <c r="W82" s="1" t="str">
        <f aca="false">IF(Projects!B80="","",Projects!B80)</f>
        <v/>
      </c>
      <c r="X82" s="1" t="n">
        <f aca="false">IF(W82="",0,SUMIFS($I$7:$I$256,$D$7:$D$256,W82,$H$7:$H$256,"NTIME"))</f>
        <v>0</v>
      </c>
      <c r="Y82" s="1" t="n">
        <f aca="false">IF(W82="",0,SUMIFS($I$7:$I$256,$D$7:$D$256,W82,$H$7:$H$256,"P6"))</f>
        <v>0</v>
      </c>
      <c r="Z82" s="1" t="n">
        <f aca="false">X82+Y82</f>
        <v>0</v>
      </c>
      <c r="AA82" s="1" t="n">
        <f aca="false">IF(Z82&gt;0,Z82+(201-76)/10^6,0)</f>
        <v>0</v>
      </c>
      <c r="AB82" s="1"/>
      <c r="AC82" s="1"/>
      <c r="AD82" s="1"/>
      <c r="AE82" s="1"/>
      <c r="AF82" s="1"/>
      <c r="AG82" s="1"/>
      <c r="AH82" s="1"/>
    </row>
    <row r="83" customFormat="false" ht="15" hidden="false" customHeight="false" outlineLevel="0" collapsed="false">
      <c r="A83" s="1"/>
      <c r="B83" s="10"/>
      <c r="C83" s="31" t="str">
        <f aca="false">IF(B83="","",TEXT(B83,"ddd"))</f>
        <v/>
      </c>
      <c r="D83" s="11"/>
      <c r="E83" s="8" t="str">
        <f aca="false">IF(D83="","",IFERROR(INDEX(ProjNumbers,MATCH(D83,ProjNames,0)),""))</f>
        <v/>
      </c>
      <c r="F83" s="8" t="str">
        <f aca="false">IF(D83="","",IFERROR(INDEX(ProjCodes,MATCH(D83,ProjNames,0)),""))</f>
        <v/>
      </c>
      <c r="G83" s="32"/>
      <c r="H83" s="11"/>
      <c r="I83" s="33"/>
      <c r="J83" s="8" t="str">
        <f aca="false">IF(COUNTA(B83,D83,G83,H83,I83)=0,"",IF(B83="","Enter date",IF(OR(B83&lt;$AC$2,B83&gt;$AC$3),"Date not in October",IF(D83="","Pick project",IF(ISNA(MATCH(D83,ProjNames,0)),"Project not in list",IF(G83="","Add task description",IF(H83="","Pick NTIME or P6",IF(N(I83)&lt;=0,"Enter hours",IF(AND(AllowOT&lt;&gt;"Yes",SUMIF($B$7:$B$256,B83,$I$7:$I$256)&gt;INDEX($O$58:$O$88,DAY(B83))),"Day over "&amp;INDEX($O$58:$O$88,DAY(B83))&amp;" h","✓")))))))))</f>
        <v/>
      </c>
      <c r="K83" s="1"/>
      <c r="L83" s="35" t="n">
        <v>46321</v>
      </c>
      <c r="M83" s="36" t="str">
        <f aca="false">TEXT(L83,"ddd")</f>
        <v>Mon</v>
      </c>
      <c r="N83" s="37" t="s">
        <v>93</v>
      </c>
      <c r="O83" s="37" t="n">
        <f aca="false">AvailHours</f>
        <v>8</v>
      </c>
      <c r="P83" s="24" t="n">
        <f aca="false">SUMIFS($I$7:$I$256,$B$7:$B$256,L83,$H$7:$H$256,"NTIME")</f>
        <v>0</v>
      </c>
      <c r="Q83" s="24" t="n">
        <f aca="false">SUMIFS($I$7:$I$256,$B$7:$B$256,L83,$H$7:$H$256,"P6")</f>
        <v>0</v>
      </c>
      <c r="R83" s="24" t="n">
        <f aca="false">IF(N83="Overhead only",O83,IF(AND(N83="Working",P83+Q83&gt;0),MAX(0,O83-P83-Q83),0))</f>
        <v>0</v>
      </c>
      <c r="S83" s="24" t="n">
        <f aca="false">IF(OR(N83="Working",N83="Overhead only"),MAX(0,P83+Q83-O83),0)</f>
        <v>0</v>
      </c>
      <c r="T83" s="24" t="n">
        <f aca="false">P83+Q83+R83</f>
        <v>0</v>
      </c>
      <c r="U83" s="24" t="str">
        <f aca="true">IF(N83="Working",IF(P83+Q83=0,IF(L83&lt;=TODAY(),"Not logged",""),IF(P83+Q83&gt;O83,IF(AllowOT="Yes","Overtime","Over "&amp;O83&amp;" h!"),"✓")),IF(N83="Overhead only","✓ Overhead day",IF(P83+Q83&gt;0,"Entries on "&amp;LOWER(N83)&amp;" day",N83)))</f>
        <v/>
      </c>
      <c r="V83" s="1"/>
      <c r="W83" s="1" t="str">
        <f aca="false">IF(Projects!B81="","",Projects!B81)</f>
        <v/>
      </c>
      <c r="X83" s="1" t="n">
        <f aca="false">IF(W83="",0,SUMIFS($I$7:$I$256,$D$7:$D$256,W83,$H$7:$H$256,"NTIME"))</f>
        <v>0</v>
      </c>
      <c r="Y83" s="1" t="n">
        <f aca="false">IF(W83="",0,SUMIFS($I$7:$I$256,$D$7:$D$256,W83,$H$7:$H$256,"P6"))</f>
        <v>0</v>
      </c>
      <c r="Z83" s="1" t="n">
        <f aca="false">X83+Y83</f>
        <v>0</v>
      </c>
      <c r="AA83" s="1" t="n">
        <f aca="false">IF(Z83&gt;0,Z83+(201-77)/10^6,0)</f>
        <v>0</v>
      </c>
      <c r="AB83" s="1"/>
      <c r="AC83" s="1"/>
      <c r="AD83" s="1"/>
      <c r="AE83" s="1"/>
      <c r="AF83" s="1"/>
      <c r="AG83" s="1"/>
      <c r="AH83" s="1"/>
    </row>
    <row r="84" customFormat="false" ht="15" hidden="false" customHeight="false" outlineLevel="0" collapsed="false">
      <c r="A84" s="1"/>
      <c r="B84" s="10"/>
      <c r="C84" s="31" t="str">
        <f aca="false">IF(B84="","",TEXT(B84,"ddd"))</f>
        <v/>
      </c>
      <c r="D84" s="11"/>
      <c r="E84" s="8" t="str">
        <f aca="false">IF(D84="","",IFERROR(INDEX(ProjNumbers,MATCH(D84,ProjNames,0)),""))</f>
        <v/>
      </c>
      <c r="F84" s="8" t="str">
        <f aca="false">IF(D84="","",IFERROR(INDEX(ProjCodes,MATCH(D84,ProjNames,0)),""))</f>
        <v/>
      </c>
      <c r="G84" s="32"/>
      <c r="H84" s="11"/>
      <c r="I84" s="33"/>
      <c r="J84" s="8" t="str">
        <f aca="false">IF(COUNTA(B84,D84,G84,H84,I84)=0,"",IF(B84="","Enter date",IF(OR(B84&lt;$AC$2,B84&gt;$AC$3),"Date not in October",IF(D84="","Pick project",IF(ISNA(MATCH(D84,ProjNames,0)),"Project not in list",IF(G84="","Add task description",IF(H84="","Pick NTIME or P6",IF(N(I84)&lt;=0,"Enter hours",IF(AND(AllowOT&lt;&gt;"Yes",SUMIF($B$7:$B$256,B84,$I$7:$I$256)&gt;INDEX($O$58:$O$88,DAY(B84))),"Day over "&amp;INDEX($O$58:$O$88,DAY(B84))&amp;" h","✓")))))))))</f>
        <v/>
      </c>
      <c r="K84" s="1"/>
      <c r="L84" s="35" t="n">
        <v>46322</v>
      </c>
      <c r="M84" s="36" t="str">
        <f aca="false">TEXT(L84,"ddd")</f>
        <v>Tue</v>
      </c>
      <c r="N84" s="37" t="s">
        <v>93</v>
      </c>
      <c r="O84" s="37" t="n">
        <f aca="false">AvailHours</f>
        <v>8</v>
      </c>
      <c r="P84" s="24" t="n">
        <f aca="false">SUMIFS($I$7:$I$256,$B$7:$B$256,L84,$H$7:$H$256,"NTIME")</f>
        <v>0</v>
      </c>
      <c r="Q84" s="24" t="n">
        <f aca="false">SUMIFS($I$7:$I$256,$B$7:$B$256,L84,$H$7:$H$256,"P6")</f>
        <v>0</v>
      </c>
      <c r="R84" s="24" t="n">
        <f aca="false">IF(N84="Overhead only",O84,IF(AND(N84="Working",P84+Q84&gt;0),MAX(0,O84-P84-Q84),0))</f>
        <v>0</v>
      </c>
      <c r="S84" s="24" t="n">
        <f aca="false">IF(OR(N84="Working",N84="Overhead only"),MAX(0,P84+Q84-O84),0)</f>
        <v>0</v>
      </c>
      <c r="T84" s="24" t="n">
        <f aca="false">P84+Q84+R84</f>
        <v>0</v>
      </c>
      <c r="U84" s="24" t="str">
        <f aca="true">IF(N84="Working",IF(P84+Q84=0,IF(L84&lt;=TODAY(),"Not logged",""),IF(P84+Q84&gt;O84,IF(AllowOT="Yes","Overtime","Over "&amp;O84&amp;" h!"),"✓")),IF(N84="Overhead only","✓ Overhead day",IF(P84+Q84&gt;0,"Entries on "&amp;LOWER(N84)&amp;" day",N84)))</f>
        <v/>
      </c>
      <c r="V84" s="1"/>
      <c r="W84" s="1" t="str">
        <f aca="false">IF(Projects!B82="","",Projects!B82)</f>
        <v/>
      </c>
      <c r="X84" s="1" t="n">
        <f aca="false">IF(W84="",0,SUMIFS($I$7:$I$256,$D$7:$D$256,W84,$H$7:$H$256,"NTIME"))</f>
        <v>0</v>
      </c>
      <c r="Y84" s="1" t="n">
        <f aca="false">IF(W84="",0,SUMIFS($I$7:$I$256,$D$7:$D$256,W84,$H$7:$H$256,"P6"))</f>
        <v>0</v>
      </c>
      <c r="Z84" s="1" t="n">
        <f aca="false">X84+Y84</f>
        <v>0</v>
      </c>
      <c r="AA84" s="1" t="n">
        <f aca="false">IF(Z84&gt;0,Z84+(201-78)/10^6,0)</f>
        <v>0</v>
      </c>
      <c r="AB84" s="1"/>
      <c r="AC84" s="1"/>
      <c r="AD84" s="1"/>
      <c r="AE84" s="1"/>
      <c r="AF84" s="1"/>
      <c r="AG84" s="1"/>
      <c r="AH84" s="1"/>
    </row>
    <row r="85" customFormat="false" ht="15" hidden="false" customHeight="false" outlineLevel="0" collapsed="false">
      <c r="A85" s="1"/>
      <c r="B85" s="10"/>
      <c r="C85" s="31" t="str">
        <f aca="false">IF(B85="","",TEXT(B85,"ddd"))</f>
        <v/>
      </c>
      <c r="D85" s="11"/>
      <c r="E85" s="8" t="str">
        <f aca="false">IF(D85="","",IFERROR(INDEX(ProjNumbers,MATCH(D85,ProjNames,0)),""))</f>
        <v/>
      </c>
      <c r="F85" s="8" t="str">
        <f aca="false">IF(D85="","",IFERROR(INDEX(ProjCodes,MATCH(D85,ProjNames,0)),""))</f>
        <v/>
      </c>
      <c r="G85" s="32"/>
      <c r="H85" s="11"/>
      <c r="I85" s="33"/>
      <c r="J85" s="8" t="str">
        <f aca="false">IF(COUNTA(B85,D85,G85,H85,I85)=0,"",IF(B85="","Enter date",IF(OR(B85&lt;$AC$2,B85&gt;$AC$3),"Date not in October",IF(D85="","Pick project",IF(ISNA(MATCH(D85,ProjNames,0)),"Project not in list",IF(G85="","Add task description",IF(H85="","Pick NTIME or P6",IF(N(I85)&lt;=0,"Enter hours",IF(AND(AllowOT&lt;&gt;"Yes",SUMIF($B$7:$B$256,B85,$I$7:$I$256)&gt;INDEX($O$58:$O$88,DAY(B85))),"Day over "&amp;INDEX($O$58:$O$88,DAY(B85))&amp;" h","✓")))))))))</f>
        <v/>
      </c>
      <c r="K85" s="1"/>
      <c r="L85" s="35" t="n">
        <v>46323</v>
      </c>
      <c r="M85" s="36" t="str">
        <f aca="false">TEXT(L85,"ddd")</f>
        <v>Wed</v>
      </c>
      <c r="N85" s="37" t="s">
        <v>93</v>
      </c>
      <c r="O85" s="37" t="n">
        <f aca="false">AvailHours</f>
        <v>8</v>
      </c>
      <c r="P85" s="24" t="n">
        <f aca="false">SUMIFS($I$7:$I$256,$B$7:$B$256,L85,$H$7:$H$256,"NTIME")</f>
        <v>0</v>
      </c>
      <c r="Q85" s="24" t="n">
        <f aca="false">SUMIFS($I$7:$I$256,$B$7:$B$256,L85,$H$7:$H$256,"P6")</f>
        <v>0</v>
      </c>
      <c r="R85" s="24" t="n">
        <f aca="false">IF(N85="Overhead only",O85,IF(AND(N85="Working",P85+Q85&gt;0),MAX(0,O85-P85-Q85),0))</f>
        <v>0</v>
      </c>
      <c r="S85" s="24" t="n">
        <f aca="false">IF(OR(N85="Working",N85="Overhead only"),MAX(0,P85+Q85-O85),0)</f>
        <v>0</v>
      </c>
      <c r="T85" s="24" t="n">
        <f aca="false">P85+Q85+R85</f>
        <v>0</v>
      </c>
      <c r="U85" s="24" t="str">
        <f aca="true">IF(N85="Working",IF(P85+Q85=0,IF(L85&lt;=TODAY(),"Not logged",""),IF(P85+Q85&gt;O85,IF(AllowOT="Yes","Overtime","Over "&amp;O85&amp;" h!"),"✓")),IF(N85="Overhead only","✓ Overhead day",IF(P85+Q85&gt;0,"Entries on "&amp;LOWER(N85)&amp;" day",N85)))</f>
        <v/>
      </c>
      <c r="V85" s="1"/>
      <c r="W85" s="1" t="str">
        <f aca="false">IF(Projects!B83="","",Projects!B83)</f>
        <v/>
      </c>
      <c r="X85" s="1" t="n">
        <f aca="false">IF(W85="",0,SUMIFS($I$7:$I$256,$D$7:$D$256,W85,$H$7:$H$256,"NTIME"))</f>
        <v>0</v>
      </c>
      <c r="Y85" s="1" t="n">
        <f aca="false">IF(W85="",0,SUMIFS($I$7:$I$256,$D$7:$D$256,W85,$H$7:$H$256,"P6"))</f>
        <v>0</v>
      </c>
      <c r="Z85" s="1" t="n">
        <f aca="false">X85+Y85</f>
        <v>0</v>
      </c>
      <c r="AA85" s="1" t="n">
        <f aca="false">IF(Z85&gt;0,Z85+(201-79)/10^6,0)</f>
        <v>0</v>
      </c>
      <c r="AB85" s="1"/>
      <c r="AC85" s="1"/>
      <c r="AD85" s="1"/>
      <c r="AE85" s="1"/>
      <c r="AF85" s="1"/>
      <c r="AG85" s="1"/>
      <c r="AH85" s="1"/>
    </row>
    <row r="86" customFormat="false" ht="15" hidden="false" customHeight="false" outlineLevel="0" collapsed="false">
      <c r="A86" s="1"/>
      <c r="B86" s="10"/>
      <c r="C86" s="31" t="str">
        <f aca="false">IF(B86="","",TEXT(B86,"ddd"))</f>
        <v/>
      </c>
      <c r="D86" s="11"/>
      <c r="E86" s="8" t="str">
        <f aca="false">IF(D86="","",IFERROR(INDEX(ProjNumbers,MATCH(D86,ProjNames,0)),""))</f>
        <v/>
      </c>
      <c r="F86" s="8" t="str">
        <f aca="false">IF(D86="","",IFERROR(INDEX(ProjCodes,MATCH(D86,ProjNames,0)),""))</f>
        <v/>
      </c>
      <c r="G86" s="32"/>
      <c r="H86" s="11"/>
      <c r="I86" s="33"/>
      <c r="J86" s="8" t="str">
        <f aca="false">IF(COUNTA(B86,D86,G86,H86,I86)=0,"",IF(B86="","Enter date",IF(OR(B86&lt;$AC$2,B86&gt;$AC$3),"Date not in October",IF(D86="","Pick project",IF(ISNA(MATCH(D86,ProjNames,0)),"Project not in list",IF(G86="","Add task description",IF(H86="","Pick NTIME or P6",IF(N(I86)&lt;=0,"Enter hours",IF(AND(AllowOT&lt;&gt;"Yes",SUMIF($B$7:$B$256,B86,$I$7:$I$256)&gt;INDEX($O$58:$O$88,DAY(B86))),"Day over "&amp;INDEX($O$58:$O$88,DAY(B86))&amp;" h","✓")))))))))</f>
        <v/>
      </c>
      <c r="K86" s="1"/>
      <c r="L86" s="35" t="n">
        <v>46324</v>
      </c>
      <c r="M86" s="36" t="str">
        <f aca="false">TEXT(L86,"ddd")</f>
        <v>Thu</v>
      </c>
      <c r="N86" s="37" t="s">
        <v>93</v>
      </c>
      <c r="O86" s="37" t="n">
        <f aca="false">AvailHours</f>
        <v>8</v>
      </c>
      <c r="P86" s="24" t="n">
        <f aca="false">SUMIFS($I$7:$I$256,$B$7:$B$256,L86,$H$7:$H$256,"NTIME")</f>
        <v>0</v>
      </c>
      <c r="Q86" s="24" t="n">
        <f aca="false">SUMIFS($I$7:$I$256,$B$7:$B$256,L86,$H$7:$H$256,"P6")</f>
        <v>0</v>
      </c>
      <c r="R86" s="24" t="n">
        <f aca="false">IF(N86="Overhead only",O86,IF(AND(N86="Working",P86+Q86&gt;0),MAX(0,O86-P86-Q86),0))</f>
        <v>0</v>
      </c>
      <c r="S86" s="24" t="n">
        <f aca="false">IF(OR(N86="Working",N86="Overhead only"),MAX(0,P86+Q86-O86),0)</f>
        <v>0</v>
      </c>
      <c r="T86" s="24" t="n">
        <f aca="false">P86+Q86+R86</f>
        <v>0</v>
      </c>
      <c r="U86" s="24" t="str">
        <f aca="true">IF(N86="Working",IF(P86+Q86=0,IF(L86&lt;=TODAY(),"Not logged",""),IF(P86+Q86&gt;O86,IF(AllowOT="Yes","Overtime","Over "&amp;O86&amp;" h!"),"✓")),IF(N86="Overhead only","✓ Overhead day",IF(P86+Q86&gt;0,"Entries on "&amp;LOWER(N86)&amp;" day",N86)))</f>
        <v/>
      </c>
      <c r="V86" s="1"/>
      <c r="W86" s="1" t="str">
        <f aca="false">IF(Projects!B84="","",Projects!B84)</f>
        <v/>
      </c>
      <c r="X86" s="1" t="n">
        <f aca="false">IF(W86="",0,SUMIFS($I$7:$I$256,$D$7:$D$256,W86,$H$7:$H$256,"NTIME"))</f>
        <v>0</v>
      </c>
      <c r="Y86" s="1" t="n">
        <f aca="false">IF(W86="",0,SUMIFS($I$7:$I$256,$D$7:$D$256,W86,$H$7:$H$256,"P6"))</f>
        <v>0</v>
      </c>
      <c r="Z86" s="1" t="n">
        <f aca="false">X86+Y86</f>
        <v>0</v>
      </c>
      <c r="AA86" s="1" t="n">
        <f aca="false">IF(Z86&gt;0,Z86+(201-80)/10^6,0)</f>
        <v>0</v>
      </c>
      <c r="AB86" s="1"/>
      <c r="AC86" s="1"/>
      <c r="AD86" s="1"/>
      <c r="AE86" s="1"/>
      <c r="AF86" s="1"/>
      <c r="AG86" s="1"/>
      <c r="AH86" s="1"/>
    </row>
    <row r="87" customFormat="false" ht="15" hidden="false" customHeight="false" outlineLevel="0" collapsed="false">
      <c r="A87" s="1"/>
      <c r="B87" s="10"/>
      <c r="C87" s="31" t="str">
        <f aca="false">IF(B87="","",TEXT(B87,"ddd"))</f>
        <v/>
      </c>
      <c r="D87" s="11"/>
      <c r="E87" s="8" t="str">
        <f aca="false">IF(D87="","",IFERROR(INDEX(ProjNumbers,MATCH(D87,ProjNames,0)),""))</f>
        <v/>
      </c>
      <c r="F87" s="8" t="str">
        <f aca="false">IF(D87="","",IFERROR(INDEX(ProjCodes,MATCH(D87,ProjNames,0)),""))</f>
        <v/>
      </c>
      <c r="G87" s="32"/>
      <c r="H87" s="11"/>
      <c r="I87" s="33"/>
      <c r="J87" s="8" t="str">
        <f aca="false">IF(COUNTA(B87,D87,G87,H87,I87)=0,"",IF(B87="","Enter date",IF(OR(B87&lt;$AC$2,B87&gt;$AC$3),"Date not in October",IF(D87="","Pick project",IF(ISNA(MATCH(D87,ProjNames,0)),"Project not in list",IF(G87="","Add task description",IF(H87="","Pick NTIME or P6",IF(N(I87)&lt;=0,"Enter hours",IF(AND(AllowOT&lt;&gt;"Yes",SUMIF($B$7:$B$256,B87,$I$7:$I$256)&gt;INDEX($O$58:$O$88,DAY(B87))),"Day over "&amp;INDEX($O$58:$O$88,DAY(B87))&amp;" h","✓")))))))))</f>
        <v/>
      </c>
      <c r="K87" s="1"/>
      <c r="L87" s="35" t="n">
        <v>46325</v>
      </c>
      <c r="M87" s="36" t="str">
        <f aca="false">TEXT(L87,"ddd")</f>
        <v>Fri</v>
      </c>
      <c r="N87" s="37" t="s">
        <v>93</v>
      </c>
      <c r="O87" s="37" t="n">
        <f aca="false">AvailHours</f>
        <v>8</v>
      </c>
      <c r="P87" s="24" t="n">
        <f aca="false">SUMIFS($I$7:$I$256,$B$7:$B$256,L87,$H$7:$H$256,"NTIME")</f>
        <v>0</v>
      </c>
      <c r="Q87" s="24" t="n">
        <f aca="false">SUMIFS($I$7:$I$256,$B$7:$B$256,L87,$H$7:$H$256,"P6")</f>
        <v>0</v>
      </c>
      <c r="R87" s="24" t="n">
        <f aca="false">IF(N87="Overhead only",O87,IF(AND(N87="Working",P87+Q87&gt;0),MAX(0,O87-P87-Q87),0))</f>
        <v>0</v>
      </c>
      <c r="S87" s="24" t="n">
        <f aca="false">IF(OR(N87="Working",N87="Overhead only"),MAX(0,P87+Q87-O87),0)</f>
        <v>0</v>
      </c>
      <c r="T87" s="24" t="n">
        <f aca="false">P87+Q87+R87</f>
        <v>0</v>
      </c>
      <c r="U87" s="24" t="str">
        <f aca="true">IF(N87="Working",IF(P87+Q87=0,IF(L87&lt;=TODAY(),"Not logged",""),IF(P87+Q87&gt;O87,IF(AllowOT="Yes","Overtime","Over "&amp;O87&amp;" h!"),"✓")),IF(N87="Overhead only","✓ Overhead day",IF(P87+Q87&gt;0,"Entries on "&amp;LOWER(N87)&amp;" day",N87)))</f>
        <v/>
      </c>
      <c r="V87" s="1"/>
      <c r="W87" s="1" t="str">
        <f aca="false">IF(Projects!B85="","",Projects!B85)</f>
        <v/>
      </c>
      <c r="X87" s="1" t="n">
        <f aca="false">IF(W87="",0,SUMIFS($I$7:$I$256,$D$7:$D$256,W87,$H$7:$H$256,"NTIME"))</f>
        <v>0</v>
      </c>
      <c r="Y87" s="1" t="n">
        <f aca="false">IF(W87="",0,SUMIFS($I$7:$I$256,$D$7:$D$256,W87,$H$7:$H$256,"P6"))</f>
        <v>0</v>
      </c>
      <c r="Z87" s="1" t="n">
        <f aca="false">X87+Y87</f>
        <v>0</v>
      </c>
      <c r="AA87" s="1" t="n">
        <f aca="false">IF(Z87&gt;0,Z87+(201-81)/10^6,0)</f>
        <v>0</v>
      </c>
      <c r="AB87" s="1"/>
      <c r="AC87" s="1"/>
      <c r="AD87" s="1"/>
      <c r="AE87" s="1"/>
      <c r="AF87" s="1"/>
      <c r="AG87" s="1"/>
      <c r="AH87" s="1"/>
    </row>
    <row r="88" customFormat="false" ht="15" hidden="false" customHeight="false" outlineLevel="0" collapsed="false">
      <c r="A88" s="1"/>
      <c r="B88" s="10"/>
      <c r="C88" s="31" t="str">
        <f aca="false">IF(B88="","",TEXT(B88,"ddd"))</f>
        <v/>
      </c>
      <c r="D88" s="11"/>
      <c r="E88" s="8" t="str">
        <f aca="false">IF(D88="","",IFERROR(INDEX(ProjNumbers,MATCH(D88,ProjNames,0)),""))</f>
        <v/>
      </c>
      <c r="F88" s="8" t="str">
        <f aca="false">IF(D88="","",IFERROR(INDEX(ProjCodes,MATCH(D88,ProjNames,0)),""))</f>
        <v/>
      </c>
      <c r="G88" s="32"/>
      <c r="H88" s="11"/>
      <c r="I88" s="33"/>
      <c r="J88" s="8" t="str">
        <f aca="false">IF(COUNTA(B88,D88,G88,H88,I88)=0,"",IF(B88="","Enter date",IF(OR(B88&lt;$AC$2,B88&gt;$AC$3),"Date not in October",IF(D88="","Pick project",IF(ISNA(MATCH(D88,ProjNames,0)),"Project not in list",IF(G88="","Add task description",IF(H88="","Pick NTIME or P6",IF(N(I88)&lt;=0,"Enter hours",IF(AND(AllowOT&lt;&gt;"Yes",SUMIF($B$7:$B$256,B88,$I$7:$I$256)&gt;INDEX($O$58:$O$88,DAY(B88))),"Day over "&amp;INDEX($O$58:$O$88,DAY(B88))&amp;" h","✓")))))))))</f>
        <v/>
      </c>
      <c r="K88" s="1"/>
      <c r="L88" s="35" t="n">
        <v>46326</v>
      </c>
      <c r="M88" s="36" t="str">
        <f aca="false">TEXT(L88,"ddd")</f>
        <v>Sat</v>
      </c>
      <c r="N88" s="37" t="s">
        <v>94</v>
      </c>
      <c r="O88" s="37" t="n">
        <f aca="false">AvailHours</f>
        <v>8</v>
      </c>
      <c r="P88" s="24" t="n">
        <f aca="false">SUMIFS($I$7:$I$256,$B$7:$B$256,L88,$H$7:$H$256,"NTIME")</f>
        <v>0</v>
      </c>
      <c r="Q88" s="24" t="n">
        <f aca="false">SUMIFS($I$7:$I$256,$B$7:$B$256,L88,$H$7:$H$256,"P6")</f>
        <v>0</v>
      </c>
      <c r="R88" s="24" t="n">
        <f aca="false">IF(N88="Overhead only",O88,IF(AND(N88="Working",P88+Q88&gt;0),MAX(0,O88-P88-Q88),0))</f>
        <v>0</v>
      </c>
      <c r="S88" s="24" t="n">
        <f aca="false">IF(OR(N88="Working",N88="Overhead only"),MAX(0,P88+Q88-O88),0)</f>
        <v>0</v>
      </c>
      <c r="T88" s="24" t="n">
        <f aca="false">P88+Q88+R88</f>
        <v>0</v>
      </c>
      <c r="U88" s="24" t="str">
        <f aca="true">IF(N88="Working",IF(P88+Q88=0,IF(L88&lt;=TODAY(),"Not logged",""),IF(P88+Q88&gt;O88,IF(AllowOT="Yes","Overtime","Over "&amp;O88&amp;" h!"),"✓")),IF(N88="Overhead only","✓ Overhead day",IF(P88+Q88&gt;0,"Entries on "&amp;LOWER(N88)&amp;" day",N88)))</f>
        <v>Weekend</v>
      </c>
      <c r="V88" s="1"/>
      <c r="W88" s="1" t="str">
        <f aca="false">IF(Projects!B86="","",Projects!B86)</f>
        <v/>
      </c>
      <c r="X88" s="1" t="n">
        <f aca="false">IF(W88="",0,SUMIFS($I$7:$I$256,$D$7:$D$256,W88,$H$7:$H$256,"NTIME"))</f>
        <v>0</v>
      </c>
      <c r="Y88" s="1" t="n">
        <f aca="false">IF(W88="",0,SUMIFS($I$7:$I$256,$D$7:$D$256,W88,$H$7:$H$256,"P6"))</f>
        <v>0</v>
      </c>
      <c r="Z88" s="1" t="n">
        <f aca="false">X88+Y88</f>
        <v>0</v>
      </c>
      <c r="AA88" s="1" t="n">
        <f aca="false">IF(Z88&gt;0,Z88+(201-82)/10^6,0)</f>
        <v>0</v>
      </c>
      <c r="AB88" s="1"/>
      <c r="AC88" s="1"/>
      <c r="AD88" s="1"/>
      <c r="AE88" s="1"/>
      <c r="AF88" s="1"/>
      <c r="AG88" s="1"/>
      <c r="AH88" s="1"/>
    </row>
    <row r="89" customFormat="false" ht="15" hidden="false" customHeight="false" outlineLevel="0" collapsed="false">
      <c r="A89" s="1"/>
      <c r="B89" s="10"/>
      <c r="C89" s="31" t="str">
        <f aca="false">IF(B89="","",TEXT(B89,"ddd"))</f>
        <v/>
      </c>
      <c r="D89" s="11"/>
      <c r="E89" s="8" t="str">
        <f aca="false">IF(D89="","",IFERROR(INDEX(ProjNumbers,MATCH(D89,ProjNames,0)),""))</f>
        <v/>
      </c>
      <c r="F89" s="8" t="str">
        <f aca="false">IF(D89="","",IFERROR(INDEX(ProjCodes,MATCH(D89,ProjNames,0)),""))</f>
        <v/>
      </c>
      <c r="G89" s="32"/>
      <c r="H89" s="11"/>
      <c r="I89" s="33"/>
      <c r="J89" s="8" t="str">
        <f aca="false">IF(COUNTA(B89,D89,G89,H89,I89)=0,"",IF(B89="","Enter date",IF(OR(B89&lt;$AC$2,B89&gt;$AC$3),"Date not in October",IF(D89="","Pick project",IF(ISNA(MATCH(D89,ProjNames,0)),"Project not in list",IF(G89="","Add task description",IF(H89="","Pick NTIME or P6",IF(N(I89)&lt;=0,"Enter hours",IF(AND(AllowOT&lt;&gt;"Yes",SUMIF($B$7:$B$256,B89,$I$7:$I$256)&gt;INDEX($O$58:$O$88,DAY(B89))),"Day over "&amp;INDEX($O$58:$O$88,DAY(B89))&amp;" h","✓")))))))))</f>
        <v/>
      </c>
      <c r="K89" s="1"/>
      <c r="L89" s="27" t="s">
        <v>84</v>
      </c>
      <c r="M89" s="27"/>
      <c r="N89" s="27"/>
      <c r="O89" s="27"/>
      <c r="P89" s="27" t="n">
        <f aca="false">SUM(P58:P88)</f>
        <v>0</v>
      </c>
      <c r="Q89" s="27" t="n">
        <f aca="false">SUM(Q58:Q88)</f>
        <v>0</v>
      </c>
      <c r="R89" s="27" t="n">
        <f aca="false">SUM(R58:R88)</f>
        <v>0</v>
      </c>
      <c r="S89" s="27" t="n">
        <f aca="false">SUM(S58:S88)</f>
        <v>0</v>
      </c>
      <c r="T89" s="27" t="n">
        <f aca="false">SUM(T58:T88)</f>
        <v>0</v>
      </c>
      <c r="U89" s="27"/>
      <c r="V89" s="1"/>
      <c r="W89" s="1" t="str">
        <f aca="false">IF(Projects!B87="","",Projects!B87)</f>
        <v/>
      </c>
      <c r="X89" s="1" t="n">
        <f aca="false">IF(W89="",0,SUMIFS($I$7:$I$256,$D$7:$D$256,W89,$H$7:$H$256,"NTIME"))</f>
        <v>0</v>
      </c>
      <c r="Y89" s="1" t="n">
        <f aca="false">IF(W89="",0,SUMIFS($I$7:$I$256,$D$7:$D$256,W89,$H$7:$H$256,"P6"))</f>
        <v>0</v>
      </c>
      <c r="Z89" s="1" t="n">
        <f aca="false">X89+Y89</f>
        <v>0</v>
      </c>
      <c r="AA89" s="1" t="n">
        <f aca="false">IF(Z89&gt;0,Z89+(201-83)/10^6,0)</f>
        <v>0</v>
      </c>
      <c r="AB89" s="1"/>
      <c r="AC89" s="1"/>
      <c r="AD89" s="1"/>
      <c r="AE89" s="1"/>
      <c r="AF89" s="1"/>
      <c r="AG89" s="1"/>
      <c r="AH89" s="1"/>
    </row>
    <row r="90" customFormat="false" ht="15" hidden="false" customHeight="false" outlineLevel="0" collapsed="false">
      <c r="A90" s="1"/>
      <c r="B90" s="10"/>
      <c r="C90" s="31" t="str">
        <f aca="false">IF(B90="","",TEXT(B90,"ddd"))</f>
        <v/>
      </c>
      <c r="D90" s="11"/>
      <c r="E90" s="8" t="str">
        <f aca="false">IF(D90="","",IFERROR(INDEX(ProjNumbers,MATCH(D90,ProjNames,0)),""))</f>
        <v/>
      </c>
      <c r="F90" s="8" t="str">
        <f aca="false">IF(D90="","",IFERROR(INDEX(ProjCodes,MATCH(D90,ProjNames,0)),""))</f>
        <v/>
      </c>
      <c r="G90" s="32"/>
      <c r="H90" s="11"/>
      <c r="I90" s="33"/>
      <c r="J90" s="8" t="str">
        <f aca="false">IF(COUNTA(B90,D90,G90,H90,I90)=0,"",IF(B90="","Enter date",IF(OR(B90&lt;$AC$2,B90&gt;$AC$3),"Date not in October",IF(D90="","Pick project",IF(ISNA(MATCH(D90,ProjNames,0)),"Project not in list",IF(G90="","Add task description",IF(H90="","Pick NTIME or P6",IF(N(I90)&lt;=0,"Enter hours",IF(AND(AllowOT&lt;&gt;"Yes",SUMIF($B$7:$B$256,B90,$I$7:$I$256)&gt;INDEX($O$58:$O$88,DAY(B90))),"Day over "&amp;INDEX($O$58:$O$88,DAY(B90))&amp;" h","✓")))))))))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tr">
        <f aca="false">IF(Projects!B88="","",Projects!B88)</f>
        <v/>
      </c>
      <c r="X90" s="1" t="n">
        <f aca="false">IF(W90="",0,SUMIFS($I$7:$I$256,$D$7:$D$256,W90,$H$7:$H$256,"NTIME"))</f>
        <v>0</v>
      </c>
      <c r="Y90" s="1" t="n">
        <f aca="false">IF(W90="",0,SUMIFS($I$7:$I$256,$D$7:$D$256,W90,$H$7:$H$256,"P6"))</f>
        <v>0</v>
      </c>
      <c r="Z90" s="1" t="n">
        <f aca="false">X90+Y90</f>
        <v>0</v>
      </c>
      <c r="AA90" s="1" t="n">
        <f aca="false">IF(Z90&gt;0,Z90+(201-84)/10^6,0)</f>
        <v>0</v>
      </c>
      <c r="AB90" s="1"/>
      <c r="AC90" s="1"/>
      <c r="AD90" s="1"/>
      <c r="AE90" s="1"/>
      <c r="AF90" s="1"/>
      <c r="AG90" s="1"/>
      <c r="AH90" s="1"/>
    </row>
    <row r="91" customFormat="false" ht="15" hidden="false" customHeight="false" outlineLevel="0" collapsed="false">
      <c r="A91" s="1"/>
      <c r="B91" s="10"/>
      <c r="C91" s="31" t="str">
        <f aca="false">IF(B91="","",TEXT(B91,"ddd"))</f>
        <v/>
      </c>
      <c r="D91" s="11"/>
      <c r="E91" s="8" t="str">
        <f aca="false">IF(D91="","",IFERROR(INDEX(ProjNumbers,MATCH(D91,ProjNames,0)),""))</f>
        <v/>
      </c>
      <c r="F91" s="8" t="str">
        <f aca="false">IF(D91="","",IFERROR(INDEX(ProjCodes,MATCH(D91,ProjNames,0)),""))</f>
        <v/>
      </c>
      <c r="G91" s="32"/>
      <c r="H91" s="11"/>
      <c r="I91" s="33"/>
      <c r="J91" s="8" t="str">
        <f aca="false">IF(COUNTA(B91,D91,G91,H91,I91)=0,"",IF(B91="","Enter date",IF(OR(B91&lt;$AC$2,B91&gt;$AC$3),"Date not in October",IF(D91="","Pick project",IF(ISNA(MATCH(D91,ProjNames,0)),"Project not in list",IF(G91="","Add task description",IF(H91="","Pick NTIME or P6",IF(N(I91)&lt;=0,"Enter hours",IF(AND(AllowOT&lt;&gt;"Yes",SUMIF($B$7:$B$256,B91,$I$7:$I$256)&gt;INDEX($O$58:$O$88,DAY(B91))),"Day over "&amp;INDEX($O$58:$O$88,DAY(B91))&amp;" h","✓")))))))))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tr">
        <f aca="false">IF(Projects!B89="","",Projects!B89)</f>
        <v/>
      </c>
      <c r="X91" s="1" t="n">
        <f aca="false">IF(W91="",0,SUMIFS($I$7:$I$256,$D$7:$D$256,W91,$H$7:$H$256,"NTIME"))</f>
        <v>0</v>
      </c>
      <c r="Y91" s="1" t="n">
        <f aca="false">IF(W91="",0,SUMIFS($I$7:$I$256,$D$7:$D$256,W91,$H$7:$H$256,"P6"))</f>
        <v>0</v>
      </c>
      <c r="Z91" s="1" t="n">
        <f aca="false">X91+Y91</f>
        <v>0</v>
      </c>
      <c r="AA91" s="1" t="n">
        <f aca="false">IF(Z91&gt;0,Z91+(201-85)/10^6,0)</f>
        <v>0</v>
      </c>
      <c r="AB91" s="1"/>
      <c r="AC91" s="1"/>
      <c r="AD91" s="1"/>
      <c r="AE91" s="1"/>
      <c r="AF91" s="1"/>
      <c r="AG91" s="1"/>
      <c r="AH91" s="1"/>
    </row>
    <row r="92" customFormat="false" ht="15" hidden="false" customHeight="false" outlineLevel="0" collapsed="false">
      <c r="A92" s="1"/>
      <c r="B92" s="10"/>
      <c r="C92" s="31" t="str">
        <f aca="false">IF(B92="","",TEXT(B92,"ddd"))</f>
        <v/>
      </c>
      <c r="D92" s="11"/>
      <c r="E92" s="8" t="str">
        <f aca="false">IF(D92="","",IFERROR(INDEX(ProjNumbers,MATCH(D92,ProjNames,0)),""))</f>
        <v/>
      </c>
      <c r="F92" s="8" t="str">
        <f aca="false">IF(D92="","",IFERROR(INDEX(ProjCodes,MATCH(D92,ProjNames,0)),""))</f>
        <v/>
      </c>
      <c r="G92" s="32"/>
      <c r="H92" s="11"/>
      <c r="I92" s="33"/>
      <c r="J92" s="8" t="str">
        <f aca="false">IF(COUNTA(B92,D92,G92,H92,I92)=0,"",IF(B92="","Enter date",IF(OR(B92&lt;$AC$2,B92&gt;$AC$3),"Date not in October",IF(D92="","Pick project",IF(ISNA(MATCH(D92,ProjNames,0)),"Project not in list",IF(G92="","Add task description",IF(H92="","Pick NTIME or P6",IF(N(I92)&lt;=0,"Enter hours",IF(AND(AllowOT&lt;&gt;"Yes",SUMIF($B$7:$B$256,B92,$I$7:$I$256)&gt;INDEX($O$58:$O$88,DAY(B92))),"Day over "&amp;INDEX($O$58:$O$88,DAY(B92))&amp;" h","✓")))))))))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tr">
        <f aca="false">IF(Projects!B90="","",Projects!B90)</f>
        <v/>
      </c>
      <c r="X92" s="1" t="n">
        <f aca="false">IF(W92="",0,SUMIFS($I$7:$I$256,$D$7:$D$256,W92,$H$7:$H$256,"NTIME"))</f>
        <v>0</v>
      </c>
      <c r="Y92" s="1" t="n">
        <f aca="false">IF(W92="",0,SUMIFS($I$7:$I$256,$D$7:$D$256,W92,$H$7:$H$256,"P6"))</f>
        <v>0</v>
      </c>
      <c r="Z92" s="1" t="n">
        <f aca="false">X92+Y92</f>
        <v>0</v>
      </c>
      <c r="AA92" s="1" t="n">
        <f aca="false">IF(Z92&gt;0,Z92+(201-86)/10^6,0)</f>
        <v>0</v>
      </c>
      <c r="AB92" s="1"/>
      <c r="AC92" s="1"/>
      <c r="AD92" s="1"/>
      <c r="AE92" s="1"/>
      <c r="AF92" s="1"/>
      <c r="AG92" s="1"/>
      <c r="AH92" s="1"/>
    </row>
    <row r="93" customFormat="false" ht="15" hidden="false" customHeight="false" outlineLevel="0" collapsed="false">
      <c r="A93" s="1"/>
      <c r="B93" s="10"/>
      <c r="C93" s="31" t="str">
        <f aca="false">IF(B93="","",TEXT(B93,"ddd"))</f>
        <v/>
      </c>
      <c r="D93" s="11"/>
      <c r="E93" s="8" t="str">
        <f aca="false">IF(D93="","",IFERROR(INDEX(ProjNumbers,MATCH(D93,ProjNames,0)),""))</f>
        <v/>
      </c>
      <c r="F93" s="8" t="str">
        <f aca="false">IF(D93="","",IFERROR(INDEX(ProjCodes,MATCH(D93,ProjNames,0)),""))</f>
        <v/>
      </c>
      <c r="G93" s="32"/>
      <c r="H93" s="11"/>
      <c r="I93" s="33"/>
      <c r="J93" s="8" t="str">
        <f aca="false">IF(COUNTA(B93,D93,G93,H93,I93)=0,"",IF(B93="","Enter date",IF(OR(B93&lt;$AC$2,B93&gt;$AC$3),"Date not in October",IF(D93="","Pick project",IF(ISNA(MATCH(D93,ProjNames,0)),"Project not in list",IF(G93="","Add task description",IF(H93="","Pick NTIME or P6",IF(N(I93)&lt;=0,"Enter hours",IF(AND(AllowOT&lt;&gt;"Yes",SUMIF($B$7:$B$256,B93,$I$7:$I$256)&gt;INDEX($O$58:$O$88,DAY(B93))),"Day over "&amp;INDEX($O$58:$O$88,DAY(B93))&amp;" h","✓")))))))))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tr">
        <f aca="false">IF(Projects!B91="","",Projects!B91)</f>
        <v/>
      </c>
      <c r="X93" s="1" t="n">
        <f aca="false">IF(W93="",0,SUMIFS($I$7:$I$256,$D$7:$D$256,W93,$H$7:$H$256,"NTIME"))</f>
        <v>0</v>
      </c>
      <c r="Y93" s="1" t="n">
        <f aca="false">IF(W93="",0,SUMIFS($I$7:$I$256,$D$7:$D$256,W93,$H$7:$H$256,"P6"))</f>
        <v>0</v>
      </c>
      <c r="Z93" s="1" t="n">
        <f aca="false">X93+Y93</f>
        <v>0</v>
      </c>
      <c r="AA93" s="1" t="n">
        <f aca="false">IF(Z93&gt;0,Z93+(201-87)/10^6,0)</f>
        <v>0</v>
      </c>
      <c r="AB93" s="1"/>
      <c r="AC93" s="1"/>
      <c r="AD93" s="1"/>
      <c r="AE93" s="1"/>
      <c r="AF93" s="1"/>
      <c r="AG93" s="1"/>
      <c r="AH93" s="1"/>
    </row>
    <row r="94" customFormat="false" ht="15" hidden="false" customHeight="false" outlineLevel="0" collapsed="false">
      <c r="A94" s="1"/>
      <c r="B94" s="10"/>
      <c r="C94" s="31" t="str">
        <f aca="false">IF(B94="","",TEXT(B94,"ddd"))</f>
        <v/>
      </c>
      <c r="D94" s="11"/>
      <c r="E94" s="8" t="str">
        <f aca="false">IF(D94="","",IFERROR(INDEX(ProjNumbers,MATCH(D94,ProjNames,0)),""))</f>
        <v/>
      </c>
      <c r="F94" s="8" t="str">
        <f aca="false">IF(D94="","",IFERROR(INDEX(ProjCodes,MATCH(D94,ProjNames,0)),""))</f>
        <v/>
      </c>
      <c r="G94" s="32"/>
      <c r="H94" s="11"/>
      <c r="I94" s="33"/>
      <c r="J94" s="8" t="str">
        <f aca="false">IF(COUNTA(B94,D94,G94,H94,I94)=0,"",IF(B94="","Enter date",IF(OR(B94&lt;$AC$2,B94&gt;$AC$3),"Date not in October",IF(D94="","Pick project",IF(ISNA(MATCH(D94,ProjNames,0)),"Project not in list",IF(G94="","Add task description",IF(H94="","Pick NTIME or P6",IF(N(I94)&lt;=0,"Enter hours",IF(AND(AllowOT&lt;&gt;"Yes",SUMIF($B$7:$B$256,B94,$I$7:$I$256)&gt;INDEX($O$58:$O$88,DAY(B94))),"Day over "&amp;INDEX($O$58:$O$88,DAY(B94))&amp;" h","✓")))))))))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tr">
        <f aca="false">IF(Projects!B92="","",Projects!B92)</f>
        <v/>
      </c>
      <c r="X94" s="1" t="n">
        <f aca="false">IF(W94="",0,SUMIFS($I$7:$I$256,$D$7:$D$256,W94,$H$7:$H$256,"NTIME"))</f>
        <v>0</v>
      </c>
      <c r="Y94" s="1" t="n">
        <f aca="false">IF(W94="",0,SUMIFS($I$7:$I$256,$D$7:$D$256,W94,$H$7:$H$256,"P6"))</f>
        <v>0</v>
      </c>
      <c r="Z94" s="1" t="n">
        <f aca="false">X94+Y94</f>
        <v>0</v>
      </c>
      <c r="AA94" s="1" t="n">
        <f aca="false">IF(Z94&gt;0,Z94+(201-88)/10^6,0)</f>
        <v>0</v>
      </c>
      <c r="AB94" s="1"/>
      <c r="AC94" s="1"/>
      <c r="AD94" s="1"/>
      <c r="AE94" s="1"/>
      <c r="AF94" s="1"/>
      <c r="AG94" s="1"/>
      <c r="AH94" s="1"/>
    </row>
    <row r="95" customFormat="false" ht="15" hidden="false" customHeight="false" outlineLevel="0" collapsed="false">
      <c r="A95" s="1"/>
      <c r="B95" s="10"/>
      <c r="C95" s="31" t="str">
        <f aca="false">IF(B95="","",TEXT(B95,"ddd"))</f>
        <v/>
      </c>
      <c r="D95" s="11"/>
      <c r="E95" s="8" t="str">
        <f aca="false">IF(D95="","",IFERROR(INDEX(ProjNumbers,MATCH(D95,ProjNames,0)),""))</f>
        <v/>
      </c>
      <c r="F95" s="8" t="str">
        <f aca="false">IF(D95="","",IFERROR(INDEX(ProjCodes,MATCH(D95,ProjNames,0)),""))</f>
        <v/>
      </c>
      <c r="G95" s="32"/>
      <c r="H95" s="11"/>
      <c r="I95" s="33"/>
      <c r="J95" s="8" t="str">
        <f aca="false">IF(COUNTA(B95,D95,G95,H95,I95)=0,"",IF(B95="","Enter date",IF(OR(B95&lt;$AC$2,B95&gt;$AC$3),"Date not in October",IF(D95="","Pick project",IF(ISNA(MATCH(D95,ProjNames,0)),"Project not in list",IF(G95="","Add task description",IF(H95="","Pick NTIME or P6",IF(N(I95)&lt;=0,"Enter hours",IF(AND(AllowOT&lt;&gt;"Yes",SUMIF($B$7:$B$256,B95,$I$7:$I$256)&gt;INDEX($O$58:$O$88,DAY(B95))),"Day over "&amp;INDEX($O$58:$O$88,DAY(B95))&amp;" h","✓")))))))))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tr">
        <f aca="false">IF(Projects!B93="","",Projects!B93)</f>
        <v/>
      </c>
      <c r="X95" s="1" t="n">
        <f aca="false">IF(W95="",0,SUMIFS($I$7:$I$256,$D$7:$D$256,W95,$H$7:$H$256,"NTIME"))</f>
        <v>0</v>
      </c>
      <c r="Y95" s="1" t="n">
        <f aca="false">IF(W95="",0,SUMIFS($I$7:$I$256,$D$7:$D$256,W95,$H$7:$H$256,"P6"))</f>
        <v>0</v>
      </c>
      <c r="Z95" s="1" t="n">
        <f aca="false">X95+Y95</f>
        <v>0</v>
      </c>
      <c r="AA95" s="1" t="n">
        <f aca="false">IF(Z95&gt;0,Z95+(201-89)/10^6,0)</f>
        <v>0</v>
      </c>
      <c r="AB95" s="1"/>
      <c r="AC95" s="1"/>
      <c r="AD95" s="1"/>
      <c r="AE95" s="1"/>
      <c r="AF95" s="1"/>
      <c r="AG95" s="1"/>
      <c r="AH95" s="1"/>
    </row>
    <row r="96" customFormat="false" ht="15" hidden="false" customHeight="false" outlineLevel="0" collapsed="false">
      <c r="A96" s="1"/>
      <c r="B96" s="10"/>
      <c r="C96" s="31" t="str">
        <f aca="false">IF(B96="","",TEXT(B96,"ddd"))</f>
        <v/>
      </c>
      <c r="D96" s="11"/>
      <c r="E96" s="8" t="str">
        <f aca="false">IF(D96="","",IFERROR(INDEX(ProjNumbers,MATCH(D96,ProjNames,0)),""))</f>
        <v/>
      </c>
      <c r="F96" s="8" t="str">
        <f aca="false">IF(D96="","",IFERROR(INDEX(ProjCodes,MATCH(D96,ProjNames,0)),""))</f>
        <v/>
      </c>
      <c r="G96" s="32"/>
      <c r="H96" s="11"/>
      <c r="I96" s="33"/>
      <c r="J96" s="8" t="str">
        <f aca="false">IF(COUNTA(B96,D96,G96,H96,I96)=0,"",IF(B96="","Enter date",IF(OR(B96&lt;$AC$2,B96&gt;$AC$3),"Date not in October",IF(D96="","Pick project",IF(ISNA(MATCH(D96,ProjNames,0)),"Project not in list",IF(G96="","Add task description",IF(H96="","Pick NTIME or P6",IF(N(I96)&lt;=0,"Enter hours",IF(AND(AllowOT&lt;&gt;"Yes",SUMIF($B$7:$B$256,B96,$I$7:$I$256)&gt;INDEX($O$58:$O$88,DAY(B96))),"Day over "&amp;INDEX($O$58:$O$88,DAY(B96))&amp;" h","✓")))))))))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tr">
        <f aca="false">IF(Projects!B94="","",Projects!B94)</f>
        <v/>
      </c>
      <c r="X96" s="1" t="n">
        <f aca="false">IF(W96="",0,SUMIFS($I$7:$I$256,$D$7:$D$256,W96,$H$7:$H$256,"NTIME"))</f>
        <v>0</v>
      </c>
      <c r="Y96" s="1" t="n">
        <f aca="false">IF(W96="",0,SUMIFS($I$7:$I$256,$D$7:$D$256,W96,$H$7:$H$256,"P6"))</f>
        <v>0</v>
      </c>
      <c r="Z96" s="1" t="n">
        <f aca="false">X96+Y96</f>
        <v>0</v>
      </c>
      <c r="AA96" s="1" t="n">
        <f aca="false">IF(Z96&gt;0,Z96+(201-90)/10^6,0)</f>
        <v>0</v>
      </c>
      <c r="AB96" s="1"/>
      <c r="AC96" s="1"/>
      <c r="AD96" s="1"/>
      <c r="AE96" s="1"/>
      <c r="AF96" s="1"/>
      <c r="AG96" s="1"/>
      <c r="AH96" s="1"/>
    </row>
    <row r="97" customFormat="false" ht="15" hidden="false" customHeight="false" outlineLevel="0" collapsed="false">
      <c r="A97" s="1"/>
      <c r="B97" s="10"/>
      <c r="C97" s="31" t="str">
        <f aca="false">IF(B97="","",TEXT(B97,"ddd"))</f>
        <v/>
      </c>
      <c r="D97" s="11"/>
      <c r="E97" s="8" t="str">
        <f aca="false">IF(D97="","",IFERROR(INDEX(ProjNumbers,MATCH(D97,ProjNames,0)),""))</f>
        <v/>
      </c>
      <c r="F97" s="8" t="str">
        <f aca="false">IF(D97="","",IFERROR(INDEX(ProjCodes,MATCH(D97,ProjNames,0)),""))</f>
        <v/>
      </c>
      <c r="G97" s="32"/>
      <c r="H97" s="11"/>
      <c r="I97" s="33"/>
      <c r="J97" s="8" t="str">
        <f aca="false">IF(COUNTA(B97,D97,G97,H97,I97)=0,"",IF(B97="","Enter date",IF(OR(B97&lt;$AC$2,B97&gt;$AC$3),"Date not in October",IF(D97="","Pick project",IF(ISNA(MATCH(D97,ProjNames,0)),"Project not in list",IF(G97="","Add task description",IF(H97="","Pick NTIME or P6",IF(N(I97)&lt;=0,"Enter hours",IF(AND(AllowOT&lt;&gt;"Yes",SUMIF($B$7:$B$256,B97,$I$7:$I$256)&gt;INDEX($O$58:$O$88,DAY(B97))),"Day over "&amp;INDEX($O$58:$O$88,DAY(B97))&amp;" h","✓")))))))))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tr">
        <f aca="false">IF(Projects!B95="","",Projects!B95)</f>
        <v/>
      </c>
      <c r="X97" s="1" t="n">
        <f aca="false">IF(W97="",0,SUMIFS($I$7:$I$256,$D$7:$D$256,W97,$H$7:$H$256,"NTIME"))</f>
        <v>0</v>
      </c>
      <c r="Y97" s="1" t="n">
        <f aca="false">IF(W97="",0,SUMIFS($I$7:$I$256,$D$7:$D$256,W97,$H$7:$H$256,"P6"))</f>
        <v>0</v>
      </c>
      <c r="Z97" s="1" t="n">
        <f aca="false">X97+Y97</f>
        <v>0</v>
      </c>
      <c r="AA97" s="1" t="n">
        <f aca="false">IF(Z97&gt;0,Z97+(201-91)/10^6,0)</f>
        <v>0</v>
      </c>
      <c r="AB97" s="1"/>
      <c r="AC97" s="1"/>
      <c r="AD97" s="1"/>
      <c r="AE97" s="1"/>
      <c r="AF97" s="1"/>
      <c r="AG97" s="1"/>
      <c r="AH97" s="1"/>
    </row>
    <row r="98" customFormat="false" ht="15" hidden="false" customHeight="false" outlineLevel="0" collapsed="false">
      <c r="A98" s="1"/>
      <c r="B98" s="10"/>
      <c r="C98" s="31" t="str">
        <f aca="false">IF(B98="","",TEXT(B98,"ddd"))</f>
        <v/>
      </c>
      <c r="D98" s="11"/>
      <c r="E98" s="8" t="str">
        <f aca="false">IF(D98="","",IFERROR(INDEX(ProjNumbers,MATCH(D98,ProjNames,0)),""))</f>
        <v/>
      </c>
      <c r="F98" s="8" t="str">
        <f aca="false">IF(D98="","",IFERROR(INDEX(ProjCodes,MATCH(D98,ProjNames,0)),""))</f>
        <v/>
      </c>
      <c r="G98" s="32"/>
      <c r="H98" s="11"/>
      <c r="I98" s="33"/>
      <c r="J98" s="8" t="str">
        <f aca="false">IF(COUNTA(B98,D98,G98,H98,I98)=0,"",IF(B98="","Enter date",IF(OR(B98&lt;$AC$2,B98&gt;$AC$3),"Date not in October",IF(D98="","Pick project",IF(ISNA(MATCH(D98,ProjNames,0)),"Project not in list",IF(G98="","Add task description",IF(H98="","Pick NTIME or P6",IF(N(I98)&lt;=0,"Enter hours",IF(AND(AllowOT&lt;&gt;"Yes",SUMIF($B$7:$B$256,B98,$I$7:$I$256)&gt;INDEX($O$58:$O$88,DAY(B98))),"Day over "&amp;INDEX($O$58:$O$88,DAY(B98))&amp;" h","✓")))))))))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tr">
        <f aca="false">IF(Projects!B96="","",Projects!B96)</f>
        <v/>
      </c>
      <c r="X98" s="1" t="n">
        <f aca="false">IF(W98="",0,SUMIFS($I$7:$I$256,$D$7:$D$256,W98,$H$7:$H$256,"NTIME"))</f>
        <v>0</v>
      </c>
      <c r="Y98" s="1" t="n">
        <f aca="false">IF(W98="",0,SUMIFS($I$7:$I$256,$D$7:$D$256,W98,$H$7:$H$256,"P6"))</f>
        <v>0</v>
      </c>
      <c r="Z98" s="1" t="n">
        <f aca="false">X98+Y98</f>
        <v>0</v>
      </c>
      <c r="AA98" s="1" t="n">
        <f aca="false">IF(Z98&gt;0,Z98+(201-92)/10^6,0)</f>
        <v>0</v>
      </c>
      <c r="AB98" s="1"/>
      <c r="AC98" s="1"/>
      <c r="AD98" s="1"/>
      <c r="AE98" s="1"/>
      <c r="AF98" s="1"/>
      <c r="AG98" s="1"/>
      <c r="AH98" s="1"/>
    </row>
    <row r="99" customFormat="false" ht="15" hidden="false" customHeight="false" outlineLevel="0" collapsed="false">
      <c r="A99" s="1"/>
      <c r="B99" s="10"/>
      <c r="C99" s="31" t="str">
        <f aca="false">IF(B99="","",TEXT(B99,"ddd"))</f>
        <v/>
      </c>
      <c r="D99" s="11"/>
      <c r="E99" s="8" t="str">
        <f aca="false">IF(D99="","",IFERROR(INDEX(ProjNumbers,MATCH(D99,ProjNames,0)),""))</f>
        <v/>
      </c>
      <c r="F99" s="8" t="str">
        <f aca="false">IF(D99="","",IFERROR(INDEX(ProjCodes,MATCH(D99,ProjNames,0)),""))</f>
        <v/>
      </c>
      <c r="G99" s="32"/>
      <c r="H99" s="11"/>
      <c r="I99" s="33"/>
      <c r="J99" s="8" t="str">
        <f aca="false">IF(COUNTA(B99,D99,G99,H99,I99)=0,"",IF(B99="","Enter date",IF(OR(B99&lt;$AC$2,B99&gt;$AC$3),"Date not in October",IF(D99="","Pick project",IF(ISNA(MATCH(D99,ProjNames,0)),"Project not in list",IF(G99="","Add task description",IF(H99="","Pick NTIME or P6",IF(N(I99)&lt;=0,"Enter hours",IF(AND(AllowOT&lt;&gt;"Yes",SUMIF($B$7:$B$256,B99,$I$7:$I$256)&gt;INDEX($O$58:$O$88,DAY(B99))),"Day over "&amp;INDEX($O$58:$O$88,DAY(B99))&amp;" h","✓")))))))))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tr">
        <f aca="false">IF(Projects!B97="","",Projects!B97)</f>
        <v/>
      </c>
      <c r="X99" s="1" t="n">
        <f aca="false">IF(W99="",0,SUMIFS($I$7:$I$256,$D$7:$D$256,W99,$H$7:$H$256,"NTIME"))</f>
        <v>0</v>
      </c>
      <c r="Y99" s="1" t="n">
        <f aca="false">IF(W99="",0,SUMIFS($I$7:$I$256,$D$7:$D$256,W99,$H$7:$H$256,"P6"))</f>
        <v>0</v>
      </c>
      <c r="Z99" s="1" t="n">
        <f aca="false">X99+Y99</f>
        <v>0</v>
      </c>
      <c r="AA99" s="1" t="n">
        <f aca="false">IF(Z99&gt;0,Z99+(201-93)/10^6,0)</f>
        <v>0</v>
      </c>
      <c r="AB99" s="1"/>
      <c r="AC99" s="1"/>
      <c r="AD99" s="1"/>
      <c r="AE99" s="1"/>
      <c r="AF99" s="1"/>
      <c r="AG99" s="1"/>
      <c r="AH99" s="1"/>
    </row>
    <row r="100" customFormat="false" ht="15" hidden="false" customHeight="false" outlineLevel="0" collapsed="false">
      <c r="A100" s="1"/>
      <c r="B100" s="10"/>
      <c r="C100" s="31" t="str">
        <f aca="false">IF(B100="","",TEXT(B100,"ddd"))</f>
        <v/>
      </c>
      <c r="D100" s="11"/>
      <c r="E100" s="8" t="str">
        <f aca="false">IF(D100="","",IFERROR(INDEX(ProjNumbers,MATCH(D100,ProjNames,0)),""))</f>
        <v/>
      </c>
      <c r="F100" s="8" t="str">
        <f aca="false">IF(D100="","",IFERROR(INDEX(ProjCodes,MATCH(D100,ProjNames,0)),""))</f>
        <v/>
      </c>
      <c r="G100" s="32"/>
      <c r="H100" s="11"/>
      <c r="I100" s="33"/>
      <c r="J100" s="8" t="str">
        <f aca="false">IF(COUNTA(B100,D100,G100,H100,I100)=0,"",IF(B100="","Enter date",IF(OR(B100&lt;$AC$2,B100&gt;$AC$3),"Date not in October",IF(D100="","Pick project",IF(ISNA(MATCH(D100,ProjNames,0)),"Project not in list",IF(G100="","Add task description",IF(H100="","Pick NTIME or P6",IF(N(I100)&lt;=0,"Enter hours",IF(AND(AllowOT&lt;&gt;"Yes",SUMIF($B$7:$B$256,B100,$I$7:$I$256)&gt;INDEX($O$58:$O$88,DAY(B100))),"Day over "&amp;INDEX($O$58:$O$88,DAY(B100))&amp;" h","✓")))))))))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tr">
        <f aca="false">IF(Projects!B98="","",Projects!B98)</f>
        <v/>
      </c>
      <c r="X100" s="1" t="n">
        <f aca="false">IF(W100="",0,SUMIFS($I$7:$I$256,$D$7:$D$256,W100,$H$7:$H$256,"NTIME"))</f>
        <v>0</v>
      </c>
      <c r="Y100" s="1" t="n">
        <f aca="false">IF(W100="",0,SUMIFS($I$7:$I$256,$D$7:$D$256,W100,$H$7:$H$256,"P6"))</f>
        <v>0</v>
      </c>
      <c r="Z100" s="1" t="n">
        <f aca="false">X100+Y100</f>
        <v>0</v>
      </c>
      <c r="AA100" s="1" t="n">
        <f aca="false">IF(Z100&gt;0,Z100+(201-94)/10^6,0)</f>
        <v>0</v>
      </c>
      <c r="AB100" s="1"/>
      <c r="AC100" s="1"/>
      <c r="AD100" s="1"/>
      <c r="AE100" s="1"/>
      <c r="AF100" s="1"/>
      <c r="AG100" s="1"/>
      <c r="AH100" s="1"/>
    </row>
    <row r="101" customFormat="false" ht="15" hidden="false" customHeight="false" outlineLevel="0" collapsed="false">
      <c r="A101" s="1"/>
      <c r="B101" s="10"/>
      <c r="C101" s="31" t="str">
        <f aca="false">IF(B101="","",TEXT(B101,"ddd"))</f>
        <v/>
      </c>
      <c r="D101" s="11"/>
      <c r="E101" s="8" t="str">
        <f aca="false">IF(D101="","",IFERROR(INDEX(ProjNumbers,MATCH(D101,ProjNames,0)),""))</f>
        <v/>
      </c>
      <c r="F101" s="8" t="str">
        <f aca="false">IF(D101="","",IFERROR(INDEX(ProjCodes,MATCH(D101,ProjNames,0)),""))</f>
        <v/>
      </c>
      <c r="G101" s="32"/>
      <c r="H101" s="11"/>
      <c r="I101" s="33"/>
      <c r="J101" s="8" t="str">
        <f aca="false">IF(COUNTA(B101,D101,G101,H101,I101)=0,"",IF(B101="","Enter date",IF(OR(B101&lt;$AC$2,B101&gt;$AC$3),"Date not in October",IF(D101="","Pick project",IF(ISNA(MATCH(D101,ProjNames,0)),"Project not in list",IF(G101="","Add task description",IF(H101="","Pick NTIME or P6",IF(N(I101)&lt;=0,"Enter hours",IF(AND(AllowOT&lt;&gt;"Yes",SUMIF($B$7:$B$256,B101,$I$7:$I$256)&gt;INDEX($O$58:$O$88,DAY(B101))),"Day over "&amp;INDEX($O$58:$O$88,DAY(B101))&amp;" h","✓")))))))))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aca="false">IF(Projects!B99="","",Projects!B99)</f>
        <v/>
      </c>
      <c r="X101" s="1" t="n">
        <f aca="false">IF(W101="",0,SUMIFS($I$7:$I$256,$D$7:$D$256,W101,$H$7:$H$256,"NTIME"))</f>
        <v>0</v>
      </c>
      <c r="Y101" s="1" t="n">
        <f aca="false">IF(W101="",0,SUMIFS($I$7:$I$256,$D$7:$D$256,W101,$H$7:$H$256,"P6"))</f>
        <v>0</v>
      </c>
      <c r="Z101" s="1" t="n">
        <f aca="false">X101+Y101</f>
        <v>0</v>
      </c>
      <c r="AA101" s="1" t="n">
        <f aca="false">IF(Z101&gt;0,Z101+(201-95)/10^6,0)</f>
        <v>0</v>
      </c>
      <c r="AB101" s="1"/>
      <c r="AC101" s="1"/>
      <c r="AD101" s="1"/>
      <c r="AE101" s="1"/>
      <c r="AF101" s="1"/>
      <c r="AG101" s="1"/>
      <c r="AH101" s="1"/>
    </row>
    <row r="102" customFormat="false" ht="15" hidden="false" customHeight="false" outlineLevel="0" collapsed="false">
      <c r="A102" s="1"/>
      <c r="B102" s="10"/>
      <c r="C102" s="31" t="str">
        <f aca="false">IF(B102="","",TEXT(B102,"ddd"))</f>
        <v/>
      </c>
      <c r="D102" s="11"/>
      <c r="E102" s="8" t="str">
        <f aca="false">IF(D102="","",IFERROR(INDEX(ProjNumbers,MATCH(D102,ProjNames,0)),""))</f>
        <v/>
      </c>
      <c r="F102" s="8" t="str">
        <f aca="false">IF(D102="","",IFERROR(INDEX(ProjCodes,MATCH(D102,ProjNames,0)),""))</f>
        <v/>
      </c>
      <c r="G102" s="32"/>
      <c r="H102" s="11"/>
      <c r="I102" s="33"/>
      <c r="J102" s="8" t="str">
        <f aca="false">IF(COUNTA(B102,D102,G102,H102,I102)=0,"",IF(B102="","Enter date",IF(OR(B102&lt;$AC$2,B102&gt;$AC$3),"Date not in October",IF(D102="","Pick project",IF(ISNA(MATCH(D102,ProjNames,0)),"Project not in list",IF(G102="","Add task description",IF(H102="","Pick NTIME or P6",IF(N(I102)&lt;=0,"Enter hours",IF(AND(AllowOT&lt;&gt;"Yes",SUMIF($B$7:$B$256,B102,$I$7:$I$256)&gt;INDEX($O$58:$O$88,DAY(B102))),"Day over "&amp;INDEX($O$58:$O$88,DAY(B102))&amp;" h","✓")))))))))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tr">
        <f aca="false">IF(Projects!B100="","",Projects!B100)</f>
        <v/>
      </c>
      <c r="X102" s="1" t="n">
        <f aca="false">IF(W102="",0,SUMIFS($I$7:$I$256,$D$7:$D$256,W102,$H$7:$H$256,"NTIME"))</f>
        <v>0</v>
      </c>
      <c r="Y102" s="1" t="n">
        <f aca="false">IF(W102="",0,SUMIFS($I$7:$I$256,$D$7:$D$256,W102,$H$7:$H$256,"P6"))</f>
        <v>0</v>
      </c>
      <c r="Z102" s="1" t="n">
        <f aca="false">X102+Y102</f>
        <v>0</v>
      </c>
      <c r="AA102" s="1" t="n">
        <f aca="false">IF(Z102&gt;0,Z102+(201-96)/10^6,0)</f>
        <v>0</v>
      </c>
      <c r="AB102" s="1"/>
      <c r="AC102" s="1"/>
      <c r="AD102" s="1"/>
      <c r="AE102" s="1"/>
      <c r="AF102" s="1"/>
      <c r="AG102" s="1"/>
      <c r="AH102" s="1"/>
    </row>
    <row r="103" customFormat="false" ht="15" hidden="false" customHeight="false" outlineLevel="0" collapsed="false">
      <c r="A103" s="1"/>
      <c r="B103" s="10"/>
      <c r="C103" s="31" t="str">
        <f aca="false">IF(B103="","",TEXT(B103,"ddd"))</f>
        <v/>
      </c>
      <c r="D103" s="11"/>
      <c r="E103" s="8" t="str">
        <f aca="false">IF(D103="","",IFERROR(INDEX(ProjNumbers,MATCH(D103,ProjNames,0)),""))</f>
        <v/>
      </c>
      <c r="F103" s="8" t="str">
        <f aca="false">IF(D103="","",IFERROR(INDEX(ProjCodes,MATCH(D103,ProjNames,0)),""))</f>
        <v/>
      </c>
      <c r="G103" s="32"/>
      <c r="H103" s="11"/>
      <c r="I103" s="33"/>
      <c r="J103" s="8" t="str">
        <f aca="false">IF(COUNTA(B103,D103,G103,H103,I103)=0,"",IF(B103="","Enter date",IF(OR(B103&lt;$AC$2,B103&gt;$AC$3),"Date not in October",IF(D103="","Pick project",IF(ISNA(MATCH(D103,ProjNames,0)),"Project not in list",IF(G103="","Add task description",IF(H103="","Pick NTIME or P6",IF(N(I103)&lt;=0,"Enter hours",IF(AND(AllowOT&lt;&gt;"Yes",SUMIF($B$7:$B$256,B103,$I$7:$I$256)&gt;INDEX($O$58:$O$88,DAY(B103))),"Day over "&amp;INDEX($O$58:$O$88,DAY(B103))&amp;" h","✓")))))))))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tr">
        <f aca="false">IF(Projects!B101="","",Projects!B101)</f>
        <v/>
      </c>
      <c r="X103" s="1" t="n">
        <f aca="false">IF(W103="",0,SUMIFS($I$7:$I$256,$D$7:$D$256,W103,$H$7:$H$256,"NTIME"))</f>
        <v>0</v>
      </c>
      <c r="Y103" s="1" t="n">
        <f aca="false">IF(W103="",0,SUMIFS($I$7:$I$256,$D$7:$D$256,W103,$H$7:$H$256,"P6"))</f>
        <v>0</v>
      </c>
      <c r="Z103" s="1" t="n">
        <f aca="false">X103+Y103</f>
        <v>0</v>
      </c>
      <c r="AA103" s="1" t="n">
        <f aca="false">IF(Z103&gt;0,Z103+(201-97)/10^6,0)</f>
        <v>0</v>
      </c>
      <c r="AB103" s="1"/>
      <c r="AC103" s="1"/>
      <c r="AD103" s="1"/>
      <c r="AE103" s="1"/>
      <c r="AF103" s="1"/>
      <c r="AG103" s="1"/>
      <c r="AH103" s="1"/>
    </row>
    <row r="104" customFormat="false" ht="15" hidden="false" customHeight="false" outlineLevel="0" collapsed="false">
      <c r="A104" s="1"/>
      <c r="B104" s="10"/>
      <c r="C104" s="31" t="str">
        <f aca="false">IF(B104="","",TEXT(B104,"ddd"))</f>
        <v/>
      </c>
      <c r="D104" s="11"/>
      <c r="E104" s="8" t="str">
        <f aca="false">IF(D104="","",IFERROR(INDEX(ProjNumbers,MATCH(D104,ProjNames,0)),""))</f>
        <v/>
      </c>
      <c r="F104" s="8" t="str">
        <f aca="false">IF(D104="","",IFERROR(INDEX(ProjCodes,MATCH(D104,ProjNames,0)),""))</f>
        <v/>
      </c>
      <c r="G104" s="32"/>
      <c r="H104" s="11"/>
      <c r="I104" s="33"/>
      <c r="J104" s="8" t="str">
        <f aca="false">IF(COUNTA(B104,D104,G104,H104,I104)=0,"",IF(B104="","Enter date",IF(OR(B104&lt;$AC$2,B104&gt;$AC$3),"Date not in October",IF(D104="","Pick project",IF(ISNA(MATCH(D104,ProjNames,0)),"Project not in list",IF(G104="","Add task description",IF(H104="","Pick NTIME or P6",IF(N(I104)&lt;=0,"Enter hours",IF(AND(AllowOT&lt;&gt;"Yes",SUMIF($B$7:$B$256,B104,$I$7:$I$256)&gt;INDEX($O$58:$O$88,DAY(B104))),"Day over "&amp;INDEX($O$58:$O$88,DAY(B104))&amp;" h","✓")))))))))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tr">
        <f aca="false">IF(Projects!B102="","",Projects!B102)</f>
        <v/>
      </c>
      <c r="X104" s="1" t="n">
        <f aca="false">IF(W104="",0,SUMIFS($I$7:$I$256,$D$7:$D$256,W104,$H$7:$H$256,"NTIME"))</f>
        <v>0</v>
      </c>
      <c r="Y104" s="1" t="n">
        <f aca="false">IF(W104="",0,SUMIFS($I$7:$I$256,$D$7:$D$256,W104,$H$7:$H$256,"P6"))</f>
        <v>0</v>
      </c>
      <c r="Z104" s="1" t="n">
        <f aca="false">X104+Y104</f>
        <v>0</v>
      </c>
      <c r="AA104" s="1" t="n">
        <f aca="false">IF(Z104&gt;0,Z104+(201-98)/10^6,0)</f>
        <v>0</v>
      </c>
      <c r="AB104" s="1"/>
      <c r="AC104" s="1"/>
      <c r="AD104" s="1"/>
      <c r="AE104" s="1"/>
      <c r="AF104" s="1"/>
      <c r="AG104" s="1"/>
      <c r="AH104" s="1"/>
    </row>
    <row r="105" customFormat="false" ht="15" hidden="false" customHeight="false" outlineLevel="0" collapsed="false">
      <c r="A105" s="1"/>
      <c r="B105" s="10"/>
      <c r="C105" s="31" t="str">
        <f aca="false">IF(B105="","",TEXT(B105,"ddd"))</f>
        <v/>
      </c>
      <c r="D105" s="11"/>
      <c r="E105" s="8" t="str">
        <f aca="false">IF(D105="","",IFERROR(INDEX(ProjNumbers,MATCH(D105,ProjNames,0)),""))</f>
        <v/>
      </c>
      <c r="F105" s="8" t="str">
        <f aca="false">IF(D105="","",IFERROR(INDEX(ProjCodes,MATCH(D105,ProjNames,0)),""))</f>
        <v/>
      </c>
      <c r="G105" s="32"/>
      <c r="H105" s="11"/>
      <c r="I105" s="33"/>
      <c r="J105" s="8" t="str">
        <f aca="false">IF(COUNTA(B105,D105,G105,H105,I105)=0,"",IF(B105="","Enter date",IF(OR(B105&lt;$AC$2,B105&gt;$AC$3),"Date not in October",IF(D105="","Pick project",IF(ISNA(MATCH(D105,ProjNames,0)),"Project not in list",IF(G105="","Add task description",IF(H105="","Pick NTIME or P6",IF(N(I105)&lt;=0,"Enter hours",IF(AND(AllowOT&lt;&gt;"Yes",SUMIF($B$7:$B$256,B105,$I$7:$I$256)&gt;INDEX($O$58:$O$88,DAY(B105))),"Day over "&amp;INDEX($O$58:$O$88,DAY(B105))&amp;" h","✓")))))))))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tr">
        <f aca="false">IF(Projects!B103="","",Projects!B103)</f>
        <v/>
      </c>
      <c r="X105" s="1" t="n">
        <f aca="false">IF(W105="",0,SUMIFS($I$7:$I$256,$D$7:$D$256,W105,$H$7:$H$256,"NTIME"))</f>
        <v>0</v>
      </c>
      <c r="Y105" s="1" t="n">
        <f aca="false">IF(W105="",0,SUMIFS($I$7:$I$256,$D$7:$D$256,W105,$H$7:$H$256,"P6"))</f>
        <v>0</v>
      </c>
      <c r="Z105" s="1" t="n">
        <f aca="false">X105+Y105</f>
        <v>0</v>
      </c>
      <c r="AA105" s="1" t="n">
        <f aca="false">IF(Z105&gt;0,Z105+(201-99)/10^6,0)</f>
        <v>0</v>
      </c>
      <c r="AB105" s="1"/>
      <c r="AC105" s="1"/>
      <c r="AD105" s="1"/>
      <c r="AE105" s="1"/>
      <c r="AF105" s="1"/>
      <c r="AG105" s="1"/>
      <c r="AH105" s="1"/>
    </row>
    <row r="106" customFormat="false" ht="15" hidden="false" customHeight="false" outlineLevel="0" collapsed="false">
      <c r="A106" s="1"/>
      <c r="B106" s="10"/>
      <c r="C106" s="31" t="str">
        <f aca="false">IF(B106="","",TEXT(B106,"ddd"))</f>
        <v/>
      </c>
      <c r="D106" s="11"/>
      <c r="E106" s="8" t="str">
        <f aca="false">IF(D106="","",IFERROR(INDEX(ProjNumbers,MATCH(D106,ProjNames,0)),""))</f>
        <v/>
      </c>
      <c r="F106" s="8" t="str">
        <f aca="false">IF(D106="","",IFERROR(INDEX(ProjCodes,MATCH(D106,ProjNames,0)),""))</f>
        <v/>
      </c>
      <c r="G106" s="32"/>
      <c r="H106" s="11"/>
      <c r="I106" s="33"/>
      <c r="J106" s="8" t="str">
        <f aca="false">IF(COUNTA(B106,D106,G106,H106,I106)=0,"",IF(B106="","Enter date",IF(OR(B106&lt;$AC$2,B106&gt;$AC$3),"Date not in October",IF(D106="","Pick project",IF(ISNA(MATCH(D106,ProjNames,0)),"Project not in list",IF(G106="","Add task description",IF(H106="","Pick NTIME or P6",IF(N(I106)&lt;=0,"Enter hours",IF(AND(AllowOT&lt;&gt;"Yes",SUMIF($B$7:$B$256,B106,$I$7:$I$256)&gt;INDEX($O$58:$O$88,DAY(B106))),"Day over "&amp;INDEX($O$58:$O$88,DAY(B106))&amp;" h","✓")))))))))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tr">
        <f aca="false">IF(Projects!B104="","",Projects!B104)</f>
        <v/>
      </c>
      <c r="X106" s="1" t="n">
        <f aca="false">IF(W106="",0,SUMIFS($I$7:$I$256,$D$7:$D$256,W106,$H$7:$H$256,"NTIME"))</f>
        <v>0</v>
      </c>
      <c r="Y106" s="1" t="n">
        <f aca="false">IF(W106="",0,SUMIFS($I$7:$I$256,$D$7:$D$256,W106,$H$7:$H$256,"P6"))</f>
        <v>0</v>
      </c>
      <c r="Z106" s="1" t="n">
        <f aca="false">X106+Y106</f>
        <v>0</v>
      </c>
      <c r="AA106" s="1" t="n">
        <f aca="false">IF(Z106&gt;0,Z106+(201-100)/10^6,0)</f>
        <v>0</v>
      </c>
      <c r="AB106" s="1"/>
      <c r="AC106" s="1"/>
      <c r="AD106" s="1"/>
      <c r="AE106" s="1"/>
      <c r="AF106" s="1"/>
      <c r="AG106" s="1"/>
      <c r="AH106" s="1"/>
    </row>
    <row r="107" customFormat="false" ht="15" hidden="false" customHeight="false" outlineLevel="0" collapsed="false">
      <c r="A107" s="1"/>
      <c r="B107" s="10"/>
      <c r="C107" s="31" t="str">
        <f aca="false">IF(B107="","",TEXT(B107,"ddd"))</f>
        <v/>
      </c>
      <c r="D107" s="11"/>
      <c r="E107" s="8" t="str">
        <f aca="false">IF(D107="","",IFERROR(INDEX(ProjNumbers,MATCH(D107,ProjNames,0)),""))</f>
        <v/>
      </c>
      <c r="F107" s="8" t="str">
        <f aca="false">IF(D107="","",IFERROR(INDEX(ProjCodes,MATCH(D107,ProjNames,0)),""))</f>
        <v/>
      </c>
      <c r="G107" s="32"/>
      <c r="H107" s="11"/>
      <c r="I107" s="33"/>
      <c r="J107" s="8" t="str">
        <f aca="false">IF(COUNTA(B107,D107,G107,H107,I107)=0,"",IF(B107="","Enter date",IF(OR(B107&lt;$AC$2,B107&gt;$AC$3),"Date not in October",IF(D107="","Pick project",IF(ISNA(MATCH(D107,ProjNames,0)),"Project not in list",IF(G107="","Add task description",IF(H107="","Pick NTIME or P6",IF(N(I107)&lt;=0,"Enter hours",IF(AND(AllowOT&lt;&gt;"Yes",SUMIF($B$7:$B$256,B107,$I$7:$I$256)&gt;INDEX($O$58:$O$88,DAY(B107))),"Day over "&amp;INDEX($O$58:$O$88,DAY(B107))&amp;" h","✓")))))))))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tr">
        <f aca="false">IF(Projects!B105="","",Projects!B105)</f>
        <v/>
      </c>
      <c r="X107" s="1" t="n">
        <f aca="false">IF(W107="",0,SUMIFS($I$7:$I$256,$D$7:$D$256,W107,$H$7:$H$256,"NTIME"))</f>
        <v>0</v>
      </c>
      <c r="Y107" s="1" t="n">
        <f aca="false">IF(W107="",0,SUMIFS($I$7:$I$256,$D$7:$D$256,W107,$H$7:$H$256,"P6"))</f>
        <v>0</v>
      </c>
      <c r="Z107" s="1" t="n">
        <f aca="false">X107+Y107</f>
        <v>0</v>
      </c>
      <c r="AA107" s="1" t="n">
        <f aca="false">IF(Z107&gt;0,Z107+(201-101)/10^6,0)</f>
        <v>0</v>
      </c>
      <c r="AB107" s="1"/>
      <c r="AC107" s="1"/>
      <c r="AD107" s="1"/>
      <c r="AE107" s="1"/>
      <c r="AF107" s="1"/>
      <c r="AG107" s="1"/>
      <c r="AH107" s="1"/>
    </row>
    <row r="108" customFormat="false" ht="15" hidden="false" customHeight="false" outlineLevel="0" collapsed="false">
      <c r="A108" s="1"/>
      <c r="B108" s="10"/>
      <c r="C108" s="31" t="str">
        <f aca="false">IF(B108="","",TEXT(B108,"ddd"))</f>
        <v/>
      </c>
      <c r="D108" s="11"/>
      <c r="E108" s="8" t="str">
        <f aca="false">IF(D108="","",IFERROR(INDEX(ProjNumbers,MATCH(D108,ProjNames,0)),""))</f>
        <v/>
      </c>
      <c r="F108" s="8" t="str">
        <f aca="false">IF(D108="","",IFERROR(INDEX(ProjCodes,MATCH(D108,ProjNames,0)),""))</f>
        <v/>
      </c>
      <c r="G108" s="32"/>
      <c r="H108" s="11"/>
      <c r="I108" s="33"/>
      <c r="J108" s="8" t="str">
        <f aca="false">IF(COUNTA(B108,D108,G108,H108,I108)=0,"",IF(B108="","Enter date",IF(OR(B108&lt;$AC$2,B108&gt;$AC$3),"Date not in October",IF(D108="","Pick project",IF(ISNA(MATCH(D108,ProjNames,0)),"Project not in list",IF(G108="","Add task description",IF(H108="","Pick NTIME or P6",IF(N(I108)&lt;=0,"Enter hours",IF(AND(AllowOT&lt;&gt;"Yes",SUMIF($B$7:$B$256,B108,$I$7:$I$256)&gt;INDEX($O$58:$O$88,DAY(B108))),"Day over "&amp;INDEX($O$58:$O$88,DAY(B108))&amp;" h","✓")))))))))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aca="false">IF(Projects!B106="","",Projects!B106)</f>
        <v/>
      </c>
      <c r="X108" s="1" t="n">
        <f aca="false">IF(W108="",0,SUMIFS($I$7:$I$256,$D$7:$D$256,W108,$H$7:$H$256,"NTIME"))</f>
        <v>0</v>
      </c>
      <c r="Y108" s="1" t="n">
        <f aca="false">IF(W108="",0,SUMIFS($I$7:$I$256,$D$7:$D$256,W108,$H$7:$H$256,"P6"))</f>
        <v>0</v>
      </c>
      <c r="Z108" s="1" t="n">
        <f aca="false">X108+Y108</f>
        <v>0</v>
      </c>
      <c r="AA108" s="1" t="n">
        <f aca="false">IF(Z108&gt;0,Z108+(201-102)/10^6,0)</f>
        <v>0</v>
      </c>
      <c r="AB108" s="1"/>
      <c r="AC108" s="1"/>
      <c r="AD108" s="1"/>
      <c r="AE108" s="1"/>
      <c r="AF108" s="1"/>
      <c r="AG108" s="1"/>
      <c r="AH108" s="1"/>
    </row>
    <row r="109" customFormat="false" ht="15" hidden="false" customHeight="false" outlineLevel="0" collapsed="false">
      <c r="A109" s="1"/>
      <c r="B109" s="10"/>
      <c r="C109" s="31" t="str">
        <f aca="false">IF(B109="","",TEXT(B109,"ddd"))</f>
        <v/>
      </c>
      <c r="D109" s="11"/>
      <c r="E109" s="8" t="str">
        <f aca="false">IF(D109="","",IFERROR(INDEX(ProjNumbers,MATCH(D109,ProjNames,0)),""))</f>
        <v/>
      </c>
      <c r="F109" s="8" t="str">
        <f aca="false">IF(D109="","",IFERROR(INDEX(ProjCodes,MATCH(D109,ProjNames,0)),""))</f>
        <v/>
      </c>
      <c r="G109" s="32"/>
      <c r="H109" s="11"/>
      <c r="I109" s="33"/>
      <c r="J109" s="8" t="str">
        <f aca="false">IF(COUNTA(B109,D109,G109,H109,I109)=0,"",IF(B109="","Enter date",IF(OR(B109&lt;$AC$2,B109&gt;$AC$3),"Date not in October",IF(D109="","Pick project",IF(ISNA(MATCH(D109,ProjNames,0)),"Project not in list",IF(G109="","Add task description",IF(H109="","Pick NTIME or P6",IF(N(I109)&lt;=0,"Enter hours",IF(AND(AllowOT&lt;&gt;"Yes",SUMIF($B$7:$B$256,B109,$I$7:$I$256)&gt;INDEX($O$58:$O$88,DAY(B109))),"Day over "&amp;INDEX($O$58:$O$88,DAY(B109))&amp;" h","✓")))))))))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tr">
        <f aca="false">IF(Projects!B107="","",Projects!B107)</f>
        <v/>
      </c>
      <c r="X109" s="1" t="n">
        <f aca="false">IF(W109="",0,SUMIFS($I$7:$I$256,$D$7:$D$256,W109,$H$7:$H$256,"NTIME"))</f>
        <v>0</v>
      </c>
      <c r="Y109" s="1" t="n">
        <f aca="false">IF(W109="",0,SUMIFS($I$7:$I$256,$D$7:$D$256,W109,$H$7:$H$256,"P6"))</f>
        <v>0</v>
      </c>
      <c r="Z109" s="1" t="n">
        <f aca="false">X109+Y109</f>
        <v>0</v>
      </c>
      <c r="AA109" s="1" t="n">
        <f aca="false">IF(Z109&gt;0,Z109+(201-103)/10^6,0)</f>
        <v>0</v>
      </c>
      <c r="AB109" s="1"/>
      <c r="AC109" s="1"/>
      <c r="AD109" s="1"/>
      <c r="AE109" s="1"/>
      <c r="AF109" s="1"/>
      <c r="AG109" s="1"/>
      <c r="AH109" s="1"/>
    </row>
    <row r="110" customFormat="false" ht="15" hidden="false" customHeight="false" outlineLevel="0" collapsed="false">
      <c r="A110" s="1"/>
      <c r="B110" s="10"/>
      <c r="C110" s="31" t="str">
        <f aca="false">IF(B110="","",TEXT(B110,"ddd"))</f>
        <v/>
      </c>
      <c r="D110" s="11"/>
      <c r="E110" s="8" t="str">
        <f aca="false">IF(D110="","",IFERROR(INDEX(ProjNumbers,MATCH(D110,ProjNames,0)),""))</f>
        <v/>
      </c>
      <c r="F110" s="8" t="str">
        <f aca="false">IF(D110="","",IFERROR(INDEX(ProjCodes,MATCH(D110,ProjNames,0)),""))</f>
        <v/>
      </c>
      <c r="G110" s="32"/>
      <c r="H110" s="11"/>
      <c r="I110" s="33"/>
      <c r="J110" s="8" t="str">
        <f aca="false">IF(COUNTA(B110,D110,G110,H110,I110)=0,"",IF(B110="","Enter date",IF(OR(B110&lt;$AC$2,B110&gt;$AC$3),"Date not in October",IF(D110="","Pick project",IF(ISNA(MATCH(D110,ProjNames,0)),"Project not in list",IF(G110="","Add task description",IF(H110="","Pick NTIME or P6",IF(N(I110)&lt;=0,"Enter hours",IF(AND(AllowOT&lt;&gt;"Yes",SUMIF($B$7:$B$256,B110,$I$7:$I$256)&gt;INDEX($O$58:$O$88,DAY(B110))),"Day over "&amp;INDEX($O$58:$O$88,DAY(B110))&amp;" h","✓")))))))))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tr">
        <f aca="false">IF(Projects!B108="","",Projects!B108)</f>
        <v/>
      </c>
      <c r="X110" s="1" t="n">
        <f aca="false">IF(W110="",0,SUMIFS($I$7:$I$256,$D$7:$D$256,W110,$H$7:$H$256,"NTIME"))</f>
        <v>0</v>
      </c>
      <c r="Y110" s="1" t="n">
        <f aca="false">IF(W110="",0,SUMIFS($I$7:$I$256,$D$7:$D$256,W110,$H$7:$H$256,"P6"))</f>
        <v>0</v>
      </c>
      <c r="Z110" s="1" t="n">
        <f aca="false">X110+Y110</f>
        <v>0</v>
      </c>
      <c r="AA110" s="1" t="n">
        <f aca="false">IF(Z110&gt;0,Z110+(201-104)/10^6,0)</f>
        <v>0</v>
      </c>
      <c r="AB110" s="1"/>
      <c r="AC110" s="1"/>
      <c r="AD110" s="1"/>
      <c r="AE110" s="1"/>
      <c r="AF110" s="1"/>
      <c r="AG110" s="1"/>
      <c r="AH110" s="1"/>
    </row>
    <row r="111" customFormat="false" ht="15" hidden="false" customHeight="false" outlineLevel="0" collapsed="false">
      <c r="A111" s="1"/>
      <c r="B111" s="10"/>
      <c r="C111" s="31" t="str">
        <f aca="false">IF(B111="","",TEXT(B111,"ddd"))</f>
        <v/>
      </c>
      <c r="D111" s="11"/>
      <c r="E111" s="8" t="str">
        <f aca="false">IF(D111="","",IFERROR(INDEX(ProjNumbers,MATCH(D111,ProjNames,0)),""))</f>
        <v/>
      </c>
      <c r="F111" s="8" t="str">
        <f aca="false">IF(D111="","",IFERROR(INDEX(ProjCodes,MATCH(D111,ProjNames,0)),""))</f>
        <v/>
      </c>
      <c r="G111" s="32"/>
      <c r="H111" s="11"/>
      <c r="I111" s="33"/>
      <c r="J111" s="8" t="str">
        <f aca="false">IF(COUNTA(B111,D111,G111,H111,I111)=0,"",IF(B111="","Enter date",IF(OR(B111&lt;$AC$2,B111&gt;$AC$3),"Date not in October",IF(D111="","Pick project",IF(ISNA(MATCH(D111,ProjNames,0)),"Project not in list",IF(G111="","Add task description",IF(H111="","Pick NTIME or P6",IF(N(I111)&lt;=0,"Enter hours",IF(AND(AllowOT&lt;&gt;"Yes",SUMIF($B$7:$B$256,B111,$I$7:$I$256)&gt;INDEX($O$58:$O$88,DAY(B111))),"Day over "&amp;INDEX($O$58:$O$88,DAY(B111))&amp;" h","✓")))))))))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tr">
        <f aca="false">IF(Projects!B109="","",Projects!B109)</f>
        <v/>
      </c>
      <c r="X111" s="1" t="n">
        <f aca="false">IF(W111="",0,SUMIFS($I$7:$I$256,$D$7:$D$256,W111,$H$7:$H$256,"NTIME"))</f>
        <v>0</v>
      </c>
      <c r="Y111" s="1" t="n">
        <f aca="false">IF(W111="",0,SUMIFS($I$7:$I$256,$D$7:$D$256,W111,$H$7:$H$256,"P6"))</f>
        <v>0</v>
      </c>
      <c r="Z111" s="1" t="n">
        <f aca="false">X111+Y111</f>
        <v>0</v>
      </c>
      <c r="AA111" s="1" t="n">
        <f aca="false">IF(Z111&gt;0,Z111+(201-105)/10^6,0)</f>
        <v>0</v>
      </c>
      <c r="AB111" s="1"/>
      <c r="AC111" s="1"/>
      <c r="AD111" s="1"/>
      <c r="AE111" s="1"/>
      <c r="AF111" s="1"/>
      <c r="AG111" s="1"/>
      <c r="AH111" s="1"/>
    </row>
    <row r="112" customFormat="false" ht="15" hidden="false" customHeight="false" outlineLevel="0" collapsed="false">
      <c r="A112" s="1"/>
      <c r="B112" s="10"/>
      <c r="C112" s="31" t="str">
        <f aca="false">IF(B112="","",TEXT(B112,"ddd"))</f>
        <v/>
      </c>
      <c r="D112" s="11"/>
      <c r="E112" s="8" t="str">
        <f aca="false">IF(D112="","",IFERROR(INDEX(ProjNumbers,MATCH(D112,ProjNames,0)),""))</f>
        <v/>
      </c>
      <c r="F112" s="8" t="str">
        <f aca="false">IF(D112="","",IFERROR(INDEX(ProjCodes,MATCH(D112,ProjNames,0)),""))</f>
        <v/>
      </c>
      <c r="G112" s="32"/>
      <c r="H112" s="11"/>
      <c r="I112" s="33"/>
      <c r="J112" s="8" t="str">
        <f aca="false">IF(COUNTA(B112,D112,G112,H112,I112)=0,"",IF(B112="","Enter date",IF(OR(B112&lt;$AC$2,B112&gt;$AC$3),"Date not in October",IF(D112="","Pick project",IF(ISNA(MATCH(D112,ProjNames,0)),"Project not in list",IF(G112="","Add task description",IF(H112="","Pick NTIME or P6",IF(N(I112)&lt;=0,"Enter hours",IF(AND(AllowOT&lt;&gt;"Yes",SUMIF($B$7:$B$256,B112,$I$7:$I$256)&gt;INDEX($O$58:$O$88,DAY(B112))),"Day over "&amp;INDEX($O$58:$O$88,DAY(B112))&amp;" h","✓")))))))))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tr">
        <f aca="false">IF(Projects!B110="","",Projects!B110)</f>
        <v/>
      </c>
      <c r="X112" s="1" t="n">
        <f aca="false">IF(W112="",0,SUMIFS($I$7:$I$256,$D$7:$D$256,W112,$H$7:$H$256,"NTIME"))</f>
        <v>0</v>
      </c>
      <c r="Y112" s="1" t="n">
        <f aca="false">IF(W112="",0,SUMIFS($I$7:$I$256,$D$7:$D$256,W112,$H$7:$H$256,"P6"))</f>
        <v>0</v>
      </c>
      <c r="Z112" s="1" t="n">
        <f aca="false">X112+Y112</f>
        <v>0</v>
      </c>
      <c r="AA112" s="1" t="n">
        <f aca="false">IF(Z112&gt;0,Z112+(201-106)/10^6,0)</f>
        <v>0</v>
      </c>
      <c r="AB112" s="1"/>
      <c r="AC112" s="1"/>
      <c r="AD112" s="1"/>
      <c r="AE112" s="1"/>
      <c r="AF112" s="1"/>
      <c r="AG112" s="1"/>
      <c r="AH112" s="1"/>
    </row>
    <row r="113" customFormat="false" ht="15" hidden="false" customHeight="false" outlineLevel="0" collapsed="false">
      <c r="A113" s="1"/>
      <c r="B113" s="10"/>
      <c r="C113" s="31" t="str">
        <f aca="false">IF(B113="","",TEXT(B113,"ddd"))</f>
        <v/>
      </c>
      <c r="D113" s="11"/>
      <c r="E113" s="8" t="str">
        <f aca="false">IF(D113="","",IFERROR(INDEX(ProjNumbers,MATCH(D113,ProjNames,0)),""))</f>
        <v/>
      </c>
      <c r="F113" s="8" t="str">
        <f aca="false">IF(D113="","",IFERROR(INDEX(ProjCodes,MATCH(D113,ProjNames,0)),""))</f>
        <v/>
      </c>
      <c r="G113" s="32"/>
      <c r="H113" s="11"/>
      <c r="I113" s="33"/>
      <c r="J113" s="8" t="str">
        <f aca="false">IF(COUNTA(B113,D113,G113,H113,I113)=0,"",IF(B113="","Enter date",IF(OR(B113&lt;$AC$2,B113&gt;$AC$3),"Date not in October",IF(D113="","Pick project",IF(ISNA(MATCH(D113,ProjNames,0)),"Project not in list",IF(G113="","Add task description",IF(H113="","Pick NTIME or P6",IF(N(I113)&lt;=0,"Enter hours",IF(AND(AllowOT&lt;&gt;"Yes",SUMIF($B$7:$B$256,B113,$I$7:$I$256)&gt;INDEX($O$58:$O$88,DAY(B113))),"Day over "&amp;INDEX($O$58:$O$88,DAY(B113))&amp;" h","✓")))))))))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tr">
        <f aca="false">IF(Projects!B111="","",Projects!B111)</f>
        <v/>
      </c>
      <c r="X113" s="1" t="n">
        <f aca="false">IF(W113="",0,SUMIFS($I$7:$I$256,$D$7:$D$256,W113,$H$7:$H$256,"NTIME"))</f>
        <v>0</v>
      </c>
      <c r="Y113" s="1" t="n">
        <f aca="false">IF(W113="",0,SUMIFS($I$7:$I$256,$D$7:$D$256,W113,$H$7:$H$256,"P6"))</f>
        <v>0</v>
      </c>
      <c r="Z113" s="1" t="n">
        <f aca="false">X113+Y113</f>
        <v>0</v>
      </c>
      <c r="AA113" s="1" t="n">
        <f aca="false">IF(Z113&gt;0,Z113+(201-107)/10^6,0)</f>
        <v>0</v>
      </c>
      <c r="AB113" s="1"/>
      <c r="AC113" s="1"/>
      <c r="AD113" s="1"/>
      <c r="AE113" s="1"/>
      <c r="AF113" s="1"/>
      <c r="AG113" s="1"/>
      <c r="AH113" s="1"/>
    </row>
    <row r="114" customFormat="false" ht="15" hidden="false" customHeight="false" outlineLevel="0" collapsed="false">
      <c r="A114" s="1"/>
      <c r="B114" s="10"/>
      <c r="C114" s="31" t="str">
        <f aca="false">IF(B114="","",TEXT(B114,"ddd"))</f>
        <v/>
      </c>
      <c r="D114" s="11"/>
      <c r="E114" s="8" t="str">
        <f aca="false">IF(D114="","",IFERROR(INDEX(ProjNumbers,MATCH(D114,ProjNames,0)),""))</f>
        <v/>
      </c>
      <c r="F114" s="8" t="str">
        <f aca="false">IF(D114="","",IFERROR(INDEX(ProjCodes,MATCH(D114,ProjNames,0)),""))</f>
        <v/>
      </c>
      <c r="G114" s="32"/>
      <c r="H114" s="11"/>
      <c r="I114" s="33"/>
      <c r="J114" s="8" t="str">
        <f aca="false">IF(COUNTA(B114,D114,G114,H114,I114)=0,"",IF(B114="","Enter date",IF(OR(B114&lt;$AC$2,B114&gt;$AC$3),"Date not in October",IF(D114="","Pick project",IF(ISNA(MATCH(D114,ProjNames,0)),"Project not in list",IF(G114="","Add task description",IF(H114="","Pick NTIME or P6",IF(N(I114)&lt;=0,"Enter hours",IF(AND(AllowOT&lt;&gt;"Yes",SUMIF($B$7:$B$256,B114,$I$7:$I$256)&gt;INDEX($O$58:$O$88,DAY(B114))),"Day over "&amp;INDEX($O$58:$O$88,DAY(B114))&amp;" h","✓")))))))))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tr">
        <f aca="false">IF(Projects!B112="","",Projects!B112)</f>
        <v/>
      </c>
      <c r="X114" s="1" t="n">
        <f aca="false">IF(W114="",0,SUMIFS($I$7:$I$256,$D$7:$D$256,W114,$H$7:$H$256,"NTIME"))</f>
        <v>0</v>
      </c>
      <c r="Y114" s="1" t="n">
        <f aca="false">IF(W114="",0,SUMIFS($I$7:$I$256,$D$7:$D$256,W114,$H$7:$H$256,"P6"))</f>
        <v>0</v>
      </c>
      <c r="Z114" s="1" t="n">
        <f aca="false">X114+Y114</f>
        <v>0</v>
      </c>
      <c r="AA114" s="1" t="n">
        <f aca="false">IF(Z114&gt;0,Z114+(201-108)/10^6,0)</f>
        <v>0</v>
      </c>
      <c r="AB114" s="1"/>
      <c r="AC114" s="1"/>
      <c r="AD114" s="1"/>
      <c r="AE114" s="1"/>
      <c r="AF114" s="1"/>
      <c r="AG114" s="1"/>
      <c r="AH114" s="1"/>
    </row>
    <row r="115" customFormat="false" ht="15" hidden="false" customHeight="false" outlineLevel="0" collapsed="false">
      <c r="A115" s="1"/>
      <c r="B115" s="10"/>
      <c r="C115" s="31" t="str">
        <f aca="false">IF(B115="","",TEXT(B115,"ddd"))</f>
        <v/>
      </c>
      <c r="D115" s="11"/>
      <c r="E115" s="8" t="str">
        <f aca="false">IF(D115="","",IFERROR(INDEX(ProjNumbers,MATCH(D115,ProjNames,0)),""))</f>
        <v/>
      </c>
      <c r="F115" s="8" t="str">
        <f aca="false">IF(D115="","",IFERROR(INDEX(ProjCodes,MATCH(D115,ProjNames,0)),""))</f>
        <v/>
      </c>
      <c r="G115" s="32"/>
      <c r="H115" s="11"/>
      <c r="I115" s="33"/>
      <c r="J115" s="8" t="str">
        <f aca="false">IF(COUNTA(B115,D115,G115,H115,I115)=0,"",IF(B115="","Enter date",IF(OR(B115&lt;$AC$2,B115&gt;$AC$3),"Date not in October",IF(D115="","Pick project",IF(ISNA(MATCH(D115,ProjNames,0)),"Project not in list",IF(G115="","Add task description",IF(H115="","Pick NTIME or P6",IF(N(I115)&lt;=0,"Enter hours",IF(AND(AllowOT&lt;&gt;"Yes",SUMIF($B$7:$B$256,B115,$I$7:$I$256)&gt;INDEX($O$58:$O$88,DAY(B115))),"Day over "&amp;INDEX($O$58:$O$88,DAY(B115))&amp;" h","✓")))))))))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tr">
        <f aca="false">IF(Projects!B113="","",Projects!B113)</f>
        <v/>
      </c>
      <c r="X115" s="1" t="n">
        <f aca="false">IF(W115="",0,SUMIFS($I$7:$I$256,$D$7:$D$256,W115,$H$7:$H$256,"NTIME"))</f>
        <v>0</v>
      </c>
      <c r="Y115" s="1" t="n">
        <f aca="false">IF(W115="",0,SUMIFS($I$7:$I$256,$D$7:$D$256,W115,$H$7:$H$256,"P6"))</f>
        <v>0</v>
      </c>
      <c r="Z115" s="1" t="n">
        <f aca="false">X115+Y115</f>
        <v>0</v>
      </c>
      <c r="AA115" s="1" t="n">
        <f aca="false">IF(Z115&gt;0,Z115+(201-109)/10^6,0)</f>
        <v>0</v>
      </c>
      <c r="AB115" s="1"/>
      <c r="AC115" s="1"/>
      <c r="AD115" s="1"/>
      <c r="AE115" s="1"/>
      <c r="AF115" s="1"/>
      <c r="AG115" s="1"/>
      <c r="AH115" s="1"/>
    </row>
    <row r="116" customFormat="false" ht="15" hidden="false" customHeight="false" outlineLevel="0" collapsed="false">
      <c r="A116" s="1"/>
      <c r="B116" s="10"/>
      <c r="C116" s="31" t="str">
        <f aca="false">IF(B116="","",TEXT(B116,"ddd"))</f>
        <v/>
      </c>
      <c r="D116" s="11"/>
      <c r="E116" s="8" t="str">
        <f aca="false">IF(D116="","",IFERROR(INDEX(ProjNumbers,MATCH(D116,ProjNames,0)),""))</f>
        <v/>
      </c>
      <c r="F116" s="8" t="str">
        <f aca="false">IF(D116="","",IFERROR(INDEX(ProjCodes,MATCH(D116,ProjNames,0)),""))</f>
        <v/>
      </c>
      <c r="G116" s="32"/>
      <c r="H116" s="11"/>
      <c r="I116" s="33"/>
      <c r="J116" s="8" t="str">
        <f aca="false">IF(COUNTA(B116,D116,G116,H116,I116)=0,"",IF(B116="","Enter date",IF(OR(B116&lt;$AC$2,B116&gt;$AC$3),"Date not in October",IF(D116="","Pick project",IF(ISNA(MATCH(D116,ProjNames,0)),"Project not in list",IF(G116="","Add task description",IF(H116="","Pick NTIME or P6",IF(N(I116)&lt;=0,"Enter hours",IF(AND(AllowOT&lt;&gt;"Yes",SUMIF($B$7:$B$256,B116,$I$7:$I$256)&gt;INDEX($O$58:$O$88,DAY(B116))),"Day over "&amp;INDEX($O$58:$O$88,DAY(B116))&amp;" h","✓")))))))))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tr">
        <f aca="false">IF(Projects!B114="","",Projects!B114)</f>
        <v/>
      </c>
      <c r="X116" s="1" t="n">
        <f aca="false">IF(W116="",0,SUMIFS($I$7:$I$256,$D$7:$D$256,W116,$H$7:$H$256,"NTIME"))</f>
        <v>0</v>
      </c>
      <c r="Y116" s="1" t="n">
        <f aca="false">IF(W116="",0,SUMIFS($I$7:$I$256,$D$7:$D$256,W116,$H$7:$H$256,"P6"))</f>
        <v>0</v>
      </c>
      <c r="Z116" s="1" t="n">
        <f aca="false">X116+Y116</f>
        <v>0</v>
      </c>
      <c r="AA116" s="1" t="n">
        <f aca="false">IF(Z116&gt;0,Z116+(201-110)/10^6,0)</f>
        <v>0</v>
      </c>
      <c r="AB116" s="1"/>
      <c r="AC116" s="1"/>
      <c r="AD116" s="1"/>
      <c r="AE116" s="1"/>
      <c r="AF116" s="1"/>
      <c r="AG116" s="1"/>
      <c r="AH116" s="1"/>
    </row>
    <row r="117" customFormat="false" ht="15" hidden="false" customHeight="false" outlineLevel="0" collapsed="false">
      <c r="A117" s="1"/>
      <c r="B117" s="10"/>
      <c r="C117" s="31" t="str">
        <f aca="false">IF(B117="","",TEXT(B117,"ddd"))</f>
        <v/>
      </c>
      <c r="D117" s="11"/>
      <c r="E117" s="8" t="str">
        <f aca="false">IF(D117="","",IFERROR(INDEX(ProjNumbers,MATCH(D117,ProjNames,0)),""))</f>
        <v/>
      </c>
      <c r="F117" s="8" t="str">
        <f aca="false">IF(D117="","",IFERROR(INDEX(ProjCodes,MATCH(D117,ProjNames,0)),""))</f>
        <v/>
      </c>
      <c r="G117" s="32"/>
      <c r="H117" s="11"/>
      <c r="I117" s="33"/>
      <c r="J117" s="8" t="str">
        <f aca="false">IF(COUNTA(B117,D117,G117,H117,I117)=0,"",IF(B117="","Enter date",IF(OR(B117&lt;$AC$2,B117&gt;$AC$3),"Date not in October",IF(D117="","Pick project",IF(ISNA(MATCH(D117,ProjNames,0)),"Project not in list",IF(G117="","Add task description",IF(H117="","Pick NTIME or P6",IF(N(I117)&lt;=0,"Enter hours",IF(AND(AllowOT&lt;&gt;"Yes",SUMIF($B$7:$B$256,B117,$I$7:$I$256)&gt;INDEX($O$58:$O$88,DAY(B117))),"Day over "&amp;INDEX($O$58:$O$88,DAY(B117))&amp;" h","✓")))))))))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tr">
        <f aca="false">IF(Projects!B115="","",Projects!B115)</f>
        <v/>
      </c>
      <c r="X117" s="1" t="n">
        <f aca="false">IF(W117="",0,SUMIFS($I$7:$I$256,$D$7:$D$256,W117,$H$7:$H$256,"NTIME"))</f>
        <v>0</v>
      </c>
      <c r="Y117" s="1" t="n">
        <f aca="false">IF(W117="",0,SUMIFS($I$7:$I$256,$D$7:$D$256,W117,$H$7:$H$256,"P6"))</f>
        <v>0</v>
      </c>
      <c r="Z117" s="1" t="n">
        <f aca="false">X117+Y117</f>
        <v>0</v>
      </c>
      <c r="AA117" s="1" t="n">
        <f aca="false">IF(Z117&gt;0,Z117+(201-111)/10^6,0)</f>
        <v>0</v>
      </c>
      <c r="AB117" s="1"/>
      <c r="AC117" s="1"/>
      <c r="AD117" s="1"/>
      <c r="AE117" s="1"/>
      <c r="AF117" s="1"/>
      <c r="AG117" s="1"/>
      <c r="AH117" s="1"/>
    </row>
    <row r="118" customFormat="false" ht="15" hidden="false" customHeight="false" outlineLevel="0" collapsed="false">
      <c r="A118" s="1"/>
      <c r="B118" s="10"/>
      <c r="C118" s="31" t="str">
        <f aca="false">IF(B118="","",TEXT(B118,"ddd"))</f>
        <v/>
      </c>
      <c r="D118" s="11"/>
      <c r="E118" s="8" t="str">
        <f aca="false">IF(D118="","",IFERROR(INDEX(ProjNumbers,MATCH(D118,ProjNames,0)),""))</f>
        <v/>
      </c>
      <c r="F118" s="8" t="str">
        <f aca="false">IF(D118="","",IFERROR(INDEX(ProjCodes,MATCH(D118,ProjNames,0)),""))</f>
        <v/>
      </c>
      <c r="G118" s="32"/>
      <c r="H118" s="11"/>
      <c r="I118" s="33"/>
      <c r="J118" s="8" t="str">
        <f aca="false">IF(COUNTA(B118,D118,G118,H118,I118)=0,"",IF(B118="","Enter date",IF(OR(B118&lt;$AC$2,B118&gt;$AC$3),"Date not in October",IF(D118="","Pick project",IF(ISNA(MATCH(D118,ProjNames,0)),"Project not in list",IF(G118="","Add task description",IF(H118="","Pick NTIME or P6",IF(N(I118)&lt;=0,"Enter hours",IF(AND(AllowOT&lt;&gt;"Yes",SUMIF($B$7:$B$256,B118,$I$7:$I$256)&gt;INDEX($O$58:$O$88,DAY(B118))),"Day over "&amp;INDEX($O$58:$O$88,DAY(B118))&amp;" h","✓")))))))))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tr">
        <f aca="false">IF(Projects!B116="","",Projects!B116)</f>
        <v/>
      </c>
      <c r="X118" s="1" t="n">
        <f aca="false">IF(W118="",0,SUMIFS($I$7:$I$256,$D$7:$D$256,W118,$H$7:$H$256,"NTIME"))</f>
        <v>0</v>
      </c>
      <c r="Y118" s="1" t="n">
        <f aca="false">IF(W118="",0,SUMIFS($I$7:$I$256,$D$7:$D$256,W118,$H$7:$H$256,"P6"))</f>
        <v>0</v>
      </c>
      <c r="Z118" s="1" t="n">
        <f aca="false">X118+Y118</f>
        <v>0</v>
      </c>
      <c r="AA118" s="1" t="n">
        <f aca="false">IF(Z118&gt;0,Z118+(201-112)/10^6,0)</f>
        <v>0</v>
      </c>
      <c r="AB118" s="1"/>
      <c r="AC118" s="1"/>
      <c r="AD118" s="1"/>
      <c r="AE118" s="1"/>
      <c r="AF118" s="1"/>
      <c r="AG118" s="1"/>
      <c r="AH118" s="1"/>
    </row>
    <row r="119" customFormat="false" ht="15" hidden="false" customHeight="false" outlineLevel="0" collapsed="false">
      <c r="A119" s="1"/>
      <c r="B119" s="10"/>
      <c r="C119" s="31" t="str">
        <f aca="false">IF(B119="","",TEXT(B119,"ddd"))</f>
        <v/>
      </c>
      <c r="D119" s="11"/>
      <c r="E119" s="8" t="str">
        <f aca="false">IF(D119="","",IFERROR(INDEX(ProjNumbers,MATCH(D119,ProjNames,0)),""))</f>
        <v/>
      </c>
      <c r="F119" s="8" t="str">
        <f aca="false">IF(D119="","",IFERROR(INDEX(ProjCodes,MATCH(D119,ProjNames,0)),""))</f>
        <v/>
      </c>
      <c r="G119" s="32"/>
      <c r="H119" s="11"/>
      <c r="I119" s="33"/>
      <c r="J119" s="8" t="str">
        <f aca="false">IF(COUNTA(B119,D119,G119,H119,I119)=0,"",IF(B119="","Enter date",IF(OR(B119&lt;$AC$2,B119&gt;$AC$3),"Date not in October",IF(D119="","Pick project",IF(ISNA(MATCH(D119,ProjNames,0)),"Project not in list",IF(G119="","Add task description",IF(H119="","Pick NTIME or P6",IF(N(I119)&lt;=0,"Enter hours",IF(AND(AllowOT&lt;&gt;"Yes",SUMIF($B$7:$B$256,B119,$I$7:$I$256)&gt;INDEX($O$58:$O$88,DAY(B119))),"Day over "&amp;INDEX($O$58:$O$88,DAY(B119))&amp;" h","✓")))))))))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 aca="false">IF(Projects!B117="","",Projects!B117)</f>
        <v/>
      </c>
      <c r="X119" s="1" t="n">
        <f aca="false">IF(W119="",0,SUMIFS($I$7:$I$256,$D$7:$D$256,W119,$H$7:$H$256,"NTIME"))</f>
        <v>0</v>
      </c>
      <c r="Y119" s="1" t="n">
        <f aca="false">IF(W119="",0,SUMIFS($I$7:$I$256,$D$7:$D$256,W119,$H$7:$H$256,"P6"))</f>
        <v>0</v>
      </c>
      <c r="Z119" s="1" t="n">
        <f aca="false">X119+Y119</f>
        <v>0</v>
      </c>
      <c r="AA119" s="1" t="n">
        <f aca="false">IF(Z119&gt;0,Z119+(201-113)/10^6,0)</f>
        <v>0</v>
      </c>
      <c r="AB119" s="1"/>
      <c r="AC119" s="1"/>
      <c r="AD119" s="1"/>
      <c r="AE119" s="1"/>
      <c r="AF119" s="1"/>
      <c r="AG119" s="1"/>
      <c r="AH119" s="1"/>
    </row>
    <row r="120" customFormat="false" ht="15" hidden="false" customHeight="false" outlineLevel="0" collapsed="false">
      <c r="A120" s="1"/>
      <c r="B120" s="10"/>
      <c r="C120" s="31" t="str">
        <f aca="false">IF(B120="","",TEXT(B120,"ddd"))</f>
        <v/>
      </c>
      <c r="D120" s="11"/>
      <c r="E120" s="8" t="str">
        <f aca="false">IF(D120="","",IFERROR(INDEX(ProjNumbers,MATCH(D120,ProjNames,0)),""))</f>
        <v/>
      </c>
      <c r="F120" s="8" t="str">
        <f aca="false">IF(D120="","",IFERROR(INDEX(ProjCodes,MATCH(D120,ProjNames,0)),""))</f>
        <v/>
      </c>
      <c r="G120" s="32"/>
      <c r="H120" s="11"/>
      <c r="I120" s="33"/>
      <c r="J120" s="8" t="str">
        <f aca="false">IF(COUNTA(B120,D120,G120,H120,I120)=0,"",IF(B120="","Enter date",IF(OR(B120&lt;$AC$2,B120&gt;$AC$3),"Date not in October",IF(D120="","Pick project",IF(ISNA(MATCH(D120,ProjNames,0)),"Project not in list",IF(G120="","Add task description",IF(H120="","Pick NTIME or P6",IF(N(I120)&lt;=0,"Enter hours",IF(AND(AllowOT&lt;&gt;"Yes",SUMIF($B$7:$B$256,B120,$I$7:$I$256)&gt;INDEX($O$58:$O$88,DAY(B120))),"Day over "&amp;INDEX($O$58:$O$88,DAY(B120))&amp;" h","✓")))))))))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tr">
        <f aca="false">IF(Projects!B118="","",Projects!B118)</f>
        <v/>
      </c>
      <c r="X120" s="1" t="n">
        <f aca="false">IF(W120="",0,SUMIFS($I$7:$I$256,$D$7:$D$256,W120,$H$7:$H$256,"NTIME"))</f>
        <v>0</v>
      </c>
      <c r="Y120" s="1" t="n">
        <f aca="false">IF(W120="",0,SUMIFS($I$7:$I$256,$D$7:$D$256,W120,$H$7:$H$256,"P6"))</f>
        <v>0</v>
      </c>
      <c r="Z120" s="1" t="n">
        <f aca="false">X120+Y120</f>
        <v>0</v>
      </c>
      <c r="AA120" s="1" t="n">
        <f aca="false">IF(Z120&gt;0,Z120+(201-114)/10^6,0)</f>
        <v>0</v>
      </c>
      <c r="AB120" s="1"/>
      <c r="AC120" s="1"/>
      <c r="AD120" s="1"/>
      <c r="AE120" s="1"/>
      <c r="AF120" s="1"/>
      <c r="AG120" s="1"/>
      <c r="AH120" s="1"/>
    </row>
    <row r="121" customFormat="false" ht="15" hidden="false" customHeight="false" outlineLevel="0" collapsed="false">
      <c r="A121" s="1"/>
      <c r="B121" s="10"/>
      <c r="C121" s="31" t="str">
        <f aca="false">IF(B121="","",TEXT(B121,"ddd"))</f>
        <v/>
      </c>
      <c r="D121" s="11"/>
      <c r="E121" s="8" t="str">
        <f aca="false">IF(D121="","",IFERROR(INDEX(ProjNumbers,MATCH(D121,ProjNames,0)),""))</f>
        <v/>
      </c>
      <c r="F121" s="8" t="str">
        <f aca="false">IF(D121="","",IFERROR(INDEX(ProjCodes,MATCH(D121,ProjNames,0)),""))</f>
        <v/>
      </c>
      <c r="G121" s="32"/>
      <c r="H121" s="11"/>
      <c r="I121" s="33"/>
      <c r="J121" s="8" t="str">
        <f aca="false">IF(COUNTA(B121,D121,G121,H121,I121)=0,"",IF(B121="","Enter date",IF(OR(B121&lt;$AC$2,B121&gt;$AC$3),"Date not in October",IF(D121="","Pick project",IF(ISNA(MATCH(D121,ProjNames,0)),"Project not in list",IF(G121="","Add task description",IF(H121="","Pick NTIME or P6",IF(N(I121)&lt;=0,"Enter hours",IF(AND(AllowOT&lt;&gt;"Yes",SUMIF($B$7:$B$256,B121,$I$7:$I$256)&gt;INDEX($O$58:$O$88,DAY(B121))),"Day over "&amp;INDEX($O$58:$O$88,DAY(B121))&amp;" h","✓")))))))))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tr">
        <f aca="false">IF(Projects!B119="","",Projects!B119)</f>
        <v/>
      </c>
      <c r="X121" s="1" t="n">
        <f aca="false">IF(W121="",0,SUMIFS($I$7:$I$256,$D$7:$D$256,W121,$H$7:$H$256,"NTIME"))</f>
        <v>0</v>
      </c>
      <c r="Y121" s="1" t="n">
        <f aca="false">IF(W121="",0,SUMIFS($I$7:$I$256,$D$7:$D$256,W121,$H$7:$H$256,"P6"))</f>
        <v>0</v>
      </c>
      <c r="Z121" s="1" t="n">
        <f aca="false">X121+Y121</f>
        <v>0</v>
      </c>
      <c r="AA121" s="1" t="n">
        <f aca="false">IF(Z121&gt;0,Z121+(201-115)/10^6,0)</f>
        <v>0</v>
      </c>
      <c r="AB121" s="1"/>
      <c r="AC121" s="1"/>
      <c r="AD121" s="1"/>
      <c r="AE121" s="1"/>
      <c r="AF121" s="1"/>
      <c r="AG121" s="1"/>
      <c r="AH121" s="1"/>
    </row>
    <row r="122" customFormat="false" ht="15" hidden="false" customHeight="false" outlineLevel="0" collapsed="false">
      <c r="A122" s="1"/>
      <c r="B122" s="10"/>
      <c r="C122" s="31" t="str">
        <f aca="false">IF(B122="","",TEXT(B122,"ddd"))</f>
        <v/>
      </c>
      <c r="D122" s="11"/>
      <c r="E122" s="8" t="str">
        <f aca="false">IF(D122="","",IFERROR(INDEX(ProjNumbers,MATCH(D122,ProjNames,0)),""))</f>
        <v/>
      </c>
      <c r="F122" s="8" t="str">
        <f aca="false">IF(D122="","",IFERROR(INDEX(ProjCodes,MATCH(D122,ProjNames,0)),""))</f>
        <v/>
      </c>
      <c r="G122" s="32"/>
      <c r="H122" s="11"/>
      <c r="I122" s="33"/>
      <c r="J122" s="8" t="str">
        <f aca="false">IF(COUNTA(B122,D122,G122,H122,I122)=0,"",IF(B122="","Enter date",IF(OR(B122&lt;$AC$2,B122&gt;$AC$3),"Date not in October",IF(D122="","Pick project",IF(ISNA(MATCH(D122,ProjNames,0)),"Project not in list",IF(G122="","Add task description",IF(H122="","Pick NTIME or P6",IF(N(I122)&lt;=0,"Enter hours",IF(AND(AllowOT&lt;&gt;"Yes",SUMIF($B$7:$B$256,B122,$I$7:$I$256)&gt;INDEX($O$58:$O$88,DAY(B122))),"Day over "&amp;INDEX($O$58:$O$88,DAY(B122))&amp;" h","✓")))))))))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tr">
        <f aca="false">IF(Projects!B120="","",Projects!B120)</f>
        <v/>
      </c>
      <c r="X122" s="1" t="n">
        <f aca="false">IF(W122="",0,SUMIFS($I$7:$I$256,$D$7:$D$256,W122,$H$7:$H$256,"NTIME"))</f>
        <v>0</v>
      </c>
      <c r="Y122" s="1" t="n">
        <f aca="false">IF(W122="",0,SUMIFS($I$7:$I$256,$D$7:$D$256,W122,$H$7:$H$256,"P6"))</f>
        <v>0</v>
      </c>
      <c r="Z122" s="1" t="n">
        <f aca="false">X122+Y122</f>
        <v>0</v>
      </c>
      <c r="AA122" s="1" t="n">
        <f aca="false">IF(Z122&gt;0,Z122+(201-116)/10^6,0)</f>
        <v>0</v>
      </c>
      <c r="AB122" s="1"/>
      <c r="AC122" s="1"/>
      <c r="AD122" s="1"/>
      <c r="AE122" s="1"/>
      <c r="AF122" s="1"/>
      <c r="AG122" s="1"/>
      <c r="AH122" s="1"/>
    </row>
    <row r="123" customFormat="false" ht="15" hidden="false" customHeight="false" outlineLevel="0" collapsed="false">
      <c r="A123" s="1"/>
      <c r="B123" s="10"/>
      <c r="C123" s="31" t="str">
        <f aca="false">IF(B123="","",TEXT(B123,"ddd"))</f>
        <v/>
      </c>
      <c r="D123" s="11"/>
      <c r="E123" s="8" t="str">
        <f aca="false">IF(D123="","",IFERROR(INDEX(ProjNumbers,MATCH(D123,ProjNames,0)),""))</f>
        <v/>
      </c>
      <c r="F123" s="8" t="str">
        <f aca="false">IF(D123="","",IFERROR(INDEX(ProjCodes,MATCH(D123,ProjNames,0)),""))</f>
        <v/>
      </c>
      <c r="G123" s="32"/>
      <c r="H123" s="11"/>
      <c r="I123" s="33"/>
      <c r="J123" s="8" t="str">
        <f aca="false">IF(COUNTA(B123,D123,G123,H123,I123)=0,"",IF(B123="","Enter date",IF(OR(B123&lt;$AC$2,B123&gt;$AC$3),"Date not in October",IF(D123="","Pick project",IF(ISNA(MATCH(D123,ProjNames,0)),"Project not in list",IF(G123="","Add task description",IF(H123="","Pick NTIME or P6",IF(N(I123)&lt;=0,"Enter hours",IF(AND(AllowOT&lt;&gt;"Yes",SUMIF($B$7:$B$256,B123,$I$7:$I$256)&gt;INDEX($O$58:$O$88,DAY(B123))),"Day over "&amp;INDEX($O$58:$O$88,DAY(B123))&amp;" h","✓")))))))))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tr">
        <f aca="false">IF(Projects!B121="","",Projects!B121)</f>
        <v/>
      </c>
      <c r="X123" s="1" t="n">
        <f aca="false">IF(W123="",0,SUMIFS($I$7:$I$256,$D$7:$D$256,W123,$H$7:$H$256,"NTIME"))</f>
        <v>0</v>
      </c>
      <c r="Y123" s="1" t="n">
        <f aca="false">IF(W123="",0,SUMIFS($I$7:$I$256,$D$7:$D$256,W123,$H$7:$H$256,"P6"))</f>
        <v>0</v>
      </c>
      <c r="Z123" s="1" t="n">
        <f aca="false">X123+Y123</f>
        <v>0</v>
      </c>
      <c r="AA123" s="1" t="n">
        <f aca="false">IF(Z123&gt;0,Z123+(201-117)/10^6,0)</f>
        <v>0</v>
      </c>
      <c r="AB123" s="1"/>
      <c r="AC123" s="1"/>
      <c r="AD123" s="1"/>
      <c r="AE123" s="1"/>
      <c r="AF123" s="1"/>
      <c r="AG123" s="1"/>
      <c r="AH123" s="1"/>
    </row>
    <row r="124" customFormat="false" ht="15" hidden="false" customHeight="false" outlineLevel="0" collapsed="false">
      <c r="A124" s="1"/>
      <c r="B124" s="10"/>
      <c r="C124" s="31" t="str">
        <f aca="false">IF(B124="","",TEXT(B124,"ddd"))</f>
        <v/>
      </c>
      <c r="D124" s="11"/>
      <c r="E124" s="8" t="str">
        <f aca="false">IF(D124="","",IFERROR(INDEX(ProjNumbers,MATCH(D124,ProjNames,0)),""))</f>
        <v/>
      </c>
      <c r="F124" s="8" t="str">
        <f aca="false">IF(D124="","",IFERROR(INDEX(ProjCodes,MATCH(D124,ProjNames,0)),""))</f>
        <v/>
      </c>
      <c r="G124" s="32"/>
      <c r="H124" s="11"/>
      <c r="I124" s="33"/>
      <c r="J124" s="8" t="str">
        <f aca="false">IF(COUNTA(B124,D124,G124,H124,I124)=0,"",IF(B124="","Enter date",IF(OR(B124&lt;$AC$2,B124&gt;$AC$3),"Date not in October",IF(D124="","Pick project",IF(ISNA(MATCH(D124,ProjNames,0)),"Project not in list",IF(G124="","Add task description",IF(H124="","Pick NTIME or P6",IF(N(I124)&lt;=0,"Enter hours",IF(AND(AllowOT&lt;&gt;"Yes",SUMIF($B$7:$B$256,B124,$I$7:$I$256)&gt;INDEX($O$58:$O$88,DAY(B124))),"Day over "&amp;INDEX($O$58:$O$88,DAY(B124))&amp;" h","✓")))))))))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tr">
        <f aca="false">IF(Projects!B122="","",Projects!B122)</f>
        <v/>
      </c>
      <c r="X124" s="1" t="n">
        <f aca="false">IF(W124="",0,SUMIFS($I$7:$I$256,$D$7:$D$256,W124,$H$7:$H$256,"NTIME"))</f>
        <v>0</v>
      </c>
      <c r="Y124" s="1" t="n">
        <f aca="false">IF(W124="",0,SUMIFS($I$7:$I$256,$D$7:$D$256,W124,$H$7:$H$256,"P6"))</f>
        <v>0</v>
      </c>
      <c r="Z124" s="1" t="n">
        <f aca="false">X124+Y124</f>
        <v>0</v>
      </c>
      <c r="AA124" s="1" t="n">
        <f aca="false">IF(Z124&gt;0,Z124+(201-118)/10^6,0)</f>
        <v>0</v>
      </c>
      <c r="AB124" s="1"/>
      <c r="AC124" s="1"/>
      <c r="AD124" s="1"/>
      <c r="AE124" s="1"/>
      <c r="AF124" s="1"/>
      <c r="AG124" s="1"/>
      <c r="AH124" s="1"/>
    </row>
    <row r="125" customFormat="false" ht="15" hidden="false" customHeight="false" outlineLevel="0" collapsed="false">
      <c r="A125" s="1"/>
      <c r="B125" s="10"/>
      <c r="C125" s="31" t="str">
        <f aca="false">IF(B125="","",TEXT(B125,"ddd"))</f>
        <v/>
      </c>
      <c r="D125" s="11"/>
      <c r="E125" s="8" t="str">
        <f aca="false">IF(D125="","",IFERROR(INDEX(ProjNumbers,MATCH(D125,ProjNames,0)),""))</f>
        <v/>
      </c>
      <c r="F125" s="8" t="str">
        <f aca="false">IF(D125="","",IFERROR(INDEX(ProjCodes,MATCH(D125,ProjNames,0)),""))</f>
        <v/>
      </c>
      <c r="G125" s="32"/>
      <c r="H125" s="11"/>
      <c r="I125" s="33"/>
      <c r="J125" s="8" t="str">
        <f aca="false">IF(COUNTA(B125,D125,G125,H125,I125)=0,"",IF(B125="","Enter date",IF(OR(B125&lt;$AC$2,B125&gt;$AC$3),"Date not in October",IF(D125="","Pick project",IF(ISNA(MATCH(D125,ProjNames,0)),"Project not in list",IF(G125="","Add task description",IF(H125="","Pick NTIME or P6",IF(N(I125)&lt;=0,"Enter hours",IF(AND(AllowOT&lt;&gt;"Yes",SUMIF($B$7:$B$256,B125,$I$7:$I$256)&gt;INDEX($O$58:$O$88,DAY(B125))),"Day over "&amp;INDEX($O$58:$O$88,DAY(B125))&amp;" h","✓")))))))))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tr">
        <f aca="false">IF(Projects!B123="","",Projects!B123)</f>
        <v/>
      </c>
      <c r="X125" s="1" t="n">
        <f aca="false">IF(W125="",0,SUMIFS($I$7:$I$256,$D$7:$D$256,W125,$H$7:$H$256,"NTIME"))</f>
        <v>0</v>
      </c>
      <c r="Y125" s="1" t="n">
        <f aca="false">IF(W125="",0,SUMIFS($I$7:$I$256,$D$7:$D$256,W125,$H$7:$H$256,"P6"))</f>
        <v>0</v>
      </c>
      <c r="Z125" s="1" t="n">
        <f aca="false">X125+Y125</f>
        <v>0</v>
      </c>
      <c r="AA125" s="1" t="n">
        <f aca="false">IF(Z125&gt;0,Z125+(201-119)/10^6,0)</f>
        <v>0</v>
      </c>
      <c r="AB125" s="1"/>
      <c r="AC125" s="1"/>
      <c r="AD125" s="1"/>
      <c r="AE125" s="1"/>
      <c r="AF125" s="1"/>
      <c r="AG125" s="1"/>
      <c r="AH125" s="1"/>
    </row>
    <row r="126" customFormat="false" ht="15" hidden="false" customHeight="false" outlineLevel="0" collapsed="false">
      <c r="A126" s="1"/>
      <c r="B126" s="10"/>
      <c r="C126" s="31" t="str">
        <f aca="false">IF(B126="","",TEXT(B126,"ddd"))</f>
        <v/>
      </c>
      <c r="D126" s="11"/>
      <c r="E126" s="8" t="str">
        <f aca="false">IF(D126="","",IFERROR(INDEX(ProjNumbers,MATCH(D126,ProjNames,0)),""))</f>
        <v/>
      </c>
      <c r="F126" s="8" t="str">
        <f aca="false">IF(D126="","",IFERROR(INDEX(ProjCodes,MATCH(D126,ProjNames,0)),""))</f>
        <v/>
      </c>
      <c r="G126" s="32"/>
      <c r="H126" s="11"/>
      <c r="I126" s="33"/>
      <c r="J126" s="8" t="str">
        <f aca="false">IF(COUNTA(B126,D126,G126,H126,I126)=0,"",IF(B126="","Enter date",IF(OR(B126&lt;$AC$2,B126&gt;$AC$3),"Date not in October",IF(D126="","Pick project",IF(ISNA(MATCH(D126,ProjNames,0)),"Project not in list",IF(G126="","Add task description",IF(H126="","Pick NTIME or P6",IF(N(I126)&lt;=0,"Enter hours",IF(AND(AllowOT&lt;&gt;"Yes",SUMIF($B$7:$B$256,B126,$I$7:$I$256)&gt;INDEX($O$58:$O$88,DAY(B126))),"Day over "&amp;INDEX($O$58:$O$88,DAY(B126))&amp;" h","✓")))))))))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tr">
        <f aca="false">IF(Projects!B124="","",Projects!B124)</f>
        <v/>
      </c>
      <c r="X126" s="1" t="n">
        <f aca="false">IF(W126="",0,SUMIFS($I$7:$I$256,$D$7:$D$256,W126,$H$7:$H$256,"NTIME"))</f>
        <v>0</v>
      </c>
      <c r="Y126" s="1" t="n">
        <f aca="false">IF(W126="",0,SUMIFS($I$7:$I$256,$D$7:$D$256,W126,$H$7:$H$256,"P6"))</f>
        <v>0</v>
      </c>
      <c r="Z126" s="1" t="n">
        <f aca="false">X126+Y126</f>
        <v>0</v>
      </c>
      <c r="AA126" s="1" t="n">
        <f aca="false">IF(Z126&gt;0,Z126+(201-120)/10^6,0)</f>
        <v>0</v>
      </c>
      <c r="AB126" s="1"/>
      <c r="AC126" s="1"/>
      <c r="AD126" s="1"/>
      <c r="AE126" s="1"/>
      <c r="AF126" s="1"/>
      <c r="AG126" s="1"/>
      <c r="AH126" s="1"/>
    </row>
    <row r="127" customFormat="false" ht="15" hidden="false" customHeight="false" outlineLevel="0" collapsed="false">
      <c r="A127" s="1"/>
      <c r="B127" s="10"/>
      <c r="C127" s="31" t="str">
        <f aca="false">IF(B127="","",TEXT(B127,"ddd"))</f>
        <v/>
      </c>
      <c r="D127" s="11"/>
      <c r="E127" s="8" t="str">
        <f aca="false">IF(D127="","",IFERROR(INDEX(ProjNumbers,MATCH(D127,ProjNames,0)),""))</f>
        <v/>
      </c>
      <c r="F127" s="8" t="str">
        <f aca="false">IF(D127="","",IFERROR(INDEX(ProjCodes,MATCH(D127,ProjNames,0)),""))</f>
        <v/>
      </c>
      <c r="G127" s="32"/>
      <c r="H127" s="11"/>
      <c r="I127" s="33"/>
      <c r="J127" s="8" t="str">
        <f aca="false">IF(COUNTA(B127,D127,G127,H127,I127)=0,"",IF(B127="","Enter date",IF(OR(B127&lt;$AC$2,B127&gt;$AC$3),"Date not in October",IF(D127="","Pick project",IF(ISNA(MATCH(D127,ProjNames,0)),"Project not in list",IF(G127="","Add task description",IF(H127="","Pick NTIME or P6",IF(N(I127)&lt;=0,"Enter hours",IF(AND(AllowOT&lt;&gt;"Yes",SUMIF($B$7:$B$256,B127,$I$7:$I$256)&gt;INDEX($O$58:$O$88,DAY(B127))),"Day over "&amp;INDEX($O$58:$O$88,DAY(B127))&amp;" h","✓")))))))))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tr">
        <f aca="false">IF(Projects!B125="","",Projects!B125)</f>
        <v/>
      </c>
      <c r="X127" s="1" t="n">
        <f aca="false">IF(W127="",0,SUMIFS($I$7:$I$256,$D$7:$D$256,W127,$H$7:$H$256,"NTIME"))</f>
        <v>0</v>
      </c>
      <c r="Y127" s="1" t="n">
        <f aca="false">IF(W127="",0,SUMIFS($I$7:$I$256,$D$7:$D$256,W127,$H$7:$H$256,"P6"))</f>
        <v>0</v>
      </c>
      <c r="Z127" s="1" t="n">
        <f aca="false">X127+Y127</f>
        <v>0</v>
      </c>
      <c r="AA127" s="1" t="n">
        <f aca="false">IF(Z127&gt;0,Z127+(201-121)/10^6,0)</f>
        <v>0</v>
      </c>
      <c r="AB127" s="1"/>
      <c r="AC127" s="1"/>
      <c r="AD127" s="1"/>
      <c r="AE127" s="1"/>
      <c r="AF127" s="1"/>
      <c r="AG127" s="1"/>
      <c r="AH127" s="1"/>
    </row>
    <row r="128" customFormat="false" ht="15" hidden="false" customHeight="false" outlineLevel="0" collapsed="false">
      <c r="A128" s="1"/>
      <c r="B128" s="10"/>
      <c r="C128" s="31" t="str">
        <f aca="false">IF(B128="","",TEXT(B128,"ddd"))</f>
        <v/>
      </c>
      <c r="D128" s="11"/>
      <c r="E128" s="8" t="str">
        <f aca="false">IF(D128="","",IFERROR(INDEX(ProjNumbers,MATCH(D128,ProjNames,0)),""))</f>
        <v/>
      </c>
      <c r="F128" s="8" t="str">
        <f aca="false">IF(D128="","",IFERROR(INDEX(ProjCodes,MATCH(D128,ProjNames,0)),""))</f>
        <v/>
      </c>
      <c r="G128" s="32"/>
      <c r="H128" s="11"/>
      <c r="I128" s="33"/>
      <c r="J128" s="8" t="str">
        <f aca="false">IF(COUNTA(B128,D128,G128,H128,I128)=0,"",IF(B128="","Enter date",IF(OR(B128&lt;$AC$2,B128&gt;$AC$3),"Date not in October",IF(D128="","Pick project",IF(ISNA(MATCH(D128,ProjNames,0)),"Project not in list",IF(G128="","Add task description",IF(H128="","Pick NTIME or P6",IF(N(I128)&lt;=0,"Enter hours",IF(AND(AllowOT&lt;&gt;"Yes",SUMIF($B$7:$B$256,B128,$I$7:$I$256)&gt;INDEX($O$58:$O$88,DAY(B128))),"Day over "&amp;INDEX($O$58:$O$88,DAY(B128))&amp;" h","✓")))))))))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tr">
        <f aca="false">IF(Projects!B126="","",Projects!B126)</f>
        <v/>
      </c>
      <c r="X128" s="1" t="n">
        <f aca="false">IF(W128="",0,SUMIFS($I$7:$I$256,$D$7:$D$256,W128,$H$7:$H$256,"NTIME"))</f>
        <v>0</v>
      </c>
      <c r="Y128" s="1" t="n">
        <f aca="false">IF(W128="",0,SUMIFS($I$7:$I$256,$D$7:$D$256,W128,$H$7:$H$256,"P6"))</f>
        <v>0</v>
      </c>
      <c r="Z128" s="1" t="n">
        <f aca="false">X128+Y128</f>
        <v>0</v>
      </c>
      <c r="AA128" s="1" t="n">
        <f aca="false">IF(Z128&gt;0,Z128+(201-122)/10^6,0)</f>
        <v>0</v>
      </c>
      <c r="AB128" s="1"/>
      <c r="AC128" s="1"/>
      <c r="AD128" s="1"/>
      <c r="AE128" s="1"/>
      <c r="AF128" s="1"/>
      <c r="AG128" s="1"/>
      <c r="AH128" s="1"/>
    </row>
    <row r="129" customFormat="false" ht="15" hidden="false" customHeight="false" outlineLevel="0" collapsed="false">
      <c r="A129" s="1"/>
      <c r="B129" s="10"/>
      <c r="C129" s="31" t="str">
        <f aca="false">IF(B129="","",TEXT(B129,"ddd"))</f>
        <v/>
      </c>
      <c r="D129" s="11"/>
      <c r="E129" s="8" t="str">
        <f aca="false">IF(D129="","",IFERROR(INDEX(ProjNumbers,MATCH(D129,ProjNames,0)),""))</f>
        <v/>
      </c>
      <c r="F129" s="8" t="str">
        <f aca="false">IF(D129="","",IFERROR(INDEX(ProjCodes,MATCH(D129,ProjNames,0)),""))</f>
        <v/>
      </c>
      <c r="G129" s="32"/>
      <c r="H129" s="11"/>
      <c r="I129" s="33"/>
      <c r="J129" s="8" t="str">
        <f aca="false">IF(COUNTA(B129,D129,G129,H129,I129)=0,"",IF(B129="","Enter date",IF(OR(B129&lt;$AC$2,B129&gt;$AC$3),"Date not in October",IF(D129="","Pick project",IF(ISNA(MATCH(D129,ProjNames,0)),"Project not in list",IF(G129="","Add task description",IF(H129="","Pick NTIME or P6",IF(N(I129)&lt;=0,"Enter hours",IF(AND(AllowOT&lt;&gt;"Yes",SUMIF($B$7:$B$256,B129,$I$7:$I$256)&gt;INDEX($O$58:$O$88,DAY(B129))),"Day over "&amp;INDEX($O$58:$O$88,DAY(B129))&amp;" h","✓")))))))))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tr">
        <f aca="false">IF(Projects!B127="","",Projects!B127)</f>
        <v/>
      </c>
      <c r="X129" s="1" t="n">
        <f aca="false">IF(W129="",0,SUMIFS($I$7:$I$256,$D$7:$D$256,W129,$H$7:$H$256,"NTIME"))</f>
        <v>0</v>
      </c>
      <c r="Y129" s="1" t="n">
        <f aca="false">IF(W129="",0,SUMIFS($I$7:$I$256,$D$7:$D$256,W129,$H$7:$H$256,"P6"))</f>
        <v>0</v>
      </c>
      <c r="Z129" s="1" t="n">
        <f aca="false">X129+Y129</f>
        <v>0</v>
      </c>
      <c r="AA129" s="1" t="n">
        <f aca="false">IF(Z129&gt;0,Z129+(201-123)/10^6,0)</f>
        <v>0</v>
      </c>
      <c r="AB129" s="1"/>
      <c r="AC129" s="1"/>
      <c r="AD129" s="1"/>
      <c r="AE129" s="1"/>
      <c r="AF129" s="1"/>
      <c r="AG129" s="1"/>
      <c r="AH129" s="1"/>
    </row>
    <row r="130" customFormat="false" ht="15" hidden="false" customHeight="false" outlineLevel="0" collapsed="false">
      <c r="A130" s="1"/>
      <c r="B130" s="10"/>
      <c r="C130" s="31" t="str">
        <f aca="false">IF(B130="","",TEXT(B130,"ddd"))</f>
        <v/>
      </c>
      <c r="D130" s="11"/>
      <c r="E130" s="8" t="str">
        <f aca="false">IF(D130="","",IFERROR(INDEX(ProjNumbers,MATCH(D130,ProjNames,0)),""))</f>
        <v/>
      </c>
      <c r="F130" s="8" t="str">
        <f aca="false">IF(D130="","",IFERROR(INDEX(ProjCodes,MATCH(D130,ProjNames,0)),""))</f>
        <v/>
      </c>
      <c r="G130" s="32"/>
      <c r="H130" s="11"/>
      <c r="I130" s="33"/>
      <c r="J130" s="8" t="str">
        <f aca="false">IF(COUNTA(B130,D130,G130,H130,I130)=0,"",IF(B130="","Enter date",IF(OR(B130&lt;$AC$2,B130&gt;$AC$3),"Date not in October",IF(D130="","Pick project",IF(ISNA(MATCH(D130,ProjNames,0)),"Project not in list",IF(G130="","Add task description",IF(H130="","Pick NTIME or P6",IF(N(I130)&lt;=0,"Enter hours",IF(AND(AllowOT&lt;&gt;"Yes",SUMIF($B$7:$B$256,B130,$I$7:$I$256)&gt;INDEX($O$58:$O$88,DAY(B130))),"Day over "&amp;INDEX($O$58:$O$88,DAY(B130))&amp;" h","✓")))))))))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tr">
        <f aca="false">IF(Projects!B128="","",Projects!B128)</f>
        <v/>
      </c>
      <c r="X130" s="1" t="n">
        <f aca="false">IF(W130="",0,SUMIFS($I$7:$I$256,$D$7:$D$256,W130,$H$7:$H$256,"NTIME"))</f>
        <v>0</v>
      </c>
      <c r="Y130" s="1" t="n">
        <f aca="false">IF(W130="",0,SUMIFS($I$7:$I$256,$D$7:$D$256,W130,$H$7:$H$256,"P6"))</f>
        <v>0</v>
      </c>
      <c r="Z130" s="1" t="n">
        <f aca="false">X130+Y130</f>
        <v>0</v>
      </c>
      <c r="AA130" s="1" t="n">
        <f aca="false">IF(Z130&gt;0,Z130+(201-124)/10^6,0)</f>
        <v>0</v>
      </c>
      <c r="AB130" s="1"/>
      <c r="AC130" s="1"/>
      <c r="AD130" s="1"/>
      <c r="AE130" s="1"/>
      <c r="AF130" s="1"/>
      <c r="AG130" s="1"/>
      <c r="AH130" s="1"/>
    </row>
    <row r="131" customFormat="false" ht="15" hidden="false" customHeight="false" outlineLevel="0" collapsed="false">
      <c r="A131" s="1"/>
      <c r="B131" s="10"/>
      <c r="C131" s="31" t="str">
        <f aca="false">IF(B131="","",TEXT(B131,"ddd"))</f>
        <v/>
      </c>
      <c r="D131" s="11"/>
      <c r="E131" s="8" t="str">
        <f aca="false">IF(D131="","",IFERROR(INDEX(ProjNumbers,MATCH(D131,ProjNames,0)),""))</f>
        <v/>
      </c>
      <c r="F131" s="8" t="str">
        <f aca="false">IF(D131="","",IFERROR(INDEX(ProjCodes,MATCH(D131,ProjNames,0)),""))</f>
        <v/>
      </c>
      <c r="G131" s="32"/>
      <c r="H131" s="11"/>
      <c r="I131" s="33"/>
      <c r="J131" s="8" t="str">
        <f aca="false">IF(COUNTA(B131,D131,G131,H131,I131)=0,"",IF(B131="","Enter date",IF(OR(B131&lt;$AC$2,B131&gt;$AC$3),"Date not in October",IF(D131="","Pick project",IF(ISNA(MATCH(D131,ProjNames,0)),"Project not in list",IF(G131="","Add task description",IF(H131="","Pick NTIME or P6",IF(N(I131)&lt;=0,"Enter hours",IF(AND(AllowOT&lt;&gt;"Yes",SUMIF($B$7:$B$256,B131,$I$7:$I$256)&gt;INDEX($O$58:$O$88,DAY(B131))),"Day over "&amp;INDEX($O$58:$O$88,DAY(B131))&amp;" h","✓")))))))))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tr">
        <f aca="false">IF(Projects!B129="","",Projects!B129)</f>
        <v/>
      </c>
      <c r="X131" s="1" t="n">
        <f aca="false">IF(W131="",0,SUMIFS($I$7:$I$256,$D$7:$D$256,W131,$H$7:$H$256,"NTIME"))</f>
        <v>0</v>
      </c>
      <c r="Y131" s="1" t="n">
        <f aca="false">IF(W131="",0,SUMIFS($I$7:$I$256,$D$7:$D$256,W131,$H$7:$H$256,"P6"))</f>
        <v>0</v>
      </c>
      <c r="Z131" s="1" t="n">
        <f aca="false">X131+Y131</f>
        <v>0</v>
      </c>
      <c r="AA131" s="1" t="n">
        <f aca="false">IF(Z131&gt;0,Z131+(201-125)/10^6,0)</f>
        <v>0</v>
      </c>
      <c r="AB131" s="1"/>
      <c r="AC131" s="1"/>
      <c r="AD131" s="1"/>
      <c r="AE131" s="1"/>
      <c r="AF131" s="1"/>
      <c r="AG131" s="1"/>
      <c r="AH131" s="1"/>
    </row>
    <row r="132" customFormat="false" ht="15" hidden="false" customHeight="false" outlineLevel="0" collapsed="false">
      <c r="A132" s="1"/>
      <c r="B132" s="10"/>
      <c r="C132" s="31" t="str">
        <f aca="false">IF(B132="","",TEXT(B132,"ddd"))</f>
        <v/>
      </c>
      <c r="D132" s="11"/>
      <c r="E132" s="8" t="str">
        <f aca="false">IF(D132="","",IFERROR(INDEX(ProjNumbers,MATCH(D132,ProjNames,0)),""))</f>
        <v/>
      </c>
      <c r="F132" s="8" t="str">
        <f aca="false">IF(D132="","",IFERROR(INDEX(ProjCodes,MATCH(D132,ProjNames,0)),""))</f>
        <v/>
      </c>
      <c r="G132" s="32"/>
      <c r="H132" s="11"/>
      <c r="I132" s="33"/>
      <c r="J132" s="8" t="str">
        <f aca="false">IF(COUNTA(B132,D132,G132,H132,I132)=0,"",IF(B132="","Enter date",IF(OR(B132&lt;$AC$2,B132&gt;$AC$3),"Date not in October",IF(D132="","Pick project",IF(ISNA(MATCH(D132,ProjNames,0)),"Project not in list",IF(G132="","Add task description",IF(H132="","Pick NTIME or P6",IF(N(I132)&lt;=0,"Enter hours",IF(AND(AllowOT&lt;&gt;"Yes",SUMIF($B$7:$B$256,B132,$I$7:$I$256)&gt;INDEX($O$58:$O$88,DAY(B132))),"Day over "&amp;INDEX($O$58:$O$88,DAY(B132))&amp;" h","✓")))))))))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tr">
        <f aca="false">IF(Projects!B130="","",Projects!B130)</f>
        <v/>
      </c>
      <c r="X132" s="1" t="n">
        <f aca="false">IF(W132="",0,SUMIFS($I$7:$I$256,$D$7:$D$256,W132,$H$7:$H$256,"NTIME"))</f>
        <v>0</v>
      </c>
      <c r="Y132" s="1" t="n">
        <f aca="false">IF(W132="",0,SUMIFS($I$7:$I$256,$D$7:$D$256,W132,$H$7:$H$256,"P6"))</f>
        <v>0</v>
      </c>
      <c r="Z132" s="1" t="n">
        <f aca="false">X132+Y132</f>
        <v>0</v>
      </c>
      <c r="AA132" s="1" t="n">
        <f aca="false">IF(Z132&gt;0,Z132+(201-126)/10^6,0)</f>
        <v>0</v>
      </c>
      <c r="AB132" s="1"/>
      <c r="AC132" s="1"/>
      <c r="AD132" s="1"/>
      <c r="AE132" s="1"/>
      <c r="AF132" s="1"/>
      <c r="AG132" s="1"/>
      <c r="AH132" s="1"/>
    </row>
    <row r="133" customFormat="false" ht="15" hidden="false" customHeight="false" outlineLevel="0" collapsed="false">
      <c r="A133" s="1"/>
      <c r="B133" s="10"/>
      <c r="C133" s="31" t="str">
        <f aca="false">IF(B133="","",TEXT(B133,"ddd"))</f>
        <v/>
      </c>
      <c r="D133" s="11"/>
      <c r="E133" s="8" t="str">
        <f aca="false">IF(D133="","",IFERROR(INDEX(ProjNumbers,MATCH(D133,ProjNames,0)),""))</f>
        <v/>
      </c>
      <c r="F133" s="8" t="str">
        <f aca="false">IF(D133="","",IFERROR(INDEX(ProjCodes,MATCH(D133,ProjNames,0)),""))</f>
        <v/>
      </c>
      <c r="G133" s="32"/>
      <c r="H133" s="11"/>
      <c r="I133" s="33"/>
      <c r="J133" s="8" t="str">
        <f aca="false">IF(COUNTA(B133,D133,G133,H133,I133)=0,"",IF(B133="","Enter date",IF(OR(B133&lt;$AC$2,B133&gt;$AC$3),"Date not in October",IF(D133="","Pick project",IF(ISNA(MATCH(D133,ProjNames,0)),"Project not in list",IF(G133="","Add task description",IF(H133="","Pick NTIME or P6",IF(N(I133)&lt;=0,"Enter hours",IF(AND(AllowOT&lt;&gt;"Yes",SUMIF($B$7:$B$256,B133,$I$7:$I$256)&gt;INDEX($O$58:$O$88,DAY(B133))),"Day over "&amp;INDEX($O$58:$O$88,DAY(B133))&amp;" h","✓")))))))))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tr">
        <f aca="false">IF(Projects!B131="","",Projects!B131)</f>
        <v/>
      </c>
      <c r="X133" s="1" t="n">
        <f aca="false">IF(W133="",0,SUMIFS($I$7:$I$256,$D$7:$D$256,W133,$H$7:$H$256,"NTIME"))</f>
        <v>0</v>
      </c>
      <c r="Y133" s="1" t="n">
        <f aca="false">IF(W133="",0,SUMIFS($I$7:$I$256,$D$7:$D$256,W133,$H$7:$H$256,"P6"))</f>
        <v>0</v>
      </c>
      <c r="Z133" s="1" t="n">
        <f aca="false">X133+Y133</f>
        <v>0</v>
      </c>
      <c r="AA133" s="1" t="n">
        <f aca="false">IF(Z133&gt;0,Z133+(201-127)/10^6,0)</f>
        <v>0</v>
      </c>
      <c r="AB133" s="1"/>
      <c r="AC133" s="1"/>
      <c r="AD133" s="1"/>
      <c r="AE133" s="1"/>
      <c r="AF133" s="1"/>
      <c r="AG133" s="1"/>
      <c r="AH133" s="1"/>
    </row>
    <row r="134" customFormat="false" ht="15" hidden="false" customHeight="false" outlineLevel="0" collapsed="false">
      <c r="A134" s="1"/>
      <c r="B134" s="10"/>
      <c r="C134" s="31" t="str">
        <f aca="false">IF(B134="","",TEXT(B134,"ddd"))</f>
        <v/>
      </c>
      <c r="D134" s="11"/>
      <c r="E134" s="8" t="str">
        <f aca="false">IF(D134="","",IFERROR(INDEX(ProjNumbers,MATCH(D134,ProjNames,0)),""))</f>
        <v/>
      </c>
      <c r="F134" s="8" t="str">
        <f aca="false">IF(D134="","",IFERROR(INDEX(ProjCodes,MATCH(D134,ProjNames,0)),""))</f>
        <v/>
      </c>
      <c r="G134" s="32"/>
      <c r="H134" s="11"/>
      <c r="I134" s="33"/>
      <c r="J134" s="8" t="str">
        <f aca="false">IF(COUNTA(B134,D134,G134,H134,I134)=0,"",IF(B134="","Enter date",IF(OR(B134&lt;$AC$2,B134&gt;$AC$3),"Date not in October",IF(D134="","Pick project",IF(ISNA(MATCH(D134,ProjNames,0)),"Project not in list",IF(G134="","Add task description",IF(H134="","Pick NTIME or P6",IF(N(I134)&lt;=0,"Enter hours",IF(AND(AllowOT&lt;&gt;"Yes",SUMIF($B$7:$B$256,B134,$I$7:$I$256)&gt;INDEX($O$58:$O$88,DAY(B134))),"Day over "&amp;INDEX($O$58:$O$88,DAY(B134))&amp;" h","✓")))))))))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tr">
        <f aca="false">IF(Projects!B132="","",Projects!B132)</f>
        <v/>
      </c>
      <c r="X134" s="1" t="n">
        <f aca="false">IF(W134="",0,SUMIFS($I$7:$I$256,$D$7:$D$256,W134,$H$7:$H$256,"NTIME"))</f>
        <v>0</v>
      </c>
      <c r="Y134" s="1" t="n">
        <f aca="false">IF(W134="",0,SUMIFS($I$7:$I$256,$D$7:$D$256,W134,$H$7:$H$256,"P6"))</f>
        <v>0</v>
      </c>
      <c r="Z134" s="1" t="n">
        <f aca="false">X134+Y134</f>
        <v>0</v>
      </c>
      <c r="AA134" s="1" t="n">
        <f aca="false">IF(Z134&gt;0,Z134+(201-128)/10^6,0)</f>
        <v>0</v>
      </c>
      <c r="AB134" s="1"/>
      <c r="AC134" s="1"/>
      <c r="AD134" s="1"/>
      <c r="AE134" s="1"/>
      <c r="AF134" s="1"/>
      <c r="AG134" s="1"/>
      <c r="AH134" s="1"/>
    </row>
    <row r="135" customFormat="false" ht="15" hidden="false" customHeight="false" outlineLevel="0" collapsed="false">
      <c r="A135" s="1"/>
      <c r="B135" s="10"/>
      <c r="C135" s="31" t="str">
        <f aca="false">IF(B135="","",TEXT(B135,"ddd"))</f>
        <v/>
      </c>
      <c r="D135" s="11"/>
      <c r="E135" s="8" t="str">
        <f aca="false">IF(D135="","",IFERROR(INDEX(ProjNumbers,MATCH(D135,ProjNames,0)),""))</f>
        <v/>
      </c>
      <c r="F135" s="8" t="str">
        <f aca="false">IF(D135="","",IFERROR(INDEX(ProjCodes,MATCH(D135,ProjNames,0)),""))</f>
        <v/>
      </c>
      <c r="G135" s="32"/>
      <c r="H135" s="11"/>
      <c r="I135" s="33"/>
      <c r="J135" s="8" t="str">
        <f aca="false">IF(COUNTA(B135,D135,G135,H135,I135)=0,"",IF(B135="","Enter date",IF(OR(B135&lt;$AC$2,B135&gt;$AC$3),"Date not in October",IF(D135="","Pick project",IF(ISNA(MATCH(D135,ProjNames,0)),"Project not in list",IF(G135="","Add task description",IF(H135="","Pick NTIME or P6",IF(N(I135)&lt;=0,"Enter hours",IF(AND(AllowOT&lt;&gt;"Yes",SUMIF($B$7:$B$256,B135,$I$7:$I$256)&gt;INDEX($O$58:$O$88,DAY(B135))),"Day over "&amp;INDEX($O$58:$O$88,DAY(B135))&amp;" h","✓")))))))))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tr">
        <f aca="false">IF(Projects!B133="","",Projects!B133)</f>
        <v/>
      </c>
      <c r="X135" s="1" t="n">
        <f aca="false">IF(W135="",0,SUMIFS($I$7:$I$256,$D$7:$D$256,W135,$H$7:$H$256,"NTIME"))</f>
        <v>0</v>
      </c>
      <c r="Y135" s="1" t="n">
        <f aca="false">IF(W135="",0,SUMIFS($I$7:$I$256,$D$7:$D$256,W135,$H$7:$H$256,"P6"))</f>
        <v>0</v>
      </c>
      <c r="Z135" s="1" t="n">
        <f aca="false">X135+Y135</f>
        <v>0</v>
      </c>
      <c r="AA135" s="1" t="n">
        <f aca="false">IF(Z135&gt;0,Z135+(201-129)/10^6,0)</f>
        <v>0</v>
      </c>
      <c r="AB135" s="1"/>
      <c r="AC135" s="1"/>
      <c r="AD135" s="1"/>
      <c r="AE135" s="1"/>
      <c r="AF135" s="1"/>
      <c r="AG135" s="1"/>
      <c r="AH135" s="1"/>
    </row>
    <row r="136" customFormat="false" ht="15" hidden="false" customHeight="false" outlineLevel="0" collapsed="false">
      <c r="A136" s="1"/>
      <c r="B136" s="10"/>
      <c r="C136" s="31" t="str">
        <f aca="false">IF(B136="","",TEXT(B136,"ddd"))</f>
        <v/>
      </c>
      <c r="D136" s="11"/>
      <c r="E136" s="8" t="str">
        <f aca="false">IF(D136="","",IFERROR(INDEX(ProjNumbers,MATCH(D136,ProjNames,0)),""))</f>
        <v/>
      </c>
      <c r="F136" s="8" t="str">
        <f aca="false">IF(D136="","",IFERROR(INDEX(ProjCodes,MATCH(D136,ProjNames,0)),""))</f>
        <v/>
      </c>
      <c r="G136" s="32"/>
      <c r="H136" s="11"/>
      <c r="I136" s="33"/>
      <c r="J136" s="8" t="str">
        <f aca="false">IF(COUNTA(B136,D136,G136,H136,I136)=0,"",IF(B136="","Enter date",IF(OR(B136&lt;$AC$2,B136&gt;$AC$3),"Date not in October",IF(D136="","Pick project",IF(ISNA(MATCH(D136,ProjNames,0)),"Project not in list",IF(G136="","Add task description",IF(H136="","Pick NTIME or P6",IF(N(I136)&lt;=0,"Enter hours",IF(AND(AllowOT&lt;&gt;"Yes",SUMIF($B$7:$B$256,B136,$I$7:$I$256)&gt;INDEX($O$58:$O$88,DAY(B136))),"Day over "&amp;INDEX($O$58:$O$88,DAY(B136))&amp;" h","✓")))))))))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tr">
        <f aca="false">IF(Projects!B134="","",Projects!B134)</f>
        <v/>
      </c>
      <c r="X136" s="1" t="n">
        <f aca="false">IF(W136="",0,SUMIFS($I$7:$I$256,$D$7:$D$256,W136,$H$7:$H$256,"NTIME"))</f>
        <v>0</v>
      </c>
      <c r="Y136" s="1" t="n">
        <f aca="false">IF(W136="",0,SUMIFS($I$7:$I$256,$D$7:$D$256,W136,$H$7:$H$256,"P6"))</f>
        <v>0</v>
      </c>
      <c r="Z136" s="1" t="n">
        <f aca="false">X136+Y136</f>
        <v>0</v>
      </c>
      <c r="AA136" s="1" t="n">
        <f aca="false">IF(Z136&gt;0,Z136+(201-130)/10^6,0)</f>
        <v>0</v>
      </c>
      <c r="AB136" s="1"/>
      <c r="AC136" s="1"/>
      <c r="AD136" s="1"/>
      <c r="AE136" s="1"/>
      <c r="AF136" s="1"/>
      <c r="AG136" s="1"/>
      <c r="AH136" s="1"/>
    </row>
    <row r="137" customFormat="false" ht="15" hidden="false" customHeight="false" outlineLevel="0" collapsed="false">
      <c r="A137" s="1"/>
      <c r="B137" s="10"/>
      <c r="C137" s="31" t="str">
        <f aca="false">IF(B137="","",TEXT(B137,"ddd"))</f>
        <v/>
      </c>
      <c r="D137" s="11"/>
      <c r="E137" s="8" t="str">
        <f aca="false">IF(D137="","",IFERROR(INDEX(ProjNumbers,MATCH(D137,ProjNames,0)),""))</f>
        <v/>
      </c>
      <c r="F137" s="8" t="str">
        <f aca="false">IF(D137="","",IFERROR(INDEX(ProjCodes,MATCH(D137,ProjNames,0)),""))</f>
        <v/>
      </c>
      <c r="G137" s="32"/>
      <c r="H137" s="11"/>
      <c r="I137" s="33"/>
      <c r="J137" s="8" t="str">
        <f aca="false">IF(COUNTA(B137,D137,G137,H137,I137)=0,"",IF(B137="","Enter date",IF(OR(B137&lt;$AC$2,B137&gt;$AC$3),"Date not in October",IF(D137="","Pick project",IF(ISNA(MATCH(D137,ProjNames,0)),"Project not in list",IF(G137="","Add task description",IF(H137="","Pick NTIME or P6",IF(N(I137)&lt;=0,"Enter hours",IF(AND(AllowOT&lt;&gt;"Yes",SUMIF($B$7:$B$256,B137,$I$7:$I$256)&gt;INDEX($O$58:$O$88,DAY(B137))),"Day over "&amp;INDEX($O$58:$O$88,DAY(B137))&amp;" h","✓")))))))))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tr">
        <f aca="false">IF(Projects!B135="","",Projects!B135)</f>
        <v/>
      </c>
      <c r="X137" s="1" t="n">
        <f aca="false">IF(W137="",0,SUMIFS($I$7:$I$256,$D$7:$D$256,W137,$H$7:$H$256,"NTIME"))</f>
        <v>0</v>
      </c>
      <c r="Y137" s="1" t="n">
        <f aca="false">IF(W137="",0,SUMIFS($I$7:$I$256,$D$7:$D$256,W137,$H$7:$H$256,"P6"))</f>
        <v>0</v>
      </c>
      <c r="Z137" s="1" t="n">
        <f aca="false">X137+Y137</f>
        <v>0</v>
      </c>
      <c r="AA137" s="1" t="n">
        <f aca="false">IF(Z137&gt;0,Z137+(201-131)/10^6,0)</f>
        <v>0</v>
      </c>
      <c r="AB137" s="1"/>
      <c r="AC137" s="1"/>
      <c r="AD137" s="1"/>
      <c r="AE137" s="1"/>
      <c r="AF137" s="1"/>
      <c r="AG137" s="1"/>
      <c r="AH137" s="1"/>
    </row>
    <row r="138" customFormat="false" ht="15" hidden="false" customHeight="false" outlineLevel="0" collapsed="false">
      <c r="A138" s="1"/>
      <c r="B138" s="10"/>
      <c r="C138" s="31" t="str">
        <f aca="false">IF(B138="","",TEXT(B138,"ddd"))</f>
        <v/>
      </c>
      <c r="D138" s="11"/>
      <c r="E138" s="8" t="str">
        <f aca="false">IF(D138="","",IFERROR(INDEX(ProjNumbers,MATCH(D138,ProjNames,0)),""))</f>
        <v/>
      </c>
      <c r="F138" s="8" t="str">
        <f aca="false">IF(D138="","",IFERROR(INDEX(ProjCodes,MATCH(D138,ProjNames,0)),""))</f>
        <v/>
      </c>
      <c r="G138" s="32"/>
      <c r="H138" s="11"/>
      <c r="I138" s="33"/>
      <c r="J138" s="8" t="str">
        <f aca="false">IF(COUNTA(B138,D138,G138,H138,I138)=0,"",IF(B138="","Enter date",IF(OR(B138&lt;$AC$2,B138&gt;$AC$3),"Date not in October",IF(D138="","Pick project",IF(ISNA(MATCH(D138,ProjNames,0)),"Project not in list",IF(G138="","Add task description",IF(H138="","Pick NTIME or P6",IF(N(I138)&lt;=0,"Enter hours",IF(AND(AllowOT&lt;&gt;"Yes",SUMIF($B$7:$B$256,B138,$I$7:$I$256)&gt;INDEX($O$58:$O$88,DAY(B138))),"Day over "&amp;INDEX($O$58:$O$88,DAY(B138))&amp;" h","✓")))))))))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tr">
        <f aca="false">IF(Projects!B136="","",Projects!B136)</f>
        <v/>
      </c>
      <c r="X138" s="1" t="n">
        <f aca="false">IF(W138="",0,SUMIFS($I$7:$I$256,$D$7:$D$256,W138,$H$7:$H$256,"NTIME"))</f>
        <v>0</v>
      </c>
      <c r="Y138" s="1" t="n">
        <f aca="false">IF(W138="",0,SUMIFS($I$7:$I$256,$D$7:$D$256,W138,$H$7:$H$256,"P6"))</f>
        <v>0</v>
      </c>
      <c r="Z138" s="1" t="n">
        <f aca="false">X138+Y138</f>
        <v>0</v>
      </c>
      <c r="AA138" s="1" t="n">
        <f aca="false">IF(Z138&gt;0,Z138+(201-132)/10^6,0)</f>
        <v>0</v>
      </c>
      <c r="AB138" s="1"/>
      <c r="AC138" s="1"/>
      <c r="AD138" s="1"/>
      <c r="AE138" s="1"/>
      <c r="AF138" s="1"/>
      <c r="AG138" s="1"/>
      <c r="AH138" s="1"/>
    </row>
    <row r="139" customFormat="false" ht="15" hidden="false" customHeight="false" outlineLevel="0" collapsed="false">
      <c r="A139" s="1"/>
      <c r="B139" s="10"/>
      <c r="C139" s="31" t="str">
        <f aca="false">IF(B139="","",TEXT(B139,"ddd"))</f>
        <v/>
      </c>
      <c r="D139" s="11"/>
      <c r="E139" s="8" t="str">
        <f aca="false">IF(D139="","",IFERROR(INDEX(ProjNumbers,MATCH(D139,ProjNames,0)),""))</f>
        <v/>
      </c>
      <c r="F139" s="8" t="str">
        <f aca="false">IF(D139="","",IFERROR(INDEX(ProjCodes,MATCH(D139,ProjNames,0)),""))</f>
        <v/>
      </c>
      <c r="G139" s="32"/>
      <c r="H139" s="11"/>
      <c r="I139" s="33"/>
      <c r="J139" s="8" t="str">
        <f aca="false">IF(COUNTA(B139,D139,G139,H139,I139)=0,"",IF(B139="","Enter date",IF(OR(B139&lt;$AC$2,B139&gt;$AC$3),"Date not in October",IF(D139="","Pick project",IF(ISNA(MATCH(D139,ProjNames,0)),"Project not in list",IF(G139="","Add task description",IF(H139="","Pick NTIME or P6",IF(N(I139)&lt;=0,"Enter hours",IF(AND(AllowOT&lt;&gt;"Yes",SUMIF($B$7:$B$256,B139,$I$7:$I$256)&gt;INDEX($O$58:$O$88,DAY(B139))),"Day over "&amp;INDEX($O$58:$O$88,DAY(B139))&amp;" h","✓")))))))))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tr">
        <f aca="false">IF(Projects!B137="","",Projects!B137)</f>
        <v/>
      </c>
      <c r="X139" s="1" t="n">
        <f aca="false">IF(W139="",0,SUMIFS($I$7:$I$256,$D$7:$D$256,W139,$H$7:$H$256,"NTIME"))</f>
        <v>0</v>
      </c>
      <c r="Y139" s="1" t="n">
        <f aca="false">IF(W139="",0,SUMIFS($I$7:$I$256,$D$7:$D$256,W139,$H$7:$H$256,"P6"))</f>
        <v>0</v>
      </c>
      <c r="Z139" s="1" t="n">
        <f aca="false">X139+Y139</f>
        <v>0</v>
      </c>
      <c r="AA139" s="1" t="n">
        <f aca="false">IF(Z139&gt;0,Z139+(201-133)/10^6,0)</f>
        <v>0</v>
      </c>
      <c r="AB139" s="1"/>
      <c r="AC139" s="1"/>
      <c r="AD139" s="1"/>
      <c r="AE139" s="1"/>
      <c r="AF139" s="1"/>
      <c r="AG139" s="1"/>
      <c r="AH139" s="1"/>
    </row>
    <row r="140" customFormat="false" ht="15" hidden="false" customHeight="false" outlineLevel="0" collapsed="false">
      <c r="A140" s="1"/>
      <c r="B140" s="10"/>
      <c r="C140" s="31" t="str">
        <f aca="false">IF(B140="","",TEXT(B140,"ddd"))</f>
        <v/>
      </c>
      <c r="D140" s="11"/>
      <c r="E140" s="8" t="str">
        <f aca="false">IF(D140="","",IFERROR(INDEX(ProjNumbers,MATCH(D140,ProjNames,0)),""))</f>
        <v/>
      </c>
      <c r="F140" s="8" t="str">
        <f aca="false">IF(D140="","",IFERROR(INDEX(ProjCodes,MATCH(D140,ProjNames,0)),""))</f>
        <v/>
      </c>
      <c r="G140" s="32"/>
      <c r="H140" s="11"/>
      <c r="I140" s="33"/>
      <c r="J140" s="8" t="str">
        <f aca="false">IF(COUNTA(B140,D140,G140,H140,I140)=0,"",IF(B140="","Enter date",IF(OR(B140&lt;$AC$2,B140&gt;$AC$3),"Date not in October",IF(D140="","Pick project",IF(ISNA(MATCH(D140,ProjNames,0)),"Project not in list",IF(G140="","Add task description",IF(H140="","Pick NTIME or P6",IF(N(I140)&lt;=0,"Enter hours",IF(AND(AllowOT&lt;&gt;"Yes",SUMIF($B$7:$B$256,B140,$I$7:$I$256)&gt;INDEX($O$58:$O$88,DAY(B140))),"Day over "&amp;INDEX($O$58:$O$88,DAY(B140))&amp;" h","✓")))))))))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tr">
        <f aca="false">IF(Projects!B138="","",Projects!B138)</f>
        <v/>
      </c>
      <c r="X140" s="1" t="n">
        <f aca="false">IF(W140="",0,SUMIFS($I$7:$I$256,$D$7:$D$256,W140,$H$7:$H$256,"NTIME"))</f>
        <v>0</v>
      </c>
      <c r="Y140" s="1" t="n">
        <f aca="false">IF(W140="",0,SUMIFS($I$7:$I$256,$D$7:$D$256,W140,$H$7:$H$256,"P6"))</f>
        <v>0</v>
      </c>
      <c r="Z140" s="1" t="n">
        <f aca="false">X140+Y140</f>
        <v>0</v>
      </c>
      <c r="AA140" s="1" t="n">
        <f aca="false">IF(Z140&gt;0,Z140+(201-134)/10^6,0)</f>
        <v>0</v>
      </c>
      <c r="AB140" s="1"/>
      <c r="AC140" s="1"/>
      <c r="AD140" s="1"/>
      <c r="AE140" s="1"/>
      <c r="AF140" s="1"/>
      <c r="AG140" s="1"/>
      <c r="AH140" s="1"/>
    </row>
    <row r="141" customFormat="false" ht="15" hidden="false" customHeight="false" outlineLevel="0" collapsed="false">
      <c r="A141" s="1"/>
      <c r="B141" s="10"/>
      <c r="C141" s="31" t="str">
        <f aca="false">IF(B141="","",TEXT(B141,"ddd"))</f>
        <v/>
      </c>
      <c r="D141" s="11"/>
      <c r="E141" s="8" t="str">
        <f aca="false">IF(D141="","",IFERROR(INDEX(ProjNumbers,MATCH(D141,ProjNames,0)),""))</f>
        <v/>
      </c>
      <c r="F141" s="8" t="str">
        <f aca="false">IF(D141="","",IFERROR(INDEX(ProjCodes,MATCH(D141,ProjNames,0)),""))</f>
        <v/>
      </c>
      <c r="G141" s="32"/>
      <c r="H141" s="11"/>
      <c r="I141" s="33"/>
      <c r="J141" s="8" t="str">
        <f aca="false">IF(COUNTA(B141,D141,G141,H141,I141)=0,"",IF(B141="","Enter date",IF(OR(B141&lt;$AC$2,B141&gt;$AC$3),"Date not in October",IF(D141="","Pick project",IF(ISNA(MATCH(D141,ProjNames,0)),"Project not in list",IF(G141="","Add task description",IF(H141="","Pick NTIME or P6",IF(N(I141)&lt;=0,"Enter hours",IF(AND(AllowOT&lt;&gt;"Yes",SUMIF($B$7:$B$256,B141,$I$7:$I$256)&gt;INDEX($O$58:$O$88,DAY(B141))),"Day over "&amp;INDEX($O$58:$O$88,DAY(B141))&amp;" h","✓")))))))))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tr">
        <f aca="false">IF(Projects!B139="","",Projects!B139)</f>
        <v/>
      </c>
      <c r="X141" s="1" t="n">
        <f aca="false">IF(W141="",0,SUMIFS($I$7:$I$256,$D$7:$D$256,W141,$H$7:$H$256,"NTIME"))</f>
        <v>0</v>
      </c>
      <c r="Y141" s="1" t="n">
        <f aca="false">IF(W141="",0,SUMIFS($I$7:$I$256,$D$7:$D$256,W141,$H$7:$H$256,"P6"))</f>
        <v>0</v>
      </c>
      <c r="Z141" s="1" t="n">
        <f aca="false">X141+Y141</f>
        <v>0</v>
      </c>
      <c r="AA141" s="1" t="n">
        <f aca="false">IF(Z141&gt;0,Z141+(201-135)/10^6,0)</f>
        <v>0</v>
      </c>
      <c r="AB141" s="1"/>
      <c r="AC141" s="1"/>
      <c r="AD141" s="1"/>
      <c r="AE141" s="1"/>
      <c r="AF141" s="1"/>
      <c r="AG141" s="1"/>
      <c r="AH141" s="1"/>
    </row>
    <row r="142" customFormat="false" ht="15" hidden="false" customHeight="false" outlineLevel="0" collapsed="false">
      <c r="A142" s="1"/>
      <c r="B142" s="10"/>
      <c r="C142" s="31" t="str">
        <f aca="false">IF(B142="","",TEXT(B142,"ddd"))</f>
        <v/>
      </c>
      <c r="D142" s="11"/>
      <c r="E142" s="8" t="str">
        <f aca="false">IF(D142="","",IFERROR(INDEX(ProjNumbers,MATCH(D142,ProjNames,0)),""))</f>
        <v/>
      </c>
      <c r="F142" s="8" t="str">
        <f aca="false">IF(D142="","",IFERROR(INDEX(ProjCodes,MATCH(D142,ProjNames,0)),""))</f>
        <v/>
      </c>
      <c r="G142" s="32"/>
      <c r="H142" s="11"/>
      <c r="I142" s="33"/>
      <c r="J142" s="8" t="str">
        <f aca="false">IF(COUNTA(B142,D142,G142,H142,I142)=0,"",IF(B142="","Enter date",IF(OR(B142&lt;$AC$2,B142&gt;$AC$3),"Date not in October",IF(D142="","Pick project",IF(ISNA(MATCH(D142,ProjNames,0)),"Project not in list",IF(G142="","Add task description",IF(H142="","Pick NTIME or P6",IF(N(I142)&lt;=0,"Enter hours",IF(AND(AllowOT&lt;&gt;"Yes",SUMIF($B$7:$B$256,B142,$I$7:$I$256)&gt;INDEX($O$58:$O$88,DAY(B142))),"Day over "&amp;INDEX($O$58:$O$88,DAY(B142))&amp;" h","✓")))))))))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tr">
        <f aca="false">IF(Projects!B140="","",Projects!B140)</f>
        <v/>
      </c>
      <c r="X142" s="1" t="n">
        <f aca="false">IF(W142="",0,SUMIFS($I$7:$I$256,$D$7:$D$256,W142,$H$7:$H$256,"NTIME"))</f>
        <v>0</v>
      </c>
      <c r="Y142" s="1" t="n">
        <f aca="false">IF(W142="",0,SUMIFS($I$7:$I$256,$D$7:$D$256,W142,$H$7:$H$256,"P6"))</f>
        <v>0</v>
      </c>
      <c r="Z142" s="1" t="n">
        <f aca="false">X142+Y142</f>
        <v>0</v>
      </c>
      <c r="AA142" s="1" t="n">
        <f aca="false">IF(Z142&gt;0,Z142+(201-136)/10^6,0)</f>
        <v>0</v>
      </c>
      <c r="AB142" s="1"/>
      <c r="AC142" s="1"/>
      <c r="AD142" s="1"/>
      <c r="AE142" s="1"/>
      <c r="AF142" s="1"/>
      <c r="AG142" s="1"/>
      <c r="AH142" s="1"/>
    </row>
    <row r="143" customFormat="false" ht="15" hidden="false" customHeight="false" outlineLevel="0" collapsed="false">
      <c r="A143" s="1"/>
      <c r="B143" s="10"/>
      <c r="C143" s="31" t="str">
        <f aca="false">IF(B143="","",TEXT(B143,"ddd"))</f>
        <v/>
      </c>
      <c r="D143" s="11"/>
      <c r="E143" s="8" t="str">
        <f aca="false">IF(D143="","",IFERROR(INDEX(ProjNumbers,MATCH(D143,ProjNames,0)),""))</f>
        <v/>
      </c>
      <c r="F143" s="8" t="str">
        <f aca="false">IF(D143="","",IFERROR(INDEX(ProjCodes,MATCH(D143,ProjNames,0)),""))</f>
        <v/>
      </c>
      <c r="G143" s="32"/>
      <c r="H143" s="11"/>
      <c r="I143" s="33"/>
      <c r="J143" s="8" t="str">
        <f aca="false">IF(COUNTA(B143,D143,G143,H143,I143)=0,"",IF(B143="","Enter date",IF(OR(B143&lt;$AC$2,B143&gt;$AC$3),"Date not in October",IF(D143="","Pick project",IF(ISNA(MATCH(D143,ProjNames,0)),"Project not in list",IF(G143="","Add task description",IF(H143="","Pick NTIME or P6",IF(N(I143)&lt;=0,"Enter hours",IF(AND(AllowOT&lt;&gt;"Yes",SUMIF($B$7:$B$256,B143,$I$7:$I$256)&gt;INDEX($O$58:$O$88,DAY(B143))),"Day over "&amp;INDEX($O$58:$O$88,DAY(B143))&amp;" h","✓")))))))))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tr">
        <f aca="false">IF(Projects!B141="","",Projects!B141)</f>
        <v/>
      </c>
      <c r="X143" s="1" t="n">
        <f aca="false">IF(W143="",0,SUMIFS($I$7:$I$256,$D$7:$D$256,W143,$H$7:$H$256,"NTIME"))</f>
        <v>0</v>
      </c>
      <c r="Y143" s="1" t="n">
        <f aca="false">IF(W143="",0,SUMIFS($I$7:$I$256,$D$7:$D$256,W143,$H$7:$H$256,"P6"))</f>
        <v>0</v>
      </c>
      <c r="Z143" s="1" t="n">
        <f aca="false">X143+Y143</f>
        <v>0</v>
      </c>
      <c r="AA143" s="1" t="n">
        <f aca="false">IF(Z143&gt;0,Z143+(201-137)/10^6,0)</f>
        <v>0</v>
      </c>
      <c r="AB143" s="1"/>
      <c r="AC143" s="1"/>
      <c r="AD143" s="1"/>
      <c r="AE143" s="1"/>
      <c r="AF143" s="1"/>
      <c r="AG143" s="1"/>
      <c r="AH143" s="1"/>
    </row>
    <row r="144" customFormat="false" ht="15" hidden="false" customHeight="false" outlineLevel="0" collapsed="false">
      <c r="A144" s="1"/>
      <c r="B144" s="10"/>
      <c r="C144" s="31" t="str">
        <f aca="false">IF(B144="","",TEXT(B144,"ddd"))</f>
        <v/>
      </c>
      <c r="D144" s="11"/>
      <c r="E144" s="8" t="str">
        <f aca="false">IF(D144="","",IFERROR(INDEX(ProjNumbers,MATCH(D144,ProjNames,0)),""))</f>
        <v/>
      </c>
      <c r="F144" s="8" t="str">
        <f aca="false">IF(D144="","",IFERROR(INDEX(ProjCodes,MATCH(D144,ProjNames,0)),""))</f>
        <v/>
      </c>
      <c r="G144" s="32"/>
      <c r="H144" s="11"/>
      <c r="I144" s="33"/>
      <c r="J144" s="8" t="str">
        <f aca="false">IF(COUNTA(B144,D144,G144,H144,I144)=0,"",IF(B144="","Enter date",IF(OR(B144&lt;$AC$2,B144&gt;$AC$3),"Date not in October",IF(D144="","Pick project",IF(ISNA(MATCH(D144,ProjNames,0)),"Project not in list",IF(G144="","Add task description",IF(H144="","Pick NTIME or P6",IF(N(I144)&lt;=0,"Enter hours",IF(AND(AllowOT&lt;&gt;"Yes",SUMIF($B$7:$B$256,B144,$I$7:$I$256)&gt;INDEX($O$58:$O$88,DAY(B144))),"Day over "&amp;INDEX($O$58:$O$88,DAY(B144))&amp;" h","✓")))))))))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tr">
        <f aca="false">IF(Projects!B142="","",Projects!B142)</f>
        <v/>
      </c>
      <c r="X144" s="1" t="n">
        <f aca="false">IF(W144="",0,SUMIFS($I$7:$I$256,$D$7:$D$256,W144,$H$7:$H$256,"NTIME"))</f>
        <v>0</v>
      </c>
      <c r="Y144" s="1" t="n">
        <f aca="false">IF(W144="",0,SUMIFS($I$7:$I$256,$D$7:$D$256,W144,$H$7:$H$256,"P6"))</f>
        <v>0</v>
      </c>
      <c r="Z144" s="1" t="n">
        <f aca="false">X144+Y144</f>
        <v>0</v>
      </c>
      <c r="AA144" s="1" t="n">
        <f aca="false">IF(Z144&gt;0,Z144+(201-138)/10^6,0)</f>
        <v>0</v>
      </c>
      <c r="AB144" s="1"/>
      <c r="AC144" s="1"/>
      <c r="AD144" s="1"/>
      <c r="AE144" s="1"/>
      <c r="AF144" s="1"/>
      <c r="AG144" s="1"/>
      <c r="AH144" s="1"/>
    </row>
    <row r="145" customFormat="false" ht="15" hidden="false" customHeight="false" outlineLevel="0" collapsed="false">
      <c r="A145" s="1"/>
      <c r="B145" s="10"/>
      <c r="C145" s="31" t="str">
        <f aca="false">IF(B145="","",TEXT(B145,"ddd"))</f>
        <v/>
      </c>
      <c r="D145" s="11"/>
      <c r="E145" s="8" t="str">
        <f aca="false">IF(D145="","",IFERROR(INDEX(ProjNumbers,MATCH(D145,ProjNames,0)),""))</f>
        <v/>
      </c>
      <c r="F145" s="8" t="str">
        <f aca="false">IF(D145="","",IFERROR(INDEX(ProjCodes,MATCH(D145,ProjNames,0)),""))</f>
        <v/>
      </c>
      <c r="G145" s="32"/>
      <c r="H145" s="11"/>
      <c r="I145" s="33"/>
      <c r="J145" s="8" t="str">
        <f aca="false">IF(COUNTA(B145,D145,G145,H145,I145)=0,"",IF(B145="","Enter date",IF(OR(B145&lt;$AC$2,B145&gt;$AC$3),"Date not in October",IF(D145="","Pick project",IF(ISNA(MATCH(D145,ProjNames,0)),"Project not in list",IF(G145="","Add task description",IF(H145="","Pick NTIME or P6",IF(N(I145)&lt;=0,"Enter hours",IF(AND(AllowOT&lt;&gt;"Yes",SUMIF($B$7:$B$256,B145,$I$7:$I$256)&gt;INDEX($O$58:$O$88,DAY(B145))),"Day over "&amp;INDEX($O$58:$O$88,DAY(B145))&amp;" h","✓")))))))))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tr">
        <f aca="false">IF(Projects!B143="","",Projects!B143)</f>
        <v/>
      </c>
      <c r="X145" s="1" t="n">
        <f aca="false">IF(W145="",0,SUMIFS($I$7:$I$256,$D$7:$D$256,W145,$H$7:$H$256,"NTIME"))</f>
        <v>0</v>
      </c>
      <c r="Y145" s="1" t="n">
        <f aca="false">IF(W145="",0,SUMIFS($I$7:$I$256,$D$7:$D$256,W145,$H$7:$H$256,"P6"))</f>
        <v>0</v>
      </c>
      <c r="Z145" s="1" t="n">
        <f aca="false">X145+Y145</f>
        <v>0</v>
      </c>
      <c r="AA145" s="1" t="n">
        <f aca="false">IF(Z145&gt;0,Z145+(201-139)/10^6,0)</f>
        <v>0</v>
      </c>
      <c r="AB145" s="1"/>
      <c r="AC145" s="1"/>
      <c r="AD145" s="1"/>
      <c r="AE145" s="1"/>
      <c r="AF145" s="1"/>
      <c r="AG145" s="1"/>
      <c r="AH145" s="1"/>
    </row>
    <row r="146" customFormat="false" ht="15" hidden="false" customHeight="false" outlineLevel="0" collapsed="false">
      <c r="A146" s="1"/>
      <c r="B146" s="10"/>
      <c r="C146" s="31" t="str">
        <f aca="false">IF(B146="","",TEXT(B146,"ddd"))</f>
        <v/>
      </c>
      <c r="D146" s="11"/>
      <c r="E146" s="8" t="str">
        <f aca="false">IF(D146="","",IFERROR(INDEX(ProjNumbers,MATCH(D146,ProjNames,0)),""))</f>
        <v/>
      </c>
      <c r="F146" s="8" t="str">
        <f aca="false">IF(D146="","",IFERROR(INDEX(ProjCodes,MATCH(D146,ProjNames,0)),""))</f>
        <v/>
      </c>
      <c r="G146" s="32"/>
      <c r="H146" s="11"/>
      <c r="I146" s="33"/>
      <c r="J146" s="8" t="str">
        <f aca="false">IF(COUNTA(B146,D146,G146,H146,I146)=0,"",IF(B146="","Enter date",IF(OR(B146&lt;$AC$2,B146&gt;$AC$3),"Date not in October",IF(D146="","Pick project",IF(ISNA(MATCH(D146,ProjNames,0)),"Project not in list",IF(G146="","Add task description",IF(H146="","Pick NTIME or P6",IF(N(I146)&lt;=0,"Enter hours",IF(AND(AllowOT&lt;&gt;"Yes",SUMIF($B$7:$B$256,B146,$I$7:$I$256)&gt;INDEX($O$58:$O$88,DAY(B146))),"Day over "&amp;INDEX($O$58:$O$88,DAY(B146))&amp;" h","✓")))))))))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tr">
        <f aca="false">IF(Projects!B144="","",Projects!B144)</f>
        <v/>
      </c>
      <c r="X146" s="1" t="n">
        <f aca="false">IF(W146="",0,SUMIFS($I$7:$I$256,$D$7:$D$256,W146,$H$7:$H$256,"NTIME"))</f>
        <v>0</v>
      </c>
      <c r="Y146" s="1" t="n">
        <f aca="false">IF(W146="",0,SUMIFS($I$7:$I$256,$D$7:$D$256,W146,$H$7:$H$256,"P6"))</f>
        <v>0</v>
      </c>
      <c r="Z146" s="1" t="n">
        <f aca="false">X146+Y146</f>
        <v>0</v>
      </c>
      <c r="AA146" s="1" t="n">
        <f aca="false">IF(Z146&gt;0,Z146+(201-140)/10^6,0)</f>
        <v>0</v>
      </c>
      <c r="AB146" s="1"/>
      <c r="AC146" s="1"/>
      <c r="AD146" s="1"/>
      <c r="AE146" s="1"/>
      <c r="AF146" s="1"/>
      <c r="AG146" s="1"/>
      <c r="AH146" s="1"/>
    </row>
    <row r="147" customFormat="false" ht="15" hidden="false" customHeight="false" outlineLevel="0" collapsed="false">
      <c r="A147" s="1"/>
      <c r="B147" s="10"/>
      <c r="C147" s="31" t="str">
        <f aca="false">IF(B147="","",TEXT(B147,"ddd"))</f>
        <v/>
      </c>
      <c r="D147" s="11"/>
      <c r="E147" s="8" t="str">
        <f aca="false">IF(D147="","",IFERROR(INDEX(ProjNumbers,MATCH(D147,ProjNames,0)),""))</f>
        <v/>
      </c>
      <c r="F147" s="8" t="str">
        <f aca="false">IF(D147="","",IFERROR(INDEX(ProjCodes,MATCH(D147,ProjNames,0)),""))</f>
        <v/>
      </c>
      <c r="G147" s="32"/>
      <c r="H147" s="11"/>
      <c r="I147" s="33"/>
      <c r="J147" s="8" t="str">
        <f aca="false">IF(COUNTA(B147,D147,G147,H147,I147)=0,"",IF(B147="","Enter date",IF(OR(B147&lt;$AC$2,B147&gt;$AC$3),"Date not in October",IF(D147="","Pick project",IF(ISNA(MATCH(D147,ProjNames,0)),"Project not in list",IF(G147="","Add task description",IF(H147="","Pick NTIME or P6",IF(N(I147)&lt;=0,"Enter hours",IF(AND(AllowOT&lt;&gt;"Yes",SUMIF($B$7:$B$256,B147,$I$7:$I$256)&gt;INDEX($O$58:$O$88,DAY(B147))),"Day over "&amp;INDEX($O$58:$O$88,DAY(B147))&amp;" h","✓")))))))))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tr">
        <f aca="false">IF(Projects!B145="","",Projects!B145)</f>
        <v/>
      </c>
      <c r="X147" s="1" t="n">
        <f aca="false">IF(W147="",0,SUMIFS($I$7:$I$256,$D$7:$D$256,W147,$H$7:$H$256,"NTIME"))</f>
        <v>0</v>
      </c>
      <c r="Y147" s="1" t="n">
        <f aca="false">IF(W147="",0,SUMIFS($I$7:$I$256,$D$7:$D$256,W147,$H$7:$H$256,"P6"))</f>
        <v>0</v>
      </c>
      <c r="Z147" s="1" t="n">
        <f aca="false">X147+Y147</f>
        <v>0</v>
      </c>
      <c r="AA147" s="1" t="n">
        <f aca="false">IF(Z147&gt;0,Z147+(201-141)/10^6,0)</f>
        <v>0</v>
      </c>
      <c r="AB147" s="1"/>
      <c r="AC147" s="1"/>
      <c r="AD147" s="1"/>
      <c r="AE147" s="1"/>
      <c r="AF147" s="1"/>
      <c r="AG147" s="1"/>
      <c r="AH147" s="1"/>
    </row>
    <row r="148" customFormat="false" ht="15" hidden="false" customHeight="false" outlineLevel="0" collapsed="false">
      <c r="A148" s="1"/>
      <c r="B148" s="10"/>
      <c r="C148" s="31" t="str">
        <f aca="false">IF(B148="","",TEXT(B148,"ddd"))</f>
        <v/>
      </c>
      <c r="D148" s="11"/>
      <c r="E148" s="8" t="str">
        <f aca="false">IF(D148="","",IFERROR(INDEX(ProjNumbers,MATCH(D148,ProjNames,0)),""))</f>
        <v/>
      </c>
      <c r="F148" s="8" t="str">
        <f aca="false">IF(D148="","",IFERROR(INDEX(ProjCodes,MATCH(D148,ProjNames,0)),""))</f>
        <v/>
      </c>
      <c r="G148" s="32"/>
      <c r="H148" s="11"/>
      <c r="I148" s="33"/>
      <c r="J148" s="8" t="str">
        <f aca="false">IF(COUNTA(B148,D148,G148,H148,I148)=0,"",IF(B148="","Enter date",IF(OR(B148&lt;$AC$2,B148&gt;$AC$3),"Date not in October",IF(D148="","Pick project",IF(ISNA(MATCH(D148,ProjNames,0)),"Project not in list",IF(G148="","Add task description",IF(H148="","Pick NTIME or P6",IF(N(I148)&lt;=0,"Enter hours",IF(AND(AllowOT&lt;&gt;"Yes",SUMIF($B$7:$B$256,B148,$I$7:$I$256)&gt;INDEX($O$58:$O$88,DAY(B148))),"Day over "&amp;INDEX($O$58:$O$88,DAY(B148))&amp;" h","✓")))))))))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tr">
        <f aca="false">IF(Projects!B146="","",Projects!B146)</f>
        <v/>
      </c>
      <c r="X148" s="1" t="n">
        <f aca="false">IF(W148="",0,SUMIFS($I$7:$I$256,$D$7:$D$256,W148,$H$7:$H$256,"NTIME"))</f>
        <v>0</v>
      </c>
      <c r="Y148" s="1" t="n">
        <f aca="false">IF(W148="",0,SUMIFS($I$7:$I$256,$D$7:$D$256,W148,$H$7:$H$256,"P6"))</f>
        <v>0</v>
      </c>
      <c r="Z148" s="1" t="n">
        <f aca="false">X148+Y148</f>
        <v>0</v>
      </c>
      <c r="AA148" s="1" t="n">
        <f aca="false">IF(Z148&gt;0,Z148+(201-142)/10^6,0)</f>
        <v>0</v>
      </c>
      <c r="AB148" s="1"/>
      <c r="AC148" s="1"/>
      <c r="AD148" s="1"/>
      <c r="AE148" s="1"/>
      <c r="AF148" s="1"/>
      <c r="AG148" s="1"/>
      <c r="AH148" s="1"/>
    </row>
    <row r="149" customFormat="false" ht="15" hidden="false" customHeight="false" outlineLevel="0" collapsed="false">
      <c r="A149" s="1"/>
      <c r="B149" s="10"/>
      <c r="C149" s="31" t="str">
        <f aca="false">IF(B149="","",TEXT(B149,"ddd"))</f>
        <v/>
      </c>
      <c r="D149" s="11"/>
      <c r="E149" s="8" t="str">
        <f aca="false">IF(D149="","",IFERROR(INDEX(ProjNumbers,MATCH(D149,ProjNames,0)),""))</f>
        <v/>
      </c>
      <c r="F149" s="8" t="str">
        <f aca="false">IF(D149="","",IFERROR(INDEX(ProjCodes,MATCH(D149,ProjNames,0)),""))</f>
        <v/>
      </c>
      <c r="G149" s="32"/>
      <c r="H149" s="11"/>
      <c r="I149" s="33"/>
      <c r="J149" s="8" t="str">
        <f aca="false">IF(COUNTA(B149,D149,G149,H149,I149)=0,"",IF(B149="","Enter date",IF(OR(B149&lt;$AC$2,B149&gt;$AC$3),"Date not in October",IF(D149="","Pick project",IF(ISNA(MATCH(D149,ProjNames,0)),"Project not in list",IF(G149="","Add task description",IF(H149="","Pick NTIME or P6",IF(N(I149)&lt;=0,"Enter hours",IF(AND(AllowOT&lt;&gt;"Yes",SUMIF($B$7:$B$256,B149,$I$7:$I$256)&gt;INDEX($O$58:$O$88,DAY(B149))),"Day over "&amp;INDEX($O$58:$O$88,DAY(B149))&amp;" h","✓")))))))))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tr">
        <f aca="false">IF(Projects!B147="","",Projects!B147)</f>
        <v/>
      </c>
      <c r="X149" s="1" t="n">
        <f aca="false">IF(W149="",0,SUMIFS($I$7:$I$256,$D$7:$D$256,W149,$H$7:$H$256,"NTIME"))</f>
        <v>0</v>
      </c>
      <c r="Y149" s="1" t="n">
        <f aca="false">IF(W149="",0,SUMIFS($I$7:$I$256,$D$7:$D$256,W149,$H$7:$H$256,"P6"))</f>
        <v>0</v>
      </c>
      <c r="Z149" s="1" t="n">
        <f aca="false">X149+Y149</f>
        <v>0</v>
      </c>
      <c r="AA149" s="1" t="n">
        <f aca="false">IF(Z149&gt;0,Z149+(201-143)/10^6,0)</f>
        <v>0</v>
      </c>
      <c r="AB149" s="1"/>
      <c r="AC149" s="1"/>
      <c r="AD149" s="1"/>
      <c r="AE149" s="1"/>
      <c r="AF149" s="1"/>
      <c r="AG149" s="1"/>
      <c r="AH149" s="1"/>
    </row>
    <row r="150" customFormat="false" ht="15" hidden="false" customHeight="false" outlineLevel="0" collapsed="false">
      <c r="A150" s="1"/>
      <c r="B150" s="10"/>
      <c r="C150" s="31" t="str">
        <f aca="false">IF(B150="","",TEXT(B150,"ddd"))</f>
        <v/>
      </c>
      <c r="D150" s="11"/>
      <c r="E150" s="8" t="str">
        <f aca="false">IF(D150="","",IFERROR(INDEX(ProjNumbers,MATCH(D150,ProjNames,0)),""))</f>
        <v/>
      </c>
      <c r="F150" s="8" t="str">
        <f aca="false">IF(D150="","",IFERROR(INDEX(ProjCodes,MATCH(D150,ProjNames,0)),""))</f>
        <v/>
      </c>
      <c r="G150" s="32"/>
      <c r="H150" s="11"/>
      <c r="I150" s="33"/>
      <c r="J150" s="8" t="str">
        <f aca="false">IF(COUNTA(B150,D150,G150,H150,I150)=0,"",IF(B150="","Enter date",IF(OR(B150&lt;$AC$2,B150&gt;$AC$3),"Date not in October",IF(D150="","Pick project",IF(ISNA(MATCH(D150,ProjNames,0)),"Project not in list",IF(G150="","Add task description",IF(H150="","Pick NTIME or P6",IF(N(I150)&lt;=0,"Enter hours",IF(AND(AllowOT&lt;&gt;"Yes",SUMIF($B$7:$B$256,B150,$I$7:$I$256)&gt;INDEX($O$58:$O$88,DAY(B150))),"Day over "&amp;INDEX($O$58:$O$88,DAY(B150))&amp;" h","✓")))))))))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tr">
        <f aca="false">IF(Projects!B148="","",Projects!B148)</f>
        <v/>
      </c>
      <c r="X150" s="1" t="n">
        <f aca="false">IF(W150="",0,SUMIFS($I$7:$I$256,$D$7:$D$256,W150,$H$7:$H$256,"NTIME"))</f>
        <v>0</v>
      </c>
      <c r="Y150" s="1" t="n">
        <f aca="false">IF(W150="",0,SUMIFS($I$7:$I$256,$D$7:$D$256,W150,$H$7:$H$256,"P6"))</f>
        <v>0</v>
      </c>
      <c r="Z150" s="1" t="n">
        <f aca="false">X150+Y150</f>
        <v>0</v>
      </c>
      <c r="AA150" s="1" t="n">
        <f aca="false">IF(Z150&gt;0,Z150+(201-144)/10^6,0)</f>
        <v>0</v>
      </c>
      <c r="AB150" s="1"/>
      <c r="AC150" s="1"/>
      <c r="AD150" s="1"/>
      <c r="AE150" s="1"/>
      <c r="AF150" s="1"/>
      <c r="AG150" s="1"/>
      <c r="AH150" s="1"/>
    </row>
    <row r="151" customFormat="false" ht="15" hidden="false" customHeight="false" outlineLevel="0" collapsed="false">
      <c r="A151" s="1"/>
      <c r="B151" s="10"/>
      <c r="C151" s="31" t="str">
        <f aca="false">IF(B151="","",TEXT(B151,"ddd"))</f>
        <v/>
      </c>
      <c r="D151" s="11"/>
      <c r="E151" s="8" t="str">
        <f aca="false">IF(D151="","",IFERROR(INDEX(ProjNumbers,MATCH(D151,ProjNames,0)),""))</f>
        <v/>
      </c>
      <c r="F151" s="8" t="str">
        <f aca="false">IF(D151="","",IFERROR(INDEX(ProjCodes,MATCH(D151,ProjNames,0)),""))</f>
        <v/>
      </c>
      <c r="G151" s="32"/>
      <c r="H151" s="11"/>
      <c r="I151" s="33"/>
      <c r="J151" s="8" t="str">
        <f aca="false">IF(COUNTA(B151,D151,G151,H151,I151)=0,"",IF(B151="","Enter date",IF(OR(B151&lt;$AC$2,B151&gt;$AC$3),"Date not in October",IF(D151="","Pick project",IF(ISNA(MATCH(D151,ProjNames,0)),"Project not in list",IF(G151="","Add task description",IF(H151="","Pick NTIME or P6",IF(N(I151)&lt;=0,"Enter hours",IF(AND(AllowOT&lt;&gt;"Yes",SUMIF($B$7:$B$256,B151,$I$7:$I$256)&gt;INDEX($O$58:$O$88,DAY(B151))),"Day over "&amp;INDEX($O$58:$O$88,DAY(B151))&amp;" h","✓")))))))))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tr">
        <f aca="false">IF(Projects!B149="","",Projects!B149)</f>
        <v/>
      </c>
      <c r="X151" s="1" t="n">
        <f aca="false">IF(W151="",0,SUMIFS($I$7:$I$256,$D$7:$D$256,W151,$H$7:$H$256,"NTIME"))</f>
        <v>0</v>
      </c>
      <c r="Y151" s="1" t="n">
        <f aca="false">IF(W151="",0,SUMIFS($I$7:$I$256,$D$7:$D$256,W151,$H$7:$H$256,"P6"))</f>
        <v>0</v>
      </c>
      <c r="Z151" s="1" t="n">
        <f aca="false">X151+Y151</f>
        <v>0</v>
      </c>
      <c r="AA151" s="1" t="n">
        <f aca="false">IF(Z151&gt;0,Z151+(201-145)/10^6,0)</f>
        <v>0</v>
      </c>
      <c r="AB151" s="1"/>
      <c r="AC151" s="1"/>
      <c r="AD151" s="1"/>
      <c r="AE151" s="1"/>
      <c r="AF151" s="1"/>
      <c r="AG151" s="1"/>
      <c r="AH151" s="1"/>
    </row>
    <row r="152" customFormat="false" ht="15" hidden="false" customHeight="false" outlineLevel="0" collapsed="false">
      <c r="A152" s="1"/>
      <c r="B152" s="10"/>
      <c r="C152" s="31" t="str">
        <f aca="false">IF(B152="","",TEXT(B152,"ddd"))</f>
        <v/>
      </c>
      <c r="D152" s="11"/>
      <c r="E152" s="8" t="str">
        <f aca="false">IF(D152="","",IFERROR(INDEX(ProjNumbers,MATCH(D152,ProjNames,0)),""))</f>
        <v/>
      </c>
      <c r="F152" s="8" t="str">
        <f aca="false">IF(D152="","",IFERROR(INDEX(ProjCodes,MATCH(D152,ProjNames,0)),""))</f>
        <v/>
      </c>
      <c r="G152" s="32"/>
      <c r="H152" s="11"/>
      <c r="I152" s="33"/>
      <c r="J152" s="8" t="str">
        <f aca="false">IF(COUNTA(B152,D152,G152,H152,I152)=0,"",IF(B152="","Enter date",IF(OR(B152&lt;$AC$2,B152&gt;$AC$3),"Date not in October",IF(D152="","Pick project",IF(ISNA(MATCH(D152,ProjNames,0)),"Project not in list",IF(G152="","Add task description",IF(H152="","Pick NTIME or P6",IF(N(I152)&lt;=0,"Enter hours",IF(AND(AllowOT&lt;&gt;"Yes",SUMIF($B$7:$B$256,B152,$I$7:$I$256)&gt;INDEX($O$58:$O$88,DAY(B152))),"Day over "&amp;INDEX($O$58:$O$88,DAY(B152))&amp;" h","✓")))))))))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tr">
        <f aca="false">IF(Projects!B150="","",Projects!B150)</f>
        <v/>
      </c>
      <c r="X152" s="1" t="n">
        <f aca="false">IF(W152="",0,SUMIFS($I$7:$I$256,$D$7:$D$256,W152,$H$7:$H$256,"NTIME"))</f>
        <v>0</v>
      </c>
      <c r="Y152" s="1" t="n">
        <f aca="false">IF(W152="",0,SUMIFS($I$7:$I$256,$D$7:$D$256,W152,$H$7:$H$256,"P6"))</f>
        <v>0</v>
      </c>
      <c r="Z152" s="1" t="n">
        <f aca="false">X152+Y152</f>
        <v>0</v>
      </c>
      <c r="AA152" s="1" t="n">
        <f aca="false">IF(Z152&gt;0,Z152+(201-146)/10^6,0)</f>
        <v>0</v>
      </c>
      <c r="AB152" s="1"/>
      <c r="AC152" s="1"/>
      <c r="AD152" s="1"/>
      <c r="AE152" s="1"/>
      <c r="AF152" s="1"/>
      <c r="AG152" s="1"/>
      <c r="AH152" s="1"/>
    </row>
    <row r="153" customFormat="false" ht="15" hidden="false" customHeight="false" outlineLevel="0" collapsed="false">
      <c r="A153" s="1"/>
      <c r="B153" s="10"/>
      <c r="C153" s="31" t="str">
        <f aca="false">IF(B153="","",TEXT(B153,"ddd"))</f>
        <v/>
      </c>
      <c r="D153" s="11"/>
      <c r="E153" s="8" t="str">
        <f aca="false">IF(D153="","",IFERROR(INDEX(ProjNumbers,MATCH(D153,ProjNames,0)),""))</f>
        <v/>
      </c>
      <c r="F153" s="8" t="str">
        <f aca="false">IF(D153="","",IFERROR(INDEX(ProjCodes,MATCH(D153,ProjNames,0)),""))</f>
        <v/>
      </c>
      <c r="G153" s="32"/>
      <c r="H153" s="11"/>
      <c r="I153" s="33"/>
      <c r="J153" s="8" t="str">
        <f aca="false">IF(COUNTA(B153,D153,G153,H153,I153)=0,"",IF(B153="","Enter date",IF(OR(B153&lt;$AC$2,B153&gt;$AC$3),"Date not in October",IF(D153="","Pick project",IF(ISNA(MATCH(D153,ProjNames,0)),"Project not in list",IF(G153="","Add task description",IF(H153="","Pick NTIME or P6",IF(N(I153)&lt;=0,"Enter hours",IF(AND(AllowOT&lt;&gt;"Yes",SUMIF($B$7:$B$256,B153,$I$7:$I$256)&gt;INDEX($O$58:$O$88,DAY(B153))),"Day over "&amp;INDEX($O$58:$O$88,DAY(B153))&amp;" h","✓")))))))))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tr">
        <f aca="false">IF(Projects!B151="","",Projects!B151)</f>
        <v/>
      </c>
      <c r="X153" s="1" t="n">
        <f aca="false">IF(W153="",0,SUMIFS($I$7:$I$256,$D$7:$D$256,W153,$H$7:$H$256,"NTIME"))</f>
        <v>0</v>
      </c>
      <c r="Y153" s="1" t="n">
        <f aca="false">IF(W153="",0,SUMIFS($I$7:$I$256,$D$7:$D$256,W153,$H$7:$H$256,"P6"))</f>
        <v>0</v>
      </c>
      <c r="Z153" s="1" t="n">
        <f aca="false">X153+Y153</f>
        <v>0</v>
      </c>
      <c r="AA153" s="1" t="n">
        <f aca="false">IF(Z153&gt;0,Z153+(201-147)/10^6,0)</f>
        <v>0</v>
      </c>
      <c r="AB153" s="1"/>
      <c r="AC153" s="1"/>
      <c r="AD153" s="1"/>
      <c r="AE153" s="1"/>
      <c r="AF153" s="1"/>
      <c r="AG153" s="1"/>
      <c r="AH153" s="1"/>
    </row>
    <row r="154" customFormat="false" ht="15" hidden="false" customHeight="false" outlineLevel="0" collapsed="false">
      <c r="A154" s="1"/>
      <c r="B154" s="10"/>
      <c r="C154" s="31" t="str">
        <f aca="false">IF(B154="","",TEXT(B154,"ddd"))</f>
        <v/>
      </c>
      <c r="D154" s="11"/>
      <c r="E154" s="8" t="str">
        <f aca="false">IF(D154="","",IFERROR(INDEX(ProjNumbers,MATCH(D154,ProjNames,0)),""))</f>
        <v/>
      </c>
      <c r="F154" s="8" t="str">
        <f aca="false">IF(D154="","",IFERROR(INDEX(ProjCodes,MATCH(D154,ProjNames,0)),""))</f>
        <v/>
      </c>
      <c r="G154" s="32"/>
      <c r="H154" s="11"/>
      <c r="I154" s="33"/>
      <c r="J154" s="8" t="str">
        <f aca="false">IF(COUNTA(B154,D154,G154,H154,I154)=0,"",IF(B154="","Enter date",IF(OR(B154&lt;$AC$2,B154&gt;$AC$3),"Date not in October",IF(D154="","Pick project",IF(ISNA(MATCH(D154,ProjNames,0)),"Project not in list",IF(G154="","Add task description",IF(H154="","Pick NTIME or P6",IF(N(I154)&lt;=0,"Enter hours",IF(AND(AllowOT&lt;&gt;"Yes",SUMIF($B$7:$B$256,B154,$I$7:$I$256)&gt;INDEX($O$58:$O$88,DAY(B154))),"Day over "&amp;INDEX($O$58:$O$88,DAY(B154))&amp;" h","✓")))))))))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tr">
        <f aca="false">IF(Projects!B152="","",Projects!B152)</f>
        <v/>
      </c>
      <c r="X154" s="1" t="n">
        <f aca="false">IF(W154="",0,SUMIFS($I$7:$I$256,$D$7:$D$256,W154,$H$7:$H$256,"NTIME"))</f>
        <v>0</v>
      </c>
      <c r="Y154" s="1" t="n">
        <f aca="false">IF(W154="",0,SUMIFS($I$7:$I$256,$D$7:$D$256,W154,$H$7:$H$256,"P6"))</f>
        <v>0</v>
      </c>
      <c r="Z154" s="1" t="n">
        <f aca="false">X154+Y154</f>
        <v>0</v>
      </c>
      <c r="AA154" s="1" t="n">
        <f aca="false">IF(Z154&gt;0,Z154+(201-148)/10^6,0)</f>
        <v>0</v>
      </c>
      <c r="AB154" s="1"/>
      <c r="AC154" s="1"/>
      <c r="AD154" s="1"/>
      <c r="AE154" s="1"/>
      <c r="AF154" s="1"/>
      <c r="AG154" s="1"/>
      <c r="AH154" s="1"/>
    </row>
    <row r="155" customFormat="false" ht="15" hidden="false" customHeight="false" outlineLevel="0" collapsed="false">
      <c r="A155" s="1"/>
      <c r="B155" s="10"/>
      <c r="C155" s="31" t="str">
        <f aca="false">IF(B155="","",TEXT(B155,"ddd"))</f>
        <v/>
      </c>
      <c r="D155" s="11"/>
      <c r="E155" s="8" t="str">
        <f aca="false">IF(D155="","",IFERROR(INDEX(ProjNumbers,MATCH(D155,ProjNames,0)),""))</f>
        <v/>
      </c>
      <c r="F155" s="8" t="str">
        <f aca="false">IF(D155="","",IFERROR(INDEX(ProjCodes,MATCH(D155,ProjNames,0)),""))</f>
        <v/>
      </c>
      <c r="G155" s="32"/>
      <c r="H155" s="11"/>
      <c r="I155" s="33"/>
      <c r="J155" s="8" t="str">
        <f aca="false">IF(COUNTA(B155,D155,G155,H155,I155)=0,"",IF(B155="","Enter date",IF(OR(B155&lt;$AC$2,B155&gt;$AC$3),"Date not in October",IF(D155="","Pick project",IF(ISNA(MATCH(D155,ProjNames,0)),"Project not in list",IF(G155="","Add task description",IF(H155="","Pick NTIME or P6",IF(N(I155)&lt;=0,"Enter hours",IF(AND(AllowOT&lt;&gt;"Yes",SUMIF($B$7:$B$256,B155,$I$7:$I$256)&gt;INDEX($O$58:$O$88,DAY(B155))),"Day over "&amp;INDEX($O$58:$O$88,DAY(B155))&amp;" h","✓")))))))))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tr">
        <f aca="false">IF(Projects!B153="","",Projects!B153)</f>
        <v/>
      </c>
      <c r="X155" s="1" t="n">
        <f aca="false">IF(W155="",0,SUMIFS($I$7:$I$256,$D$7:$D$256,W155,$H$7:$H$256,"NTIME"))</f>
        <v>0</v>
      </c>
      <c r="Y155" s="1" t="n">
        <f aca="false">IF(W155="",0,SUMIFS($I$7:$I$256,$D$7:$D$256,W155,$H$7:$H$256,"P6"))</f>
        <v>0</v>
      </c>
      <c r="Z155" s="1" t="n">
        <f aca="false">X155+Y155</f>
        <v>0</v>
      </c>
      <c r="AA155" s="1" t="n">
        <f aca="false">IF(Z155&gt;0,Z155+(201-149)/10^6,0)</f>
        <v>0</v>
      </c>
      <c r="AB155" s="1"/>
      <c r="AC155" s="1"/>
      <c r="AD155" s="1"/>
      <c r="AE155" s="1"/>
      <c r="AF155" s="1"/>
      <c r="AG155" s="1"/>
      <c r="AH155" s="1"/>
    </row>
    <row r="156" customFormat="false" ht="15" hidden="false" customHeight="false" outlineLevel="0" collapsed="false">
      <c r="A156" s="1"/>
      <c r="B156" s="10"/>
      <c r="C156" s="31" t="str">
        <f aca="false">IF(B156="","",TEXT(B156,"ddd"))</f>
        <v/>
      </c>
      <c r="D156" s="11"/>
      <c r="E156" s="8" t="str">
        <f aca="false">IF(D156="","",IFERROR(INDEX(ProjNumbers,MATCH(D156,ProjNames,0)),""))</f>
        <v/>
      </c>
      <c r="F156" s="8" t="str">
        <f aca="false">IF(D156="","",IFERROR(INDEX(ProjCodes,MATCH(D156,ProjNames,0)),""))</f>
        <v/>
      </c>
      <c r="G156" s="32"/>
      <c r="H156" s="11"/>
      <c r="I156" s="33"/>
      <c r="J156" s="8" t="str">
        <f aca="false">IF(COUNTA(B156,D156,G156,H156,I156)=0,"",IF(B156="","Enter date",IF(OR(B156&lt;$AC$2,B156&gt;$AC$3),"Date not in October",IF(D156="","Pick project",IF(ISNA(MATCH(D156,ProjNames,0)),"Project not in list",IF(G156="","Add task description",IF(H156="","Pick NTIME or P6",IF(N(I156)&lt;=0,"Enter hours",IF(AND(AllowOT&lt;&gt;"Yes",SUMIF($B$7:$B$256,B156,$I$7:$I$256)&gt;INDEX($O$58:$O$88,DAY(B156))),"Day over "&amp;INDEX($O$58:$O$88,DAY(B156))&amp;" h","✓")))))))))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tr">
        <f aca="false">IF(Projects!B154="","",Projects!B154)</f>
        <v/>
      </c>
      <c r="X156" s="1" t="n">
        <f aca="false">IF(W156="",0,SUMIFS($I$7:$I$256,$D$7:$D$256,W156,$H$7:$H$256,"NTIME"))</f>
        <v>0</v>
      </c>
      <c r="Y156" s="1" t="n">
        <f aca="false">IF(W156="",0,SUMIFS($I$7:$I$256,$D$7:$D$256,W156,$H$7:$H$256,"P6"))</f>
        <v>0</v>
      </c>
      <c r="Z156" s="1" t="n">
        <f aca="false">X156+Y156</f>
        <v>0</v>
      </c>
      <c r="AA156" s="1" t="n">
        <f aca="false">IF(Z156&gt;0,Z156+(201-150)/10^6,0)</f>
        <v>0</v>
      </c>
      <c r="AB156" s="1"/>
      <c r="AC156" s="1"/>
      <c r="AD156" s="1"/>
      <c r="AE156" s="1"/>
      <c r="AF156" s="1"/>
      <c r="AG156" s="1"/>
      <c r="AH156" s="1"/>
    </row>
    <row r="157" customFormat="false" ht="15" hidden="false" customHeight="false" outlineLevel="0" collapsed="false">
      <c r="A157" s="1"/>
      <c r="B157" s="10"/>
      <c r="C157" s="31" t="str">
        <f aca="false">IF(B157="","",TEXT(B157,"ddd"))</f>
        <v/>
      </c>
      <c r="D157" s="11"/>
      <c r="E157" s="8" t="str">
        <f aca="false">IF(D157="","",IFERROR(INDEX(ProjNumbers,MATCH(D157,ProjNames,0)),""))</f>
        <v/>
      </c>
      <c r="F157" s="8" t="str">
        <f aca="false">IF(D157="","",IFERROR(INDEX(ProjCodes,MATCH(D157,ProjNames,0)),""))</f>
        <v/>
      </c>
      <c r="G157" s="32"/>
      <c r="H157" s="11"/>
      <c r="I157" s="33"/>
      <c r="J157" s="8" t="str">
        <f aca="false">IF(COUNTA(B157,D157,G157,H157,I157)=0,"",IF(B157="","Enter date",IF(OR(B157&lt;$AC$2,B157&gt;$AC$3),"Date not in October",IF(D157="","Pick project",IF(ISNA(MATCH(D157,ProjNames,0)),"Project not in list",IF(G157="","Add task description",IF(H157="","Pick NTIME or P6",IF(N(I157)&lt;=0,"Enter hours",IF(AND(AllowOT&lt;&gt;"Yes",SUMIF($B$7:$B$256,B157,$I$7:$I$256)&gt;INDEX($O$58:$O$88,DAY(B157))),"Day over "&amp;INDEX($O$58:$O$88,DAY(B157))&amp;" h","✓")))))))))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tr">
        <f aca="false">IF(Projects!B155="","",Projects!B155)</f>
        <v/>
      </c>
      <c r="X157" s="1" t="n">
        <f aca="false">IF(W157="",0,SUMIFS($I$7:$I$256,$D$7:$D$256,W157,$H$7:$H$256,"NTIME"))</f>
        <v>0</v>
      </c>
      <c r="Y157" s="1" t="n">
        <f aca="false">IF(W157="",0,SUMIFS($I$7:$I$256,$D$7:$D$256,W157,$H$7:$H$256,"P6"))</f>
        <v>0</v>
      </c>
      <c r="Z157" s="1" t="n">
        <f aca="false">X157+Y157</f>
        <v>0</v>
      </c>
      <c r="AA157" s="1" t="n">
        <f aca="false">IF(Z157&gt;0,Z157+(201-151)/10^6,0)</f>
        <v>0</v>
      </c>
      <c r="AB157" s="1"/>
      <c r="AC157" s="1"/>
      <c r="AD157" s="1"/>
      <c r="AE157" s="1"/>
      <c r="AF157" s="1"/>
      <c r="AG157" s="1"/>
      <c r="AH157" s="1"/>
    </row>
    <row r="158" customFormat="false" ht="15" hidden="false" customHeight="false" outlineLevel="0" collapsed="false">
      <c r="A158" s="1"/>
      <c r="B158" s="10"/>
      <c r="C158" s="31" t="str">
        <f aca="false">IF(B158="","",TEXT(B158,"ddd"))</f>
        <v/>
      </c>
      <c r="D158" s="11"/>
      <c r="E158" s="8" t="str">
        <f aca="false">IF(D158="","",IFERROR(INDEX(ProjNumbers,MATCH(D158,ProjNames,0)),""))</f>
        <v/>
      </c>
      <c r="F158" s="8" t="str">
        <f aca="false">IF(D158="","",IFERROR(INDEX(ProjCodes,MATCH(D158,ProjNames,0)),""))</f>
        <v/>
      </c>
      <c r="G158" s="32"/>
      <c r="H158" s="11"/>
      <c r="I158" s="33"/>
      <c r="J158" s="8" t="str">
        <f aca="false">IF(COUNTA(B158,D158,G158,H158,I158)=0,"",IF(B158="","Enter date",IF(OR(B158&lt;$AC$2,B158&gt;$AC$3),"Date not in October",IF(D158="","Pick project",IF(ISNA(MATCH(D158,ProjNames,0)),"Project not in list",IF(G158="","Add task description",IF(H158="","Pick NTIME or P6",IF(N(I158)&lt;=0,"Enter hours",IF(AND(AllowOT&lt;&gt;"Yes",SUMIF($B$7:$B$256,B158,$I$7:$I$256)&gt;INDEX($O$58:$O$88,DAY(B158))),"Day over "&amp;INDEX($O$58:$O$88,DAY(B158))&amp;" h","✓")))))))))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tr">
        <f aca="false">IF(Projects!B156="","",Projects!B156)</f>
        <v/>
      </c>
      <c r="X158" s="1" t="n">
        <f aca="false">IF(W158="",0,SUMIFS($I$7:$I$256,$D$7:$D$256,W158,$H$7:$H$256,"NTIME"))</f>
        <v>0</v>
      </c>
      <c r="Y158" s="1" t="n">
        <f aca="false">IF(W158="",0,SUMIFS($I$7:$I$256,$D$7:$D$256,W158,$H$7:$H$256,"P6"))</f>
        <v>0</v>
      </c>
      <c r="Z158" s="1" t="n">
        <f aca="false">X158+Y158</f>
        <v>0</v>
      </c>
      <c r="AA158" s="1" t="n">
        <f aca="false">IF(Z158&gt;0,Z158+(201-152)/10^6,0)</f>
        <v>0</v>
      </c>
      <c r="AB158" s="1"/>
      <c r="AC158" s="1"/>
      <c r="AD158" s="1"/>
      <c r="AE158" s="1"/>
      <c r="AF158" s="1"/>
      <c r="AG158" s="1"/>
      <c r="AH158" s="1"/>
    </row>
    <row r="159" customFormat="false" ht="15" hidden="false" customHeight="false" outlineLevel="0" collapsed="false">
      <c r="A159" s="1"/>
      <c r="B159" s="10"/>
      <c r="C159" s="31" t="str">
        <f aca="false">IF(B159="","",TEXT(B159,"ddd"))</f>
        <v/>
      </c>
      <c r="D159" s="11"/>
      <c r="E159" s="8" t="str">
        <f aca="false">IF(D159="","",IFERROR(INDEX(ProjNumbers,MATCH(D159,ProjNames,0)),""))</f>
        <v/>
      </c>
      <c r="F159" s="8" t="str">
        <f aca="false">IF(D159="","",IFERROR(INDEX(ProjCodes,MATCH(D159,ProjNames,0)),""))</f>
        <v/>
      </c>
      <c r="G159" s="32"/>
      <c r="H159" s="11"/>
      <c r="I159" s="33"/>
      <c r="J159" s="8" t="str">
        <f aca="false">IF(COUNTA(B159,D159,G159,H159,I159)=0,"",IF(B159="","Enter date",IF(OR(B159&lt;$AC$2,B159&gt;$AC$3),"Date not in October",IF(D159="","Pick project",IF(ISNA(MATCH(D159,ProjNames,0)),"Project not in list",IF(G159="","Add task description",IF(H159="","Pick NTIME or P6",IF(N(I159)&lt;=0,"Enter hours",IF(AND(AllowOT&lt;&gt;"Yes",SUMIF($B$7:$B$256,B159,$I$7:$I$256)&gt;INDEX($O$58:$O$88,DAY(B159))),"Day over "&amp;INDEX($O$58:$O$88,DAY(B159))&amp;" h","✓")))))))))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tr">
        <f aca="false">IF(Projects!B157="","",Projects!B157)</f>
        <v/>
      </c>
      <c r="X159" s="1" t="n">
        <f aca="false">IF(W159="",0,SUMIFS($I$7:$I$256,$D$7:$D$256,W159,$H$7:$H$256,"NTIME"))</f>
        <v>0</v>
      </c>
      <c r="Y159" s="1" t="n">
        <f aca="false">IF(W159="",0,SUMIFS($I$7:$I$256,$D$7:$D$256,W159,$H$7:$H$256,"P6"))</f>
        <v>0</v>
      </c>
      <c r="Z159" s="1" t="n">
        <f aca="false">X159+Y159</f>
        <v>0</v>
      </c>
      <c r="AA159" s="1" t="n">
        <f aca="false">IF(Z159&gt;0,Z159+(201-153)/10^6,0)</f>
        <v>0</v>
      </c>
      <c r="AB159" s="1"/>
      <c r="AC159" s="1"/>
      <c r="AD159" s="1"/>
      <c r="AE159" s="1"/>
      <c r="AF159" s="1"/>
      <c r="AG159" s="1"/>
      <c r="AH159" s="1"/>
    </row>
    <row r="160" customFormat="false" ht="15" hidden="false" customHeight="false" outlineLevel="0" collapsed="false">
      <c r="A160" s="1"/>
      <c r="B160" s="10"/>
      <c r="C160" s="31" t="str">
        <f aca="false">IF(B160="","",TEXT(B160,"ddd"))</f>
        <v/>
      </c>
      <c r="D160" s="11"/>
      <c r="E160" s="8" t="str">
        <f aca="false">IF(D160="","",IFERROR(INDEX(ProjNumbers,MATCH(D160,ProjNames,0)),""))</f>
        <v/>
      </c>
      <c r="F160" s="8" t="str">
        <f aca="false">IF(D160="","",IFERROR(INDEX(ProjCodes,MATCH(D160,ProjNames,0)),""))</f>
        <v/>
      </c>
      <c r="G160" s="32"/>
      <c r="H160" s="11"/>
      <c r="I160" s="33"/>
      <c r="J160" s="8" t="str">
        <f aca="false">IF(COUNTA(B160,D160,G160,H160,I160)=0,"",IF(B160="","Enter date",IF(OR(B160&lt;$AC$2,B160&gt;$AC$3),"Date not in October",IF(D160="","Pick project",IF(ISNA(MATCH(D160,ProjNames,0)),"Project not in list",IF(G160="","Add task description",IF(H160="","Pick NTIME or P6",IF(N(I160)&lt;=0,"Enter hours",IF(AND(AllowOT&lt;&gt;"Yes",SUMIF($B$7:$B$256,B160,$I$7:$I$256)&gt;INDEX($O$58:$O$88,DAY(B160))),"Day over "&amp;INDEX($O$58:$O$88,DAY(B160))&amp;" h","✓")))))))))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tr">
        <f aca="false">IF(Projects!B158="","",Projects!B158)</f>
        <v/>
      </c>
      <c r="X160" s="1" t="n">
        <f aca="false">IF(W160="",0,SUMIFS($I$7:$I$256,$D$7:$D$256,W160,$H$7:$H$256,"NTIME"))</f>
        <v>0</v>
      </c>
      <c r="Y160" s="1" t="n">
        <f aca="false">IF(W160="",0,SUMIFS($I$7:$I$256,$D$7:$D$256,W160,$H$7:$H$256,"P6"))</f>
        <v>0</v>
      </c>
      <c r="Z160" s="1" t="n">
        <f aca="false">X160+Y160</f>
        <v>0</v>
      </c>
      <c r="AA160" s="1" t="n">
        <f aca="false">IF(Z160&gt;0,Z160+(201-154)/10^6,0)</f>
        <v>0</v>
      </c>
      <c r="AB160" s="1"/>
      <c r="AC160" s="1"/>
      <c r="AD160" s="1"/>
      <c r="AE160" s="1"/>
      <c r="AF160" s="1"/>
      <c r="AG160" s="1"/>
      <c r="AH160" s="1"/>
    </row>
    <row r="161" customFormat="false" ht="15" hidden="false" customHeight="false" outlineLevel="0" collapsed="false">
      <c r="A161" s="1"/>
      <c r="B161" s="10"/>
      <c r="C161" s="31" t="str">
        <f aca="false">IF(B161="","",TEXT(B161,"ddd"))</f>
        <v/>
      </c>
      <c r="D161" s="11"/>
      <c r="E161" s="8" t="str">
        <f aca="false">IF(D161="","",IFERROR(INDEX(ProjNumbers,MATCH(D161,ProjNames,0)),""))</f>
        <v/>
      </c>
      <c r="F161" s="8" t="str">
        <f aca="false">IF(D161="","",IFERROR(INDEX(ProjCodes,MATCH(D161,ProjNames,0)),""))</f>
        <v/>
      </c>
      <c r="G161" s="32"/>
      <c r="H161" s="11"/>
      <c r="I161" s="33"/>
      <c r="J161" s="8" t="str">
        <f aca="false">IF(COUNTA(B161,D161,G161,H161,I161)=0,"",IF(B161="","Enter date",IF(OR(B161&lt;$AC$2,B161&gt;$AC$3),"Date not in October",IF(D161="","Pick project",IF(ISNA(MATCH(D161,ProjNames,0)),"Project not in list",IF(G161="","Add task description",IF(H161="","Pick NTIME or P6",IF(N(I161)&lt;=0,"Enter hours",IF(AND(AllowOT&lt;&gt;"Yes",SUMIF($B$7:$B$256,B161,$I$7:$I$256)&gt;INDEX($O$58:$O$88,DAY(B161))),"Day over "&amp;INDEX($O$58:$O$88,DAY(B161))&amp;" h","✓")))))))))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tr">
        <f aca="false">IF(Projects!B159="","",Projects!B159)</f>
        <v/>
      </c>
      <c r="X161" s="1" t="n">
        <f aca="false">IF(W161="",0,SUMIFS($I$7:$I$256,$D$7:$D$256,W161,$H$7:$H$256,"NTIME"))</f>
        <v>0</v>
      </c>
      <c r="Y161" s="1" t="n">
        <f aca="false">IF(W161="",0,SUMIFS($I$7:$I$256,$D$7:$D$256,W161,$H$7:$H$256,"P6"))</f>
        <v>0</v>
      </c>
      <c r="Z161" s="1" t="n">
        <f aca="false">X161+Y161</f>
        <v>0</v>
      </c>
      <c r="AA161" s="1" t="n">
        <f aca="false">IF(Z161&gt;0,Z161+(201-155)/10^6,0)</f>
        <v>0</v>
      </c>
      <c r="AB161" s="1"/>
      <c r="AC161" s="1"/>
      <c r="AD161" s="1"/>
      <c r="AE161" s="1"/>
      <c r="AF161" s="1"/>
      <c r="AG161" s="1"/>
      <c r="AH161" s="1"/>
    </row>
    <row r="162" customFormat="false" ht="15" hidden="false" customHeight="false" outlineLevel="0" collapsed="false">
      <c r="A162" s="1"/>
      <c r="B162" s="10"/>
      <c r="C162" s="31" t="str">
        <f aca="false">IF(B162="","",TEXT(B162,"ddd"))</f>
        <v/>
      </c>
      <c r="D162" s="11"/>
      <c r="E162" s="8" t="str">
        <f aca="false">IF(D162="","",IFERROR(INDEX(ProjNumbers,MATCH(D162,ProjNames,0)),""))</f>
        <v/>
      </c>
      <c r="F162" s="8" t="str">
        <f aca="false">IF(D162="","",IFERROR(INDEX(ProjCodes,MATCH(D162,ProjNames,0)),""))</f>
        <v/>
      </c>
      <c r="G162" s="32"/>
      <c r="H162" s="11"/>
      <c r="I162" s="33"/>
      <c r="J162" s="8" t="str">
        <f aca="false">IF(COUNTA(B162,D162,G162,H162,I162)=0,"",IF(B162="","Enter date",IF(OR(B162&lt;$AC$2,B162&gt;$AC$3),"Date not in October",IF(D162="","Pick project",IF(ISNA(MATCH(D162,ProjNames,0)),"Project not in list",IF(G162="","Add task description",IF(H162="","Pick NTIME or P6",IF(N(I162)&lt;=0,"Enter hours",IF(AND(AllowOT&lt;&gt;"Yes",SUMIF($B$7:$B$256,B162,$I$7:$I$256)&gt;INDEX($O$58:$O$88,DAY(B162))),"Day over "&amp;INDEX($O$58:$O$88,DAY(B162))&amp;" h","✓")))))))))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tr">
        <f aca="false">IF(Projects!B160="","",Projects!B160)</f>
        <v/>
      </c>
      <c r="X162" s="1" t="n">
        <f aca="false">IF(W162="",0,SUMIFS($I$7:$I$256,$D$7:$D$256,W162,$H$7:$H$256,"NTIME"))</f>
        <v>0</v>
      </c>
      <c r="Y162" s="1" t="n">
        <f aca="false">IF(W162="",0,SUMIFS($I$7:$I$256,$D$7:$D$256,W162,$H$7:$H$256,"P6"))</f>
        <v>0</v>
      </c>
      <c r="Z162" s="1" t="n">
        <f aca="false">X162+Y162</f>
        <v>0</v>
      </c>
      <c r="AA162" s="1" t="n">
        <f aca="false">IF(Z162&gt;0,Z162+(201-156)/10^6,0)</f>
        <v>0</v>
      </c>
      <c r="AB162" s="1"/>
      <c r="AC162" s="1"/>
      <c r="AD162" s="1"/>
      <c r="AE162" s="1"/>
      <c r="AF162" s="1"/>
      <c r="AG162" s="1"/>
      <c r="AH162" s="1"/>
    </row>
    <row r="163" customFormat="false" ht="15" hidden="false" customHeight="false" outlineLevel="0" collapsed="false">
      <c r="A163" s="1"/>
      <c r="B163" s="10"/>
      <c r="C163" s="31" t="str">
        <f aca="false">IF(B163="","",TEXT(B163,"ddd"))</f>
        <v/>
      </c>
      <c r="D163" s="11"/>
      <c r="E163" s="8" t="str">
        <f aca="false">IF(D163="","",IFERROR(INDEX(ProjNumbers,MATCH(D163,ProjNames,0)),""))</f>
        <v/>
      </c>
      <c r="F163" s="8" t="str">
        <f aca="false">IF(D163="","",IFERROR(INDEX(ProjCodes,MATCH(D163,ProjNames,0)),""))</f>
        <v/>
      </c>
      <c r="G163" s="32"/>
      <c r="H163" s="11"/>
      <c r="I163" s="33"/>
      <c r="J163" s="8" t="str">
        <f aca="false">IF(COUNTA(B163,D163,G163,H163,I163)=0,"",IF(B163="","Enter date",IF(OR(B163&lt;$AC$2,B163&gt;$AC$3),"Date not in October",IF(D163="","Pick project",IF(ISNA(MATCH(D163,ProjNames,0)),"Project not in list",IF(G163="","Add task description",IF(H163="","Pick NTIME or P6",IF(N(I163)&lt;=0,"Enter hours",IF(AND(AllowOT&lt;&gt;"Yes",SUMIF($B$7:$B$256,B163,$I$7:$I$256)&gt;INDEX($O$58:$O$88,DAY(B163))),"Day over "&amp;INDEX($O$58:$O$88,DAY(B163))&amp;" h","✓")))))))))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tr">
        <f aca="false">IF(Projects!B161="","",Projects!B161)</f>
        <v/>
      </c>
      <c r="X163" s="1" t="n">
        <f aca="false">IF(W163="",0,SUMIFS($I$7:$I$256,$D$7:$D$256,W163,$H$7:$H$256,"NTIME"))</f>
        <v>0</v>
      </c>
      <c r="Y163" s="1" t="n">
        <f aca="false">IF(W163="",0,SUMIFS($I$7:$I$256,$D$7:$D$256,W163,$H$7:$H$256,"P6"))</f>
        <v>0</v>
      </c>
      <c r="Z163" s="1" t="n">
        <f aca="false">X163+Y163</f>
        <v>0</v>
      </c>
      <c r="AA163" s="1" t="n">
        <f aca="false">IF(Z163&gt;0,Z163+(201-157)/10^6,0)</f>
        <v>0</v>
      </c>
      <c r="AB163" s="1"/>
      <c r="AC163" s="1"/>
      <c r="AD163" s="1"/>
      <c r="AE163" s="1"/>
      <c r="AF163" s="1"/>
      <c r="AG163" s="1"/>
      <c r="AH163" s="1"/>
    </row>
    <row r="164" customFormat="false" ht="15" hidden="false" customHeight="false" outlineLevel="0" collapsed="false">
      <c r="A164" s="1"/>
      <c r="B164" s="10"/>
      <c r="C164" s="31" t="str">
        <f aca="false">IF(B164="","",TEXT(B164,"ddd"))</f>
        <v/>
      </c>
      <c r="D164" s="11"/>
      <c r="E164" s="8" t="str">
        <f aca="false">IF(D164="","",IFERROR(INDEX(ProjNumbers,MATCH(D164,ProjNames,0)),""))</f>
        <v/>
      </c>
      <c r="F164" s="8" t="str">
        <f aca="false">IF(D164="","",IFERROR(INDEX(ProjCodes,MATCH(D164,ProjNames,0)),""))</f>
        <v/>
      </c>
      <c r="G164" s="32"/>
      <c r="H164" s="11"/>
      <c r="I164" s="33"/>
      <c r="J164" s="8" t="str">
        <f aca="false">IF(COUNTA(B164,D164,G164,H164,I164)=0,"",IF(B164="","Enter date",IF(OR(B164&lt;$AC$2,B164&gt;$AC$3),"Date not in October",IF(D164="","Pick project",IF(ISNA(MATCH(D164,ProjNames,0)),"Project not in list",IF(G164="","Add task description",IF(H164="","Pick NTIME or P6",IF(N(I164)&lt;=0,"Enter hours",IF(AND(AllowOT&lt;&gt;"Yes",SUMIF($B$7:$B$256,B164,$I$7:$I$256)&gt;INDEX($O$58:$O$88,DAY(B164))),"Day over "&amp;INDEX($O$58:$O$88,DAY(B164))&amp;" h","✓")))))))))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tr">
        <f aca="false">IF(Projects!B162="","",Projects!B162)</f>
        <v/>
      </c>
      <c r="X164" s="1" t="n">
        <f aca="false">IF(W164="",0,SUMIFS($I$7:$I$256,$D$7:$D$256,W164,$H$7:$H$256,"NTIME"))</f>
        <v>0</v>
      </c>
      <c r="Y164" s="1" t="n">
        <f aca="false">IF(W164="",0,SUMIFS($I$7:$I$256,$D$7:$D$256,W164,$H$7:$H$256,"P6"))</f>
        <v>0</v>
      </c>
      <c r="Z164" s="1" t="n">
        <f aca="false">X164+Y164</f>
        <v>0</v>
      </c>
      <c r="AA164" s="1" t="n">
        <f aca="false">IF(Z164&gt;0,Z164+(201-158)/10^6,0)</f>
        <v>0</v>
      </c>
      <c r="AB164" s="1"/>
      <c r="AC164" s="1"/>
      <c r="AD164" s="1"/>
      <c r="AE164" s="1"/>
      <c r="AF164" s="1"/>
      <c r="AG164" s="1"/>
      <c r="AH164" s="1"/>
    </row>
    <row r="165" customFormat="false" ht="15" hidden="false" customHeight="false" outlineLevel="0" collapsed="false">
      <c r="A165" s="1"/>
      <c r="B165" s="10"/>
      <c r="C165" s="31" t="str">
        <f aca="false">IF(B165="","",TEXT(B165,"ddd"))</f>
        <v/>
      </c>
      <c r="D165" s="11"/>
      <c r="E165" s="8" t="str">
        <f aca="false">IF(D165="","",IFERROR(INDEX(ProjNumbers,MATCH(D165,ProjNames,0)),""))</f>
        <v/>
      </c>
      <c r="F165" s="8" t="str">
        <f aca="false">IF(D165="","",IFERROR(INDEX(ProjCodes,MATCH(D165,ProjNames,0)),""))</f>
        <v/>
      </c>
      <c r="G165" s="32"/>
      <c r="H165" s="11"/>
      <c r="I165" s="33"/>
      <c r="J165" s="8" t="str">
        <f aca="false">IF(COUNTA(B165,D165,G165,H165,I165)=0,"",IF(B165="","Enter date",IF(OR(B165&lt;$AC$2,B165&gt;$AC$3),"Date not in October",IF(D165="","Pick project",IF(ISNA(MATCH(D165,ProjNames,0)),"Project not in list",IF(G165="","Add task description",IF(H165="","Pick NTIME or P6",IF(N(I165)&lt;=0,"Enter hours",IF(AND(AllowOT&lt;&gt;"Yes",SUMIF($B$7:$B$256,B165,$I$7:$I$256)&gt;INDEX($O$58:$O$88,DAY(B165))),"Day over "&amp;INDEX($O$58:$O$88,DAY(B165))&amp;" h","✓")))))))))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tr">
        <f aca="false">IF(Projects!B163="","",Projects!B163)</f>
        <v/>
      </c>
      <c r="X165" s="1" t="n">
        <f aca="false">IF(W165="",0,SUMIFS($I$7:$I$256,$D$7:$D$256,W165,$H$7:$H$256,"NTIME"))</f>
        <v>0</v>
      </c>
      <c r="Y165" s="1" t="n">
        <f aca="false">IF(W165="",0,SUMIFS($I$7:$I$256,$D$7:$D$256,W165,$H$7:$H$256,"P6"))</f>
        <v>0</v>
      </c>
      <c r="Z165" s="1" t="n">
        <f aca="false">X165+Y165</f>
        <v>0</v>
      </c>
      <c r="AA165" s="1" t="n">
        <f aca="false">IF(Z165&gt;0,Z165+(201-159)/10^6,0)</f>
        <v>0</v>
      </c>
      <c r="AB165" s="1"/>
      <c r="AC165" s="1"/>
      <c r="AD165" s="1"/>
      <c r="AE165" s="1"/>
      <c r="AF165" s="1"/>
      <c r="AG165" s="1"/>
      <c r="AH165" s="1"/>
    </row>
    <row r="166" customFormat="false" ht="15" hidden="false" customHeight="false" outlineLevel="0" collapsed="false">
      <c r="A166" s="1"/>
      <c r="B166" s="10"/>
      <c r="C166" s="31" t="str">
        <f aca="false">IF(B166="","",TEXT(B166,"ddd"))</f>
        <v/>
      </c>
      <c r="D166" s="11"/>
      <c r="E166" s="8" t="str">
        <f aca="false">IF(D166="","",IFERROR(INDEX(ProjNumbers,MATCH(D166,ProjNames,0)),""))</f>
        <v/>
      </c>
      <c r="F166" s="8" t="str">
        <f aca="false">IF(D166="","",IFERROR(INDEX(ProjCodes,MATCH(D166,ProjNames,0)),""))</f>
        <v/>
      </c>
      <c r="G166" s="32"/>
      <c r="H166" s="11"/>
      <c r="I166" s="33"/>
      <c r="J166" s="8" t="str">
        <f aca="false">IF(COUNTA(B166,D166,G166,H166,I166)=0,"",IF(B166="","Enter date",IF(OR(B166&lt;$AC$2,B166&gt;$AC$3),"Date not in October",IF(D166="","Pick project",IF(ISNA(MATCH(D166,ProjNames,0)),"Project not in list",IF(G166="","Add task description",IF(H166="","Pick NTIME or P6",IF(N(I166)&lt;=0,"Enter hours",IF(AND(AllowOT&lt;&gt;"Yes",SUMIF($B$7:$B$256,B166,$I$7:$I$256)&gt;INDEX($O$58:$O$88,DAY(B166))),"Day over "&amp;INDEX($O$58:$O$88,DAY(B166))&amp;" h","✓")))))))))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tr">
        <f aca="false">IF(Projects!B164="","",Projects!B164)</f>
        <v/>
      </c>
      <c r="X166" s="1" t="n">
        <f aca="false">IF(W166="",0,SUMIFS($I$7:$I$256,$D$7:$D$256,W166,$H$7:$H$256,"NTIME"))</f>
        <v>0</v>
      </c>
      <c r="Y166" s="1" t="n">
        <f aca="false">IF(W166="",0,SUMIFS($I$7:$I$256,$D$7:$D$256,W166,$H$7:$H$256,"P6"))</f>
        <v>0</v>
      </c>
      <c r="Z166" s="1" t="n">
        <f aca="false">X166+Y166</f>
        <v>0</v>
      </c>
      <c r="AA166" s="1" t="n">
        <f aca="false">IF(Z166&gt;0,Z166+(201-160)/10^6,0)</f>
        <v>0</v>
      </c>
      <c r="AB166" s="1"/>
      <c r="AC166" s="1"/>
      <c r="AD166" s="1"/>
      <c r="AE166" s="1"/>
      <c r="AF166" s="1"/>
      <c r="AG166" s="1"/>
      <c r="AH166" s="1"/>
    </row>
    <row r="167" customFormat="false" ht="15" hidden="false" customHeight="false" outlineLevel="0" collapsed="false">
      <c r="A167" s="1"/>
      <c r="B167" s="10"/>
      <c r="C167" s="31" t="str">
        <f aca="false">IF(B167="","",TEXT(B167,"ddd"))</f>
        <v/>
      </c>
      <c r="D167" s="11"/>
      <c r="E167" s="8" t="str">
        <f aca="false">IF(D167="","",IFERROR(INDEX(ProjNumbers,MATCH(D167,ProjNames,0)),""))</f>
        <v/>
      </c>
      <c r="F167" s="8" t="str">
        <f aca="false">IF(D167="","",IFERROR(INDEX(ProjCodes,MATCH(D167,ProjNames,0)),""))</f>
        <v/>
      </c>
      <c r="G167" s="32"/>
      <c r="H167" s="11"/>
      <c r="I167" s="33"/>
      <c r="J167" s="8" t="str">
        <f aca="false">IF(COUNTA(B167,D167,G167,H167,I167)=0,"",IF(B167="","Enter date",IF(OR(B167&lt;$AC$2,B167&gt;$AC$3),"Date not in October",IF(D167="","Pick project",IF(ISNA(MATCH(D167,ProjNames,0)),"Project not in list",IF(G167="","Add task description",IF(H167="","Pick NTIME or P6",IF(N(I167)&lt;=0,"Enter hours",IF(AND(AllowOT&lt;&gt;"Yes",SUMIF($B$7:$B$256,B167,$I$7:$I$256)&gt;INDEX($O$58:$O$88,DAY(B167))),"Day over "&amp;INDEX($O$58:$O$88,DAY(B167))&amp;" h","✓")))))))))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 aca="false">IF(Projects!B165="","",Projects!B165)</f>
        <v/>
      </c>
      <c r="X167" s="1" t="n">
        <f aca="false">IF(W167="",0,SUMIFS($I$7:$I$256,$D$7:$D$256,W167,$H$7:$H$256,"NTIME"))</f>
        <v>0</v>
      </c>
      <c r="Y167" s="1" t="n">
        <f aca="false">IF(W167="",0,SUMIFS($I$7:$I$256,$D$7:$D$256,W167,$H$7:$H$256,"P6"))</f>
        <v>0</v>
      </c>
      <c r="Z167" s="1" t="n">
        <f aca="false">X167+Y167</f>
        <v>0</v>
      </c>
      <c r="AA167" s="1" t="n">
        <f aca="false">IF(Z167&gt;0,Z167+(201-161)/10^6,0)</f>
        <v>0</v>
      </c>
      <c r="AB167" s="1"/>
      <c r="AC167" s="1"/>
      <c r="AD167" s="1"/>
      <c r="AE167" s="1"/>
      <c r="AF167" s="1"/>
      <c r="AG167" s="1"/>
      <c r="AH167" s="1"/>
    </row>
    <row r="168" customFormat="false" ht="15" hidden="false" customHeight="false" outlineLevel="0" collapsed="false">
      <c r="A168" s="1"/>
      <c r="B168" s="10"/>
      <c r="C168" s="31" t="str">
        <f aca="false">IF(B168="","",TEXT(B168,"ddd"))</f>
        <v/>
      </c>
      <c r="D168" s="11"/>
      <c r="E168" s="8" t="str">
        <f aca="false">IF(D168="","",IFERROR(INDEX(ProjNumbers,MATCH(D168,ProjNames,0)),""))</f>
        <v/>
      </c>
      <c r="F168" s="8" t="str">
        <f aca="false">IF(D168="","",IFERROR(INDEX(ProjCodes,MATCH(D168,ProjNames,0)),""))</f>
        <v/>
      </c>
      <c r="G168" s="32"/>
      <c r="H168" s="11"/>
      <c r="I168" s="33"/>
      <c r="J168" s="8" t="str">
        <f aca="false">IF(COUNTA(B168,D168,G168,H168,I168)=0,"",IF(B168="","Enter date",IF(OR(B168&lt;$AC$2,B168&gt;$AC$3),"Date not in October",IF(D168="","Pick project",IF(ISNA(MATCH(D168,ProjNames,0)),"Project not in list",IF(G168="","Add task description",IF(H168="","Pick NTIME or P6",IF(N(I168)&lt;=0,"Enter hours",IF(AND(AllowOT&lt;&gt;"Yes",SUMIF($B$7:$B$256,B168,$I$7:$I$256)&gt;INDEX($O$58:$O$88,DAY(B168))),"Day over "&amp;INDEX($O$58:$O$88,DAY(B168))&amp;" h","✓")))))))))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tr">
        <f aca="false">IF(Projects!B166="","",Projects!B166)</f>
        <v/>
      </c>
      <c r="X168" s="1" t="n">
        <f aca="false">IF(W168="",0,SUMIFS($I$7:$I$256,$D$7:$D$256,W168,$H$7:$H$256,"NTIME"))</f>
        <v>0</v>
      </c>
      <c r="Y168" s="1" t="n">
        <f aca="false">IF(W168="",0,SUMIFS($I$7:$I$256,$D$7:$D$256,W168,$H$7:$H$256,"P6"))</f>
        <v>0</v>
      </c>
      <c r="Z168" s="1" t="n">
        <f aca="false">X168+Y168</f>
        <v>0</v>
      </c>
      <c r="AA168" s="1" t="n">
        <f aca="false">IF(Z168&gt;0,Z168+(201-162)/10^6,0)</f>
        <v>0</v>
      </c>
      <c r="AB168" s="1"/>
      <c r="AC168" s="1"/>
      <c r="AD168" s="1"/>
      <c r="AE168" s="1"/>
      <c r="AF168" s="1"/>
      <c r="AG168" s="1"/>
      <c r="AH168" s="1"/>
    </row>
    <row r="169" customFormat="false" ht="15" hidden="false" customHeight="false" outlineLevel="0" collapsed="false">
      <c r="A169" s="1"/>
      <c r="B169" s="10"/>
      <c r="C169" s="31" t="str">
        <f aca="false">IF(B169="","",TEXT(B169,"ddd"))</f>
        <v/>
      </c>
      <c r="D169" s="11"/>
      <c r="E169" s="8" t="str">
        <f aca="false">IF(D169="","",IFERROR(INDEX(ProjNumbers,MATCH(D169,ProjNames,0)),""))</f>
        <v/>
      </c>
      <c r="F169" s="8" t="str">
        <f aca="false">IF(D169="","",IFERROR(INDEX(ProjCodes,MATCH(D169,ProjNames,0)),""))</f>
        <v/>
      </c>
      <c r="G169" s="32"/>
      <c r="H169" s="11"/>
      <c r="I169" s="33"/>
      <c r="J169" s="8" t="str">
        <f aca="false">IF(COUNTA(B169,D169,G169,H169,I169)=0,"",IF(B169="","Enter date",IF(OR(B169&lt;$AC$2,B169&gt;$AC$3),"Date not in October",IF(D169="","Pick project",IF(ISNA(MATCH(D169,ProjNames,0)),"Project not in list",IF(G169="","Add task description",IF(H169="","Pick NTIME or P6",IF(N(I169)&lt;=0,"Enter hours",IF(AND(AllowOT&lt;&gt;"Yes",SUMIF($B$7:$B$256,B169,$I$7:$I$256)&gt;INDEX($O$58:$O$88,DAY(B169))),"Day over "&amp;INDEX($O$58:$O$88,DAY(B169))&amp;" h","✓")))))))))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tr">
        <f aca="false">IF(Projects!B167="","",Projects!B167)</f>
        <v/>
      </c>
      <c r="X169" s="1" t="n">
        <f aca="false">IF(W169="",0,SUMIFS($I$7:$I$256,$D$7:$D$256,W169,$H$7:$H$256,"NTIME"))</f>
        <v>0</v>
      </c>
      <c r="Y169" s="1" t="n">
        <f aca="false">IF(W169="",0,SUMIFS($I$7:$I$256,$D$7:$D$256,W169,$H$7:$H$256,"P6"))</f>
        <v>0</v>
      </c>
      <c r="Z169" s="1" t="n">
        <f aca="false">X169+Y169</f>
        <v>0</v>
      </c>
      <c r="AA169" s="1" t="n">
        <f aca="false">IF(Z169&gt;0,Z169+(201-163)/10^6,0)</f>
        <v>0</v>
      </c>
      <c r="AB169" s="1"/>
      <c r="AC169" s="1"/>
      <c r="AD169" s="1"/>
      <c r="AE169" s="1"/>
      <c r="AF169" s="1"/>
      <c r="AG169" s="1"/>
      <c r="AH169" s="1"/>
    </row>
    <row r="170" customFormat="false" ht="15" hidden="false" customHeight="false" outlineLevel="0" collapsed="false">
      <c r="A170" s="1"/>
      <c r="B170" s="10"/>
      <c r="C170" s="31" t="str">
        <f aca="false">IF(B170="","",TEXT(B170,"ddd"))</f>
        <v/>
      </c>
      <c r="D170" s="11"/>
      <c r="E170" s="8" t="str">
        <f aca="false">IF(D170="","",IFERROR(INDEX(ProjNumbers,MATCH(D170,ProjNames,0)),""))</f>
        <v/>
      </c>
      <c r="F170" s="8" t="str">
        <f aca="false">IF(D170="","",IFERROR(INDEX(ProjCodes,MATCH(D170,ProjNames,0)),""))</f>
        <v/>
      </c>
      <c r="G170" s="32"/>
      <c r="H170" s="11"/>
      <c r="I170" s="33"/>
      <c r="J170" s="8" t="str">
        <f aca="false">IF(COUNTA(B170,D170,G170,H170,I170)=0,"",IF(B170="","Enter date",IF(OR(B170&lt;$AC$2,B170&gt;$AC$3),"Date not in October",IF(D170="","Pick project",IF(ISNA(MATCH(D170,ProjNames,0)),"Project not in list",IF(G170="","Add task description",IF(H170="","Pick NTIME or P6",IF(N(I170)&lt;=0,"Enter hours",IF(AND(AllowOT&lt;&gt;"Yes",SUMIF($B$7:$B$256,B170,$I$7:$I$256)&gt;INDEX($O$58:$O$88,DAY(B170))),"Day over "&amp;INDEX($O$58:$O$88,DAY(B170))&amp;" h","✓")))))))))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tr">
        <f aca="false">IF(Projects!B168="","",Projects!B168)</f>
        <v/>
      </c>
      <c r="X170" s="1" t="n">
        <f aca="false">IF(W170="",0,SUMIFS($I$7:$I$256,$D$7:$D$256,W170,$H$7:$H$256,"NTIME"))</f>
        <v>0</v>
      </c>
      <c r="Y170" s="1" t="n">
        <f aca="false">IF(W170="",0,SUMIFS($I$7:$I$256,$D$7:$D$256,W170,$H$7:$H$256,"P6"))</f>
        <v>0</v>
      </c>
      <c r="Z170" s="1" t="n">
        <f aca="false">X170+Y170</f>
        <v>0</v>
      </c>
      <c r="AA170" s="1" t="n">
        <f aca="false">IF(Z170&gt;0,Z170+(201-164)/10^6,0)</f>
        <v>0</v>
      </c>
      <c r="AB170" s="1"/>
      <c r="AC170" s="1"/>
      <c r="AD170" s="1"/>
      <c r="AE170" s="1"/>
      <c r="AF170" s="1"/>
      <c r="AG170" s="1"/>
      <c r="AH170" s="1"/>
    </row>
    <row r="171" customFormat="false" ht="15" hidden="false" customHeight="false" outlineLevel="0" collapsed="false">
      <c r="A171" s="1"/>
      <c r="B171" s="10"/>
      <c r="C171" s="31" t="str">
        <f aca="false">IF(B171="","",TEXT(B171,"ddd"))</f>
        <v/>
      </c>
      <c r="D171" s="11"/>
      <c r="E171" s="8" t="str">
        <f aca="false">IF(D171="","",IFERROR(INDEX(ProjNumbers,MATCH(D171,ProjNames,0)),""))</f>
        <v/>
      </c>
      <c r="F171" s="8" t="str">
        <f aca="false">IF(D171="","",IFERROR(INDEX(ProjCodes,MATCH(D171,ProjNames,0)),""))</f>
        <v/>
      </c>
      <c r="G171" s="32"/>
      <c r="H171" s="11"/>
      <c r="I171" s="33"/>
      <c r="J171" s="8" t="str">
        <f aca="false">IF(COUNTA(B171,D171,G171,H171,I171)=0,"",IF(B171="","Enter date",IF(OR(B171&lt;$AC$2,B171&gt;$AC$3),"Date not in October",IF(D171="","Pick project",IF(ISNA(MATCH(D171,ProjNames,0)),"Project not in list",IF(G171="","Add task description",IF(H171="","Pick NTIME or P6",IF(N(I171)&lt;=0,"Enter hours",IF(AND(AllowOT&lt;&gt;"Yes",SUMIF($B$7:$B$256,B171,$I$7:$I$256)&gt;INDEX($O$58:$O$88,DAY(B171))),"Day over "&amp;INDEX($O$58:$O$88,DAY(B171))&amp;" h","✓")))))))))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tr">
        <f aca="false">IF(Projects!B169="","",Projects!B169)</f>
        <v/>
      </c>
      <c r="X171" s="1" t="n">
        <f aca="false">IF(W171="",0,SUMIFS($I$7:$I$256,$D$7:$D$256,W171,$H$7:$H$256,"NTIME"))</f>
        <v>0</v>
      </c>
      <c r="Y171" s="1" t="n">
        <f aca="false">IF(W171="",0,SUMIFS($I$7:$I$256,$D$7:$D$256,W171,$H$7:$H$256,"P6"))</f>
        <v>0</v>
      </c>
      <c r="Z171" s="1" t="n">
        <f aca="false">X171+Y171</f>
        <v>0</v>
      </c>
      <c r="AA171" s="1" t="n">
        <f aca="false">IF(Z171&gt;0,Z171+(201-165)/10^6,0)</f>
        <v>0</v>
      </c>
      <c r="AB171" s="1"/>
      <c r="AC171" s="1"/>
      <c r="AD171" s="1"/>
      <c r="AE171" s="1"/>
      <c r="AF171" s="1"/>
      <c r="AG171" s="1"/>
      <c r="AH171" s="1"/>
    </row>
    <row r="172" customFormat="false" ht="15" hidden="false" customHeight="false" outlineLevel="0" collapsed="false">
      <c r="A172" s="1"/>
      <c r="B172" s="10"/>
      <c r="C172" s="31" t="str">
        <f aca="false">IF(B172="","",TEXT(B172,"ddd"))</f>
        <v/>
      </c>
      <c r="D172" s="11"/>
      <c r="E172" s="8" t="str">
        <f aca="false">IF(D172="","",IFERROR(INDEX(ProjNumbers,MATCH(D172,ProjNames,0)),""))</f>
        <v/>
      </c>
      <c r="F172" s="8" t="str">
        <f aca="false">IF(D172="","",IFERROR(INDEX(ProjCodes,MATCH(D172,ProjNames,0)),""))</f>
        <v/>
      </c>
      <c r="G172" s="32"/>
      <c r="H172" s="11"/>
      <c r="I172" s="33"/>
      <c r="J172" s="8" t="str">
        <f aca="false">IF(COUNTA(B172,D172,G172,H172,I172)=0,"",IF(B172="","Enter date",IF(OR(B172&lt;$AC$2,B172&gt;$AC$3),"Date not in October",IF(D172="","Pick project",IF(ISNA(MATCH(D172,ProjNames,0)),"Project not in list",IF(G172="","Add task description",IF(H172="","Pick NTIME or P6",IF(N(I172)&lt;=0,"Enter hours",IF(AND(AllowOT&lt;&gt;"Yes",SUMIF($B$7:$B$256,B172,$I$7:$I$256)&gt;INDEX($O$58:$O$88,DAY(B172))),"Day over "&amp;INDEX($O$58:$O$88,DAY(B172))&amp;" h","✓")))))))))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tr">
        <f aca="false">IF(Projects!B170="","",Projects!B170)</f>
        <v/>
      </c>
      <c r="X172" s="1" t="n">
        <f aca="false">IF(W172="",0,SUMIFS($I$7:$I$256,$D$7:$D$256,W172,$H$7:$H$256,"NTIME"))</f>
        <v>0</v>
      </c>
      <c r="Y172" s="1" t="n">
        <f aca="false">IF(W172="",0,SUMIFS($I$7:$I$256,$D$7:$D$256,W172,$H$7:$H$256,"P6"))</f>
        <v>0</v>
      </c>
      <c r="Z172" s="1" t="n">
        <f aca="false">X172+Y172</f>
        <v>0</v>
      </c>
      <c r="AA172" s="1" t="n">
        <f aca="false">IF(Z172&gt;0,Z172+(201-166)/10^6,0)</f>
        <v>0</v>
      </c>
      <c r="AB172" s="1"/>
      <c r="AC172" s="1"/>
      <c r="AD172" s="1"/>
      <c r="AE172" s="1"/>
      <c r="AF172" s="1"/>
      <c r="AG172" s="1"/>
      <c r="AH172" s="1"/>
    </row>
    <row r="173" customFormat="false" ht="15" hidden="false" customHeight="false" outlineLevel="0" collapsed="false">
      <c r="A173" s="1"/>
      <c r="B173" s="10"/>
      <c r="C173" s="31" t="str">
        <f aca="false">IF(B173="","",TEXT(B173,"ddd"))</f>
        <v/>
      </c>
      <c r="D173" s="11"/>
      <c r="E173" s="8" t="str">
        <f aca="false">IF(D173="","",IFERROR(INDEX(ProjNumbers,MATCH(D173,ProjNames,0)),""))</f>
        <v/>
      </c>
      <c r="F173" s="8" t="str">
        <f aca="false">IF(D173="","",IFERROR(INDEX(ProjCodes,MATCH(D173,ProjNames,0)),""))</f>
        <v/>
      </c>
      <c r="G173" s="32"/>
      <c r="H173" s="11"/>
      <c r="I173" s="33"/>
      <c r="J173" s="8" t="str">
        <f aca="false">IF(COUNTA(B173,D173,G173,H173,I173)=0,"",IF(B173="","Enter date",IF(OR(B173&lt;$AC$2,B173&gt;$AC$3),"Date not in October",IF(D173="","Pick project",IF(ISNA(MATCH(D173,ProjNames,0)),"Project not in list",IF(G173="","Add task description",IF(H173="","Pick NTIME or P6",IF(N(I173)&lt;=0,"Enter hours",IF(AND(AllowOT&lt;&gt;"Yes",SUMIF($B$7:$B$256,B173,$I$7:$I$256)&gt;INDEX($O$58:$O$88,DAY(B173))),"Day over "&amp;INDEX($O$58:$O$88,DAY(B173))&amp;" h","✓")))))))))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tr">
        <f aca="false">IF(Projects!B171="","",Projects!B171)</f>
        <v/>
      </c>
      <c r="X173" s="1" t="n">
        <f aca="false">IF(W173="",0,SUMIFS($I$7:$I$256,$D$7:$D$256,W173,$H$7:$H$256,"NTIME"))</f>
        <v>0</v>
      </c>
      <c r="Y173" s="1" t="n">
        <f aca="false">IF(W173="",0,SUMIFS($I$7:$I$256,$D$7:$D$256,W173,$H$7:$H$256,"P6"))</f>
        <v>0</v>
      </c>
      <c r="Z173" s="1" t="n">
        <f aca="false">X173+Y173</f>
        <v>0</v>
      </c>
      <c r="AA173" s="1" t="n">
        <f aca="false">IF(Z173&gt;0,Z173+(201-167)/10^6,0)</f>
        <v>0</v>
      </c>
      <c r="AB173" s="1"/>
      <c r="AC173" s="1"/>
      <c r="AD173" s="1"/>
      <c r="AE173" s="1"/>
      <c r="AF173" s="1"/>
      <c r="AG173" s="1"/>
      <c r="AH173" s="1"/>
    </row>
    <row r="174" customFormat="false" ht="15" hidden="false" customHeight="false" outlineLevel="0" collapsed="false">
      <c r="A174" s="1"/>
      <c r="B174" s="10"/>
      <c r="C174" s="31" t="str">
        <f aca="false">IF(B174="","",TEXT(B174,"ddd"))</f>
        <v/>
      </c>
      <c r="D174" s="11"/>
      <c r="E174" s="8" t="str">
        <f aca="false">IF(D174="","",IFERROR(INDEX(ProjNumbers,MATCH(D174,ProjNames,0)),""))</f>
        <v/>
      </c>
      <c r="F174" s="8" t="str">
        <f aca="false">IF(D174="","",IFERROR(INDEX(ProjCodes,MATCH(D174,ProjNames,0)),""))</f>
        <v/>
      </c>
      <c r="G174" s="32"/>
      <c r="H174" s="11"/>
      <c r="I174" s="33"/>
      <c r="J174" s="8" t="str">
        <f aca="false">IF(COUNTA(B174,D174,G174,H174,I174)=0,"",IF(B174="","Enter date",IF(OR(B174&lt;$AC$2,B174&gt;$AC$3),"Date not in October",IF(D174="","Pick project",IF(ISNA(MATCH(D174,ProjNames,0)),"Project not in list",IF(G174="","Add task description",IF(H174="","Pick NTIME or P6",IF(N(I174)&lt;=0,"Enter hours",IF(AND(AllowOT&lt;&gt;"Yes",SUMIF($B$7:$B$256,B174,$I$7:$I$256)&gt;INDEX($O$58:$O$88,DAY(B174))),"Day over "&amp;INDEX($O$58:$O$88,DAY(B174))&amp;" h","✓")))))))))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tr">
        <f aca="false">IF(Projects!B172="","",Projects!B172)</f>
        <v/>
      </c>
      <c r="X174" s="1" t="n">
        <f aca="false">IF(W174="",0,SUMIFS($I$7:$I$256,$D$7:$D$256,W174,$H$7:$H$256,"NTIME"))</f>
        <v>0</v>
      </c>
      <c r="Y174" s="1" t="n">
        <f aca="false">IF(W174="",0,SUMIFS($I$7:$I$256,$D$7:$D$256,W174,$H$7:$H$256,"P6"))</f>
        <v>0</v>
      </c>
      <c r="Z174" s="1" t="n">
        <f aca="false">X174+Y174</f>
        <v>0</v>
      </c>
      <c r="AA174" s="1" t="n">
        <f aca="false">IF(Z174&gt;0,Z174+(201-168)/10^6,0)</f>
        <v>0</v>
      </c>
      <c r="AB174" s="1"/>
      <c r="AC174" s="1"/>
      <c r="AD174" s="1"/>
      <c r="AE174" s="1"/>
      <c r="AF174" s="1"/>
      <c r="AG174" s="1"/>
      <c r="AH174" s="1"/>
    </row>
    <row r="175" customFormat="false" ht="15" hidden="false" customHeight="false" outlineLevel="0" collapsed="false">
      <c r="A175" s="1"/>
      <c r="B175" s="10"/>
      <c r="C175" s="31" t="str">
        <f aca="false">IF(B175="","",TEXT(B175,"ddd"))</f>
        <v/>
      </c>
      <c r="D175" s="11"/>
      <c r="E175" s="8" t="str">
        <f aca="false">IF(D175="","",IFERROR(INDEX(ProjNumbers,MATCH(D175,ProjNames,0)),""))</f>
        <v/>
      </c>
      <c r="F175" s="8" t="str">
        <f aca="false">IF(D175="","",IFERROR(INDEX(ProjCodes,MATCH(D175,ProjNames,0)),""))</f>
        <v/>
      </c>
      <c r="G175" s="32"/>
      <c r="H175" s="11"/>
      <c r="I175" s="33"/>
      <c r="J175" s="8" t="str">
        <f aca="false">IF(COUNTA(B175,D175,G175,H175,I175)=0,"",IF(B175="","Enter date",IF(OR(B175&lt;$AC$2,B175&gt;$AC$3),"Date not in October",IF(D175="","Pick project",IF(ISNA(MATCH(D175,ProjNames,0)),"Project not in list",IF(G175="","Add task description",IF(H175="","Pick NTIME or P6",IF(N(I175)&lt;=0,"Enter hours",IF(AND(AllowOT&lt;&gt;"Yes",SUMIF($B$7:$B$256,B175,$I$7:$I$256)&gt;INDEX($O$58:$O$88,DAY(B175))),"Day over "&amp;INDEX($O$58:$O$88,DAY(B175))&amp;" h","✓")))))))))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tr">
        <f aca="false">IF(Projects!B173="","",Projects!B173)</f>
        <v/>
      </c>
      <c r="X175" s="1" t="n">
        <f aca="false">IF(W175="",0,SUMIFS($I$7:$I$256,$D$7:$D$256,W175,$H$7:$H$256,"NTIME"))</f>
        <v>0</v>
      </c>
      <c r="Y175" s="1" t="n">
        <f aca="false">IF(W175="",0,SUMIFS($I$7:$I$256,$D$7:$D$256,W175,$H$7:$H$256,"P6"))</f>
        <v>0</v>
      </c>
      <c r="Z175" s="1" t="n">
        <f aca="false">X175+Y175</f>
        <v>0</v>
      </c>
      <c r="AA175" s="1" t="n">
        <f aca="false">IF(Z175&gt;0,Z175+(201-169)/10^6,0)</f>
        <v>0</v>
      </c>
      <c r="AB175" s="1"/>
      <c r="AC175" s="1"/>
      <c r="AD175" s="1"/>
      <c r="AE175" s="1"/>
      <c r="AF175" s="1"/>
      <c r="AG175" s="1"/>
      <c r="AH175" s="1"/>
    </row>
    <row r="176" customFormat="false" ht="15" hidden="false" customHeight="false" outlineLevel="0" collapsed="false">
      <c r="A176" s="1"/>
      <c r="B176" s="10"/>
      <c r="C176" s="31" t="str">
        <f aca="false">IF(B176="","",TEXT(B176,"ddd"))</f>
        <v/>
      </c>
      <c r="D176" s="11"/>
      <c r="E176" s="8" t="str">
        <f aca="false">IF(D176="","",IFERROR(INDEX(ProjNumbers,MATCH(D176,ProjNames,0)),""))</f>
        <v/>
      </c>
      <c r="F176" s="8" t="str">
        <f aca="false">IF(D176="","",IFERROR(INDEX(ProjCodes,MATCH(D176,ProjNames,0)),""))</f>
        <v/>
      </c>
      <c r="G176" s="32"/>
      <c r="H176" s="11"/>
      <c r="I176" s="33"/>
      <c r="J176" s="8" t="str">
        <f aca="false">IF(COUNTA(B176,D176,G176,H176,I176)=0,"",IF(B176="","Enter date",IF(OR(B176&lt;$AC$2,B176&gt;$AC$3),"Date not in October",IF(D176="","Pick project",IF(ISNA(MATCH(D176,ProjNames,0)),"Project not in list",IF(G176="","Add task description",IF(H176="","Pick NTIME or P6",IF(N(I176)&lt;=0,"Enter hours",IF(AND(AllowOT&lt;&gt;"Yes",SUMIF($B$7:$B$256,B176,$I$7:$I$256)&gt;INDEX($O$58:$O$88,DAY(B176))),"Day over "&amp;INDEX($O$58:$O$88,DAY(B176))&amp;" h","✓")))))))))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tr">
        <f aca="false">IF(Projects!B174="","",Projects!B174)</f>
        <v/>
      </c>
      <c r="X176" s="1" t="n">
        <f aca="false">IF(W176="",0,SUMIFS($I$7:$I$256,$D$7:$D$256,W176,$H$7:$H$256,"NTIME"))</f>
        <v>0</v>
      </c>
      <c r="Y176" s="1" t="n">
        <f aca="false">IF(W176="",0,SUMIFS($I$7:$I$256,$D$7:$D$256,W176,$H$7:$H$256,"P6"))</f>
        <v>0</v>
      </c>
      <c r="Z176" s="1" t="n">
        <f aca="false">X176+Y176</f>
        <v>0</v>
      </c>
      <c r="AA176" s="1" t="n">
        <f aca="false">IF(Z176&gt;0,Z176+(201-170)/10^6,0)</f>
        <v>0</v>
      </c>
      <c r="AB176" s="1"/>
      <c r="AC176" s="1"/>
      <c r="AD176" s="1"/>
      <c r="AE176" s="1"/>
      <c r="AF176" s="1"/>
      <c r="AG176" s="1"/>
      <c r="AH176" s="1"/>
    </row>
    <row r="177" customFormat="false" ht="15" hidden="false" customHeight="false" outlineLevel="0" collapsed="false">
      <c r="A177" s="1"/>
      <c r="B177" s="10"/>
      <c r="C177" s="31" t="str">
        <f aca="false">IF(B177="","",TEXT(B177,"ddd"))</f>
        <v/>
      </c>
      <c r="D177" s="11"/>
      <c r="E177" s="8" t="str">
        <f aca="false">IF(D177="","",IFERROR(INDEX(ProjNumbers,MATCH(D177,ProjNames,0)),""))</f>
        <v/>
      </c>
      <c r="F177" s="8" t="str">
        <f aca="false">IF(D177="","",IFERROR(INDEX(ProjCodes,MATCH(D177,ProjNames,0)),""))</f>
        <v/>
      </c>
      <c r="G177" s="32"/>
      <c r="H177" s="11"/>
      <c r="I177" s="33"/>
      <c r="J177" s="8" t="str">
        <f aca="false">IF(COUNTA(B177,D177,G177,H177,I177)=0,"",IF(B177="","Enter date",IF(OR(B177&lt;$AC$2,B177&gt;$AC$3),"Date not in October",IF(D177="","Pick project",IF(ISNA(MATCH(D177,ProjNames,0)),"Project not in list",IF(G177="","Add task description",IF(H177="","Pick NTIME or P6",IF(N(I177)&lt;=0,"Enter hours",IF(AND(AllowOT&lt;&gt;"Yes",SUMIF($B$7:$B$256,B177,$I$7:$I$256)&gt;INDEX($O$58:$O$88,DAY(B177))),"Day over "&amp;INDEX($O$58:$O$88,DAY(B177))&amp;" h","✓")))))))))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tr">
        <f aca="false">IF(Projects!B175="","",Projects!B175)</f>
        <v/>
      </c>
      <c r="X177" s="1" t="n">
        <f aca="false">IF(W177="",0,SUMIFS($I$7:$I$256,$D$7:$D$256,W177,$H$7:$H$256,"NTIME"))</f>
        <v>0</v>
      </c>
      <c r="Y177" s="1" t="n">
        <f aca="false">IF(W177="",0,SUMIFS($I$7:$I$256,$D$7:$D$256,W177,$H$7:$H$256,"P6"))</f>
        <v>0</v>
      </c>
      <c r="Z177" s="1" t="n">
        <f aca="false">X177+Y177</f>
        <v>0</v>
      </c>
      <c r="AA177" s="1" t="n">
        <f aca="false">IF(Z177&gt;0,Z177+(201-171)/10^6,0)</f>
        <v>0</v>
      </c>
      <c r="AB177" s="1"/>
      <c r="AC177" s="1"/>
      <c r="AD177" s="1"/>
      <c r="AE177" s="1"/>
      <c r="AF177" s="1"/>
      <c r="AG177" s="1"/>
      <c r="AH177" s="1"/>
    </row>
    <row r="178" customFormat="false" ht="15" hidden="false" customHeight="false" outlineLevel="0" collapsed="false">
      <c r="A178" s="1"/>
      <c r="B178" s="10"/>
      <c r="C178" s="31" t="str">
        <f aca="false">IF(B178="","",TEXT(B178,"ddd"))</f>
        <v/>
      </c>
      <c r="D178" s="11"/>
      <c r="E178" s="8" t="str">
        <f aca="false">IF(D178="","",IFERROR(INDEX(ProjNumbers,MATCH(D178,ProjNames,0)),""))</f>
        <v/>
      </c>
      <c r="F178" s="8" t="str">
        <f aca="false">IF(D178="","",IFERROR(INDEX(ProjCodes,MATCH(D178,ProjNames,0)),""))</f>
        <v/>
      </c>
      <c r="G178" s="32"/>
      <c r="H178" s="11"/>
      <c r="I178" s="33"/>
      <c r="J178" s="8" t="str">
        <f aca="false">IF(COUNTA(B178,D178,G178,H178,I178)=0,"",IF(B178="","Enter date",IF(OR(B178&lt;$AC$2,B178&gt;$AC$3),"Date not in October",IF(D178="","Pick project",IF(ISNA(MATCH(D178,ProjNames,0)),"Project not in list",IF(G178="","Add task description",IF(H178="","Pick NTIME or P6",IF(N(I178)&lt;=0,"Enter hours",IF(AND(AllowOT&lt;&gt;"Yes",SUMIF($B$7:$B$256,B178,$I$7:$I$256)&gt;INDEX($O$58:$O$88,DAY(B178))),"Day over "&amp;INDEX($O$58:$O$88,DAY(B178))&amp;" h","✓")))))))))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tr">
        <f aca="false">IF(Projects!B176="","",Projects!B176)</f>
        <v/>
      </c>
      <c r="X178" s="1" t="n">
        <f aca="false">IF(W178="",0,SUMIFS($I$7:$I$256,$D$7:$D$256,W178,$H$7:$H$256,"NTIME"))</f>
        <v>0</v>
      </c>
      <c r="Y178" s="1" t="n">
        <f aca="false">IF(W178="",0,SUMIFS($I$7:$I$256,$D$7:$D$256,W178,$H$7:$H$256,"P6"))</f>
        <v>0</v>
      </c>
      <c r="Z178" s="1" t="n">
        <f aca="false">X178+Y178</f>
        <v>0</v>
      </c>
      <c r="AA178" s="1" t="n">
        <f aca="false">IF(Z178&gt;0,Z178+(201-172)/10^6,0)</f>
        <v>0</v>
      </c>
      <c r="AB178" s="1"/>
      <c r="AC178" s="1"/>
      <c r="AD178" s="1"/>
      <c r="AE178" s="1"/>
      <c r="AF178" s="1"/>
      <c r="AG178" s="1"/>
      <c r="AH178" s="1"/>
    </row>
    <row r="179" customFormat="false" ht="15" hidden="false" customHeight="false" outlineLevel="0" collapsed="false">
      <c r="A179" s="1"/>
      <c r="B179" s="10"/>
      <c r="C179" s="31" t="str">
        <f aca="false">IF(B179="","",TEXT(B179,"ddd"))</f>
        <v/>
      </c>
      <c r="D179" s="11"/>
      <c r="E179" s="8" t="str">
        <f aca="false">IF(D179="","",IFERROR(INDEX(ProjNumbers,MATCH(D179,ProjNames,0)),""))</f>
        <v/>
      </c>
      <c r="F179" s="8" t="str">
        <f aca="false">IF(D179="","",IFERROR(INDEX(ProjCodes,MATCH(D179,ProjNames,0)),""))</f>
        <v/>
      </c>
      <c r="G179" s="32"/>
      <c r="H179" s="11"/>
      <c r="I179" s="33"/>
      <c r="J179" s="8" t="str">
        <f aca="false">IF(COUNTA(B179,D179,G179,H179,I179)=0,"",IF(B179="","Enter date",IF(OR(B179&lt;$AC$2,B179&gt;$AC$3),"Date not in October",IF(D179="","Pick project",IF(ISNA(MATCH(D179,ProjNames,0)),"Project not in list",IF(G179="","Add task description",IF(H179="","Pick NTIME or P6",IF(N(I179)&lt;=0,"Enter hours",IF(AND(AllowOT&lt;&gt;"Yes",SUMIF($B$7:$B$256,B179,$I$7:$I$256)&gt;INDEX($O$58:$O$88,DAY(B179))),"Day over "&amp;INDEX($O$58:$O$88,DAY(B179))&amp;" h","✓")))))))))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tr">
        <f aca="false">IF(Projects!B177="","",Projects!B177)</f>
        <v/>
      </c>
      <c r="X179" s="1" t="n">
        <f aca="false">IF(W179="",0,SUMIFS($I$7:$I$256,$D$7:$D$256,W179,$H$7:$H$256,"NTIME"))</f>
        <v>0</v>
      </c>
      <c r="Y179" s="1" t="n">
        <f aca="false">IF(W179="",0,SUMIFS($I$7:$I$256,$D$7:$D$256,W179,$H$7:$H$256,"P6"))</f>
        <v>0</v>
      </c>
      <c r="Z179" s="1" t="n">
        <f aca="false">X179+Y179</f>
        <v>0</v>
      </c>
      <c r="AA179" s="1" t="n">
        <f aca="false">IF(Z179&gt;0,Z179+(201-173)/10^6,0)</f>
        <v>0</v>
      </c>
      <c r="AB179" s="1"/>
      <c r="AC179" s="1"/>
      <c r="AD179" s="1"/>
      <c r="AE179" s="1"/>
      <c r="AF179" s="1"/>
      <c r="AG179" s="1"/>
      <c r="AH179" s="1"/>
    </row>
    <row r="180" customFormat="false" ht="15" hidden="false" customHeight="false" outlineLevel="0" collapsed="false">
      <c r="A180" s="1"/>
      <c r="B180" s="10"/>
      <c r="C180" s="31" t="str">
        <f aca="false">IF(B180="","",TEXT(B180,"ddd"))</f>
        <v/>
      </c>
      <c r="D180" s="11"/>
      <c r="E180" s="8" t="str">
        <f aca="false">IF(D180="","",IFERROR(INDEX(ProjNumbers,MATCH(D180,ProjNames,0)),""))</f>
        <v/>
      </c>
      <c r="F180" s="8" t="str">
        <f aca="false">IF(D180="","",IFERROR(INDEX(ProjCodes,MATCH(D180,ProjNames,0)),""))</f>
        <v/>
      </c>
      <c r="G180" s="32"/>
      <c r="H180" s="11"/>
      <c r="I180" s="33"/>
      <c r="J180" s="8" t="str">
        <f aca="false">IF(COUNTA(B180,D180,G180,H180,I180)=0,"",IF(B180="","Enter date",IF(OR(B180&lt;$AC$2,B180&gt;$AC$3),"Date not in October",IF(D180="","Pick project",IF(ISNA(MATCH(D180,ProjNames,0)),"Project not in list",IF(G180="","Add task description",IF(H180="","Pick NTIME or P6",IF(N(I180)&lt;=0,"Enter hours",IF(AND(AllowOT&lt;&gt;"Yes",SUMIF($B$7:$B$256,B180,$I$7:$I$256)&gt;INDEX($O$58:$O$88,DAY(B180))),"Day over "&amp;INDEX($O$58:$O$88,DAY(B180))&amp;" h","✓")))))))))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tr">
        <f aca="false">IF(Projects!B178="","",Projects!B178)</f>
        <v/>
      </c>
      <c r="X180" s="1" t="n">
        <f aca="false">IF(W180="",0,SUMIFS($I$7:$I$256,$D$7:$D$256,W180,$H$7:$H$256,"NTIME"))</f>
        <v>0</v>
      </c>
      <c r="Y180" s="1" t="n">
        <f aca="false">IF(W180="",0,SUMIFS($I$7:$I$256,$D$7:$D$256,W180,$H$7:$H$256,"P6"))</f>
        <v>0</v>
      </c>
      <c r="Z180" s="1" t="n">
        <f aca="false">X180+Y180</f>
        <v>0</v>
      </c>
      <c r="AA180" s="1" t="n">
        <f aca="false">IF(Z180&gt;0,Z180+(201-174)/10^6,0)</f>
        <v>0</v>
      </c>
      <c r="AB180" s="1"/>
      <c r="AC180" s="1"/>
      <c r="AD180" s="1"/>
      <c r="AE180" s="1"/>
      <c r="AF180" s="1"/>
      <c r="AG180" s="1"/>
      <c r="AH180" s="1"/>
    </row>
    <row r="181" customFormat="false" ht="15" hidden="false" customHeight="false" outlineLevel="0" collapsed="false">
      <c r="A181" s="1"/>
      <c r="B181" s="10"/>
      <c r="C181" s="31" t="str">
        <f aca="false">IF(B181="","",TEXT(B181,"ddd"))</f>
        <v/>
      </c>
      <c r="D181" s="11"/>
      <c r="E181" s="8" t="str">
        <f aca="false">IF(D181="","",IFERROR(INDEX(ProjNumbers,MATCH(D181,ProjNames,0)),""))</f>
        <v/>
      </c>
      <c r="F181" s="8" t="str">
        <f aca="false">IF(D181="","",IFERROR(INDEX(ProjCodes,MATCH(D181,ProjNames,0)),""))</f>
        <v/>
      </c>
      <c r="G181" s="32"/>
      <c r="H181" s="11"/>
      <c r="I181" s="33"/>
      <c r="J181" s="8" t="str">
        <f aca="false">IF(COUNTA(B181,D181,G181,H181,I181)=0,"",IF(B181="","Enter date",IF(OR(B181&lt;$AC$2,B181&gt;$AC$3),"Date not in October",IF(D181="","Pick project",IF(ISNA(MATCH(D181,ProjNames,0)),"Project not in list",IF(G181="","Add task description",IF(H181="","Pick NTIME or P6",IF(N(I181)&lt;=0,"Enter hours",IF(AND(AllowOT&lt;&gt;"Yes",SUMIF($B$7:$B$256,B181,$I$7:$I$256)&gt;INDEX($O$58:$O$88,DAY(B181))),"Day over "&amp;INDEX($O$58:$O$88,DAY(B181))&amp;" h","✓")))))))))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tr">
        <f aca="false">IF(Projects!B179="","",Projects!B179)</f>
        <v/>
      </c>
      <c r="X181" s="1" t="n">
        <f aca="false">IF(W181="",0,SUMIFS($I$7:$I$256,$D$7:$D$256,W181,$H$7:$H$256,"NTIME"))</f>
        <v>0</v>
      </c>
      <c r="Y181" s="1" t="n">
        <f aca="false">IF(W181="",0,SUMIFS($I$7:$I$256,$D$7:$D$256,W181,$H$7:$H$256,"P6"))</f>
        <v>0</v>
      </c>
      <c r="Z181" s="1" t="n">
        <f aca="false">X181+Y181</f>
        <v>0</v>
      </c>
      <c r="AA181" s="1" t="n">
        <f aca="false">IF(Z181&gt;0,Z181+(201-175)/10^6,0)</f>
        <v>0</v>
      </c>
      <c r="AB181" s="1"/>
      <c r="AC181" s="1"/>
      <c r="AD181" s="1"/>
      <c r="AE181" s="1"/>
      <c r="AF181" s="1"/>
      <c r="AG181" s="1"/>
      <c r="AH181" s="1"/>
    </row>
    <row r="182" customFormat="false" ht="15" hidden="false" customHeight="false" outlineLevel="0" collapsed="false">
      <c r="A182" s="1"/>
      <c r="B182" s="10"/>
      <c r="C182" s="31" t="str">
        <f aca="false">IF(B182="","",TEXT(B182,"ddd"))</f>
        <v/>
      </c>
      <c r="D182" s="11"/>
      <c r="E182" s="8" t="str">
        <f aca="false">IF(D182="","",IFERROR(INDEX(ProjNumbers,MATCH(D182,ProjNames,0)),""))</f>
        <v/>
      </c>
      <c r="F182" s="8" t="str">
        <f aca="false">IF(D182="","",IFERROR(INDEX(ProjCodes,MATCH(D182,ProjNames,0)),""))</f>
        <v/>
      </c>
      <c r="G182" s="32"/>
      <c r="H182" s="11"/>
      <c r="I182" s="33"/>
      <c r="J182" s="8" t="str">
        <f aca="false">IF(COUNTA(B182,D182,G182,H182,I182)=0,"",IF(B182="","Enter date",IF(OR(B182&lt;$AC$2,B182&gt;$AC$3),"Date not in October",IF(D182="","Pick project",IF(ISNA(MATCH(D182,ProjNames,0)),"Project not in list",IF(G182="","Add task description",IF(H182="","Pick NTIME or P6",IF(N(I182)&lt;=0,"Enter hours",IF(AND(AllowOT&lt;&gt;"Yes",SUMIF($B$7:$B$256,B182,$I$7:$I$256)&gt;INDEX($O$58:$O$88,DAY(B182))),"Day over "&amp;INDEX($O$58:$O$88,DAY(B182))&amp;" h","✓")))))))))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tr">
        <f aca="false">IF(Projects!B180="","",Projects!B180)</f>
        <v/>
      </c>
      <c r="X182" s="1" t="n">
        <f aca="false">IF(W182="",0,SUMIFS($I$7:$I$256,$D$7:$D$256,W182,$H$7:$H$256,"NTIME"))</f>
        <v>0</v>
      </c>
      <c r="Y182" s="1" t="n">
        <f aca="false">IF(W182="",0,SUMIFS($I$7:$I$256,$D$7:$D$256,W182,$H$7:$H$256,"P6"))</f>
        <v>0</v>
      </c>
      <c r="Z182" s="1" t="n">
        <f aca="false">X182+Y182</f>
        <v>0</v>
      </c>
      <c r="AA182" s="1" t="n">
        <f aca="false">IF(Z182&gt;0,Z182+(201-176)/10^6,0)</f>
        <v>0</v>
      </c>
      <c r="AB182" s="1"/>
      <c r="AC182" s="1"/>
      <c r="AD182" s="1"/>
      <c r="AE182" s="1"/>
      <c r="AF182" s="1"/>
      <c r="AG182" s="1"/>
      <c r="AH182" s="1"/>
    </row>
    <row r="183" customFormat="false" ht="15" hidden="false" customHeight="false" outlineLevel="0" collapsed="false">
      <c r="A183" s="1"/>
      <c r="B183" s="10"/>
      <c r="C183" s="31" t="str">
        <f aca="false">IF(B183="","",TEXT(B183,"ddd"))</f>
        <v/>
      </c>
      <c r="D183" s="11"/>
      <c r="E183" s="8" t="str">
        <f aca="false">IF(D183="","",IFERROR(INDEX(ProjNumbers,MATCH(D183,ProjNames,0)),""))</f>
        <v/>
      </c>
      <c r="F183" s="8" t="str">
        <f aca="false">IF(D183="","",IFERROR(INDEX(ProjCodes,MATCH(D183,ProjNames,0)),""))</f>
        <v/>
      </c>
      <c r="G183" s="32"/>
      <c r="H183" s="11"/>
      <c r="I183" s="33"/>
      <c r="J183" s="8" t="str">
        <f aca="false">IF(COUNTA(B183,D183,G183,H183,I183)=0,"",IF(B183="","Enter date",IF(OR(B183&lt;$AC$2,B183&gt;$AC$3),"Date not in October",IF(D183="","Pick project",IF(ISNA(MATCH(D183,ProjNames,0)),"Project not in list",IF(G183="","Add task description",IF(H183="","Pick NTIME or P6",IF(N(I183)&lt;=0,"Enter hours",IF(AND(AllowOT&lt;&gt;"Yes",SUMIF($B$7:$B$256,B183,$I$7:$I$256)&gt;INDEX($O$58:$O$88,DAY(B183))),"Day over "&amp;INDEX($O$58:$O$88,DAY(B183))&amp;" h","✓")))))))))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tr">
        <f aca="false">IF(Projects!B181="","",Projects!B181)</f>
        <v/>
      </c>
      <c r="X183" s="1" t="n">
        <f aca="false">IF(W183="",0,SUMIFS($I$7:$I$256,$D$7:$D$256,W183,$H$7:$H$256,"NTIME"))</f>
        <v>0</v>
      </c>
      <c r="Y183" s="1" t="n">
        <f aca="false">IF(W183="",0,SUMIFS($I$7:$I$256,$D$7:$D$256,W183,$H$7:$H$256,"P6"))</f>
        <v>0</v>
      </c>
      <c r="Z183" s="1" t="n">
        <f aca="false">X183+Y183</f>
        <v>0</v>
      </c>
      <c r="AA183" s="1" t="n">
        <f aca="false">IF(Z183&gt;0,Z183+(201-177)/10^6,0)</f>
        <v>0</v>
      </c>
      <c r="AB183" s="1"/>
      <c r="AC183" s="1"/>
      <c r="AD183" s="1"/>
      <c r="AE183" s="1"/>
      <c r="AF183" s="1"/>
      <c r="AG183" s="1"/>
      <c r="AH183" s="1"/>
    </row>
    <row r="184" customFormat="false" ht="15" hidden="false" customHeight="false" outlineLevel="0" collapsed="false">
      <c r="A184" s="1"/>
      <c r="B184" s="10"/>
      <c r="C184" s="31" t="str">
        <f aca="false">IF(B184="","",TEXT(B184,"ddd"))</f>
        <v/>
      </c>
      <c r="D184" s="11"/>
      <c r="E184" s="8" t="str">
        <f aca="false">IF(D184="","",IFERROR(INDEX(ProjNumbers,MATCH(D184,ProjNames,0)),""))</f>
        <v/>
      </c>
      <c r="F184" s="8" t="str">
        <f aca="false">IF(D184="","",IFERROR(INDEX(ProjCodes,MATCH(D184,ProjNames,0)),""))</f>
        <v/>
      </c>
      <c r="G184" s="32"/>
      <c r="H184" s="11"/>
      <c r="I184" s="33"/>
      <c r="J184" s="8" t="str">
        <f aca="false">IF(COUNTA(B184,D184,G184,H184,I184)=0,"",IF(B184="","Enter date",IF(OR(B184&lt;$AC$2,B184&gt;$AC$3),"Date not in October",IF(D184="","Pick project",IF(ISNA(MATCH(D184,ProjNames,0)),"Project not in list",IF(G184="","Add task description",IF(H184="","Pick NTIME or P6",IF(N(I184)&lt;=0,"Enter hours",IF(AND(AllowOT&lt;&gt;"Yes",SUMIF($B$7:$B$256,B184,$I$7:$I$256)&gt;INDEX($O$58:$O$88,DAY(B184))),"Day over "&amp;INDEX($O$58:$O$88,DAY(B184))&amp;" h","✓")))))))))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tr">
        <f aca="false">IF(Projects!B182="","",Projects!B182)</f>
        <v/>
      </c>
      <c r="X184" s="1" t="n">
        <f aca="false">IF(W184="",0,SUMIFS($I$7:$I$256,$D$7:$D$256,W184,$H$7:$H$256,"NTIME"))</f>
        <v>0</v>
      </c>
      <c r="Y184" s="1" t="n">
        <f aca="false">IF(W184="",0,SUMIFS($I$7:$I$256,$D$7:$D$256,W184,$H$7:$H$256,"P6"))</f>
        <v>0</v>
      </c>
      <c r="Z184" s="1" t="n">
        <f aca="false">X184+Y184</f>
        <v>0</v>
      </c>
      <c r="AA184" s="1" t="n">
        <f aca="false">IF(Z184&gt;0,Z184+(201-178)/10^6,0)</f>
        <v>0</v>
      </c>
      <c r="AB184" s="1"/>
      <c r="AC184" s="1"/>
      <c r="AD184" s="1"/>
      <c r="AE184" s="1"/>
      <c r="AF184" s="1"/>
      <c r="AG184" s="1"/>
      <c r="AH184" s="1"/>
    </row>
    <row r="185" customFormat="false" ht="15" hidden="false" customHeight="false" outlineLevel="0" collapsed="false">
      <c r="A185" s="1"/>
      <c r="B185" s="10"/>
      <c r="C185" s="31" t="str">
        <f aca="false">IF(B185="","",TEXT(B185,"ddd"))</f>
        <v/>
      </c>
      <c r="D185" s="11"/>
      <c r="E185" s="8" t="str">
        <f aca="false">IF(D185="","",IFERROR(INDEX(ProjNumbers,MATCH(D185,ProjNames,0)),""))</f>
        <v/>
      </c>
      <c r="F185" s="8" t="str">
        <f aca="false">IF(D185="","",IFERROR(INDEX(ProjCodes,MATCH(D185,ProjNames,0)),""))</f>
        <v/>
      </c>
      <c r="G185" s="32"/>
      <c r="H185" s="11"/>
      <c r="I185" s="33"/>
      <c r="J185" s="8" t="str">
        <f aca="false">IF(COUNTA(B185,D185,G185,H185,I185)=0,"",IF(B185="","Enter date",IF(OR(B185&lt;$AC$2,B185&gt;$AC$3),"Date not in October",IF(D185="","Pick project",IF(ISNA(MATCH(D185,ProjNames,0)),"Project not in list",IF(G185="","Add task description",IF(H185="","Pick NTIME or P6",IF(N(I185)&lt;=0,"Enter hours",IF(AND(AllowOT&lt;&gt;"Yes",SUMIF($B$7:$B$256,B185,$I$7:$I$256)&gt;INDEX($O$58:$O$88,DAY(B185))),"Day over "&amp;INDEX($O$58:$O$88,DAY(B185))&amp;" h","✓")))))))))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tr">
        <f aca="false">IF(Projects!B183="","",Projects!B183)</f>
        <v/>
      </c>
      <c r="X185" s="1" t="n">
        <f aca="false">IF(W185="",0,SUMIFS($I$7:$I$256,$D$7:$D$256,W185,$H$7:$H$256,"NTIME"))</f>
        <v>0</v>
      </c>
      <c r="Y185" s="1" t="n">
        <f aca="false">IF(W185="",0,SUMIFS($I$7:$I$256,$D$7:$D$256,W185,$H$7:$H$256,"P6"))</f>
        <v>0</v>
      </c>
      <c r="Z185" s="1" t="n">
        <f aca="false">X185+Y185</f>
        <v>0</v>
      </c>
      <c r="AA185" s="1" t="n">
        <f aca="false">IF(Z185&gt;0,Z185+(201-179)/10^6,0)</f>
        <v>0</v>
      </c>
      <c r="AB185" s="1"/>
      <c r="AC185" s="1"/>
      <c r="AD185" s="1"/>
      <c r="AE185" s="1"/>
      <c r="AF185" s="1"/>
      <c r="AG185" s="1"/>
      <c r="AH185" s="1"/>
    </row>
    <row r="186" customFormat="false" ht="15" hidden="false" customHeight="false" outlineLevel="0" collapsed="false">
      <c r="A186" s="1"/>
      <c r="B186" s="10"/>
      <c r="C186" s="31" t="str">
        <f aca="false">IF(B186="","",TEXT(B186,"ddd"))</f>
        <v/>
      </c>
      <c r="D186" s="11"/>
      <c r="E186" s="8" t="str">
        <f aca="false">IF(D186="","",IFERROR(INDEX(ProjNumbers,MATCH(D186,ProjNames,0)),""))</f>
        <v/>
      </c>
      <c r="F186" s="8" t="str">
        <f aca="false">IF(D186="","",IFERROR(INDEX(ProjCodes,MATCH(D186,ProjNames,0)),""))</f>
        <v/>
      </c>
      <c r="G186" s="32"/>
      <c r="H186" s="11"/>
      <c r="I186" s="33"/>
      <c r="J186" s="8" t="str">
        <f aca="false">IF(COUNTA(B186,D186,G186,H186,I186)=0,"",IF(B186="","Enter date",IF(OR(B186&lt;$AC$2,B186&gt;$AC$3),"Date not in October",IF(D186="","Pick project",IF(ISNA(MATCH(D186,ProjNames,0)),"Project not in list",IF(G186="","Add task description",IF(H186="","Pick NTIME or P6",IF(N(I186)&lt;=0,"Enter hours",IF(AND(AllowOT&lt;&gt;"Yes",SUMIF($B$7:$B$256,B186,$I$7:$I$256)&gt;INDEX($O$58:$O$88,DAY(B186))),"Day over "&amp;INDEX($O$58:$O$88,DAY(B186))&amp;" h","✓")))))))))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tr">
        <f aca="false">IF(Projects!B184="","",Projects!B184)</f>
        <v/>
      </c>
      <c r="X186" s="1" t="n">
        <f aca="false">IF(W186="",0,SUMIFS($I$7:$I$256,$D$7:$D$256,W186,$H$7:$H$256,"NTIME"))</f>
        <v>0</v>
      </c>
      <c r="Y186" s="1" t="n">
        <f aca="false">IF(W186="",0,SUMIFS($I$7:$I$256,$D$7:$D$256,W186,$H$7:$H$256,"P6"))</f>
        <v>0</v>
      </c>
      <c r="Z186" s="1" t="n">
        <f aca="false">X186+Y186</f>
        <v>0</v>
      </c>
      <c r="AA186" s="1" t="n">
        <f aca="false">IF(Z186&gt;0,Z186+(201-180)/10^6,0)</f>
        <v>0</v>
      </c>
      <c r="AB186" s="1"/>
      <c r="AC186" s="1"/>
      <c r="AD186" s="1"/>
      <c r="AE186" s="1"/>
      <c r="AF186" s="1"/>
      <c r="AG186" s="1"/>
      <c r="AH186" s="1"/>
    </row>
    <row r="187" customFormat="false" ht="15" hidden="false" customHeight="false" outlineLevel="0" collapsed="false">
      <c r="A187" s="1"/>
      <c r="B187" s="10"/>
      <c r="C187" s="31" t="str">
        <f aca="false">IF(B187="","",TEXT(B187,"ddd"))</f>
        <v/>
      </c>
      <c r="D187" s="11"/>
      <c r="E187" s="8" t="str">
        <f aca="false">IF(D187="","",IFERROR(INDEX(ProjNumbers,MATCH(D187,ProjNames,0)),""))</f>
        <v/>
      </c>
      <c r="F187" s="8" t="str">
        <f aca="false">IF(D187="","",IFERROR(INDEX(ProjCodes,MATCH(D187,ProjNames,0)),""))</f>
        <v/>
      </c>
      <c r="G187" s="32"/>
      <c r="H187" s="11"/>
      <c r="I187" s="33"/>
      <c r="J187" s="8" t="str">
        <f aca="false">IF(COUNTA(B187,D187,G187,H187,I187)=0,"",IF(B187="","Enter date",IF(OR(B187&lt;$AC$2,B187&gt;$AC$3),"Date not in October",IF(D187="","Pick project",IF(ISNA(MATCH(D187,ProjNames,0)),"Project not in list",IF(G187="","Add task description",IF(H187="","Pick NTIME or P6",IF(N(I187)&lt;=0,"Enter hours",IF(AND(AllowOT&lt;&gt;"Yes",SUMIF($B$7:$B$256,B187,$I$7:$I$256)&gt;INDEX($O$58:$O$88,DAY(B187))),"Day over "&amp;INDEX($O$58:$O$88,DAY(B187))&amp;" h","✓")))))))))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tr">
        <f aca="false">IF(Projects!B185="","",Projects!B185)</f>
        <v/>
      </c>
      <c r="X187" s="1" t="n">
        <f aca="false">IF(W187="",0,SUMIFS($I$7:$I$256,$D$7:$D$256,W187,$H$7:$H$256,"NTIME"))</f>
        <v>0</v>
      </c>
      <c r="Y187" s="1" t="n">
        <f aca="false">IF(W187="",0,SUMIFS($I$7:$I$256,$D$7:$D$256,W187,$H$7:$H$256,"P6"))</f>
        <v>0</v>
      </c>
      <c r="Z187" s="1" t="n">
        <f aca="false">X187+Y187</f>
        <v>0</v>
      </c>
      <c r="AA187" s="1" t="n">
        <f aca="false">IF(Z187&gt;0,Z187+(201-181)/10^6,0)</f>
        <v>0</v>
      </c>
      <c r="AB187" s="1"/>
      <c r="AC187" s="1"/>
      <c r="AD187" s="1"/>
      <c r="AE187" s="1"/>
      <c r="AF187" s="1"/>
      <c r="AG187" s="1"/>
      <c r="AH187" s="1"/>
    </row>
    <row r="188" customFormat="false" ht="15" hidden="false" customHeight="false" outlineLevel="0" collapsed="false">
      <c r="A188" s="1"/>
      <c r="B188" s="10"/>
      <c r="C188" s="31" t="str">
        <f aca="false">IF(B188="","",TEXT(B188,"ddd"))</f>
        <v/>
      </c>
      <c r="D188" s="11"/>
      <c r="E188" s="8" t="str">
        <f aca="false">IF(D188="","",IFERROR(INDEX(ProjNumbers,MATCH(D188,ProjNames,0)),""))</f>
        <v/>
      </c>
      <c r="F188" s="8" t="str">
        <f aca="false">IF(D188="","",IFERROR(INDEX(ProjCodes,MATCH(D188,ProjNames,0)),""))</f>
        <v/>
      </c>
      <c r="G188" s="32"/>
      <c r="H188" s="11"/>
      <c r="I188" s="33"/>
      <c r="J188" s="8" t="str">
        <f aca="false">IF(COUNTA(B188,D188,G188,H188,I188)=0,"",IF(B188="","Enter date",IF(OR(B188&lt;$AC$2,B188&gt;$AC$3),"Date not in October",IF(D188="","Pick project",IF(ISNA(MATCH(D188,ProjNames,0)),"Project not in list",IF(G188="","Add task description",IF(H188="","Pick NTIME or P6",IF(N(I188)&lt;=0,"Enter hours",IF(AND(AllowOT&lt;&gt;"Yes",SUMIF($B$7:$B$256,B188,$I$7:$I$256)&gt;INDEX($O$58:$O$88,DAY(B188))),"Day over "&amp;INDEX($O$58:$O$88,DAY(B188))&amp;" h","✓")))))))))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tr">
        <f aca="false">IF(Projects!B186="","",Projects!B186)</f>
        <v/>
      </c>
      <c r="X188" s="1" t="n">
        <f aca="false">IF(W188="",0,SUMIFS($I$7:$I$256,$D$7:$D$256,W188,$H$7:$H$256,"NTIME"))</f>
        <v>0</v>
      </c>
      <c r="Y188" s="1" t="n">
        <f aca="false">IF(W188="",0,SUMIFS($I$7:$I$256,$D$7:$D$256,W188,$H$7:$H$256,"P6"))</f>
        <v>0</v>
      </c>
      <c r="Z188" s="1" t="n">
        <f aca="false">X188+Y188</f>
        <v>0</v>
      </c>
      <c r="AA188" s="1" t="n">
        <f aca="false">IF(Z188&gt;0,Z188+(201-182)/10^6,0)</f>
        <v>0</v>
      </c>
      <c r="AB188" s="1"/>
      <c r="AC188" s="1"/>
      <c r="AD188" s="1"/>
      <c r="AE188" s="1"/>
      <c r="AF188" s="1"/>
      <c r="AG188" s="1"/>
      <c r="AH188" s="1"/>
    </row>
    <row r="189" customFormat="false" ht="15" hidden="false" customHeight="false" outlineLevel="0" collapsed="false">
      <c r="A189" s="1"/>
      <c r="B189" s="10"/>
      <c r="C189" s="31" t="str">
        <f aca="false">IF(B189="","",TEXT(B189,"ddd"))</f>
        <v/>
      </c>
      <c r="D189" s="11"/>
      <c r="E189" s="8" t="str">
        <f aca="false">IF(D189="","",IFERROR(INDEX(ProjNumbers,MATCH(D189,ProjNames,0)),""))</f>
        <v/>
      </c>
      <c r="F189" s="8" t="str">
        <f aca="false">IF(D189="","",IFERROR(INDEX(ProjCodes,MATCH(D189,ProjNames,0)),""))</f>
        <v/>
      </c>
      <c r="G189" s="32"/>
      <c r="H189" s="11"/>
      <c r="I189" s="33"/>
      <c r="J189" s="8" t="str">
        <f aca="false">IF(COUNTA(B189,D189,G189,H189,I189)=0,"",IF(B189="","Enter date",IF(OR(B189&lt;$AC$2,B189&gt;$AC$3),"Date not in October",IF(D189="","Pick project",IF(ISNA(MATCH(D189,ProjNames,0)),"Project not in list",IF(G189="","Add task description",IF(H189="","Pick NTIME or P6",IF(N(I189)&lt;=0,"Enter hours",IF(AND(AllowOT&lt;&gt;"Yes",SUMIF($B$7:$B$256,B189,$I$7:$I$256)&gt;INDEX($O$58:$O$88,DAY(B189))),"Day over "&amp;INDEX($O$58:$O$88,DAY(B189))&amp;" h","✓")))))))))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tr">
        <f aca="false">IF(Projects!B187="","",Projects!B187)</f>
        <v/>
      </c>
      <c r="X189" s="1" t="n">
        <f aca="false">IF(W189="",0,SUMIFS($I$7:$I$256,$D$7:$D$256,W189,$H$7:$H$256,"NTIME"))</f>
        <v>0</v>
      </c>
      <c r="Y189" s="1" t="n">
        <f aca="false">IF(W189="",0,SUMIFS($I$7:$I$256,$D$7:$D$256,W189,$H$7:$H$256,"P6"))</f>
        <v>0</v>
      </c>
      <c r="Z189" s="1" t="n">
        <f aca="false">X189+Y189</f>
        <v>0</v>
      </c>
      <c r="AA189" s="1" t="n">
        <f aca="false">IF(Z189&gt;0,Z189+(201-183)/10^6,0)</f>
        <v>0</v>
      </c>
      <c r="AB189" s="1"/>
      <c r="AC189" s="1"/>
      <c r="AD189" s="1"/>
      <c r="AE189" s="1"/>
      <c r="AF189" s="1"/>
      <c r="AG189" s="1"/>
      <c r="AH189" s="1"/>
    </row>
    <row r="190" customFormat="false" ht="15" hidden="false" customHeight="false" outlineLevel="0" collapsed="false">
      <c r="A190" s="1"/>
      <c r="B190" s="10"/>
      <c r="C190" s="31" t="str">
        <f aca="false">IF(B190="","",TEXT(B190,"ddd"))</f>
        <v/>
      </c>
      <c r="D190" s="11"/>
      <c r="E190" s="8" t="str">
        <f aca="false">IF(D190="","",IFERROR(INDEX(ProjNumbers,MATCH(D190,ProjNames,0)),""))</f>
        <v/>
      </c>
      <c r="F190" s="8" t="str">
        <f aca="false">IF(D190="","",IFERROR(INDEX(ProjCodes,MATCH(D190,ProjNames,0)),""))</f>
        <v/>
      </c>
      <c r="G190" s="32"/>
      <c r="H190" s="11"/>
      <c r="I190" s="33"/>
      <c r="J190" s="8" t="str">
        <f aca="false">IF(COUNTA(B190,D190,G190,H190,I190)=0,"",IF(B190="","Enter date",IF(OR(B190&lt;$AC$2,B190&gt;$AC$3),"Date not in October",IF(D190="","Pick project",IF(ISNA(MATCH(D190,ProjNames,0)),"Project not in list",IF(G190="","Add task description",IF(H190="","Pick NTIME or P6",IF(N(I190)&lt;=0,"Enter hours",IF(AND(AllowOT&lt;&gt;"Yes",SUMIF($B$7:$B$256,B190,$I$7:$I$256)&gt;INDEX($O$58:$O$88,DAY(B190))),"Day over "&amp;INDEX($O$58:$O$88,DAY(B190))&amp;" h","✓")))))))))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tr">
        <f aca="false">IF(Projects!B188="","",Projects!B188)</f>
        <v/>
      </c>
      <c r="X190" s="1" t="n">
        <f aca="false">IF(W190="",0,SUMIFS($I$7:$I$256,$D$7:$D$256,W190,$H$7:$H$256,"NTIME"))</f>
        <v>0</v>
      </c>
      <c r="Y190" s="1" t="n">
        <f aca="false">IF(W190="",0,SUMIFS($I$7:$I$256,$D$7:$D$256,W190,$H$7:$H$256,"P6"))</f>
        <v>0</v>
      </c>
      <c r="Z190" s="1" t="n">
        <f aca="false">X190+Y190</f>
        <v>0</v>
      </c>
      <c r="AA190" s="1" t="n">
        <f aca="false">IF(Z190&gt;0,Z190+(201-184)/10^6,0)</f>
        <v>0</v>
      </c>
      <c r="AB190" s="1"/>
      <c r="AC190" s="1"/>
      <c r="AD190" s="1"/>
      <c r="AE190" s="1"/>
      <c r="AF190" s="1"/>
      <c r="AG190" s="1"/>
      <c r="AH190" s="1"/>
    </row>
    <row r="191" customFormat="false" ht="15" hidden="false" customHeight="false" outlineLevel="0" collapsed="false">
      <c r="A191" s="1"/>
      <c r="B191" s="10"/>
      <c r="C191" s="31" t="str">
        <f aca="false">IF(B191="","",TEXT(B191,"ddd"))</f>
        <v/>
      </c>
      <c r="D191" s="11"/>
      <c r="E191" s="8" t="str">
        <f aca="false">IF(D191="","",IFERROR(INDEX(ProjNumbers,MATCH(D191,ProjNames,0)),""))</f>
        <v/>
      </c>
      <c r="F191" s="8" t="str">
        <f aca="false">IF(D191="","",IFERROR(INDEX(ProjCodes,MATCH(D191,ProjNames,0)),""))</f>
        <v/>
      </c>
      <c r="G191" s="32"/>
      <c r="H191" s="11"/>
      <c r="I191" s="33"/>
      <c r="J191" s="8" t="str">
        <f aca="false">IF(COUNTA(B191,D191,G191,H191,I191)=0,"",IF(B191="","Enter date",IF(OR(B191&lt;$AC$2,B191&gt;$AC$3),"Date not in October",IF(D191="","Pick project",IF(ISNA(MATCH(D191,ProjNames,0)),"Project not in list",IF(G191="","Add task description",IF(H191="","Pick NTIME or P6",IF(N(I191)&lt;=0,"Enter hours",IF(AND(AllowOT&lt;&gt;"Yes",SUMIF($B$7:$B$256,B191,$I$7:$I$256)&gt;INDEX($O$58:$O$88,DAY(B191))),"Day over "&amp;INDEX($O$58:$O$88,DAY(B191))&amp;" h","✓")))))))))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tr">
        <f aca="false">IF(Projects!B189="","",Projects!B189)</f>
        <v/>
      </c>
      <c r="X191" s="1" t="n">
        <f aca="false">IF(W191="",0,SUMIFS($I$7:$I$256,$D$7:$D$256,W191,$H$7:$H$256,"NTIME"))</f>
        <v>0</v>
      </c>
      <c r="Y191" s="1" t="n">
        <f aca="false">IF(W191="",0,SUMIFS($I$7:$I$256,$D$7:$D$256,W191,$H$7:$H$256,"P6"))</f>
        <v>0</v>
      </c>
      <c r="Z191" s="1" t="n">
        <f aca="false">X191+Y191</f>
        <v>0</v>
      </c>
      <c r="AA191" s="1" t="n">
        <f aca="false">IF(Z191&gt;0,Z191+(201-185)/10^6,0)</f>
        <v>0</v>
      </c>
      <c r="AB191" s="1"/>
      <c r="AC191" s="1"/>
      <c r="AD191" s="1"/>
      <c r="AE191" s="1"/>
      <c r="AF191" s="1"/>
      <c r="AG191" s="1"/>
      <c r="AH191" s="1"/>
    </row>
    <row r="192" customFormat="false" ht="15" hidden="false" customHeight="false" outlineLevel="0" collapsed="false">
      <c r="A192" s="1"/>
      <c r="B192" s="10"/>
      <c r="C192" s="31" t="str">
        <f aca="false">IF(B192="","",TEXT(B192,"ddd"))</f>
        <v/>
      </c>
      <c r="D192" s="11"/>
      <c r="E192" s="8" t="str">
        <f aca="false">IF(D192="","",IFERROR(INDEX(ProjNumbers,MATCH(D192,ProjNames,0)),""))</f>
        <v/>
      </c>
      <c r="F192" s="8" t="str">
        <f aca="false">IF(D192="","",IFERROR(INDEX(ProjCodes,MATCH(D192,ProjNames,0)),""))</f>
        <v/>
      </c>
      <c r="G192" s="32"/>
      <c r="H192" s="11"/>
      <c r="I192" s="33"/>
      <c r="J192" s="8" t="str">
        <f aca="false">IF(COUNTA(B192,D192,G192,H192,I192)=0,"",IF(B192="","Enter date",IF(OR(B192&lt;$AC$2,B192&gt;$AC$3),"Date not in October",IF(D192="","Pick project",IF(ISNA(MATCH(D192,ProjNames,0)),"Project not in list",IF(G192="","Add task description",IF(H192="","Pick NTIME or P6",IF(N(I192)&lt;=0,"Enter hours",IF(AND(AllowOT&lt;&gt;"Yes",SUMIF($B$7:$B$256,B192,$I$7:$I$256)&gt;INDEX($O$58:$O$88,DAY(B192))),"Day over "&amp;INDEX($O$58:$O$88,DAY(B192))&amp;" h","✓")))))))))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tr">
        <f aca="false">IF(Projects!B190="","",Projects!B190)</f>
        <v/>
      </c>
      <c r="X192" s="1" t="n">
        <f aca="false">IF(W192="",0,SUMIFS($I$7:$I$256,$D$7:$D$256,W192,$H$7:$H$256,"NTIME"))</f>
        <v>0</v>
      </c>
      <c r="Y192" s="1" t="n">
        <f aca="false">IF(W192="",0,SUMIFS($I$7:$I$256,$D$7:$D$256,W192,$H$7:$H$256,"P6"))</f>
        <v>0</v>
      </c>
      <c r="Z192" s="1" t="n">
        <f aca="false">X192+Y192</f>
        <v>0</v>
      </c>
      <c r="AA192" s="1" t="n">
        <f aca="false">IF(Z192&gt;0,Z192+(201-186)/10^6,0)</f>
        <v>0</v>
      </c>
      <c r="AB192" s="1"/>
      <c r="AC192" s="1"/>
      <c r="AD192" s="1"/>
      <c r="AE192" s="1"/>
      <c r="AF192" s="1"/>
      <c r="AG192" s="1"/>
      <c r="AH192" s="1"/>
    </row>
    <row r="193" customFormat="false" ht="15" hidden="false" customHeight="false" outlineLevel="0" collapsed="false">
      <c r="A193" s="1"/>
      <c r="B193" s="10"/>
      <c r="C193" s="31" t="str">
        <f aca="false">IF(B193="","",TEXT(B193,"ddd"))</f>
        <v/>
      </c>
      <c r="D193" s="11"/>
      <c r="E193" s="8" t="str">
        <f aca="false">IF(D193="","",IFERROR(INDEX(ProjNumbers,MATCH(D193,ProjNames,0)),""))</f>
        <v/>
      </c>
      <c r="F193" s="8" t="str">
        <f aca="false">IF(D193="","",IFERROR(INDEX(ProjCodes,MATCH(D193,ProjNames,0)),""))</f>
        <v/>
      </c>
      <c r="G193" s="32"/>
      <c r="H193" s="11"/>
      <c r="I193" s="33"/>
      <c r="J193" s="8" t="str">
        <f aca="false">IF(COUNTA(B193,D193,G193,H193,I193)=0,"",IF(B193="","Enter date",IF(OR(B193&lt;$AC$2,B193&gt;$AC$3),"Date not in October",IF(D193="","Pick project",IF(ISNA(MATCH(D193,ProjNames,0)),"Project not in list",IF(G193="","Add task description",IF(H193="","Pick NTIME or P6",IF(N(I193)&lt;=0,"Enter hours",IF(AND(AllowOT&lt;&gt;"Yes",SUMIF($B$7:$B$256,B193,$I$7:$I$256)&gt;INDEX($O$58:$O$88,DAY(B193))),"Day over "&amp;INDEX($O$58:$O$88,DAY(B193))&amp;" h","✓")))))))))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tr">
        <f aca="false">IF(Projects!B191="","",Projects!B191)</f>
        <v/>
      </c>
      <c r="X193" s="1" t="n">
        <f aca="false">IF(W193="",0,SUMIFS($I$7:$I$256,$D$7:$D$256,W193,$H$7:$H$256,"NTIME"))</f>
        <v>0</v>
      </c>
      <c r="Y193" s="1" t="n">
        <f aca="false">IF(W193="",0,SUMIFS($I$7:$I$256,$D$7:$D$256,W193,$H$7:$H$256,"P6"))</f>
        <v>0</v>
      </c>
      <c r="Z193" s="1" t="n">
        <f aca="false">X193+Y193</f>
        <v>0</v>
      </c>
      <c r="AA193" s="1" t="n">
        <f aca="false">IF(Z193&gt;0,Z193+(201-187)/10^6,0)</f>
        <v>0</v>
      </c>
      <c r="AB193" s="1"/>
      <c r="AC193" s="1"/>
      <c r="AD193" s="1"/>
      <c r="AE193" s="1"/>
      <c r="AF193" s="1"/>
      <c r="AG193" s="1"/>
      <c r="AH193" s="1"/>
    </row>
    <row r="194" customFormat="false" ht="15" hidden="false" customHeight="false" outlineLevel="0" collapsed="false">
      <c r="A194" s="1"/>
      <c r="B194" s="10"/>
      <c r="C194" s="31" t="str">
        <f aca="false">IF(B194="","",TEXT(B194,"ddd"))</f>
        <v/>
      </c>
      <c r="D194" s="11"/>
      <c r="E194" s="8" t="str">
        <f aca="false">IF(D194="","",IFERROR(INDEX(ProjNumbers,MATCH(D194,ProjNames,0)),""))</f>
        <v/>
      </c>
      <c r="F194" s="8" t="str">
        <f aca="false">IF(D194="","",IFERROR(INDEX(ProjCodes,MATCH(D194,ProjNames,0)),""))</f>
        <v/>
      </c>
      <c r="G194" s="32"/>
      <c r="H194" s="11"/>
      <c r="I194" s="33"/>
      <c r="J194" s="8" t="str">
        <f aca="false">IF(COUNTA(B194,D194,G194,H194,I194)=0,"",IF(B194="","Enter date",IF(OR(B194&lt;$AC$2,B194&gt;$AC$3),"Date not in October",IF(D194="","Pick project",IF(ISNA(MATCH(D194,ProjNames,0)),"Project not in list",IF(G194="","Add task description",IF(H194="","Pick NTIME or P6",IF(N(I194)&lt;=0,"Enter hours",IF(AND(AllowOT&lt;&gt;"Yes",SUMIF($B$7:$B$256,B194,$I$7:$I$256)&gt;INDEX($O$58:$O$88,DAY(B194))),"Day over "&amp;INDEX($O$58:$O$88,DAY(B194))&amp;" h","✓")))))))))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tr">
        <f aca="false">IF(Projects!B192="","",Projects!B192)</f>
        <v/>
      </c>
      <c r="X194" s="1" t="n">
        <f aca="false">IF(W194="",0,SUMIFS($I$7:$I$256,$D$7:$D$256,W194,$H$7:$H$256,"NTIME"))</f>
        <v>0</v>
      </c>
      <c r="Y194" s="1" t="n">
        <f aca="false">IF(W194="",0,SUMIFS($I$7:$I$256,$D$7:$D$256,W194,$H$7:$H$256,"P6"))</f>
        <v>0</v>
      </c>
      <c r="Z194" s="1" t="n">
        <f aca="false">X194+Y194</f>
        <v>0</v>
      </c>
      <c r="AA194" s="1" t="n">
        <f aca="false">IF(Z194&gt;0,Z194+(201-188)/10^6,0)</f>
        <v>0</v>
      </c>
      <c r="AB194" s="1"/>
      <c r="AC194" s="1"/>
      <c r="AD194" s="1"/>
      <c r="AE194" s="1"/>
      <c r="AF194" s="1"/>
      <c r="AG194" s="1"/>
      <c r="AH194" s="1"/>
    </row>
    <row r="195" customFormat="false" ht="15" hidden="false" customHeight="false" outlineLevel="0" collapsed="false">
      <c r="A195" s="1"/>
      <c r="B195" s="10"/>
      <c r="C195" s="31" t="str">
        <f aca="false">IF(B195="","",TEXT(B195,"ddd"))</f>
        <v/>
      </c>
      <c r="D195" s="11"/>
      <c r="E195" s="8" t="str">
        <f aca="false">IF(D195="","",IFERROR(INDEX(ProjNumbers,MATCH(D195,ProjNames,0)),""))</f>
        <v/>
      </c>
      <c r="F195" s="8" t="str">
        <f aca="false">IF(D195="","",IFERROR(INDEX(ProjCodes,MATCH(D195,ProjNames,0)),""))</f>
        <v/>
      </c>
      <c r="G195" s="32"/>
      <c r="H195" s="11"/>
      <c r="I195" s="33"/>
      <c r="J195" s="8" t="str">
        <f aca="false">IF(COUNTA(B195,D195,G195,H195,I195)=0,"",IF(B195="","Enter date",IF(OR(B195&lt;$AC$2,B195&gt;$AC$3),"Date not in October",IF(D195="","Pick project",IF(ISNA(MATCH(D195,ProjNames,0)),"Project not in list",IF(G195="","Add task description",IF(H195="","Pick NTIME or P6",IF(N(I195)&lt;=0,"Enter hours",IF(AND(AllowOT&lt;&gt;"Yes",SUMIF($B$7:$B$256,B195,$I$7:$I$256)&gt;INDEX($O$58:$O$88,DAY(B195))),"Day over "&amp;INDEX($O$58:$O$88,DAY(B195))&amp;" h","✓")))))))))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tr">
        <f aca="false">IF(Projects!B193="","",Projects!B193)</f>
        <v/>
      </c>
      <c r="X195" s="1" t="n">
        <f aca="false">IF(W195="",0,SUMIFS($I$7:$I$256,$D$7:$D$256,W195,$H$7:$H$256,"NTIME"))</f>
        <v>0</v>
      </c>
      <c r="Y195" s="1" t="n">
        <f aca="false">IF(W195="",0,SUMIFS($I$7:$I$256,$D$7:$D$256,W195,$H$7:$H$256,"P6"))</f>
        <v>0</v>
      </c>
      <c r="Z195" s="1" t="n">
        <f aca="false">X195+Y195</f>
        <v>0</v>
      </c>
      <c r="AA195" s="1" t="n">
        <f aca="false">IF(Z195&gt;0,Z195+(201-189)/10^6,0)</f>
        <v>0</v>
      </c>
      <c r="AB195" s="1"/>
      <c r="AC195" s="1"/>
      <c r="AD195" s="1"/>
      <c r="AE195" s="1"/>
      <c r="AF195" s="1"/>
      <c r="AG195" s="1"/>
      <c r="AH195" s="1"/>
    </row>
    <row r="196" customFormat="false" ht="15" hidden="false" customHeight="false" outlineLevel="0" collapsed="false">
      <c r="A196" s="1"/>
      <c r="B196" s="10"/>
      <c r="C196" s="31" t="str">
        <f aca="false">IF(B196="","",TEXT(B196,"ddd"))</f>
        <v/>
      </c>
      <c r="D196" s="11"/>
      <c r="E196" s="8" t="str">
        <f aca="false">IF(D196="","",IFERROR(INDEX(ProjNumbers,MATCH(D196,ProjNames,0)),""))</f>
        <v/>
      </c>
      <c r="F196" s="8" t="str">
        <f aca="false">IF(D196="","",IFERROR(INDEX(ProjCodes,MATCH(D196,ProjNames,0)),""))</f>
        <v/>
      </c>
      <c r="G196" s="32"/>
      <c r="H196" s="11"/>
      <c r="I196" s="33"/>
      <c r="J196" s="8" t="str">
        <f aca="false">IF(COUNTA(B196,D196,G196,H196,I196)=0,"",IF(B196="","Enter date",IF(OR(B196&lt;$AC$2,B196&gt;$AC$3),"Date not in October",IF(D196="","Pick project",IF(ISNA(MATCH(D196,ProjNames,0)),"Project not in list",IF(G196="","Add task description",IF(H196="","Pick NTIME or P6",IF(N(I196)&lt;=0,"Enter hours",IF(AND(AllowOT&lt;&gt;"Yes",SUMIF($B$7:$B$256,B196,$I$7:$I$256)&gt;INDEX($O$58:$O$88,DAY(B196))),"Day over "&amp;INDEX($O$58:$O$88,DAY(B196))&amp;" h","✓")))))))))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tr">
        <f aca="false">IF(Projects!B194="","",Projects!B194)</f>
        <v/>
      </c>
      <c r="X196" s="1" t="n">
        <f aca="false">IF(W196="",0,SUMIFS($I$7:$I$256,$D$7:$D$256,W196,$H$7:$H$256,"NTIME"))</f>
        <v>0</v>
      </c>
      <c r="Y196" s="1" t="n">
        <f aca="false">IF(W196="",0,SUMIFS($I$7:$I$256,$D$7:$D$256,W196,$H$7:$H$256,"P6"))</f>
        <v>0</v>
      </c>
      <c r="Z196" s="1" t="n">
        <f aca="false">X196+Y196</f>
        <v>0</v>
      </c>
      <c r="AA196" s="1" t="n">
        <f aca="false">IF(Z196&gt;0,Z196+(201-190)/10^6,0)</f>
        <v>0</v>
      </c>
      <c r="AB196" s="1"/>
      <c r="AC196" s="1"/>
      <c r="AD196" s="1"/>
      <c r="AE196" s="1"/>
      <c r="AF196" s="1"/>
      <c r="AG196" s="1"/>
      <c r="AH196" s="1"/>
    </row>
    <row r="197" customFormat="false" ht="15" hidden="false" customHeight="false" outlineLevel="0" collapsed="false">
      <c r="A197" s="1"/>
      <c r="B197" s="10"/>
      <c r="C197" s="31" t="str">
        <f aca="false">IF(B197="","",TEXT(B197,"ddd"))</f>
        <v/>
      </c>
      <c r="D197" s="11"/>
      <c r="E197" s="8" t="str">
        <f aca="false">IF(D197="","",IFERROR(INDEX(ProjNumbers,MATCH(D197,ProjNames,0)),""))</f>
        <v/>
      </c>
      <c r="F197" s="8" t="str">
        <f aca="false">IF(D197="","",IFERROR(INDEX(ProjCodes,MATCH(D197,ProjNames,0)),""))</f>
        <v/>
      </c>
      <c r="G197" s="32"/>
      <c r="H197" s="11"/>
      <c r="I197" s="33"/>
      <c r="J197" s="8" t="str">
        <f aca="false">IF(COUNTA(B197,D197,G197,H197,I197)=0,"",IF(B197="","Enter date",IF(OR(B197&lt;$AC$2,B197&gt;$AC$3),"Date not in October",IF(D197="","Pick project",IF(ISNA(MATCH(D197,ProjNames,0)),"Project not in list",IF(G197="","Add task description",IF(H197="","Pick NTIME or P6",IF(N(I197)&lt;=0,"Enter hours",IF(AND(AllowOT&lt;&gt;"Yes",SUMIF($B$7:$B$256,B197,$I$7:$I$256)&gt;INDEX($O$58:$O$88,DAY(B197))),"Day over "&amp;INDEX($O$58:$O$88,DAY(B197))&amp;" h","✓")))))))))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tr">
        <f aca="false">IF(Projects!B195="","",Projects!B195)</f>
        <v/>
      </c>
      <c r="X197" s="1" t="n">
        <f aca="false">IF(W197="",0,SUMIFS($I$7:$I$256,$D$7:$D$256,W197,$H$7:$H$256,"NTIME"))</f>
        <v>0</v>
      </c>
      <c r="Y197" s="1" t="n">
        <f aca="false">IF(W197="",0,SUMIFS($I$7:$I$256,$D$7:$D$256,W197,$H$7:$H$256,"P6"))</f>
        <v>0</v>
      </c>
      <c r="Z197" s="1" t="n">
        <f aca="false">X197+Y197</f>
        <v>0</v>
      </c>
      <c r="AA197" s="1" t="n">
        <f aca="false">IF(Z197&gt;0,Z197+(201-191)/10^6,0)</f>
        <v>0</v>
      </c>
      <c r="AB197" s="1"/>
      <c r="AC197" s="1"/>
      <c r="AD197" s="1"/>
      <c r="AE197" s="1"/>
      <c r="AF197" s="1"/>
      <c r="AG197" s="1"/>
      <c r="AH197" s="1"/>
    </row>
    <row r="198" customFormat="false" ht="15" hidden="false" customHeight="false" outlineLevel="0" collapsed="false">
      <c r="A198" s="1"/>
      <c r="B198" s="10"/>
      <c r="C198" s="31" t="str">
        <f aca="false">IF(B198="","",TEXT(B198,"ddd"))</f>
        <v/>
      </c>
      <c r="D198" s="11"/>
      <c r="E198" s="8" t="str">
        <f aca="false">IF(D198="","",IFERROR(INDEX(ProjNumbers,MATCH(D198,ProjNames,0)),""))</f>
        <v/>
      </c>
      <c r="F198" s="8" t="str">
        <f aca="false">IF(D198="","",IFERROR(INDEX(ProjCodes,MATCH(D198,ProjNames,0)),""))</f>
        <v/>
      </c>
      <c r="G198" s="32"/>
      <c r="H198" s="11"/>
      <c r="I198" s="33"/>
      <c r="J198" s="8" t="str">
        <f aca="false">IF(COUNTA(B198,D198,G198,H198,I198)=0,"",IF(B198="","Enter date",IF(OR(B198&lt;$AC$2,B198&gt;$AC$3),"Date not in October",IF(D198="","Pick project",IF(ISNA(MATCH(D198,ProjNames,0)),"Project not in list",IF(G198="","Add task description",IF(H198="","Pick NTIME or P6",IF(N(I198)&lt;=0,"Enter hours",IF(AND(AllowOT&lt;&gt;"Yes",SUMIF($B$7:$B$256,B198,$I$7:$I$256)&gt;INDEX($O$58:$O$88,DAY(B198))),"Day over "&amp;INDEX($O$58:$O$88,DAY(B198))&amp;" h","✓")))))))))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tr">
        <f aca="false">IF(Projects!B196="","",Projects!B196)</f>
        <v/>
      </c>
      <c r="X198" s="1" t="n">
        <f aca="false">IF(W198="",0,SUMIFS($I$7:$I$256,$D$7:$D$256,W198,$H$7:$H$256,"NTIME"))</f>
        <v>0</v>
      </c>
      <c r="Y198" s="1" t="n">
        <f aca="false">IF(W198="",0,SUMIFS($I$7:$I$256,$D$7:$D$256,W198,$H$7:$H$256,"P6"))</f>
        <v>0</v>
      </c>
      <c r="Z198" s="1" t="n">
        <f aca="false">X198+Y198</f>
        <v>0</v>
      </c>
      <c r="AA198" s="1" t="n">
        <f aca="false">IF(Z198&gt;0,Z198+(201-192)/10^6,0)</f>
        <v>0</v>
      </c>
      <c r="AB198" s="1"/>
      <c r="AC198" s="1"/>
      <c r="AD198" s="1"/>
      <c r="AE198" s="1"/>
      <c r="AF198" s="1"/>
      <c r="AG198" s="1"/>
      <c r="AH198" s="1"/>
    </row>
    <row r="199" customFormat="false" ht="15" hidden="false" customHeight="false" outlineLevel="0" collapsed="false">
      <c r="A199" s="1"/>
      <c r="B199" s="10"/>
      <c r="C199" s="31" t="str">
        <f aca="false">IF(B199="","",TEXT(B199,"ddd"))</f>
        <v/>
      </c>
      <c r="D199" s="11"/>
      <c r="E199" s="8" t="str">
        <f aca="false">IF(D199="","",IFERROR(INDEX(ProjNumbers,MATCH(D199,ProjNames,0)),""))</f>
        <v/>
      </c>
      <c r="F199" s="8" t="str">
        <f aca="false">IF(D199="","",IFERROR(INDEX(ProjCodes,MATCH(D199,ProjNames,0)),""))</f>
        <v/>
      </c>
      <c r="G199" s="32"/>
      <c r="H199" s="11"/>
      <c r="I199" s="33"/>
      <c r="J199" s="8" t="str">
        <f aca="false">IF(COUNTA(B199,D199,G199,H199,I199)=0,"",IF(B199="","Enter date",IF(OR(B199&lt;$AC$2,B199&gt;$AC$3),"Date not in October",IF(D199="","Pick project",IF(ISNA(MATCH(D199,ProjNames,0)),"Project not in list",IF(G199="","Add task description",IF(H199="","Pick NTIME or P6",IF(N(I199)&lt;=0,"Enter hours",IF(AND(AllowOT&lt;&gt;"Yes",SUMIF($B$7:$B$256,B199,$I$7:$I$256)&gt;INDEX($O$58:$O$88,DAY(B199))),"Day over "&amp;INDEX($O$58:$O$88,DAY(B199))&amp;" h","✓")))))))))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tr">
        <f aca="false">IF(Projects!B197="","",Projects!B197)</f>
        <v/>
      </c>
      <c r="X199" s="1" t="n">
        <f aca="false">IF(W199="",0,SUMIFS($I$7:$I$256,$D$7:$D$256,W199,$H$7:$H$256,"NTIME"))</f>
        <v>0</v>
      </c>
      <c r="Y199" s="1" t="n">
        <f aca="false">IF(W199="",0,SUMIFS($I$7:$I$256,$D$7:$D$256,W199,$H$7:$H$256,"P6"))</f>
        <v>0</v>
      </c>
      <c r="Z199" s="1" t="n">
        <f aca="false">X199+Y199</f>
        <v>0</v>
      </c>
      <c r="AA199" s="1" t="n">
        <f aca="false">IF(Z199&gt;0,Z199+(201-193)/10^6,0)</f>
        <v>0</v>
      </c>
      <c r="AB199" s="1"/>
      <c r="AC199" s="1"/>
      <c r="AD199" s="1"/>
      <c r="AE199" s="1"/>
      <c r="AF199" s="1"/>
      <c r="AG199" s="1"/>
      <c r="AH199" s="1"/>
    </row>
    <row r="200" customFormat="false" ht="15" hidden="false" customHeight="false" outlineLevel="0" collapsed="false">
      <c r="A200" s="1"/>
      <c r="B200" s="10"/>
      <c r="C200" s="31" t="str">
        <f aca="false">IF(B200="","",TEXT(B200,"ddd"))</f>
        <v/>
      </c>
      <c r="D200" s="11"/>
      <c r="E200" s="8" t="str">
        <f aca="false">IF(D200="","",IFERROR(INDEX(ProjNumbers,MATCH(D200,ProjNames,0)),""))</f>
        <v/>
      </c>
      <c r="F200" s="8" t="str">
        <f aca="false">IF(D200="","",IFERROR(INDEX(ProjCodes,MATCH(D200,ProjNames,0)),""))</f>
        <v/>
      </c>
      <c r="G200" s="32"/>
      <c r="H200" s="11"/>
      <c r="I200" s="33"/>
      <c r="J200" s="8" t="str">
        <f aca="false">IF(COUNTA(B200,D200,G200,H200,I200)=0,"",IF(B200="","Enter date",IF(OR(B200&lt;$AC$2,B200&gt;$AC$3),"Date not in October",IF(D200="","Pick project",IF(ISNA(MATCH(D200,ProjNames,0)),"Project not in list",IF(G200="","Add task description",IF(H200="","Pick NTIME or P6",IF(N(I200)&lt;=0,"Enter hours",IF(AND(AllowOT&lt;&gt;"Yes",SUMIF($B$7:$B$256,B200,$I$7:$I$256)&gt;INDEX($O$58:$O$88,DAY(B200))),"Day over "&amp;INDEX($O$58:$O$88,DAY(B200))&amp;" h","✓")))))))))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tr">
        <f aca="false">IF(Projects!B198="","",Projects!B198)</f>
        <v/>
      </c>
      <c r="X200" s="1" t="n">
        <f aca="false">IF(W200="",0,SUMIFS($I$7:$I$256,$D$7:$D$256,W200,$H$7:$H$256,"NTIME"))</f>
        <v>0</v>
      </c>
      <c r="Y200" s="1" t="n">
        <f aca="false">IF(W200="",0,SUMIFS($I$7:$I$256,$D$7:$D$256,W200,$H$7:$H$256,"P6"))</f>
        <v>0</v>
      </c>
      <c r="Z200" s="1" t="n">
        <f aca="false">X200+Y200</f>
        <v>0</v>
      </c>
      <c r="AA200" s="1" t="n">
        <f aca="false">IF(Z200&gt;0,Z200+(201-194)/10^6,0)</f>
        <v>0</v>
      </c>
      <c r="AB200" s="1"/>
      <c r="AC200" s="1"/>
      <c r="AD200" s="1"/>
      <c r="AE200" s="1"/>
      <c r="AF200" s="1"/>
      <c r="AG200" s="1"/>
      <c r="AH200" s="1"/>
    </row>
    <row r="201" customFormat="false" ht="15" hidden="false" customHeight="false" outlineLevel="0" collapsed="false">
      <c r="A201" s="1"/>
      <c r="B201" s="10"/>
      <c r="C201" s="31" t="str">
        <f aca="false">IF(B201="","",TEXT(B201,"ddd"))</f>
        <v/>
      </c>
      <c r="D201" s="11"/>
      <c r="E201" s="8" t="str">
        <f aca="false">IF(D201="","",IFERROR(INDEX(ProjNumbers,MATCH(D201,ProjNames,0)),""))</f>
        <v/>
      </c>
      <c r="F201" s="8" t="str">
        <f aca="false">IF(D201="","",IFERROR(INDEX(ProjCodes,MATCH(D201,ProjNames,0)),""))</f>
        <v/>
      </c>
      <c r="G201" s="32"/>
      <c r="H201" s="11"/>
      <c r="I201" s="33"/>
      <c r="J201" s="8" t="str">
        <f aca="false">IF(COUNTA(B201,D201,G201,H201,I201)=0,"",IF(B201="","Enter date",IF(OR(B201&lt;$AC$2,B201&gt;$AC$3),"Date not in October",IF(D201="","Pick project",IF(ISNA(MATCH(D201,ProjNames,0)),"Project not in list",IF(G201="","Add task description",IF(H201="","Pick NTIME or P6",IF(N(I201)&lt;=0,"Enter hours",IF(AND(AllowOT&lt;&gt;"Yes",SUMIF($B$7:$B$256,B201,$I$7:$I$256)&gt;INDEX($O$58:$O$88,DAY(B201))),"Day over "&amp;INDEX($O$58:$O$88,DAY(B201))&amp;" h","✓")))))))))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tr">
        <f aca="false">IF(Projects!B199="","",Projects!B199)</f>
        <v/>
      </c>
      <c r="X201" s="1" t="n">
        <f aca="false">IF(W201="",0,SUMIFS($I$7:$I$256,$D$7:$D$256,W201,$H$7:$H$256,"NTIME"))</f>
        <v>0</v>
      </c>
      <c r="Y201" s="1" t="n">
        <f aca="false">IF(W201="",0,SUMIFS($I$7:$I$256,$D$7:$D$256,W201,$H$7:$H$256,"P6"))</f>
        <v>0</v>
      </c>
      <c r="Z201" s="1" t="n">
        <f aca="false">X201+Y201</f>
        <v>0</v>
      </c>
      <c r="AA201" s="1" t="n">
        <f aca="false">IF(Z201&gt;0,Z201+(201-195)/10^6,0)</f>
        <v>0</v>
      </c>
      <c r="AB201" s="1"/>
      <c r="AC201" s="1"/>
      <c r="AD201" s="1"/>
      <c r="AE201" s="1"/>
      <c r="AF201" s="1"/>
      <c r="AG201" s="1"/>
      <c r="AH201" s="1"/>
    </row>
    <row r="202" customFormat="false" ht="15" hidden="false" customHeight="false" outlineLevel="0" collapsed="false">
      <c r="A202" s="1"/>
      <c r="B202" s="10"/>
      <c r="C202" s="31" t="str">
        <f aca="false">IF(B202="","",TEXT(B202,"ddd"))</f>
        <v/>
      </c>
      <c r="D202" s="11"/>
      <c r="E202" s="8" t="str">
        <f aca="false">IF(D202="","",IFERROR(INDEX(ProjNumbers,MATCH(D202,ProjNames,0)),""))</f>
        <v/>
      </c>
      <c r="F202" s="8" t="str">
        <f aca="false">IF(D202="","",IFERROR(INDEX(ProjCodes,MATCH(D202,ProjNames,0)),""))</f>
        <v/>
      </c>
      <c r="G202" s="32"/>
      <c r="H202" s="11"/>
      <c r="I202" s="33"/>
      <c r="J202" s="8" t="str">
        <f aca="false">IF(COUNTA(B202,D202,G202,H202,I202)=0,"",IF(B202="","Enter date",IF(OR(B202&lt;$AC$2,B202&gt;$AC$3),"Date not in October",IF(D202="","Pick project",IF(ISNA(MATCH(D202,ProjNames,0)),"Project not in list",IF(G202="","Add task description",IF(H202="","Pick NTIME or P6",IF(N(I202)&lt;=0,"Enter hours",IF(AND(AllowOT&lt;&gt;"Yes",SUMIF($B$7:$B$256,B202,$I$7:$I$256)&gt;INDEX($O$58:$O$88,DAY(B202))),"Day over "&amp;INDEX($O$58:$O$88,DAY(B202))&amp;" h","✓")))))))))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tr">
        <f aca="false">IF(Projects!B200="","",Projects!B200)</f>
        <v/>
      </c>
      <c r="X202" s="1" t="n">
        <f aca="false">IF(W202="",0,SUMIFS($I$7:$I$256,$D$7:$D$256,W202,$H$7:$H$256,"NTIME"))</f>
        <v>0</v>
      </c>
      <c r="Y202" s="1" t="n">
        <f aca="false">IF(W202="",0,SUMIFS($I$7:$I$256,$D$7:$D$256,W202,$H$7:$H$256,"P6"))</f>
        <v>0</v>
      </c>
      <c r="Z202" s="1" t="n">
        <f aca="false">X202+Y202</f>
        <v>0</v>
      </c>
      <c r="AA202" s="1" t="n">
        <f aca="false">IF(Z202&gt;0,Z202+(201-196)/10^6,0)</f>
        <v>0</v>
      </c>
      <c r="AB202" s="1"/>
      <c r="AC202" s="1"/>
      <c r="AD202" s="1"/>
      <c r="AE202" s="1"/>
      <c r="AF202" s="1"/>
      <c r="AG202" s="1"/>
      <c r="AH202" s="1"/>
    </row>
    <row r="203" customFormat="false" ht="15" hidden="false" customHeight="false" outlineLevel="0" collapsed="false">
      <c r="A203" s="1"/>
      <c r="B203" s="10"/>
      <c r="C203" s="31" t="str">
        <f aca="false">IF(B203="","",TEXT(B203,"ddd"))</f>
        <v/>
      </c>
      <c r="D203" s="11"/>
      <c r="E203" s="8" t="str">
        <f aca="false">IF(D203="","",IFERROR(INDEX(ProjNumbers,MATCH(D203,ProjNames,0)),""))</f>
        <v/>
      </c>
      <c r="F203" s="8" t="str">
        <f aca="false">IF(D203="","",IFERROR(INDEX(ProjCodes,MATCH(D203,ProjNames,0)),""))</f>
        <v/>
      </c>
      <c r="G203" s="32"/>
      <c r="H203" s="11"/>
      <c r="I203" s="33"/>
      <c r="J203" s="8" t="str">
        <f aca="false">IF(COUNTA(B203,D203,G203,H203,I203)=0,"",IF(B203="","Enter date",IF(OR(B203&lt;$AC$2,B203&gt;$AC$3),"Date not in October",IF(D203="","Pick project",IF(ISNA(MATCH(D203,ProjNames,0)),"Project not in list",IF(G203="","Add task description",IF(H203="","Pick NTIME or P6",IF(N(I203)&lt;=0,"Enter hours",IF(AND(AllowOT&lt;&gt;"Yes",SUMIF($B$7:$B$256,B203,$I$7:$I$256)&gt;INDEX($O$58:$O$88,DAY(B203))),"Day over "&amp;INDEX($O$58:$O$88,DAY(B203))&amp;" h","✓")))))))))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tr">
        <f aca="false">IF(Projects!B201="","",Projects!B201)</f>
        <v/>
      </c>
      <c r="X203" s="1" t="n">
        <f aca="false">IF(W203="",0,SUMIFS($I$7:$I$256,$D$7:$D$256,W203,$H$7:$H$256,"NTIME"))</f>
        <v>0</v>
      </c>
      <c r="Y203" s="1" t="n">
        <f aca="false">IF(W203="",0,SUMIFS($I$7:$I$256,$D$7:$D$256,W203,$H$7:$H$256,"P6"))</f>
        <v>0</v>
      </c>
      <c r="Z203" s="1" t="n">
        <f aca="false">X203+Y203</f>
        <v>0</v>
      </c>
      <c r="AA203" s="1" t="n">
        <f aca="false">IF(Z203&gt;0,Z203+(201-197)/10^6,0)</f>
        <v>0</v>
      </c>
      <c r="AB203" s="1"/>
      <c r="AC203" s="1"/>
      <c r="AD203" s="1"/>
      <c r="AE203" s="1"/>
      <c r="AF203" s="1"/>
      <c r="AG203" s="1"/>
      <c r="AH203" s="1"/>
    </row>
    <row r="204" customFormat="false" ht="15" hidden="false" customHeight="false" outlineLevel="0" collapsed="false">
      <c r="A204" s="1"/>
      <c r="B204" s="10"/>
      <c r="C204" s="31" t="str">
        <f aca="false">IF(B204="","",TEXT(B204,"ddd"))</f>
        <v/>
      </c>
      <c r="D204" s="11"/>
      <c r="E204" s="8" t="str">
        <f aca="false">IF(D204="","",IFERROR(INDEX(ProjNumbers,MATCH(D204,ProjNames,0)),""))</f>
        <v/>
      </c>
      <c r="F204" s="8" t="str">
        <f aca="false">IF(D204="","",IFERROR(INDEX(ProjCodes,MATCH(D204,ProjNames,0)),""))</f>
        <v/>
      </c>
      <c r="G204" s="32"/>
      <c r="H204" s="11"/>
      <c r="I204" s="33"/>
      <c r="J204" s="8" t="str">
        <f aca="false">IF(COUNTA(B204,D204,G204,H204,I204)=0,"",IF(B204="","Enter date",IF(OR(B204&lt;$AC$2,B204&gt;$AC$3),"Date not in October",IF(D204="","Pick project",IF(ISNA(MATCH(D204,ProjNames,0)),"Project not in list",IF(G204="","Add task description",IF(H204="","Pick NTIME or P6",IF(N(I204)&lt;=0,"Enter hours",IF(AND(AllowOT&lt;&gt;"Yes",SUMIF($B$7:$B$256,B204,$I$7:$I$256)&gt;INDEX($O$58:$O$88,DAY(B204))),"Day over "&amp;INDEX($O$58:$O$88,DAY(B204))&amp;" h","✓")))))))))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tr">
        <f aca="false">IF(Projects!B202="","",Projects!B202)</f>
        <v/>
      </c>
      <c r="X204" s="1" t="n">
        <f aca="false">IF(W204="",0,SUMIFS($I$7:$I$256,$D$7:$D$256,W204,$H$7:$H$256,"NTIME"))</f>
        <v>0</v>
      </c>
      <c r="Y204" s="1" t="n">
        <f aca="false">IF(W204="",0,SUMIFS($I$7:$I$256,$D$7:$D$256,W204,$H$7:$H$256,"P6"))</f>
        <v>0</v>
      </c>
      <c r="Z204" s="1" t="n">
        <f aca="false">X204+Y204</f>
        <v>0</v>
      </c>
      <c r="AA204" s="1" t="n">
        <f aca="false">IF(Z204&gt;0,Z204+(201-198)/10^6,0)</f>
        <v>0</v>
      </c>
      <c r="AB204" s="1"/>
      <c r="AC204" s="1"/>
      <c r="AD204" s="1"/>
      <c r="AE204" s="1"/>
      <c r="AF204" s="1"/>
      <c r="AG204" s="1"/>
      <c r="AH204" s="1"/>
    </row>
    <row r="205" customFormat="false" ht="15" hidden="false" customHeight="false" outlineLevel="0" collapsed="false">
      <c r="A205" s="1"/>
      <c r="B205" s="10"/>
      <c r="C205" s="31" t="str">
        <f aca="false">IF(B205="","",TEXT(B205,"ddd"))</f>
        <v/>
      </c>
      <c r="D205" s="11"/>
      <c r="E205" s="8" t="str">
        <f aca="false">IF(D205="","",IFERROR(INDEX(ProjNumbers,MATCH(D205,ProjNames,0)),""))</f>
        <v/>
      </c>
      <c r="F205" s="8" t="str">
        <f aca="false">IF(D205="","",IFERROR(INDEX(ProjCodes,MATCH(D205,ProjNames,0)),""))</f>
        <v/>
      </c>
      <c r="G205" s="32"/>
      <c r="H205" s="11"/>
      <c r="I205" s="33"/>
      <c r="J205" s="8" t="str">
        <f aca="false">IF(COUNTA(B205,D205,G205,H205,I205)=0,"",IF(B205="","Enter date",IF(OR(B205&lt;$AC$2,B205&gt;$AC$3),"Date not in October",IF(D205="","Pick project",IF(ISNA(MATCH(D205,ProjNames,0)),"Project not in list",IF(G205="","Add task description",IF(H205="","Pick NTIME or P6",IF(N(I205)&lt;=0,"Enter hours",IF(AND(AllowOT&lt;&gt;"Yes",SUMIF($B$7:$B$256,B205,$I$7:$I$256)&gt;INDEX($O$58:$O$88,DAY(B205))),"Day over "&amp;INDEX($O$58:$O$88,DAY(B205))&amp;" h","✓")))))))))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tr">
        <f aca="false">IF(Projects!B203="","",Projects!B203)</f>
        <v/>
      </c>
      <c r="X205" s="1" t="n">
        <f aca="false">IF(W205="",0,SUMIFS($I$7:$I$256,$D$7:$D$256,W205,$H$7:$H$256,"NTIME"))</f>
        <v>0</v>
      </c>
      <c r="Y205" s="1" t="n">
        <f aca="false">IF(W205="",0,SUMIFS($I$7:$I$256,$D$7:$D$256,W205,$H$7:$H$256,"P6"))</f>
        <v>0</v>
      </c>
      <c r="Z205" s="1" t="n">
        <f aca="false">X205+Y205</f>
        <v>0</v>
      </c>
      <c r="AA205" s="1" t="n">
        <f aca="false">IF(Z205&gt;0,Z205+(201-199)/10^6,0)</f>
        <v>0</v>
      </c>
      <c r="AB205" s="1"/>
      <c r="AC205" s="1"/>
      <c r="AD205" s="1"/>
      <c r="AE205" s="1"/>
      <c r="AF205" s="1"/>
      <c r="AG205" s="1"/>
      <c r="AH205" s="1"/>
    </row>
    <row r="206" customFormat="false" ht="15" hidden="false" customHeight="false" outlineLevel="0" collapsed="false">
      <c r="A206" s="1"/>
      <c r="B206" s="10"/>
      <c r="C206" s="31" t="str">
        <f aca="false">IF(B206="","",TEXT(B206,"ddd"))</f>
        <v/>
      </c>
      <c r="D206" s="11"/>
      <c r="E206" s="8" t="str">
        <f aca="false">IF(D206="","",IFERROR(INDEX(ProjNumbers,MATCH(D206,ProjNames,0)),""))</f>
        <v/>
      </c>
      <c r="F206" s="8" t="str">
        <f aca="false">IF(D206="","",IFERROR(INDEX(ProjCodes,MATCH(D206,ProjNames,0)),""))</f>
        <v/>
      </c>
      <c r="G206" s="32"/>
      <c r="H206" s="11"/>
      <c r="I206" s="33"/>
      <c r="J206" s="8" t="str">
        <f aca="false">IF(COUNTA(B206,D206,G206,H206,I206)=0,"",IF(B206="","Enter date",IF(OR(B206&lt;$AC$2,B206&gt;$AC$3),"Date not in October",IF(D206="","Pick project",IF(ISNA(MATCH(D206,ProjNames,0)),"Project not in list",IF(G206="","Add task description",IF(H206="","Pick NTIME or P6",IF(N(I206)&lt;=0,"Enter hours",IF(AND(AllowOT&lt;&gt;"Yes",SUMIF($B$7:$B$256,B206,$I$7:$I$256)&gt;INDEX($O$58:$O$88,DAY(B206))),"Day over "&amp;INDEX($O$58:$O$88,DAY(B206))&amp;" h","✓")))))))))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tr">
        <f aca="false">IF(Projects!B204="","",Projects!B204)</f>
        <v/>
      </c>
      <c r="X206" s="1" t="n">
        <f aca="false">IF(W206="",0,SUMIFS($I$7:$I$256,$D$7:$D$256,W206,$H$7:$H$256,"NTIME"))</f>
        <v>0</v>
      </c>
      <c r="Y206" s="1" t="n">
        <f aca="false">IF(W206="",0,SUMIFS($I$7:$I$256,$D$7:$D$256,W206,$H$7:$H$256,"P6"))</f>
        <v>0</v>
      </c>
      <c r="Z206" s="1" t="n">
        <f aca="false">X206+Y206</f>
        <v>0</v>
      </c>
      <c r="AA206" s="1" t="n">
        <f aca="false">IF(Z206&gt;0,Z206+(201-200)/10^6,0)</f>
        <v>0</v>
      </c>
      <c r="AB206" s="1"/>
      <c r="AC206" s="1"/>
      <c r="AD206" s="1"/>
      <c r="AE206" s="1"/>
      <c r="AF206" s="1"/>
      <c r="AG206" s="1"/>
      <c r="AH206" s="1"/>
    </row>
    <row r="207" customFormat="false" ht="15" hidden="false" customHeight="false" outlineLevel="0" collapsed="false">
      <c r="A207" s="1"/>
      <c r="B207" s="10"/>
      <c r="C207" s="31" t="str">
        <f aca="false">IF(B207="","",TEXT(B207,"ddd"))</f>
        <v/>
      </c>
      <c r="D207" s="11"/>
      <c r="E207" s="8" t="str">
        <f aca="false">IF(D207="","",IFERROR(INDEX(ProjNumbers,MATCH(D207,ProjNames,0)),""))</f>
        <v/>
      </c>
      <c r="F207" s="8" t="str">
        <f aca="false">IF(D207="","",IFERROR(INDEX(ProjCodes,MATCH(D207,ProjNames,0)),""))</f>
        <v/>
      </c>
      <c r="G207" s="32"/>
      <c r="H207" s="11"/>
      <c r="I207" s="33"/>
      <c r="J207" s="8" t="str">
        <f aca="false">IF(COUNTA(B207,D207,G207,H207,I207)=0,"",IF(B207="","Enter date",IF(OR(B207&lt;$AC$2,B207&gt;$AC$3),"Date not in October",IF(D207="","Pick project",IF(ISNA(MATCH(D207,ProjNames,0)),"Project not in list",IF(G207="","Add task description",IF(H207="","Pick NTIME or P6",IF(N(I207)&lt;=0,"Enter hours",IF(AND(AllowOT&lt;&gt;"Yes",SUMIF($B$7:$B$256,B207,$I$7:$I$256)&gt;INDEX($O$58:$O$88,DAY(B207))),"Day over "&amp;INDEX($O$58:$O$88,DAY(B207))&amp;" h","✓")))))))))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5" hidden="false" customHeight="false" outlineLevel="0" collapsed="false">
      <c r="A208" s="1"/>
      <c r="B208" s="10"/>
      <c r="C208" s="31" t="str">
        <f aca="false">IF(B208="","",TEXT(B208,"ddd"))</f>
        <v/>
      </c>
      <c r="D208" s="11"/>
      <c r="E208" s="8" t="str">
        <f aca="false">IF(D208="","",IFERROR(INDEX(ProjNumbers,MATCH(D208,ProjNames,0)),""))</f>
        <v/>
      </c>
      <c r="F208" s="8" t="str">
        <f aca="false">IF(D208="","",IFERROR(INDEX(ProjCodes,MATCH(D208,ProjNames,0)),""))</f>
        <v/>
      </c>
      <c r="G208" s="32"/>
      <c r="H208" s="11"/>
      <c r="I208" s="33"/>
      <c r="J208" s="8" t="str">
        <f aca="false">IF(COUNTA(B208,D208,G208,H208,I208)=0,"",IF(B208="","Enter date",IF(OR(B208&lt;$AC$2,B208&gt;$AC$3),"Date not in October",IF(D208="","Pick project",IF(ISNA(MATCH(D208,ProjNames,0)),"Project not in list",IF(G208="","Add task description",IF(H208="","Pick NTIME or P6",IF(N(I208)&lt;=0,"Enter hours",IF(AND(AllowOT&lt;&gt;"Yes",SUMIF($B$7:$B$256,B208,$I$7:$I$256)&gt;INDEX($O$58:$O$88,DAY(B208))),"Day over "&amp;INDEX($O$58:$O$88,DAY(B208))&amp;" h","✓")))))))))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5" hidden="false" customHeight="false" outlineLevel="0" collapsed="false">
      <c r="A209" s="1"/>
      <c r="B209" s="10"/>
      <c r="C209" s="31" t="str">
        <f aca="false">IF(B209="","",TEXT(B209,"ddd"))</f>
        <v/>
      </c>
      <c r="D209" s="11"/>
      <c r="E209" s="8" t="str">
        <f aca="false">IF(D209="","",IFERROR(INDEX(ProjNumbers,MATCH(D209,ProjNames,0)),""))</f>
        <v/>
      </c>
      <c r="F209" s="8" t="str">
        <f aca="false">IF(D209="","",IFERROR(INDEX(ProjCodes,MATCH(D209,ProjNames,0)),""))</f>
        <v/>
      </c>
      <c r="G209" s="32"/>
      <c r="H209" s="11"/>
      <c r="I209" s="33"/>
      <c r="J209" s="8" t="str">
        <f aca="false">IF(COUNTA(B209,D209,G209,H209,I209)=0,"",IF(B209="","Enter date",IF(OR(B209&lt;$AC$2,B209&gt;$AC$3),"Date not in October",IF(D209="","Pick project",IF(ISNA(MATCH(D209,ProjNames,0)),"Project not in list",IF(G209="","Add task description",IF(H209="","Pick NTIME or P6",IF(N(I209)&lt;=0,"Enter hours",IF(AND(AllowOT&lt;&gt;"Yes",SUMIF($B$7:$B$256,B209,$I$7:$I$256)&gt;INDEX($O$58:$O$88,DAY(B209))),"Day over "&amp;INDEX($O$58:$O$88,DAY(B209))&amp;" h","✓")))))))))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5" hidden="false" customHeight="false" outlineLevel="0" collapsed="false">
      <c r="A210" s="1"/>
      <c r="B210" s="10"/>
      <c r="C210" s="31" t="str">
        <f aca="false">IF(B210="","",TEXT(B210,"ddd"))</f>
        <v/>
      </c>
      <c r="D210" s="11"/>
      <c r="E210" s="8" t="str">
        <f aca="false">IF(D210="","",IFERROR(INDEX(ProjNumbers,MATCH(D210,ProjNames,0)),""))</f>
        <v/>
      </c>
      <c r="F210" s="8" t="str">
        <f aca="false">IF(D210="","",IFERROR(INDEX(ProjCodes,MATCH(D210,ProjNames,0)),""))</f>
        <v/>
      </c>
      <c r="G210" s="32"/>
      <c r="H210" s="11"/>
      <c r="I210" s="33"/>
      <c r="J210" s="8" t="str">
        <f aca="false">IF(COUNTA(B210,D210,G210,H210,I210)=0,"",IF(B210="","Enter date",IF(OR(B210&lt;$AC$2,B210&gt;$AC$3),"Date not in October",IF(D210="","Pick project",IF(ISNA(MATCH(D210,ProjNames,0)),"Project not in list",IF(G210="","Add task description",IF(H210="","Pick NTIME or P6",IF(N(I210)&lt;=0,"Enter hours",IF(AND(AllowOT&lt;&gt;"Yes",SUMIF($B$7:$B$256,B210,$I$7:$I$256)&gt;INDEX($O$58:$O$88,DAY(B210))),"Day over "&amp;INDEX($O$58:$O$88,DAY(B210))&amp;" h","✓")))))))))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5" hidden="false" customHeight="false" outlineLevel="0" collapsed="false">
      <c r="A211" s="1"/>
      <c r="B211" s="10"/>
      <c r="C211" s="31" t="str">
        <f aca="false">IF(B211="","",TEXT(B211,"ddd"))</f>
        <v/>
      </c>
      <c r="D211" s="11"/>
      <c r="E211" s="8" t="str">
        <f aca="false">IF(D211="","",IFERROR(INDEX(ProjNumbers,MATCH(D211,ProjNames,0)),""))</f>
        <v/>
      </c>
      <c r="F211" s="8" t="str">
        <f aca="false">IF(D211="","",IFERROR(INDEX(ProjCodes,MATCH(D211,ProjNames,0)),""))</f>
        <v/>
      </c>
      <c r="G211" s="32"/>
      <c r="H211" s="11"/>
      <c r="I211" s="33"/>
      <c r="J211" s="8" t="str">
        <f aca="false">IF(COUNTA(B211,D211,G211,H211,I211)=0,"",IF(B211="","Enter date",IF(OR(B211&lt;$AC$2,B211&gt;$AC$3),"Date not in October",IF(D211="","Pick project",IF(ISNA(MATCH(D211,ProjNames,0)),"Project not in list",IF(G211="","Add task description",IF(H211="","Pick NTIME or P6",IF(N(I211)&lt;=0,"Enter hours",IF(AND(AllowOT&lt;&gt;"Yes",SUMIF($B$7:$B$256,B211,$I$7:$I$256)&gt;INDEX($O$58:$O$88,DAY(B211))),"Day over "&amp;INDEX($O$58:$O$88,DAY(B211))&amp;" h","✓")))))))))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5" hidden="false" customHeight="false" outlineLevel="0" collapsed="false">
      <c r="A212" s="1"/>
      <c r="B212" s="10"/>
      <c r="C212" s="31" t="str">
        <f aca="false">IF(B212="","",TEXT(B212,"ddd"))</f>
        <v/>
      </c>
      <c r="D212" s="11"/>
      <c r="E212" s="8" t="str">
        <f aca="false">IF(D212="","",IFERROR(INDEX(ProjNumbers,MATCH(D212,ProjNames,0)),""))</f>
        <v/>
      </c>
      <c r="F212" s="8" t="str">
        <f aca="false">IF(D212="","",IFERROR(INDEX(ProjCodes,MATCH(D212,ProjNames,0)),""))</f>
        <v/>
      </c>
      <c r="G212" s="32"/>
      <c r="H212" s="11"/>
      <c r="I212" s="33"/>
      <c r="J212" s="8" t="str">
        <f aca="false">IF(COUNTA(B212,D212,G212,H212,I212)=0,"",IF(B212="","Enter date",IF(OR(B212&lt;$AC$2,B212&gt;$AC$3),"Date not in October",IF(D212="","Pick project",IF(ISNA(MATCH(D212,ProjNames,0)),"Project not in list",IF(G212="","Add task description",IF(H212="","Pick NTIME or P6",IF(N(I212)&lt;=0,"Enter hours",IF(AND(AllowOT&lt;&gt;"Yes",SUMIF($B$7:$B$256,B212,$I$7:$I$256)&gt;INDEX($O$58:$O$88,DAY(B212))),"Day over "&amp;INDEX($O$58:$O$88,DAY(B212))&amp;" h","✓")))))))))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5" hidden="false" customHeight="false" outlineLevel="0" collapsed="false">
      <c r="A213" s="1"/>
      <c r="B213" s="10"/>
      <c r="C213" s="31" t="str">
        <f aca="false">IF(B213="","",TEXT(B213,"ddd"))</f>
        <v/>
      </c>
      <c r="D213" s="11"/>
      <c r="E213" s="8" t="str">
        <f aca="false">IF(D213="","",IFERROR(INDEX(ProjNumbers,MATCH(D213,ProjNames,0)),""))</f>
        <v/>
      </c>
      <c r="F213" s="8" t="str">
        <f aca="false">IF(D213="","",IFERROR(INDEX(ProjCodes,MATCH(D213,ProjNames,0)),""))</f>
        <v/>
      </c>
      <c r="G213" s="32"/>
      <c r="H213" s="11"/>
      <c r="I213" s="33"/>
      <c r="J213" s="8" t="str">
        <f aca="false">IF(COUNTA(B213,D213,G213,H213,I213)=0,"",IF(B213="","Enter date",IF(OR(B213&lt;$AC$2,B213&gt;$AC$3),"Date not in October",IF(D213="","Pick project",IF(ISNA(MATCH(D213,ProjNames,0)),"Project not in list",IF(G213="","Add task description",IF(H213="","Pick NTIME or P6",IF(N(I213)&lt;=0,"Enter hours",IF(AND(AllowOT&lt;&gt;"Yes",SUMIF($B$7:$B$256,B213,$I$7:$I$256)&gt;INDEX($O$58:$O$88,DAY(B213))),"Day over "&amp;INDEX($O$58:$O$88,DAY(B213))&amp;" h","✓")))))))))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5" hidden="false" customHeight="false" outlineLevel="0" collapsed="false">
      <c r="A214" s="1"/>
      <c r="B214" s="10"/>
      <c r="C214" s="31" t="str">
        <f aca="false">IF(B214="","",TEXT(B214,"ddd"))</f>
        <v/>
      </c>
      <c r="D214" s="11"/>
      <c r="E214" s="8" t="str">
        <f aca="false">IF(D214="","",IFERROR(INDEX(ProjNumbers,MATCH(D214,ProjNames,0)),""))</f>
        <v/>
      </c>
      <c r="F214" s="8" t="str">
        <f aca="false">IF(D214="","",IFERROR(INDEX(ProjCodes,MATCH(D214,ProjNames,0)),""))</f>
        <v/>
      </c>
      <c r="G214" s="32"/>
      <c r="H214" s="11"/>
      <c r="I214" s="33"/>
      <c r="J214" s="8" t="str">
        <f aca="false">IF(COUNTA(B214,D214,G214,H214,I214)=0,"",IF(B214="","Enter date",IF(OR(B214&lt;$AC$2,B214&gt;$AC$3),"Date not in October",IF(D214="","Pick project",IF(ISNA(MATCH(D214,ProjNames,0)),"Project not in list",IF(G214="","Add task description",IF(H214="","Pick NTIME or P6",IF(N(I214)&lt;=0,"Enter hours",IF(AND(AllowOT&lt;&gt;"Yes",SUMIF($B$7:$B$256,B214,$I$7:$I$256)&gt;INDEX($O$58:$O$88,DAY(B214))),"Day over "&amp;INDEX($O$58:$O$88,DAY(B214))&amp;" h","✓")))))))))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5" hidden="false" customHeight="false" outlineLevel="0" collapsed="false">
      <c r="A215" s="1"/>
      <c r="B215" s="10"/>
      <c r="C215" s="31" t="str">
        <f aca="false">IF(B215="","",TEXT(B215,"ddd"))</f>
        <v/>
      </c>
      <c r="D215" s="11"/>
      <c r="E215" s="8" t="str">
        <f aca="false">IF(D215="","",IFERROR(INDEX(ProjNumbers,MATCH(D215,ProjNames,0)),""))</f>
        <v/>
      </c>
      <c r="F215" s="8" t="str">
        <f aca="false">IF(D215="","",IFERROR(INDEX(ProjCodes,MATCH(D215,ProjNames,0)),""))</f>
        <v/>
      </c>
      <c r="G215" s="32"/>
      <c r="H215" s="11"/>
      <c r="I215" s="33"/>
      <c r="J215" s="8" t="str">
        <f aca="false">IF(COUNTA(B215,D215,G215,H215,I215)=0,"",IF(B215="","Enter date",IF(OR(B215&lt;$AC$2,B215&gt;$AC$3),"Date not in October",IF(D215="","Pick project",IF(ISNA(MATCH(D215,ProjNames,0)),"Project not in list",IF(G215="","Add task description",IF(H215="","Pick NTIME or P6",IF(N(I215)&lt;=0,"Enter hours",IF(AND(AllowOT&lt;&gt;"Yes",SUMIF($B$7:$B$256,B215,$I$7:$I$256)&gt;INDEX($O$58:$O$88,DAY(B215))),"Day over "&amp;INDEX($O$58:$O$88,DAY(B215))&amp;" h","✓")))))))))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5" hidden="false" customHeight="false" outlineLevel="0" collapsed="false">
      <c r="A216" s="1"/>
      <c r="B216" s="10"/>
      <c r="C216" s="31" t="str">
        <f aca="false">IF(B216="","",TEXT(B216,"ddd"))</f>
        <v/>
      </c>
      <c r="D216" s="11"/>
      <c r="E216" s="8" t="str">
        <f aca="false">IF(D216="","",IFERROR(INDEX(ProjNumbers,MATCH(D216,ProjNames,0)),""))</f>
        <v/>
      </c>
      <c r="F216" s="8" t="str">
        <f aca="false">IF(D216="","",IFERROR(INDEX(ProjCodes,MATCH(D216,ProjNames,0)),""))</f>
        <v/>
      </c>
      <c r="G216" s="32"/>
      <c r="H216" s="11"/>
      <c r="I216" s="33"/>
      <c r="J216" s="8" t="str">
        <f aca="false">IF(COUNTA(B216,D216,G216,H216,I216)=0,"",IF(B216="","Enter date",IF(OR(B216&lt;$AC$2,B216&gt;$AC$3),"Date not in October",IF(D216="","Pick project",IF(ISNA(MATCH(D216,ProjNames,0)),"Project not in list",IF(G216="","Add task description",IF(H216="","Pick NTIME or P6",IF(N(I216)&lt;=0,"Enter hours",IF(AND(AllowOT&lt;&gt;"Yes",SUMIF($B$7:$B$256,B216,$I$7:$I$256)&gt;INDEX($O$58:$O$88,DAY(B216))),"Day over "&amp;INDEX($O$58:$O$88,DAY(B216))&amp;" h","✓")))))))))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5" hidden="false" customHeight="false" outlineLevel="0" collapsed="false">
      <c r="A217" s="1"/>
      <c r="B217" s="10"/>
      <c r="C217" s="31" t="str">
        <f aca="false">IF(B217="","",TEXT(B217,"ddd"))</f>
        <v/>
      </c>
      <c r="D217" s="11"/>
      <c r="E217" s="8" t="str">
        <f aca="false">IF(D217="","",IFERROR(INDEX(ProjNumbers,MATCH(D217,ProjNames,0)),""))</f>
        <v/>
      </c>
      <c r="F217" s="8" t="str">
        <f aca="false">IF(D217="","",IFERROR(INDEX(ProjCodes,MATCH(D217,ProjNames,0)),""))</f>
        <v/>
      </c>
      <c r="G217" s="32"/>
      <c r="H217" s="11"/>
      <c r="I217" s="33"/>
      <c r="J217" s="8" t="str">
        <f aca="false">IF(COUNTA(B217,D217,G217,H217,I217)=0,"",IF(B217="","Enter date",IF(OR(B217&lt;$AC$2,B217&gt;$AC$3),"Date not in October",IF(D217="","Pick project",IF(ISNA(MATCH(D217,ProjNames,0)),"Project not in list",IF(G217="","Add task description",IF(H217="","Pick NTIME or P6",IF(N(I217)&lt;=0,"Enter hours",IF(AND(AllowOT&lt;&gt;"Yes",SUMIF($B$7:$B$256,B217,$I$7:$I$256)&gt;INDEX($O$58:$O$88,DAY(B217))),"Day over "&amp;INDEX($O$58:$O$88,DAY(B217))&amp;" h","✓")))))))))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5" hidden="false" customHeight="false" outlineLevel="0" collapsed="false">
      <c r="A218" s="1"/>
      <c r="B218" s="10"/>
      <c r="C218" s="31" t="str">
        <f aca="false">IF(B218="","",TEXT(B218,"ddd"))</f>
        <v/>
      </c>
      <c r="D218" s="11"/>
      <c r="E218" s="8" t="str">
        <f aca="false">IF(D218="","",IFERROR(INDEX(ProjNumbers,MATCH(D218,ProjNames,0)),""))</f>
        <v/>
      </c>
      <c r="F218" s="8" t="str">
        <f aca="false">IF(D218="","",IFERROR(INDEX(ProjCodes,MATCH(D218,ProjNames,0)),""))</f>
        <v/>
      </c>
      <c r="G218" s="32"/>
      <c r="H218" s="11"/>
      <c r="I218" s="33"/>
      <c r="J218" s="8" t="str">
        <f aca="false">IF(COUNTA(B218,D218,G218,H218,I218)=0,"",IF(B218="","Enter date",IF(OR(B218&lt;$AC$2,B218&gt;$AC$3),"Date not in October",IF(D218="","Pick project",IF(ISNA(MATCH(D218,ProjNames,0)),"Project not in list",IF(G218="","Add task description",IF(H218="","Pick NTIME or P6",IF(N(I218)&lt;=0,"Enter hours",IF(AND(AllowOT&lt;&gt;"Yes",SUMIF($B$7:$B$256,B218,$I$7:$I$256)&gt;INDEX($O$58:$O$88,DAY(B218))),"Day over "&amp;INDEX($O$58:$O$88,DAY(B218))&amp;" h","✓")))))))))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5" hidden="false" customHeight="false" outlineLevel="0" collapsed="false">
      <c r="A219" s="1"/>
      <c r="B219" s="10"/>
      <c r="C219" s="31" t="str">
        <f aca="false">IF(B219="","",TEXT(B219,"ddd"))</f>
        <v/>
      </c>
      <c r="D219" s="11"/>
      <c r="E219" s="8" t="str">
        <f aca="false">IF(D219="","",IFERROR(INDEX(ProjNumbers,MATCH(D219,ProjNames,0)),""))</f>
        <v/>
      </c>
      <c r="F219" s="8" t="str">
        <f aca="false">IF(D219="","",IFERROR(INDEX(ProjCodes,MATCH(D219,ProjNames,0)),""))</f>
        <v/>
      </c>
      <c r="G219" s="32"/>
      <c r="H219" s="11"/>
      <c r="I219" s="33"/>
      <c r="J219" s="8" t="str">
        <f aca="false">IF(COUNTA(B219,D219,G219,H219,I219)=0,"",IF(B219="","Enter date",IF(OR(B219&lt;$AC$2,B219&gt;$AC$3),"Date not in October",IF(D219="","Pick project",IF(ISNA(MATCH(D219,ProjNames,0)),"Project not in list",IF(G219="","Add task description",IF(H219="","Pick NTIME or P6",IF(N(I219)&lt;=0,"Enter hours",IF(AND(AllowOT&lt;&gt;"Yes",SUMIF($B$7:$B$256,B219,$I$7:$I$256)&gt;INDEX($O$58:$O$88,DAY(B219))),"Day over "&amp;INDEX($O$58:$O$88,DAY(B219))&amp;" h","✓")))))))))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5" hidden="false" customHeight="false" outlineLevel="0" collapsed="false">
      <c r="A220" s="1"/>
      <c r="B220" s="10"/>
      <c r="C220" s="31" t="str">
        <f aca="false">IF(B220="","",TEXT(B220,"ddd"))</f>
        <v/>
      </c>
      <c r="D220" s="11"/>
      <c r="E220" s="8" t="str">
        <f aca="false">IF(D220="","",IFERROR(INDEX(ProjNumbers,MATCH(D220,ProjNames,0)),""))</f>
        <v/>
      </c>
      <c r="F220" s="8" t="str">
        <f aca="false">IF(D220="","",IFERROR(INDEX(ProjCodes,MATCH(D220,ProjNames,0)),""))</f>
        <v/>
      </c>
      <c r="G220" s="32"/>
      <c r="H220" s="11"/>
      <c r="I220" s="33"/>
      <c r="J220" s="8" t="str">
        <f aca="false">IF(COUNTA(B220,D220,G220,H220,I220)=0,"",IF(B220="","Enter date",IF(OR(B220&lt;$AC$2,B220&gt;$AC$3),"Date not in October",IF(D220="","Pick project",IF(ISNA(MATCH(D220,ProjNames,0)),"Project not in list",IF(G220="","Add task description",IF(H220="","Pick NTIME or P6",IF(N(I220)&lt;=0,"Enter hours",IF(AND(AllowOT&lt;&gt;"Yes",SUMIF($B$7:$B$256,B220,$I$7:$I$256)&gt;INDEX($O$58:$O$88,DAY(B220))),"Day over "&amp;INDEX($O$58:$O$88,DAY(B220))&amp;" h","✓")))))))))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5" hidden="false" customHeight="false" outlineLevel="0" collapsed="false">
      <c r="A221" s="1"/>
      <c r="B221" s="10"/>
      <c r="C221" s="31" t="str">
        <f aca="false">IF(B221="","",TEXT(B221,"ddd"))</f>
        <v/>
      </c>
      <c r="D221" s="11"/>
      <c r="E221" s="8" t="str">
        <f aca="false">IF(D221="","",IFERROR(INDEX(ProjNumbers,MATCH(D221,ProjNames,0)),""))</f>
        <v/>
      </c>
      <c r="F221" s="8" t="str">
        <f aca="false">IF(D221="","",IFERROR(INDEX(ProjCodes,MATCH(D221,ProjNames,0)),""))</f>
        <v/>
      </c>
      <c r="G221" s="32"/>
      <c r="H221" s="11"/>
      <c r="I221" s="33"/>
      <c r="J221" s="8" t="str">
        <f aca="false">IF(COUNTA(B221,D221,G221,H221,I221)=0,"",IF(B221="","Enter date",IF(OR(B221&lt;$AC$2,B221&gt;$AC$3),"Date not in October",IF(D221="","Pick project",IF(ISNA(MATCH(D221,ProjNames,0)),"Project not in list",IF(G221="","Add task description",IF(H221="","Pick NTIME or P6",IF(N(I221)&lt;=0,"Enter hours",IF(AND(AllowOT&lt;&gt;"Yes",SUMIF($B$7:$B$256,B221,$I$7:$I$256)&gt;INDEX($O$58:$O$88,DAY(B221))),"Day over "&amp;INDEX($O$58:$O$88,DAY(B221))&amp;" h","✓")))))))))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5" hidden="false" customHeight="false" outlineLevel="0" collapsed="false">
      <c r="A222" s="1"/>
      <c r="B222" s="10"/>
      <c r="C222" s="31" t="str">
        <f aca="false">IF(B222="","",TEXT(B222,"ddd"))</f>
        <v/>
      </c>
      <c r="D222" s="11"/>
      <c r="E222" s="8" t="str">
        <f aca="false">IF(D222="","",IFERROR(INDEX(ProjNumbers,MATCH(D222,ProjNames,0)),""))</f>
        <v/>
      </c>
      <c r="F222" s="8" t="str">
        <f aca="false">IF(D222="","",IFERROR(INDEX(ProjCodes,MATCH(D222,ProjNames,0)),""))</f>
        <v/>
      </c>
      <c r="G222" s="32"/>
      <c r="H222" s="11"/>
      <c r="I222" s="33"/>
      <c r="J222" s="8" t="str">
        <f aca="false">IF(COUNTA(B222,D222,G222,H222,I222)=0,"",IF(B222="","Enter date",IF(OR(B222&lt;$AC$2,B222&gt;$AC$3),"Date not in October",IF(D222="","Pick project",IF(ISNA(MATCH(D222,ProjNames,0)),"Project not in list",IF(G222="","Add task description",IF(H222="","Pick NTIME or P6",IF(N(I222)&lt;=0,"Enter hours",IF(AND(AllowOT&lt;&gt;"Yes",SUMIF($B$7:$B$256,B222,$I$7:$I$256)&gt;INDEX($O$58:$O$88,DAY(B222))),"Day over "&amp;INDEX($O$58:$O$88,DAY(B222))&amp;" h","✓")))))))))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5" hidden="false" customHeight="false" outlineLevel="0" collapsed="false">
      <c r="A223" s="1"/>
      <c r="B223" s="10"/>
      <c r="C223" s="31" t="str">
        <f aca="false">IF(B223="","",TEXT(B223,"ddd"))</f>
        <v/>
      </c>
      <c r="D223" s="11"/>
      <c r="E223" s="8" t="str">
        <f aca="false">IF(D223="","",IFERROR(INDEX(ProjNumbers,MATCH(D223,ProjNames,0)),""))</f>
        <v/>
      </c>
      <c r="F223" s="8" t="str">
        <f aca="false">IF(D223="","",IFERROR(INDEX(ProjCodes,MATCH(D223,ProjNames,0)),""))</f>
        <v/>
      </c>
      <c r="G223" s="32"/>
      <c r="H223" s="11"/>
      <c r="I223" s="33"/>
      <c r="J223" s="8" t="str">
        <f aca="false">IF(COUNTA(B223,D223,G223,H223,I223)=0,"",IF(B223="","Enter date",IF(OR(B223&lt;$AC$2,B223&gt;$AC$3),"Date not in October",IF(D223="","Pick project",IF(ISNA(MATCH(D223,ProjNames,0)),"Project not in list",IF(G223="","Add task description",IF(H223="","Pick NTIME or P6",IF(N(I223)&lt;=0,"Enter hours",IF(AND(AllowOT&lt;&gt;"Yes",SUMIF($B$7:$B$256,B223,$I$7:$I$256)&gt;INDEX($O$58:$O$88,DAY(B223))),"Day over "&amp;INDEX($O$58:$O$88,DAY(B223))&amp;" h","✓")))))))))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5" hidden="false" customHeight="false" outlineLevel="0" collapsed="false">
      <c r="A224" s="1"/>
      <c r="B224" s="10"/>
      <c r="C224" s="31" t="str">
        <f aca="false">IF(B224="","",TEXT(B224,"ddd"))</f>
        <v/>
      </c>
      <c r="D224" s="11"/>
      <c r="E224" s="8" t="str">
        <f aca="false">IF(D224="","",IFERROR(INDEX(ProjNumbers,MATCH(D224,ProjNames,0)),""))</f>
        <v/>
      </c>
      <c r="F224" s="8" t="str">
        <f aca="false">IF(D224="","",IFERROR(INDEX(ProjCodes,MATCH(D224,ProjNames,0)),""))</f>
        <v/>
      </c>
      <c r="G224" s="32"/>
      <c r="H224" s="11"/>
      <c r="I224" s="33"/>
      <c r="J224" s="8" t="str">
        <f aca="false">IF(COUNTA(B224,D224,G224,H224,I224)=0,"",IF(B224="","Enter date",IF(OR(B224&lt;$AC$2,B224&gt;$AC$3),"Date not in October",IF(D224="","Pick project",IF(ISNA(MATCH(D224,ProjNames,0)),"Project not in list",IF(G224="","Add task description",IF(H224="","Pick NTIME or P6",IF(N(I224)&lt;=0,"Enter hours",IF(AND(AllowOT&lt;&gt;"Yes",SUMIF($B$7:$B$256,B224,$I$7:$I$256)&gt;INDEX($O$58:$O$88,DAY(B224))),"Day over "&amp;INDEX($O$58:$O$88,DAY(B224))&amp;" h","✓")))))))))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5" hidden="false" customHeight="false" outlineLevel="0" collapsed="false">
      <c r="A225" s="1"/>
      <c r="B225" s="10"/>
      <c r="C225" s="31" t="str">
        <f aca="false">IF(B225="","",TEXT(B225,"ddd"))</f>
        <v/>
      </c>
      <c r="D225" s="11"/>
      <c r="E225" s="8" t="str">
        <f aca="false">IF(D225="","",IFERROR(INDEX(ProjNumbers,MATCH(D225,ProjNames,0)),""))</f>
        <v/>
      </c>
      <c r="F225" s="8" t="str">
        <f aca="false">IF(D225="","",IFERROR(INDEX(ProjCodes,MATCH(D225,ProjNames,0)),""))</f>
        <v/>
      </c>
      <c r="G225" s="32"/>
      <c r="H225" s="11"/>
      <c r="I225" s="33"/>
      <c r="J225" s="8" t="str">
        <f aca="false">IF(COUNTA(B225,D225,G225,H225,I225)=0,"",IF(B225="","Enter date",IF(OR(B225&lt;$AC$2,B225&gt;$AC$3),"Date not in October",IF(D225="","Pick project",IF(ISNA(MATCH(D225,ProjNames,0)),"Project not in list",IF(G225="","Add task description",IF(H225="","Pick NTIME or P6",IF(N(I225)&lt;=0,"Enter hours",IF(AND(AllowOT&lt;&gt;"Yes",SUMIF($B$7:$B$256,B225,$I$7:$I$256)&gt;INDEX($O$58:$O$88,DAY(B225))),"Day over "&amp;INDEX($O$58:$O$88,DAY(B225))&amp;" h","✓")))))))))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5" hidden="false" customHeight="false" outlineLevel="0" collapsed="false">
      <c r="A226" s="1"/>
      <c r="B226" s="10"/>
      <c r="C226" s="31" t="str">
        <f aca="false">IF(B226="","",TEXT(B226,"ddd"))</f>
        <v/>
      </c>
      <c r="D226" s="11"/>
      <c r="E226" s="8" t="str">
        <f aca="false">IF(D226="","",IFERROR(INDEX(ProjNumbers,MATCH(D226,ProjNames,0)),""))</f>
        <v/>
      </c>
      <c r="F226" s="8" t="str">
        <f aca="false">IF(D226="","",IFERROR(INDEX(ProjCodes,MATCH(D226,ProjNames,0)),""))</f>
        <v/>
      </c>
      <c r="G226" s="32"/>
      <c r="H226" s="11"/>
      <c r="I226" s="33"/>
      <c r="J226" s="8" t="str">
        <f aca="false">IF(COUNTA(B226,D226,G226,H226,I226)=0,"",IF(B226="","Enter date",IF(OR(B226&lt;$AC$2,B226&gt;$AC$3),"Date not in October",IF(D226="","Pick project",IF(ISNA(MATCH(D226,ProjNames,0)),"Project not in list",IF(G226="","Add task description",IF(H226="","Pick NTIME or P6",IF(N(I226)&lt;=0,"Enter hours",IF(AND(AllowOT&lt;&gt;"Yes",SUMIF($B$7:$B$256,B226,$I$7:$I$256)&gt;INDEX($O$58:$O$88,DAY(B226))),"Day over "&amp;INDEX($O$58:$O$88,DAY(B226))&amp;" h","✓")))))))))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5" hidden="false" customHeight="false" outlineLevel="0" collapsed="false">
      <c r="A227" s="1"/>
      <c r="B227" s="10"/>
      <c r="C227" s="31" t="str">
        <f aca="false">IF(B227="","",TEXT(B227,"ddd"))</f>
        <v/>
      </c>
      <c r="D227" s="11"/>
      <c r="E227" s="8" t="str">
        <f aca="false">IF(D227="","",IFERROR(INDEX(ProjNumbers,MATCH(D227,ProjNames,0)),""))</f>
        <v/>
      </c>
      <c r="F227" s="8" t="str">
        <f aca="false">IF(D227="","",IFERROR(INDEX(ProjCodes,MATCH(D227,ProjNames,0)),""))</f>
        <v/>
      </c>
      <c r="G227" s="32"/>
      <c r="H227" s="11"/>
      <c r="I227" s="33"/>
      <c r="J227" s="8" t="str">
        <f aca="false">IF(COUNTA(B227,D227,G227,H227,I227)=0,"",IF(B227="","Enter date",IF(OR(B227&lt;$AC$2,B227&gt;$AC$3),"Date not in October",IF(D227="","Pick project",IF(ISNA(MATCH(D227,ProjNames,0)),"Project not in list",IF(G227="","Add task description",IF(H227="","Pick NTIME or P6",IF(N(I227)&lt;=0,"Enter hours",IF(AND(AllowOT&lt;&gt;"Yes",SUMIF($B$7:$B$256,B227,$I$7:$I$256)&gt;INDEX($O$58:$O$88,DAY(B227))),"Day over "&amp;INDEX($O$58:$O$88,DAY(B227))&amp;" h","✓")))))))))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5" hidden="false" customHeight="false" outlineLevel="0" collapsed="false">
      <c r="A228" s="1"/>
      <c r="B228" s="10"/>
      <c r="C228" s="31" t="str">
        <f aca="false">IF(B228="","",TEXT(B228,"ddd"))</f>
        <v/>
      </c>
      <c r="D228" s="11"/>
      <c r="E228" s="8" t="str">
        <f aca="false">IF(D228="","",IFERROR(INDEX(ProjNumbers,MATCH(D228,ProjNames,0)),""))</f>
        <v/>
      </c>
      <c r="F228" s="8" t="str">
        <f aca="false">IF(D228="","",IFERROR(INDEX(ProjCodes,MATCH(D228,ProjNames,0)),""))</f>
        <v/>
      </c>
      <c r="G228" s="32"/>
      <c r="H228" s="11"/>
      <c r="I228" s="33"/>
      <c r="J228" s="8" t="str">
        <f aca="false">IF(COUNTA(B228,D228,G228,H228,I228)=0,"",IF(B228="","Enter date",IF(OR(B228&lt;$AC$2,B228&gt;$AC$3),"Date not in October",IF(D228="","Pick project",IF(ISNA(MATCH(D228,ProjNames,0)),"Project not in list",IF(G228="","Add task description",IF(H228="","Pick NTIME or P6",IF(N(I228)&lt;=0,"Enter hours",IF(AND(AllowOT&lt;&gt;"Yes",SUMIF($B$7:$B$256,B228,$I$7:$I$256)&gt;INDEX($O$58:$O$88,DAY(B228))),"Day over "&amp;INDEX($O$58:$O$88,DAY(B228))&amp;" h","✓")))))))))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5" hidden="false" customHeight="false" outlineLevel="0" collapsed="false">
      <c r="A229" s="1"/>
      <c r="B229" s="10"/>
      <c r="C229" s="31" t="str">
        <f aca="false">IF(B229="","",TEXT(B229,"ddd"))</f>
        <v/>
      </c>
      <c r="D229" s="11"/>
      <c r="E229" s="8" t="str">
        <f aca="false">IF(D229="","",IFERROR(INDEX(ProjNumbers,MATCH(D229,ProjNames,0)),""))</f>
        <v/>
      </c>
      <c r="F229" s="8" t="str">
        <f aca="false">IF(D229="","",IFERROR(INDEX(ProjCodes,MATCH(D229,ProjNames,0)),""))</f>
        <v/>
      </c>
      <c r="G229" s="32"/>
      <c r="H229" s="11"/>
      <c r="I229" s="33"/>
      <c r="J229" s="8" t="str">
        <f aca="false">IF(COUNTA(B229,D229,G229,H229,I229)=0,"",IF(B229="","Enter date",IF(OR(B229&lt;$AC$2,B229&gt;$AC$3),"Date not in October",IF(D229="","Pick project",IF(ISNA(MATCH(D229,ProjNames,0)),"Project not in list",IF(G229="","Add task description",IF(H229="","Pick NTIME or P6",IF(N(I229)&lt;=0,"Enter hours",IF(AND(AllowOT&lt;&gt;"Yes",SUMIF($B$7:$B$256,B229,$I$7:$I$256)&gt;INDEX($O$58:$O$88,DAY(B229))),"Day over "&amp;INDEX($O$58:$O$88,DAY(B229))&amp;" h","✓")))))))))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5" hidden="false" customHeight="false" outlineLevel="0" collapsed="false">
      <c r="A230" s="1"/>
      <c r="B230" s="10"/>
      <c r="C230" s="31" t="str">
        <f aca="false">IF(B230="","",TEXT(B230,"ddd"))</f>
        <v/>
      </c>
      <c r="D230" s="11"/>
      <c r="E230" s="8" t="str">
        <f aca="false">IF(D230="","",IFERROR(INDEX(ProjNumbers,MATCH(D230,ProjNames,0)),""))</f>
        <v/>
      </c>
      <c r="F230" s="8" t="str">
        <f aca="false">IF(D230="","",IFERROR(INDEX(ProjCodes,MATCH(D230,ProjNames,0)),""))</f>
        <v/>
      </c>
      <c r="G230" s="32"/>
      <c r="H230" s="11"/>
      <c r="I230" s="33"/>
      <c r="J230" s="8" t="str">
        <f aca="false">IF(COUNTA(B230,D230,G230,H230,I230)=0,"",IF(B230="","Enter date",IF(OR(B230&lt;$AC$2,B230&gt;$AC$3),"Date not in October",IF(D230="","Pick project",IF(ISNA(MATCH(D230,ProjNames,0)),"Project not in list",IF(G230="","Add task description",IF(H230="","Pick NTIME or P6",IF(N(I230)&lt;=0,"Enter hours",IF(AND(AllowOT&lt;&gt;"Yes",SUMIF($B$7:$B$256,B230,$I$7:$I$256)&gt;INDEX($O$58:$O$88,DAY(B230))),"Day over "&amp;INDEX($O$58:$O$88,DAY(B230))&amp;" h","✓")))))))))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5" hidden="false" customHeight="false" outlineLevel="0" collapsed="false">
      <c r="A231" s="1"/>
      <c r="B231" s="10"/>
      <c r="C231" s="31" t="str">
        <f aca="false">IF(B231="","",TEXT(B231,"ddd"))</f>
        <v/>
      </c>
      <c r="D231" s="11"/>
      <c r="E231" s="8" t="str">
        <f aca="false">IF(D231="","",IFERROR(INDEX(ProjNumbers,MATCH(D231,ProjNames,0)),""))</f>
        <v/>
      </c>
      <c r="F231" s="8" t="str">
        <f aca="false">IF(D231="","",IFERROR(INDEX(ProjCodes,MATCH(D231,ProjNames,0)),""))</f>
        <v/>
      </c>
      <c r="G231" s="32"/>
      <c r="H231" s="11"/>
      <c r="I231" s="33"/>
      <c r="J231" s="8" t="str">
        <f aca="false">IF(COUNTA(B231,D231,G231,H231,I231)=0,"",IF(B231="","Enter date",IF(OR(B231&lt;$AC$2,B231&gt;$AC$3),"Date not in October",IF(D231="","Pick project",IF(ISNA(MATCH(D231,ProjNames,0)),"Project not in list",IF(G231="","Add task description",IF(H231="","Pick NTIME or P6",IF(N(I231)&lt;=0,"Enter hours",IF(AND(AllowOT&lt;&gt;"Yes",SUMIF($B$7:$B$256,B231,$I$7:$I$256)&gt;INDEX($O$58:$O$88,DAY(B231))),"Day over "&amp;INDEX($O$58:$O$88,DAY(B231))&amp;" h","✓")))))))))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5" hidden="false" customHeight="false" outlineLevel="0" collapsed="false">
      <c r="A232" s="1"/>
      <c r="B232" s="10"/>
      <c r="C232" s="31" t="str">
        <f aca="false">IF(B232="","",TEXT(B232,"ddd"))</f>
        <v/>
      </c>
      <c r="D232" s="11"/>
      <c r="E232" s="8" t="str">
        <f aca="false">IF(D232="","",IFERROR(INDEX(ProjNumbers,MATCH(D232,ProjNames,0)),""))</f>
        <v/>
      </c>
      <c r="F232" s="8" t="str">
        <f aca="false">IF(D232="","",IFERROR(INDEX(ProjCodes,MATCH(D232,ProjNames,0)),""))</f>
        <v/>
      </c>
      <c r="G232" s="32"/>
      <c r="H232" s="11"/>
      <c r="I232" s="33"/>
      <c r="J232" s="8" t="str">
        <f aca="false">IF(COUNTA(B232,D232,G232,H232,I232)=0,"",IF(B232="","Enter date",IF(OR(B232&lt;$AC$2,B232&gt;$AC$3),"Date not in October",IF(D232="","Pick project",IF(ISNA(MATCH(D232,ProjNames,0)),"Project not in list",IF(G232="","Add task description",IF(H232="","Pick NTIME or P6",IF(N(I232)&lt;=0,"Enter hours",IF(AND(AllowOT&lt;&gt;"Yes",SUMIF($B$7:$B$256,B232,$I$7:$I$256)&gt;INDEX($O$58:$O$88,DAY(B232))),"Day over "&amp;INDEX($O$58:$O$88,DAY(B232))&amp;" h","✓")))))))))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5" hidden="false" customHeight="false" outlineLevel="0" collapsed="false">
      <c r="A233" s="1"/>
      <c r="B233" s="10"/>
      <c r="C233" s="31" t="str">
        <f aca="false">IF(B233="","",TEXT(B233,"ddd"))</f>
        <v/>
      </c>
      <c r="D233" s="11"/>
      <c r="E233" s="8" t="str">
        <f aca="false">IF(D233="","",IFERROR(INDEX(ProjNumbers,MATCH(D233,ProjNames,0)),""))</f>
        <v/>
      </c>
      <c r="F233" s="8" t="str">
        <f aca="false">IF(D233="","",IFERROR(INDEX(ProjCodes,MATCH(D233,ProjNames,0)),""))</f>
        <v/>
      </c>
      <c r="G233" s="32"/>
      <c r="H233" s="11"/>
      <c r="I233" s="33"/>
      <c r="J233" s="8" t="str">
        <f aca="false">IF(COUNTA(B233,D233,G233,H233,I233)=0,"",IF(B233="","Enter date",IF(OR(B233&lt;$AC$2,B233&gt;$AC$3),"Date not in October",IF(D233="","Pick project",IF(ISNA(MATCH(D233,ProjNames,0)),"Project not in list",IF(G233="","Add task description",IF(H233="","Pick NTIME or P6",IF(N(I233)&lt;=0,"Enter hours",IF(AND(AllowOT&lt;&gt;"Yes",SUMIF($B$7:$B$256,B233,$I$7:$I$256)&gt;INDEX($O$58:$O$88,DAY(B233))),"Day over "&amp;INDEX($O$58:$O$88,DAY(B233))&amp;" h","✓")))))))))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5" hidden="false" customHeight="false" outlineLevel="0" collapsed="false">
      <c r="A234" s="1"/>
      <c r="B234" s="10"/>
      <c r="C234" s="31" t="str">
        <f aca="false">IF(B234="","",TEXT(B234,"ddd"))</f>
        <v/>
      </c>
      <c r="D234" s="11"/>
      <c r="E234" s="8" t="str">
        <f aca="false">IF(D234="","",IFERROR(INDEX(ProjNumbers,MATCH(D234,ProjNames,0)),""))</f>
        <v/>
      </c>
      <c r="F234" s="8" t="str">
        <f aca="false">IF(D234="","",IFERROR(INDEX(ProjCodes,MATCH(D234,ProjNames,0)),""))</f>
        <v/>
      </c>
      <c r="G234" s="32"/>
      <c r="H234" s="11"/>
      <c r="I234" s="33"/>
      <c r="J234" s="8" t="str">
        <f aca="false">IF(COUNTA(B234,D234,G234,H234,I234)=0,"",IF(B234="","Enter date",IF(OR(B234&lt;$AC$2,B234&gt;$AC$3),"Date not in October",IF(D234="","Pick project",IF(ISNA(MATCH(D234,ProjNames,0)),"Project not in list",IF(G234="","Add task description",IF(H234="","Pick NTIME or P6",IF(N(I234)&lt;=0,"Enter hours",IF(AND(AllowOT&lt;&gt;"Yes",SUMIF($B$7:$B$256,B234,$I$7:$I$256)&gt;INDEX($O$58:$O$88,DAY(B234))),"Day over "&amp;INDEX($O$58:$O$88,DAY(B234))&amp;" h","✓")))))))))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5" hidden="false" customHeight="false" outlineLevel="0" collapsed="false">
      <c r="A235" s="1"/>
      <c r="B235" s="10"/>
      <c r="C235" s="31" t="str">
        <f aca="false">IF(B235="","",TEXT(B235,"ddd"))</f>
        <v/>
      </c>
      <c r="D235" s="11"/>
      <c r="E235" s="8" t="str">
        <f aca="false">IF(D235="","",IFERROR(INDEX(ProjNumbers,MATCH(D235,ProjNames,0)),""))</f>
        <v/>
      </c>
      <c r="F235" s="8" t="str">
        <f aca="false">IF(D235="","",IFERROR(INDEX(ProjCodes,MATCH(D235,ProjNames,0)),""))</f>
        <v/>
      </c>
      <c r="G235" s="32"/>
      <c r="H235" s="11"/>
      <c r="I235" s="33"/>
      <c r="J235" s="8" t="str">
        <f aca="false">IF(COUNTA(B235,D235,G235,H235,I235)=0,"",IF(B235="","Enter date",IF(OR(B235&lt;$AC$2,B235&gt;$AC$3),"Date not in October",IF(D235="","Pick project",IF(ISNA(MATCH(D235,ProjNames,0)),"Project not in list",IF(G235="","Add task description",IF(H235="","Pick NTIME or P6",IF(N(I235)&lt;=0,"Enter hours",IF(AND(AllowOT&lt;&gt;"Yes",SUMIF($B$7:$B$256,B235,$I$7:$I$256)&gt;INDEX($O$58:$O$88,DAY(B235))),"Day over "&amp;INDEX($O$58:$O$88,DAY(B235))&amp;" h","✓")))))))))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5" hidden="false" customHeight="false" outlineLevel="0" collapsed="false">
      <c r="A236" s="1"/>
      <c r="B236" s="10"/>
      <c r="C236" s="31" t="str">
        <f aca="false">IF(B236="","",TEXT(B236,"ddd"))</f>
        <v/>
      </c>
      <c r="D236" s="11"/>
      <c r="E236" s="8" t="str">
        <f aca="false">IF(D236="","",IFERROR(INDEX(ProjNumbers,MATCH(D236,ProjNames,0)),""))</f>
        <v/>
      </c>
      <c r="F236" s="8" t="str">
        <f aca="false">IF(D236="","",IFERROR(INDEX(ProjCodes,MATCH(D236,ProjNames,0)),""))</f>
        <v/>
      </c>
      <c r="G236" s="32"/>
      <c r="H236" s="11"/>
      <c r="I236" s="33"/>
      <c r="J236" s="8" t="str">
        <f aca="false">IF(COUNTA(B236,D236,G236,H236,I236)=0,"",IF(B236="","Enter date",IF(OR(B236&lt;$AC$2,B236&gt;$AC$3),"Date not in October",IF(D236="","Pick project",IF(ISNA(MATCH(D236,ProjNames,0)),"Project not in list",IF(G236="","Add task description",IF(H236="","Pick NTIME or P6",IF(N(I236)&lt;=0,"Enter hours",IF(AND(AllowOT&lt;&gt;"Yes",SUMIF($B$7:$B$256,B236,$I$7:$I$256)&gt;INDEX($O$58:$O$88,DAY(B236))),"Day over "&amp;INDEX($O$58:$O$88,DAY(B236))&amp;" h","✓")))))))))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5" hidden="false" customHeight="false" outlineLevel="0" collapsed="false">
      <c r="A237" s="1"/>
      <c r="B237" s="10"/>
      <c r="C237" s="31" t="str">
        <f aca="false">IF(B237="","",TEXT(B237,"ddd"))</f>
        <v/>
      </c>
      <c r="D237" s="11"/>
      <c r="E237" s="8" t="str">
        <f aca="false">IF(D237="","",IFERROR(INDEX(ProjNumbers,MATCH(D237,ProjNames,0)),""))</f>
        <v/>
      </c>
      <c r="F237" s="8" t="str">
        <f aca="false">IF(D237="","",IFERROR(INDEX(ProjCodes,MATCH(D237,ProjNames,0)),""))</f>
        <v/>
      </c>
      <c r="G237" s="32"/>
      <c r="H237" s="11"/>
      <c r="I237" s="33"/>
      <c r="J237" s="8" t="str">
        <f aca="false">IF(COUNTA(B237,D237,G237,H237,I237)=0,"",IF(B237="","Enter date",IF(OR(B237&lt;$AC$2,B237&gt;$AC$3),"Date not in October",IF(D237="","Pick project",IF(ISNA(MATCH(D237,ProjNames,0)),"Project not in list",IF(G237="","Add task description",IF(H237="","Pick NTIME or P6",IF(N(I237)&lt;=0,"Enter hours",IF(AND(AllowOT&lt;&gt;"Yes",SUMIF($B$7:$B$256,B237,$I$7:$I$256)&gt;INDEX($O$58:$O$88,DAY(B237))),"Day over "&amp;INDEX($O$58:$O$88,DAY(B237))&amp;" h","✓")))))))))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5" hidden="false" customHeight="false" outlineLevel="0" collapsed="false">
      <c r="A238" s="1"/>
      <c r="B238" s="10"/>
      <c r="C238" s="31" t="str">
        <f aca="false">IF(B238="","",TEXT(B238,"ddd"))</f>
        <v/>
      </c>
      <c r="D238" s="11"/>
      <c r="E238" s="8" t="str">
        <f aca="false">IF(D238="","",IFERROR(INDEX(ProjNumbers,MATCH(D238,ProjNames,0)),""))</f>
        <v/>
      </c>
      <c r="F238" s="8" t="str">
        <f aca="false">IF(D238="","",IFERROR(INDEX(ProjCodes,MATCH(D238,ProjNames,0)),""))</f>
        <v/>
      </c>
      <c r="G238" s="32"/>
      <c r="H238" s="11"/>
      <c r="I238" s="33"/>
      <c r="J238" s="8" t="str">
        <f aca="false">IF(COUNTA(B238,D238,G238,H238,I238)=0,"",IF(B238="","Enter date",IF(OR(B238&lt;$AC$2,B238&gt;$AC$3),"Date not in October",IF(D238="","Pick project",IF(ISNA(MATCH(D238,ProjNames,0)),"Project not in list",IF(G238="","Add task description",IF(H238="","Pick NTIME or P6",IF(N(I238)&lt;=0,"Enter hours",IF(AND(AllowOT&lt;&gt;"Yes",SUMIF($B$7:$B$256,B238,$I$7:$I$256)&gt;INDEX($O$58:$O$88,DAY(B238))),"Day over "&amp;INDEX($O$58:$O$88,DAY(B238))&amp;" h","✓")))))))))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5" hidden="false" customHeight="false" outlineLevel="0" collapsed="false">
      <c r="A239" s="1"/>
      <c r="B239" s="10"/>
      <c r="C239" s="31" t="str">
        <f aca="false">IF(B239="","",TEXT(B239,"ddd"))</f>
        <v/>
      </c>
      <c r="D239" s="11"/>
      <c r="E239" s="8" t="str">
        <f aca="false">IF(D239="","",IFERROR(INDEX(ProjNumbers,MATCH(D239,ProjNames,0)),""))</f>
        <v/>
      </c>
      <c r="F239" s="8" t="str">
        <f aca="false">IF(D239="","",IFERROR(INDEX(ProjCodes,MATCH(D239,ProjNames,0)),""))</f>
        <v/>
      </c>
      <c r="G239" s="32"/>
      <c r="H239" s="11"/>
      <c r="I239" s="33"/>
      <c r="J239" s="8" t="str">
        <f aca="false">IF(COUNTA(B239,D239,G239,H239,I239)=0,"",IF(B239="","Enter date",IF(OR(B239&lt;$AC$2,B239&gt;$AC$3),"Date not in October",IF(D239="","Pick project",IF(ISNA(MATCH(D239,ProjNames,0)),"Project not in list",IF(G239="","Add task description",IF(H239="","Pick NTIME or P6",IF(N(I239)&lt;=0,"Enter hours",IF(AND(AllowOT&lt;&gt;"Yes",SUMIF($B$7:$B$256,B239,$I$7:$I$256)&gt;INDEX($O$58:$O$88,DAY(B239))),"Day over "&amp;INDEX($O$58:$O$88,DAY(B239))&amp;" h","✓")))))))))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5" hidden="false" customHeight="false" outlineLevel="0" collapsed="false">
      <c r="A240" s="1"/>
      <c r="B240" s="10"/>
      <c r="C240" s="31" t="str">
        <f aca="false">IF(B240="","",TEXT(B240,"ddd"))</f>
        <v/>
      </c>
      <c r="D240" s="11"/>
      <c r="E240" s="8" t="str">
        <f aca="false">IF(D240="","",IFERROR(INDEX(ProjNumbers,MATCH(D240,ProjNames,0)),""))</f>
        <v/>
      </c>
      <c r="F240" s="8" t="str">
        <f aca="false">IF(D240="","",IFERROR(INDEX(ProjCodes,MATCH(D240,ProjNames,0)),""))</f>
        <v/>
      </c>
      <c r="G240" s="32"/>
      <c r="H240" s="11"/>
      <c r="I240" s="33"/>
      <c r="J240" s="8" t="str">
        <f aca="false">IF(COUNTA(B240,D240,G240,H240,I240)=0,"",IF(B240="","Enter date",IF(OR(B240&lt;$AC$2,B240&gt;$AC$3),"Date not in October",IF(D240="","Pick project",IF(ISNA(MATCH(D240,ProjNames,0)),"Project not in list",IF(G240="","Add task description",IF(H240="","Pick NTIME or P6",IF(N(I240)&lt;=0,"Enter hours",IF(AND(AllowOT&lt;&gt;"Yes",SUMIF($B$7:$B$256,B240,$I$7:$I$256)&gt;INDEX($O$58:$O$88,DAY(B240))),"Day over "&amp;INDEX($O$58:$O$88,DAY(B240))&amp;" h","✓")))))))))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5" hidden="false" customHeight="false" outlineLevel="0" collapsed="false">
      <c r="A241" s="1"/>
      <c r="B241" s="10"/>
      <c r="C241" s="31" t="str">
        <f aca="false">IF(B241="","",TEXT(B241,"ddd"))</f>
        <v/>
      </c>
      <c r="D241" s="11"/>
      <c r="E241" s="8" t="str">
        <f aca="false">IF(D241="","",IFERROR(INDEX(ProjNumbers,MATCH(D241,ProjNames,0)),""))</f>
        <v/>
      </c>
      <c r="F241" s="8" t="str">
        <f aca="false">IF(D241="","",IFERROR(INDEX(ProjCodes,MATCH(D241,ProjNames,0)),""))</f>
        <v/>
      </c>
      <c r="G241" s="32"/>
      <c r="H241" s="11"/>
      <c r="I241" s="33"/>
      <c r="J241" s="8" t="str">
        <f aca="false">IF(COUNTA(B241,D241,G241,H241,I241)=0,"",IF(B241="","Enter date",IF(OR(B241&lt;$AC$2,B241&gt;$AC$3),"Date not in October",IF(D241="","Pick project",IF(ISNA(MATCH(D241,ProjNames,0)),"Project not in list",IF(G241="","Add task description",IF(H241="","Pick NTIME or P6",IF(N(I241)&lt;=0,"Enter hours",IF(AND(AllowOT&lt;&gt;"Yes",SUMIF($B$7:$B$256,B241,$I$7:$I$256)&gt;INDEX($O$58:$O$88,DAY(B241))),"Day over "&amp;INDEX($O$58:$O$88,DAY(B241))&amp;" h","✓")))))))))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5" hidden="false" customHeight="false" outlineLevel="0" collapsed="false">
      <c r="A242" s="1"/>
      <c r="B242" s="10"/>
      <c r="C242" s="31" t="str">
        <f aca="false">IF(B242="","",TEXT(B242,"ddd"))</f>
        <v/>
      </c>
      <c r="D242" s="11"/>
      <c r="E242" s="8" t="str">
        <f aca="false">IF(D242="","",IFERROR(INDEX(ProjNumbers,MATCH(D242,ProjNames,0)),""))</f>
        <v/>
      </c>
      <c r="F242" s="8" t="str">
        <f aca="false">IF(D242="","",IFERROR(INDEX(ProjCodes,MATCH(D242,ProjNames,0)),""))</f>
        <v/>
      </c>
      <c r="G242" s="32"/>
      <c r="H242" s="11"/>
      <c r="I242" s="33"/>
      <c r="J242" s="8" t="str">
        <f aca="false">IF(COUNTA(B242,D242,G242,H242,I242)=0,"",IF(B242="","Enter date",IF(OR(B242&lt;$AC$2,B242&gt;$AC$3),"Date not in October",IF(D242="","Pick project",IF(ISNA(MATCH(D242,ProjNames,0)),"Project not in list",IF(G242="","Add task description",IF(H242="","Pick NTIME or P6",IF(N(I242)&lt;=0,"Enter hours",IF(AND(AllowOT&lt;&gt;"Yes",SUMIF($B$7:$B$256,B242,$I$7:$I$256)&gt;INDEX($O$58:$O$88,DAY(B242))),"Day over "&amp;INDEX($O$58:$O$88,DAY(B242))&amp;" h","✓")))))))))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5" hidden="false" customHeight="false" outlineLevel="0" collapsed="false">
      <c r="A243" s="1"/>
      <c r="B243" s="10"/>
      <c r="C243" s="31" t="str">
        <f aca="false">IF(B243="","",TEXT(B243,"ddd"))</f>
        <v/>
      </c>
      <c r="D243" s="11"/>
      <c r="E243" s="8" t="str">
        <f aca="false">IF(D243="","",IFERROR(INDEX(ProjNumbers,MATCH(D243,ProjNames,0)),""))</f>
        <v/>
      </c>
      <c r="F243" s="8" t="str">
        <f aca="false">IF(D243="","",IFERROR(INDEX(ProjCodes,MATCH(D243,ProjNames,0)),""))</f>
        <v/>
      </c>
      <c r="G243" s="32"/>
      <c r="H243" s="11"/>
      <c r="I243" s="33"/>
      <c r="J243" s="8" t="str">
        <f aca="false">IF(COUNTA(B243,D243,G243,H243,I243)=0,"",IF(B243="","Enter date",IF(OR(B243&lt;$AC$2,B243&gt;$AC$3),"Date not in October",IF(D243="","Pick project",IF(ISNA(MATCH(D243,ProjNames,0)),"Project not in list",IF(G243="","Add task description",IF(H243="","Pick NTIME or P6",IF(N(I243)&lt;=0,"Enter hours",IF(AND(AllowOT&lt;&gt;"Yes",SUMIF($B$7:$B$256,B243,$I$7:$I$256)&gt;INDEX($O$58:$O$88,DAY(B243))),"Day over "&amp;INDEX($O$58:$O$88,DAY(B243))&amp;" h","✓")))))))))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5" hidden="false" customHeight="false" outlineLevel="0" collapsed="false">
      <c r="A244" s="1"/>
      <c r="B244" s="10"/>
      <c r="C244" s="31" t="str">
        <f aca="false">IF(B244="","",TEXT(B244,"ddd"))</f>
        <v/>
      </c>
      <c r="D244" s="11"/>
      <c r="E244" s="8" t="str">
        <f aca="false">IF(D244="","",IFERROR(INDEX(ProjNumbers,MATCH(D244,ProjNames,0)),""))</f>
        <v/>
      </c>
      <c r="F244" s="8" t="str">
        <f aca="false">IF(D244="","",IFERROR(INDEX(ProjCodes,MATCH(D244,ProjNames,0)),""))</f>
        <v/>
      </c>
      <c r="G244" s="32"/>
      <c r="H244" s="11"/>
      <c r="I244" s="33"/>
      <c r="J244" s="8" t="str">
        <f aca="false">IF(COUNTA(B244,D244,G244,H244,I244)=0,"",IF(B244="","Enter date",IF(OR(B244&lt;$AC$2,B244&gt;$AC$3),"Date not in October",IF(D244="","Pick project",IF(ISNA(MATCH(D244,ProjNames,0)),"Project not in list",IF(G244="","Add task description",IF(H244="","Pick NTIME or P6",IF(N(I244)&lt;=0,"Enter hours",IF(AND(AllowOT&lt;&gt;"Yes",SUMIF($B$7:$B$256,B244,$I$7:$I$256)&gt;INDEX($O$58:$O$88,DAY(B244))),"Day over "&amp;INDEX($O$58:$O$88,DAY(B244))&amp;" h","✓")))))))))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5" hidden="false" customHeight="false" outlineLevel="0" collapsed="false">
      <c r="A245" s="1"/>
      <c r="B245" s="10"/>
      <c r="C245" s="31" t="str">
        <f aca="false">IF(B245="","",TEXT(B245,"ddd"))</f>
        <v/>
      </c>
      <c r="D245" s="11"/>
      <c r="E245" s="8" t="str">
        <f aca="false">IF(D245="","",IFERROR(INDEX(ProjNumbers,MATCH(D245,ProjNames,0)),""))</f>
        <v/>
      </c>
      <c r="F245" s="8" t="str">
        <f aca="false">IF(D245="","",IFERROR(INDEX(ProjCodes,MATCH(D245,ProjNames,0)),""))</f>
        <v/>
      </c>
      <c r="G245" s="32"/>
      <c r="H245" s="11"/>
      <c r="I245" s="33"/>
      <c r="J245" s="8" t="str">
        <f aca="false">IF(COUNTA(B245,D245,G245,H245,I245)=0,"",IF(B245="","Enter date",IF(OR(B245&lt;$AC$2,B245&gt;$AC$3),"Date not in October",IF(D245="","Pick project",IF(ISNA(MATCH(D245,ProjNames,0)),"Project not in list",IF(G245="","Add task description",IF(H245="","Pick NTIME or P6",IF(N(I245)&lt;=0,"Enter hours",IF(AND(AllowOT&lt;&gt;"Yes",SUMIF($B$7:$B$256,B245,$I$7:$I$256)&gt;INDEX($O$58:$O$88,DAY(B245))),"Day over "&amp;INDEX($O$58:$O$88,DAY(B245))&amp;" h","✓")))))))))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5" hidden="false" customHeight="false" outlineLevel="0" collapsed="false">
      <c r="A246" s="1"/>
      <c r="B246" s="10"/>
      <c r="C246" s="31" t="str">
        <f aca="false">IF(B246="","",TEXT(B246,"ddd"))</f>
        <v/>
      </c>
      <c r="D246" s="11"/>
      <c r="E246" s="8" t="str">
        <f aca="false">IF(D246="","",IFERROR(INDEX(ProjNumbers,MATCH(D246,ProjNames,0)),""))</f>
        <v/>
      </c>
      <c r="F246" s="8" t="str">
        <f aca="false">IF(D246="","",IFERROR(INDEX(ProjCodes,MATCH(D246,ProjNames,0)),""))</f>
        <v/>
      </c>
      <c r="G246" s="32"/>
      <c r="H246" s="11"/>
      <c r="I246" s="33"/>
      <c r="J246" s="8" t="str">
        <f aca="false">IF(COUNTA(B246,D246,G246,H246,I246)=0,"",IF(B246="","Enter date",IF(OR(B246&lt;$AC$2,B246&gt;$AC$3),"Date not in October",IF(D246="","Pick project",IF(ISNA(MATCH(D246,ProjNames,0)),"Project not in list",IF(G246="","Add task description",IF(H246="","Pick NTIME or P6",IF(N(I246)&lt;=0,"Enter hours",IF(AND(AllowOT&lt;&gt;"Yes",SUMIF($B$7:$B$256,B246,$I$7:$I$256)&gt;INDEX($O$58:$O$88,DAY(B246))),"Day over "&amp;INDEX($O$58:$O$88,DAY(B246))&amp;" h","✓")))))))))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5" hidden="false" customHeight="false" outlineLevel="0" collapsed="false">
      <c r="A247" s="1"/>
      <c r="B247" s="10"/>
      <c r="C247" s="31" t="str">
        <f aca="false">IF(B247="","",TEXT(B247,"ddd"))</f>
        <v/>
      </c>
      <c r="D247" s="11"/>
      <c r="E247" s="8" t="str">
        <f aca="false">IF(D247="","",IFERROR(INDEX(ProjNumbers,MATCH(D247,ProjNames,0)),""))</f>
        <v/>
      </c>
      <c r="F247" s="8" t="str">
        <f aca="false">IF(D247="","",IFERROR(INDEX(ProjCodes,MATCH(D247,ProjNames,0)),""))</f>
        <v/>
      </c>
      <c r="G247" s="32"/>
      <c r="H247" s="11"/>
      <c r="I247" s="33"/>
      <c r="J247" s="8" t="str">
        <f aca="false">IF(COUNTA(B247,D247,G247,H247,I247)=0,"",IF(B247="","Enter date",IF(OR(B247&lt;$AC$2,B247&gt;$AC$3),"Date not in October",IF(D247="","Pick project",IF(ISNA(MATCH(D247,ProjNames,0)),"Project not in list",IF(G247="","Add task description",IF(H247="","Pick NTIME or P6",IF(N(I247)&lt;=0,"Enter hours",IF(AND(AllowOT&lt;&gt;"Yes",SUMIF($B$7:$B$256,B247,$I$7:$I$256)&gt;INDEX($O$58:$O$88,DAY(B247))),"Day over "&amp;INDEX($O$58:$O$88,DAY(B247))&amp;" h","✓")))))))))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5" hidden="false" customHeight="false" outlineLevel="0" collapsed="false">
      <c r="A248" s="1"/>
      <c r="B248" s="10"/>
      <c r="C248" s="31" t="str">
        <f aca="false">IF(B248="","",TEXT(B248,"ddd"))</f>
        <v/>
      </c>
      <c r="D248" s="11"/>
      <c r="E248" s="8" t="str">
        <f aca="false">IF(D248="","",IFERROR(INDEX(ProjNumbers,MATCH(D248,ProjNames,0)),""))</f>
        <v/>
      </c>
      <c r="F248" s="8" t="str">
        <f aca="false">IF(D248="","",IFERROR(INDEX(ProjCodes,MATCH(D248,ProjNames,0)),""))</f>
        <v/>
      </c>
      <c r="G248" s="32"/>
      <c r="H248" s="11"/>
      <c r="I248" s="33"/>
      <c r="J248" s="8" t="str">
        <f aca="false">IF(COUNTA(B248,D248,G248,H248,I248)=0,"",IF(B248="","Enter date",IF(OR(B248&lt;$AC$2,B248&gt;$AC$3),"Date not in October",IF(D248="","Pick project",IF(ISNA(MATCH(D248,ProjNames,0)),"Project not in list",IF(G248="","Add task description",IF(H248="","Pick NTIME or P6",IF(N(I248)&lt;=0,"Enter hours",IF(AND(AllowOT&lt;&gt;"Yes",SUMIF($B$7:$B$256,B248,$I$7:$I$256)&gt;INDEX($O$58:$O$88,DAY(B248))),"Day over "&amp;INDEX($O$58:$O$88,DAY(B248))&amp;" h","✓")))))))))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5" hidden="false" customHeight="false" outlineLevel="0" collapsed="false">
      <c r="A249" s="1"/>
      <c r="B249" s="10"/>
      <c r="C249" s="31" t="str">
        <f aca="false">IF(B249="","",TEXT(B249,"ddd"))</f>
        <v/>
      </c>
      <c r="D249" s="11"/>
      <c r="E249" s="8" t="str">
        <f aca="false">IF(D249="","",IFERROR(INDEX(ProjNumbers,MATCH(D249,ProjNames,0)),""))</f>
        <v/>
      </c>
      <c r="F249" s="8" t="str">
        <f aca="false">IF(D249="","",IFERROR(INDEX(ProjCodes,MATCH(D249,ProjNames,0)),""))</f>
        <v/>
      </c>
      <c r="G249" s="32"/>
      <c r="H249" s="11"/>
      <c r="I249" s="33"/>
      <c r="J249" s="8" t="str">
        <f aca="false">IF(COUNTA(B249,D249,G249,H249,I249)=0,"",IF(B249="","Enter date",IF(OR(B249&lt;$AC$2,B249&gt;$AC$3),"Date not in October",IF(D249="","Pick project",IF(ISNA(MATCH(D249,ProjNames,0)),"Project not in list",IF(G249="","Add task description",IF(H249="","Pick NTIME or P6",IF(N(I249)&lt;=0,"Enter hours",IF(AND(AllowOT&lt;&gt;"Yes",SUMIF($B$7:$B$256,B249,$I$7:$I$256)&gt;INDEX($O$58:$O$88,DAY(B249))),"Day over "&amp;INDEX($O$58:$O$88,DAY(B249))&amp;" h","✓")))))))))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5" hidden="false" customHeight="false" outlineLevel="0" collapsed="false">
      <c r="A250" s="1"/>
      <c r="B250" s="10"/>
      <c r="C250" s="31" t="str">
        <f aca="false">IF(B250="","",TEXT(B250,"ddd"))</f>
        <v/>
      </c>
      <c r="D250" s="11"/>
      <c r="E250" s="8" t="str">
        <f aca="false">IF(D250="","",IFERROR(INDEX(ProjNumbers,MATCH(D250,ProjNames,0)),""))</f>
        <v/>
      </c>
      <c r="F250" s="8" t="str">
        <f aca="false">IF(D250="","",IFERROR(INDEX(ProjCodes,MATCH(D250,ProjNames,0)),""))</f>
        <v/>
      </c>
      <c r="G250" s="32"/>
      <c r="H250" s="11"/>
      <c r="I250" s="33"/>
      <c r="J250" s="8" t="str">
        <f aca="false">IF(COUNTA(B250,D250,G250,H250,I250)=0,"",IF(B250="","Enter date",IF(OR(B250&lt;$AC$2,B250&gt;$AC$3),"Date not in October",IF(D250="","Pick project",IF(ISNA(MATCH(D250,ProjNames,0)),"Project not in list",IF(G250="","Add task description",IF(H250="","Pick NTIME or P6",IF(N(I250)&lt;=0,"Enter hours",IF(AND(AllowOT&lt;&gt;"Yes",SUMIF($B$7:$B$256,B250,$I$7:$I$256)&gt;INDEX($O$58:$O$88,DAY(B250))),"Day over "&amp;INDEX($O$58:$O$88,DAY(B250))&amp;" h","✓")))))))))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5" hidden="false" customHeight="false" outlineLevel="0" collapsed="false">
      <c r="A251" s="1"/>
      <c r="B251" s="10"/>
      <c r="C251" s="31" t="str">
        <f aca="false">IF(B251="","",TEXT(B251,"ddd"))</f>
        <v/>
      </c>
      <c r="D251" s="11"/>
      <c r="E251" s="8" t="str">
        <f aca="false">IF(D251="","",IFERROR(INDEX(ProjNumbers,MATCH(D251,ProjNames,0)),""))</f>
        <v/>
      </c>
      <c r="F251" s="8" t="str">
        <f aca="false">IF(D251="","",IFERROR(INDEX(ProjCodes,MATCH(D251,ProjNames,0)),""))</f>
        <v/>
      </c>
      <c r="G251" s="32"/>
      <c r="H251" s="11"/>
      <c r="I251" s="33"/>
      <c r="J251" s="8" t="str">
        <f aca="false">IF(COUNTA(B251,D251,G251,H251,I251)=0,"",IF(B251="","Enter date",IF(OR(B251&lt;$AC$2,B251&gt;$AC$3),"Date not in October",IF(D251="","Pick project",IF(ISNA(MATCH(D251,ProjNames,0)),"Project not in list",IF(G251="","Add task description",IF(H251="","Pick NTIME or P6",IF(N(I251)&lt;=0,"Enter hours",IF(AND(AllowOT&lt;&gt;"Yes",SUMIF($B$7:$B$256,B251,$I$7:$I$256)&gt;INDEX($O$58:$O$88,DAY(B251))),"Day over "&amp;INDEX($O$58:$O$88,DAY(B251))&amp;" h","✓")))))))))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5" hidden="false" customHeight="false" outlineLevel="0" collapsed="false">
      <c r="A252" s="1"/>
      <c r="B252" s="10"/>
      <c r="C252" s="31" t="str">
        <f aca="false">IF(B252="","",TEXT(B252,"ddd"))</f>
        <v/>
      </c>
      <c r="D252" s="11"/>
      <c r="E252" s="8" t="str">
        <f aca="false">IF(D252="","",IFERROR(INDEX(ProjNumbers,MATCH(D252,ProjNames,0)),""))</f>
        <v/>
      </c>
      <c r="F252" s="8" t="str">
        <f aca="false">IF(D252="","",IFERROR(INDEX(ProjCodes,MATCH(D252,ProjNames,0)),""))</f>
        <v/>
      </c>
      <c r="G252" s="32"/>
      <c r="H252" s="11"/>
      <c r="I252" s="33"/>
      <c r="J252" s="8" t="str">
        <f aca="false">IF(COUNTA(B252,D252,G252,H252,I252)=0,"",IF(B252="","Enter date",IF(OR(B252&lt;$AC$2,B252&gt;$AC$3),"Date not in October",IF(D252="","Pick project",IF(ISNA(MATCH(D252,ProjNames,0)),"Project not in list",IF(G252="","Add task description",IF(H252="","Pick NTIME or P6",IF(N(I252)&lt;=0,"Enter hours",IF(AND(AllowOT&lt;&gt;"Yes",SUMIF($B$7:$B$256,B252,$I$7:$I$256)&gt;INDEX($O$58:$O$88,DAY(B252))),"Day over "&amp;INDEX($O$58:$O$88,DAY(B252))&amp;" h","✓")))))))))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5" hidden="false" customHeight="false" outlineLevel="0" collapsed="false">
      <c r="A253" s="1"/>
      <c r="B253" s="10"/>
      <c r="C253" s="31" t="str">
        <f aca="false">IF(B253="","",TEXT(B253,"ddd"))</f>
        <v/>
      </c>
      <c r="D253" s="11"/>
      <c r="E253" s="8" t="str">
        <f aca="false">IF(D253="","",IFERROR(INDEX(ProjNumbers,MATCH(D253,ProjNames,0)),""))</f>
        <v/>
      </c>
      <c r="F253" s="8" t="str">
        <f aca="false">IF(D253="","",IFERROR(INDEX(ProjCodes,MATCH(D253,ProjNames,0)),""))</f>
        <v/>
      </c>
      <c r="G253" s="32"/>
      <c r="H253" s="11"/>
      <c r="I253" s="33"/>
      <c r="J253" s="8" t="str">
        <f aca="false">IF(COUNTA(B253,D253,G253,H253,I253)=0,"",IF(B253="","Enter date",IF(OR(B253&lt;$AC$2,B253&gt;$AC$3),"Date not in October",IF(D253="","Pick project",IF(ISNA(MATCH(D253,ProjNames,0)),"Project not in list",IF(G253="","Add task description",IF(H253="","Pick NTIME or P6",IF(N(I253)&lt;=0,"Enter hours",IF(AND(AllowOT&lt;&gt;"Yes",SUMIF($B$7:$B$256,B253,$I$7:$I$256)&gt;INDEX($O$58:$O$88,DAY(B253))),"Day over "&amp;INDEX($O$58:$O$88,DAY(B253))&amp;" h","✓")))))))))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5" hidden="false" customHeight="false" outlineLevel="0" collapsed="false">
      <c r="A254" s="1"/>
      <c r="B254" s="10"/>
      <c r="C254" s="31" t="str">
        <f aca="false">IF(B254="","",TEXT(B254,"ddd"))</f>
        <v/>
      </c>
      <c r="D254" s="11"/>
      <c r="E254" s="8" t="str">
        <f aca="false">IF(D254="","",IFERROR(INDEX(ProjNumbers,MATCH(D254,ProjNames,0)),""))</f>
        <v/>
      </c>
      <c r="F254" s="8" t="str">
        <f aca="false">IF(D254="","",IFERROR(INDEX(ProjCodes,MATCH(D254,ProjNames,0)),""))</f>
        <v/>
      </c>
      <c r="G254" s="32"/>
      <c r="H254" s="11"/>
      <c r="I254" s="33"/>
      <c r="J254" s="8" t="str">
        <f aca="false">IF(COUNTA(B254,D254,G254,H254,I254)=0,"",IF(B254="","Enter date",IF(OR(B254&lt;$AC$2,B254&gt;$AC$3),"Date not in October",IF(D254="","Pick project",IF(ISNA(MATCH(D254,ProjNames,0)),"Project not in list",IF(G254="","Add task description",IF(H254="","Pick NTIME or P6",IF(N(I254)&lt;=0,"Enter hours",IF(AND(AllowOT&lt;&gt;"Yes",SUMIF($B$7:$B$256,B254,$I$7:$I$256)&gt;INDEX($O$58:$O$88,DAY(B254))),"Day over "&amp;INDEX($O$58:$O$88,DAY(B254))&amp;" h","✓")))))))))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5" hidden="false" customHeight="false" outlineLevel="0" collapsed="false">
      <c r="A255" s="1"/>
      <c r="B255" s="10"/>
      <c r="C255" s="31" t="str">
        <f aca="false">IF(B255="","",TEXT(B255,"ddd"))</f>
        <v/>
      </c>
      <c r="D255" s="11"/>
      <c r="E255" s="8" t="str">
        <f aca="false">IF(D255="","",IFERROR(INDEX(ProjNumbers,MATCH(D255,ProjNames,0)),""))</f>
        <v/>
      </c>
      <c r="F255" s="8" t="str">
        <f aca="false">IF(D255="","",IFERROR(INDEX(ProjCodes,MATCH(D255,ProjNames,0)),""))</f>
        <v/>
      </c>
      <c r="G255" s="32"/>
      <c r="H255" s="11"/>
      <c r="I255" s="33"/>
      <c r="J255" s="8" t="str">
        <f aca="false">IF(COUNTA(B255,D255,G255,H255,I255)=0,"",IF(B255="","Enter date",IF(OR(B255&lt;$AC$2,B255&gt;$AC$3),"Date not in October",IF(D255="","Pick project",IF(ISNA(MATCH(D255,ProjNames,0)),"Project not in list",IF(G255="","Add task description",IF(H255="","Pick NTIME or P6",IF(N(I255)&lt;=0,"Enter hours",IF(AND(AllowOT&lt;&gt;"Yes",SUMIF($B$7:$B$256,B255,$I$7:$I$256)&gt;INDEX($O$58:$O$88,DAY(B255))),"Day over "&amp;INDEX($O$58:$O$88,DAY(B255))&amp;" h","✓")))))))))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5" hidden="false" customHeight="false" outlineLevel="0" collapsed="false">
      <c r="A256" s="1"/>
      <c r="B256" s="10"/>
      <c r="C256" s="31" t="str">
        <f aca="false">IF(B256="","",TEXT(B256,"ddd"))</f>
        <v/>
      </c>
      <c r="D256" s="11"/>
      <c r="E256" s="8" t="str">
        <f aca="false">IF(D256="","",IFERROR(INDEX(ProjNumbers,MATCH(D256,ProjNames,0)),""))</f>
        <v/>
      </c>
      <c r="F256" s="8" t="str">
        <f aca="false">IF(D256="","",IFERROR(INDEX(ProjCodes,MATCH(D256,ProjNames,0)),""))</f>
        <v/>
      </c>
      <c r="G256" s="32"/>
      <c r="H256" s="11"/>
      <c r="I256" s="33"/>
      <c r="J256" s="8" t="str">
        <f aca="false">IF(COUNTA(B256,D256,G256,H256,I256)=0,"",IF(B256="","Enter date",IF(OR(B256&lt;$AC$2,B256&gt;$AC$3),"Date not in October",IF(D256="","Pick project",IF(ISNA(MATCH(D256,ProjNames,0)),"Project not in list",IF(G256="","Add task description",IF(H256="","Pick NTIME or P6",IF(N(I256)&lt;=0,"Enter hours",IF(AND(AllowOT&lt;&gt;"Yes",SUMIF($B$7:$B$256,B256,$I$7:$I$256)&gt;INDEX($O$58:$O$88,DAY(B256))),"Day over "&amp;INDEX($O$58:$O$88,DAY(B256))&amp;" h","✓")))))))))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</sheetData>
  <conditionalFormatting sqref="J7:J256">
    <cfRule type="expression" priority="2" aboveAverage="0" equalAverage="0" bottom="0" percent="0" rank="0" text="" dxfId="0">
      <formula>AND(J7&lt;&gt;"",J7&lt;&gt;"✓")</formula>
    </cfRule>
  </conditionalFormatting>
  <conditionalFormatting sqref="H7:H256">
    <cfRule type="expression" priority="3" aboveAverage="0" equalAverage="0" bottom="0" percent="0" rank="0" text="" dxfId="1">
      <formula>H7="NTIME"</formula>
    </cfRule>
    <cfRule type="expression" priority="4" aboveAverage="0" equalAverage="0" bottom="0" percent="0" rank="0" text="" dxfId="2">
      <formula>H7="P6"</formula>
    </cfRule>
  </conditionalFormatting>
  <conditionalFormatting sqref="S5">
    <cfRule type="expression" priority="5" aboveAverage="0" equalAverage="0" bottom="0" percent="0" rank="0" text="" dxfId="3">
      <formula>S5&gt;0</formula>
    </cfRule>
  </conditionalFormatting>
  <conditionalFormatting sqref="L52:R52">
    <cfRule type="expression" priority="6" aboveAverage="0" equalAverage="0" bottom="0" percent="0" rank="0" text="" dxfId="4">
      <formula>$Q$52&gt;0</formula>
    </cfRule>
  </conditionalFormatting>
  <conditionalFormatting sqref="L58:U88">
    <cfRule type="expression" priority="7" aboveAverage="0" equalAverage="0" bottom="0" percent="0" rank="0" text="" dxfId="5">
      <formula>$L58=TODAY()</formula>
    </cfRule>
    <cfRule type="expression" priority="8" aboveAverage="0" equalAverage="0" bottom="0" percent="0" rank="0" text="" dxfId="6">
      <formula>OR($N58="Weekend",$N58="Leave",$N58="Public Holiday")</formula>
    </cfRule>
  </conditionalFormatting>
  <conditionalFormatting sqref="U58:U88">
    <cfRule type="expression" priority="9" aboveAverage="0" equalAverage="0" bottom="0" percent="0" rank="0" text="" dxfId="7">
      <formula>OR(U58="Not logged",LEFT(U58,5)="Over ",LEFT(U58,7)="Entries")</formula>
    </cfRule>
    <cfRule type="expression" priority="10" aboveAverage="0" equalAverage="0" bottom="0" percent="0" rank="0" text="" dxfId="8">
      <formula>LEFT(U58,1)="✓"</formula>
    </cfRule>
  </conditionalFormatting>
  <dataValidations count="7">
    <dataValidation allowBlank="false" error="Hours must be more than 0 and at most 24." errorStyle="stop" operator="between" showDropDown="false" showErrorMessage="true" showInputMessage="false" sqref="I7:I256" type="decimal">
      <formula1>0.01</formula1>
      <formula2>24</formula2>
    </dataValidation>
    <dataValidation allowBlank="false" error="Keep the task description to 200 characters." errorStyle="stop" operator="lessThanOrEqual" showDropDown="false" showErrorMessage="true" showInputMessage="false" sqref="G7:G256" type="textLength">
      <formula1>200</formula1>
      <formula2>0</formula2>
    </dataValidation>
    <dataValidation allowBlank="false" errorStyle="stop" operator="between" showDropDown="false" showErrorMessage="true" showInputMessage="false" sqref="O58:O88" type="decimal">
      <formula1>0</formula1>
      <formula2>24</formula2>
    </dataValidation>
    <dataValidation allowBlank="false" error="Enter a date in October 2026." errorStyle="stop" errorTitle="Date" operator="between" showDropDown="false" showErrorMessage="true" showInputMessage="false" sqref="B7:B256" type="date">
      <formula1>DATE(2026,10,1)</formula1>
      <formula2>DATE(2026,10,31)</formula2>
    </dataValidation>
    <dataValidation allowBlank="false" error="Pick a project from the list. Add new projects on the Projects sheet first." errorStyle="stop" errorTitle="Project" operator="between" showDropDown="false" showErrorMessage="true" showInputMessage="false" sqref="D7:D256" type="list">
      <formula1>ProjNames</formula1>
      <formula2>0</formula2>
    </dataValidation>
    <dataValidation allowBlank="false" errorStyle="stop" operator="between" showDropDown="false" showErrorMessage="true" showInputMessage="false" sqref="H7:H256" type="list">
      <formula1>"NTIME,P6"</formula1>
      <formula2>0</formula2>
    </dataValidation>
    <dataValidation allowBlank="false" errorStyle="stop" operator="between" showDropDown="false" showErrorMessage="true" showInputMessage="false" sqref="N58:N88" type="list">
      <formula1>"Working,Overhead only,Leave,Public Holiday,Weekend"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true"/>
  </sheetPr>
  <dimension ref="A1:AH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9" min="15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true" outlineLevel="0" max="34" min="23" style="0" width="13"/>
  </cols>
  <sheetData>
    <row r="1" customFormat="false" ht="22.05" hidden="false" customHeight="false" outlineLevel="0" collapsed="false">
      <c r="A1" s="1"/>
      <c r="B1" s="2" t="s">
        <v>104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75</v>
      </c>
      <c r="AD1" s="1"/>
      <c r="AE1" s="1"/>
      <c r="AF1" s="1"/>
      <c r="AG1" s="1"/>
      <c r="AH1" s="1"/>
    </row>
    <row r="2" customFormat="false" ht="15" hidden="false" customHeight="false" outlineLevel="0" collapsed="false">
      <c r="A2" s="1"/>
      <c r="B2" s="3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0" t="n">
        <v>46327</v>
      </c>
      <c r="AD2" s="1"/>
      <c r="AE2" s="1"/>
      <c r="AF2" s="1"/>
      <c r="AG2" s="1"/>
      <c r="AH2" s="1"/>
    </row>
    <row r="3" customFormat="false" ht="15" hidden="false" customHeight="false" outlineLevel="0" collapsed="false">
      <c r="A3" s="1"/>
      <c r="B3" s="4" t="s">
        <v>77</v>
      </c>
      <c r="C3" s="1"/>
      <c r="D3" s="1"/>
      <c r="E3" s="1"/>
      <c r="F3" s="1"/>
      <c r="G3" s="1"/>
      <c r="H3" s="1"/>
      <c r="I3" s="1"/>
      <c r="J3" s="1"/>
      <c r="K3" s="1"/>
      <c r="L3" s="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0" t="n">
        <v>46356</v>
      </c>
      <c r="AD3" s="1"/>
      <c r="AE3" s="1"/>
      <c r="AF3" s="1"/>
      <c r="AG3" s="1"/>
      <c r="AH3" s="1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3" t="s">
        <v>50</v>
      </c>
      <c r="M4" s="13" t="str">
        <f aca="false">IF(OHSystem="NTIME","NTIME (incl. overhead)","NTIME")</f>
        <v>NTIME</v>
      </c>
      <c r="N4" s="13" t="str">
        <f aca="false">IF(OHSystem="P6","P6 (incl. overhead)","P6")</f>
        <v>P6</v>
      </c>
      <c r="O4" s="13" t="s">
        <v>15</v>
      </c>
      <c r="P4" s="13" t="s">
        <v>24</v>
      </c>
      <c r="Q4" s="13" t="s">
        <v>51</v>
      </c>
      <c r="R4" s="13" t="s">
        <v>52</v>
      </c>
      <c r="S4" s="13" t="s">
        <v>53</v>
      </c>
      <c r="T4" s="1"/>
      <c r="U4" s="1"/>
      <c r="V4" s="1"/>
      <c r="W4" s="1"/>
      <c r="X4" s="1"/>
      <c r="Y4" s="1"/>
      <c r="Z4" s="1"/>
      <c r="AA4" s="1"/>
      <c r="AB4" s="1"/>
      <c r="AC4" s="30" t="n">
        <f aca="false">AC2-MOD(WEEKDAY(AC2,2)-WeekStartNum,7)</f>
        <v>46321</v>
      </c>
      <c r="AD4" s="1"/>
      <c r="AE4" s="1"/>
      <c r="AF4" s="1"/>
      <c r="AG4" s="1"/>
      <c r="AH4" s="1"/>
    </row>
    <row r="5" customFormat="false" ht="30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 t="n">
        <f aca="false">SUM($T$58:$T$87)</f>
        <v>0</v>
      </c>
      <c r="M5" s="15" t="n">
        <f aca="false">SUM($P$58:$P$87)+IF(OHSystem="NTIME",SUM($R$58:$R$87),0)</f>
        <v>0</v>
      </c>
      <c r="N5" s="16" t="n">
        <f aca="false">SUM($Q$58:$Q$87)+IF(OHSystem="P6",SUM($R$58:$R$87),0)</f>
        <v>0</v>
      </c>
      <c r="O5" s="17" t="n">
        <f aca="false">SUM($R$58:$R$87)</f>
        <v>0</v>
      </c>
      <c r="P5" s="14" t="n">
        <f aca="false">SUM($S$58:$S$87)</f>
        <v>0</v>
      </c>
      <c r="Q5" s="18" t="str">
        <f aca="false">IF(L5=0,"-",(SUM($P$58:$P$87)+SUM($Q$58:$Q$87))/L5)</f>
        <v>-</v>
      </c>
      <c r="R5" s="19" t="n">
        <f aca="false">SUMPRODUCT(($N$58:$N$87="Working")*(($P$58:$P$87+$Q$58:$Q$87)&gt;0))+COUNTIF($N$58:$N$87,"Overhead only")</f>
        <v>0</v>
      </c>
      <c r="S5" s="19" t="n">
        <f aca="false">COUNTIF($U$58:$U$87,"Not logged")</f>
        <v>0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5" hidden="false" customHeight="false" outlineLevel="0" collapsed="false">
      <c r="A6" s="1"/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5" hidden="false" customHeight="false" outlineLevel="0" collapsed="false">
      <c r="A7" s="1"/>
      <c r="B7" s="10"/>
      <c r="C7" s="31" t="str">
        <f aca="false">IF(B7="","",TEXT(B7,"ddd"))</f>
        <v/>
      </c>
      <c r="D7" s="11"/>
      <c r="E7" s="8" t="str">
        <f aca="false">IF(D7="","",IFERROR(INDEX(ProjNumbers,MATCH(D7,ProjNames,0)),""))</f>
        <v/>
      </c>
      <c r="F7" s="8" t="str">
        <f aca="false">IF(D7="","",IFERROR(INDEX(ProjCodes,MATCH(D7,ProjNames,0)),""))</f>
        <v/>
      </c>
      <c r="G7" s="32"/>
      <c r="H7" s="11"/>
      <c r="I7" s="33"/>
      <c r="J7" s="8" t="str">
        <f aca="false">IF(COUNTA(B7,D7,G7,H7,I7)=0,"",IF(B7="","Enter date",IF(OR(B7&lt;$AC$2,B7&gt;$AC$3),"Date not in November",IF(D7="","Pick project",IF(ISNA(MATCH(D7,ProjNames,0)),"Project not in list",IF(G7="","Add task description",IF(H7="","Pick NTIME or P6",IF(N(I7)&lt;=0,"Enter hours",IF(AND(AllowOT&lt;&gt;"Yes",SUMIF($B$7:$B$256,B7,$I$7:$I$256)&gt;INDEX($O$58:$O$87,DAY(B7))),"Day over "&amp;INDEX($O$58:$O$87,DAY(B7))&amp;" h","✓")))))))))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tr">
        <f aca="false">IF(Projects!B5="","",Projects!B5)</f>
        <v>Project A</v>
      </c>
      <c r="X7" s="1" t="n">
        <f aca="false">IF(W7="",0,SUMIFS($I$7:$I$256,$D$7:$D$256,W7,$H$7:$H$256,"NTIME"))</f>
        <v>0</v>
      </c>
      <c r="Y7" s="1" t="n">
        <f aca="false">IF(W7="",0,SUMIFS($I$7:$I$256,$D$7:$D$256,W7,$H$7:$H$256,"P6"))</f>
        <v>0</v>
      </c>
      <c r="Z7" s="1" t="n">
        <f aca="false">X7+Y7</f>
        <v>0</v>
      </c>
      <c r="AA7" s="1" t="n">
        <f aca="false">IF(Z7&gt;0,Z7+(201-1)/10^6,0)</f>
        <v>0</v>
      </c>
      <c r="AB7" s="1"/>
      <c r="AC7" s="1"/>
      <c r="AD7" s="1"/>
      <c r="AE7" s="1"/>
      <c r="AF7" s="1"/>
      <c r="AG7" s="1"/>
      <c r="AH7" s="1"/>
    </row>
    <row r="8" customFormat="false" ht="15" hidden="false" customHeight="false" outlineLevel="0" collapsed="false">
      <c r="A8" s="1"/>
      <c r="B8" s="10"/>
      <c r="C8" s="31" t="str">
        <f aca="false">IF(B8="","",TEXT(B8,"ddd"))</f>
        <v/>
      </c>
      <c r="D8" s="11"/>
      <c r="E8" s="8" t="str">
        <f aca="false">IF(D8="","",IFERROR(INDEX(ProjNumbers,MATCH(D8,ProjNames,0)),""))</f>
        <v/>
      </c>
      <c r="F8" s="8" t="str">
        <f aca="false">IF(D8="","",IFERROR(INDEX(ProjCodes,MATCH(D8,ProjNames,0)),""))</f>
        <v/>
      </c>
      <c r="G8" s="32"/>
      <c r="H8" s="11"/>
      <c r="I8" s="33"/>
      <c r="J8" s="8" t="str">
        <f aca="false">IF(COUNTA(B8,D8,G8,H8,I8)=0,"",IF(B8="","Enter date",IF(OR(B8&lt;$AC$2,B8&gt;$AC$3),"Date not in November",IF(D8="","Pick project",IF(ISNA(MATCH(D8,ProjNames,0)),"Project not in list",IF(G8="","Add task description",IF(H8="","Pick NTIME or P6",IF(N(I8)&lt;=0,"Enter hours",IF(AND(AllowOT&lt;&gt;"Yes",SUMIF($B$7:$B$256,B8,$I$7:$I$256)&gt;INDEX($O$58:$O$87,DAY(B8))),"Day over "&amp;INDEX($O$58:$O$87,DAY(B8))&amp;" h","✓")))))))))</f>
        <v/>
      </c>
      <c r="K8" s="1"/>
      <c r="L8" s="4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f aca="false">IF(Projects!B6="","",Projects!B6)</f>
        <v/>
      </c>
      <c r="X8" s="1" t="n">
        <f aca="false">IF(W8="",0,SUMIFS($I$7:$I$256,$D$7:$D$256,W8,$H$7:$H$256,"NTIME"))</f>
        <v>0</v>
      </c>
      <c r="Y8" s="1" t="n">
        <f aca="false">IF(W8="",0,SUMIFS($I$7:$I$256,$D$7:$D$256,W8,$H$7:$H$256,"P6"))</f>
        <v>0</v>
      </c>
      <c r="Z8" s="1" t="n">
        <f aca="false">X8+Y8</f>
        <v>0</v>
      </c>
      <c r="AA8" s="1" t="n">
        <f aca="false">IF(Z8&gt;0,Z8+(201-2)/10^6,0)</f>
        <v>0</v>
      </c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/>
      <c r="B9" s="10"/>
      <c r="C9" s="31" t="str">
        <f aca="false">IF(B9="","",TEXT(B9,"ddd"))</f>
        <v/>
      </c>
      <c r="D9" s="11"/>
      <c r="E9" s="8" t="str">
        <f aca="false">IF(D9="","",IFERROR(INDEX(ProjNumbers,MATCH(D9,ProjNames,0)),""))</f>
        <v/>
      </c>
      <c r="F9" s="8" t="str">
        <f aca="false">IF(D9="","",IFERROR(INDEX(ProjCodes,MATCH(D9,ProjNames,0)),""))</f>
        <v/>
      </c>
      <c r="G9" s="32"/>
      <c r="H9" s="11"/>
      <c r="I9" s="33"/>
      <c r="J9" s="8" t="str">
        <f aca="false">IF(COUNTA(B9,D9,G9,H9,I9)=0,"",IF(B9="","Enter date",IF(OR(B9&lt;$AC$2,B9&gt;$AC$3),"Date not in November",IF(D9="","Pick project",IF(ISNA(MATCH(D9,ProjNames,0)),"Project not in list",IF(G9="","Add task description",IF(H9="","Pick NTIME or P6",IF(N(I9)&lt;=0,"Enter hours",IF(AND(AllowOT&lt;&gt;"Yes",SUMIF($B$7:$B$256,B9,$I$7:$I$256)&gt;INDEX($O$58:$O$87,DAY(B9))),"Day over "&amp;INDEX($O$58:$O$87,DAY(B9))&amp;" h","✓")))))))))</f>
        <v/>
      </c>
      <c r="K9" s="1"/>
      <c r="L9" s="9" t="s">
        <v>81</v>
      </c>
      <c r="M9" s="9" t="s">
        <v>82</v>
      </c>
      <c r="N9" s="9" t="s">
        <v>83</v>
      </c>
      <c r="O9" s="20" t="s">
        <v>46</v>
      </c>
      <c r="P9" s="21" t="s">
        <v>56</v>
      </c>
      <c r="Q9" s="22" t="s">
        <v>15</v>
      </c>
      <c r="R9" s="9" t="s">
        <v>24</v>
      </c>
      <c r="S9" s="9" t="s">
        <v>57</v>
      </c>
      <c r="T9" s="1"/>
      <c r="U9" s="1"/>
      <c r="V9" s="1"/>
      <c r="W9" s="1" t="str">
        <f aca="false">IF(Projects!B7="","",Projects!B7)</f>
        <v/>
      </c>
      <c r="X9" s="1" t="n">
        <f aca="false">IF(W9="",0,SUMIFS($I$7:$I$256,$D$7:$D$256,W9,$H$7:$H$256,"NTIME"))</f>
        <v>0</v>
      </c>
      <c r="Y9" s="1" t="n">
        <f aca="false">IF(W9="",0,SUMIFS($I$7:$I$256,$D$7:$D$256,W9,$H$7:$H$256,"P6"))</f>
        <v>0</v>
      </c>
      <c r="Z9" s="1" t="n">
        <f aca="false">X9+Y9</f>
        <v>0</v>
      </c>
      <c r="AA9" s="1" t="n">
        <f aca="false">IF(Z9&gt;0,Z9+(201-3)/10^6,0)</f>
        <v>0</v>
      </c>
      <c r="AB9" s="1"/>
      <c r="AC9" s="1"/>
      <c r="AD9" s="1"/>
      <c r="AE9" s="1"/>
      <c r="AF9" s="1" t="s">
        <v>46</v>
      </c>
      <c r="AG9" s="1" t="s">
        <v>56</v>
      </c>
      <c r="AH9" s="1" t="s">
        <v>15</v>
      </c>
    </row>
    <row r="10" customFormat="false" ht="15" hidden="false" customHeight="false" outlineLevel="0" collapsed="false">
      <c r="A10" s="1"/>
      <c r="B10" s="10"/>
      <c r="C10" s="31" t="str">
        <f aca="false">IF(B10="","",TEXT(B10,"ddd"))</f>
        <v/>
      </c>
      <c r="D10" s="11"/>
      <c r="E10" s="8" t="str">
        <f aca="false">IF(D10="","",IFERROR(INDEX(ProjNumbers,MATCH(D10,ProjNames,0)),""))</f>
        <v/>
      </c>
      <c r="F10" s="8" t="str">
        <f aca="false">IF(D10="","",IFERROR(INDEX(ProjCodes,MATCH(D10,ProjNames,0)),""))</f>
        <v/>
      </c>
      <c r="G10" s="32"/>
      <c r="H10" s="11"/>
      <c r="I10" s="33"/>
      <c r="J10" s="8" t="str">
        <f aca="false">IF(COUNTA(B10,D10,G10,H10,I10)=0,"",IF(B10="","Enter date",IF(OR(B10&lt;$AC$2,B10&gt;$AC$3),"Date not in November",IF(D10="","Pick project",IF(ISNA(MATCH(D10,ProjNames,0)),"Project not in list",IF(G10="","Add task description",IF(H10="","Pick NTIME or P6",IF(N(I10)&lt;=0,"Enter hours",IF(AND(AllowOT&lt;&gt;"Yes",SUMIF($B$7:$B$256,B10,$I$7:$I$256)&gt;INDEX($O$58:$O$87,DAY(B10))),"Day over "&amp;INDEX($O$58:$O$87,DAY(B10))&amp;" h","✓")))))))))</f>
        <v/>
      </c>
      <c r="K10" s="1"/>
      <c r="L10" s="24" t="str">
        <f aca="false">"Week 1"&amp;IF(M10="",""," ("&amp;DAY(M10)&amp;"–"&amp;DAY(N10)&amp;")")</f>
        <v>Week 1 (1–1)</v>
      </c>
      <c r="M10" s="34" t="n">
        <f aca="false">IF($AC$4+7*0&gt;$AC$3,"",MAX($AC$2,$AC$4+7*0))</f>
        <v>46327</v>
      </c>
      <c r="N10" s="34" t="n">
        <f aca="false">IF(M10="","",MIN($AC$3,$AC$4+7*1-1))</f>
        <v>46327</v>
      </c>
      <c r="O10" s="24" t="n">
        <f aca="false">IF($M10="","",AF10+IF(OHSystem="NTIME",AH10,0))</f>
        <v>0</v>
      </c>
      <c r="P10" s="24" t="n">
        <f aca="false">IF($M10="","",AG10+IF(OHSystem="P6",AH10,0))</f>
        <v>0</v>
      </c>
      <c r="Q10" s="24" t="n">
        <f aca="false">IF($M10="","",AH10)</f>
        <v>0</v>
      </c>
      <c r="R10" s="24" t="n">
        <f aca="false">IF($M10="","",SUMIFS($S$58:$S$87,$L$58:$L$87,"&gt;="&amp;$M10,$L$58:$L$87,"&lt;="&amp;$N10))</f>
        <v>0</v>
      </c>
      <c r="S10" s="24" t="n">
        <f aca="false">IF($M10="","",SUMIFS($T$58:$T$87,$L$58:$L$87,"&gt;="&amp;$M10,$L$58:$L$87,"&lt;="&amp;$N10))</f>
        <v>0</v>
      </c>
      <c r="T10" s="1"/>
      <c r="U10" s="1"/>
      <c r="V10" s="1"/>
      <c r="W10" s="1" t="str">
        <f aca="false">IF(Projects!B8="","",Projects!B8)</f>
        <v/>
      </c>
      <c r="X10" s="1" t="n">
        <f aca="false">IF(W10="",0,SUMIFS($I$7:$I$256,$D$7:$D$256,W10,$H$7:$H$256,"NTIME"))</f>
        <v>0</v>
      </c>
      <c r="Y10" s="1" t="n">
        <f aca="false">IF(W10="",0,SUMIFS($I$7:$I$256,$D$7:$D$256,W10,$H$7:$H$256,"P6"))</f>
        <v>0</v>
      </c>
      <c r="Z10" s="1" t="n">
        <f aca="false">X10+Y10</f>
        <v>0</v>
      </c>
      <c r="AA10" s="1" t="n">
        <f aca="false">IF(Z10&gt;0,Z10+(201-4)/10^6,0)</f>
        <v>0</v>
      </c>
      <c r="AB10" s="1"/>
      <c r="AC10" s="1"/>
      <c r="AD10" s="1"/>
      <c r="AE10" s="1"/>
      <c r="AF10" s="1" t="n">
        <f aca="false">IF($M10="",0,SUMIFS($P$58:$P$87,$L$58:$L$87,"&gt;="&amp;$M10,$L$58:$L$87,"&lt;="&amp;$N10))</f>
        <v>0</v>
      </c>
      <c r="AG10" s="1" t="n">
        <f aca="false">IF($M10="",0,SUMIFS($Q$58:$Q$87,$L$58:$L$87,"&gt;="&amp;$M10,$L$58:$L$87,"&lt;="&amp;$N10))</f>
        <v>0</v>
      </c>
      <c r="AH10" s="1" t="n">
        <f aca="false">IF($M10="",0,SUMIFS($R$58:$R$87,$L$58:$L$87,"&gt;="&amp;$M10,$L$58:$L$87,"&lt;="&amp;$N10))</f>
        <v>0</v>
      </c>
    </row>
    <row r="11" customFormat="false" ht="15" hidden="false" customHeight="false" outlineLevel="0" collapsed="false">
      <c r="A11" s="1"/>
      <c r="B11" s="10"/>
      <c r="C11" s="31" t="str">
        <f aca="false">IF(B11="","",TEXT(B11,"ddd"))</f>
        <v/>
      </c>
      <c r="D11" s="11"/>
      <c r="E11" s="8" t="str">
        <f aca="false">IF(D11="","",IFERROR(INDEX(ProjNumbers,MATCH(D11,ProjNames,0)),""))</f>
        <v/>
      </c>
      <c r="F11" s="8" t="str">
        <f aca="false">IF(D11="","",IFERROR(INDEX(ProjCodes,MATCH(D11,ProjNames,0)),""))</f>
        <v/>
      </c>
      <c r="G11" s="32"/>
      <c r="H11" s="11"/>
      <c r="I11" s="33"/>
      <c r="J11" s="8" t="str">
        <f aca="false">IF(COUNTA(B11,D11,G11,H11,I11)=0,"",IF(B11="","Enter date",IF(OR(B11&lt;$AC$2,B11&gt;$AC$3),"Date not in November",IF(D11="","Pick project",IF(ISNA(MATCH(D11,ProjNames,0)),"Project not in list",IF(G11="","Add task description",IF(H11="","Pick NTIME or P6",IF(N(I11)&lt;=0,"Enter hours",IF(AND(AllowOT&lt;&gt;"Yes",SUMIF($B$7:$B$256,B11,$I$7:$I$256)&gt;INDEX($O$58:$O$87,DAY(B11))),"Day over "&amp;INDEX($O$58:$O$87,DAY(B11))&amp;" h","✓")))))))))</f>
        <v/>
      </c>
      <c r="K11" s="1"/>
      <c r="L11" s="24" t="str">
        <f aca="false">"Week 2"&amp;IF(M11="",""," ("&amp;DAY(M11)&amp;"–"&amp;DAY(N11)&amp;")")</f>
        <v>Week 2 (2–8)</v>
      </c>
      <c r="M11" s="34" t="n">
        <f aca="false">IF($AC$4+7*1&gt;$AC$3,"",MAX($AC$2,$AC$4+7*1))</f>
        <v>46328</v>
      </c>
      <c r="N11" s="34" t="n">
        <f aca="false">IF(M11="","",MIN($AC$3,$AC$4+7*2-1))</f>
        <v>46334</v>
      </c>
      <c r="O11" s="24" t="n">
        <f aca="false">IF($M11="","",AF11+IF(OHSystem="NTIME",AH11,0))</f>
        <v>0</v>
      </c>
      <c r="P11" s="24" t="n">
        <f aca="false">IF($M11="","",AG11+IF(OHSystem="P6",AH11,0))</f>
        <v>0</v>
      </c>
      <c r="Q11" s="24" t="n">
        <f aca="false">IF($M11="","",AH11)</f>
        <v>0</v>
      </c>
      <c r="R11" s="24" t="n">
        <f aca="false">IF($M11="","",SUMIFS($S$58:$S$87,$L$58:$L$87,"&gt;="&amp;$M11,$L$58:$L$87,"&lt;="&amp;$N11))</f>
        <v>0</v>
      </c>
      <c r="S11" s="24" t="n">
        <f aca="false">IF($M11="","",SUMIFS($T$58:$T$87,$L$58:$L$87,"&gt;="&amp;$M11,$L$58:$L$87,"&lt;="&amp;$N11))</f>
        <v>0</v>
      </c>
      <c r="T11" s="1"/>
      <c r="U11" s="1"/>
      <c r="V11" s="1"/>
      <c r="W11" s="1" t="str">
        <f aca="false">IF(Projects!B9="","",Projects!B9)</f>
        <v/>
      </c>
      <c r="X11" s="1" t="n">
        <f aca="false">IF(W11="",0,SUMIFS($I$7:$I$256,$D$7:$D$256,W11,$H$7:$H$256,"NTIME"))</f>
        <v>0</v>
      </c>
      <c r="Y11" s="1" t="n">
        <f aca="false">IF(W11="",0,SUMIFS($I$7:$I$256,$D$7:$D$256,W11,$H$7:$H$256,"P6"))</f>
        <v>0</v>
      </c>
      <c r="Z11" s="1" t="n">
        <f aca="false">X11+Y11</f>
        <v>0</v>
      </c>
      <c r="AA11" s="1" t="n">
        <f aca="false">IF(Z11&gt;0,Z11+(201-5)/10^6,0)</f>
        <v>0</v>
      </c>
      <c r="AB11" s="1"/>
      <c r="AC11" s="1"/>
      <c r="AD11" s="1"/>
      <c r="AE11" s="1"/>
      <c r="AF11" s="1" t="n">
        <f aca="false">IF($M11="",0,SUMIFS($P$58:$P$87,$L$58:$L$87,"&gt;="&amp;$M11,$L$58:$L$87,"&lt;="&amp;$N11))</f>
        <v>0</v>
      </c>
      <c r="AG11" s="1" t="n">
        <f aca="false">IF($M11="",0,SUMIFS($Q$58:$Q$87,$L$58:$L$87,"&gt;="&amp;$M11,$L$58:$L$87,"&lt;="&amp;$N11))</f>
        <v>0</v>
      </c>
      <c r="AH11" s="1" t="n">
        <f aca="false">IF($M11="",0,SUMIFS($R$58:$R$87,$L$58:$L$87,"&gt;="&amp;$M11,$L$58:$L$87,"&lt;="&amp;$N11))</f>
        <v>0</v>
      </c>
    </row>
    <row r="12" customFormat="false" ht="15" hidden="false" customHeight="false" outlineLevel="0" collapsed="false">
      <c r="A12" s="1"/>
      <c r="B12" s="10"/>
      <c r="C12" s="31" t="str">
        <f aca="false">IF(B12="","",TEXT(B12,"ddd"))</f>
        <v/>
      </c>
      <c r="D12" s="11"/>
      <c r="E12" s="8" t="str">
        <f aca="false">IF(D12="","",IFERROR(INDEX(ProjNumbers,MATCH(D12,ProjNames,0)),""))</f>
        <v/>
      </c>
      <c r="F12" s="8" t="str">
        <f aca="false">IF(D12="","",IFERROR(INDEX(ProjCodes,MATCH(D12,ProjNames,0)),""))</f>
        <v/>
      </c>
      <c r="G12" s="32"/>
      <c r="H12" s="11"/>
      <c r="I12" s="33"/>
      <c r="J12" s="8" t="str">
        <f aca="false">IF(COUNTA(B12,D12,G12,H12,I12)=0,"",IF(B12="","Enter date",IF(OR(B12&lt;$AC$2,B12&gt;$AC$3),"Date not in November",IF(D12="","Pick project",IF(ISNA(MATCH(D12,ProjNames,0)),"Project not in list",IF(G12="","Add task description",IF(H12="","Pick NTIME or P6",IF(N(I12)&lt;=0,"Enter hours",IF(AND(AllowOT&lt;&gt;"Yes",SUMIF($B$7:$B$256,B12,$I$7:$I$256)&gt;INDEX($O$58:$O$87,DAY(B12))),"Day over "&amp;INDEX($O$58:$O$87,DAY(B12))&amp;" h","✓")))))))))</f>
        <v/>
      </c>
      <c r="K12" s="1"/>
      <c r="L12" s="24" t="str">
        <f aca="false">"Week 3"&amp;IF(M12="",""," ("&amp;DAY(M12)&amp;"–"&amp;DAY(N12)&amp;")")</f>
        <v>Week 3 (9–15)</v>
      </c>
      <c r="M12" s="34" t="n">
        <f aca="false">IF($AC$4+7*2&gt;$AC$3,"",MAX($AC$2,$AC$4+7*2))</f>
        <v>46335</v>
      </c>
      <c r="N12" s="34" t="n">
        <f aca="false">IF(M12="","",MIN($AC$3,$AC$4+7*3-1))</f>
        <v>46341</v>
      </c>
      <c r="O12" s="24" t="n">
        <f aca="false">IF($M12="","",AF12+IF(OHSystem="NTIME",AH12,0))</f>
        <v>0</v>
      </c>
      <c r="P12" s="24" t="n">
        <f aca="false">IF($M12="","",AG12+IF(OHSystem="P6",AH12,0))</f>
        <v>0</v>
      </c>
      <c r="Q12" s="24" t="n">
        <f aca="false">IF($M12="","",AH12)</f>
        <v>0</v>
      </c>
      <c r="R12" s="24" t="n">
        <f aca="false">IF($M12="","",SUMIFS($S$58:$S$87,$L$58:$L$87,"&gt;="&amp;$M12,$L$58:$L$87,"&lt;="&amp;$N12))</f>
        <v>0</v>
      </c>
      <c r="S12" s="24" t="n">
        <f aca="false">IF($M12="","",SUMIFS($T$58:$T$87,$L$58:$L$87,"&gt;="&amp;$M12,$L$58:$L$87,"&lt;="&amp;$N12))</f>
        <v>0</v>
      </c>
      <c r="T12" s="1"/>
      <c r="U12" s="1"/>
      <c r="V12" s="1"/>
      <c r="W12" s="1" t="str">
        <f aca="false">IF(Projects!B10="","",Projects!B10)</f>
        <v/>
      </c>
      <c r="X12" s="1" t="n">
        <f aca="false">IF(W12="",0,SUMIFS($I$7:$I$256,$D$7:$D$256,W12,$H$7:$H$256,"NTIME"))</f>
        <v>0</v>
      </c>
      <c r="Y12" s="1" t="n">
        <f aca="false">IF(W12="",0,SUMIFS($I$7:$I$256,$D$7:$D$256,W12,$H$7:$H$256,"P6"))</f>
        <v>0</v>
      </c>
      <c r="Z12" s="1" t="n">
        <f aca="false">X12+Y12</f>
        <v>0</v>
      </c>
      <c r="AA12" s="1" t="n">
        <f aca="false">IF(Z12&gt;0,Z12+(201-6)/10^6,0)</f>
        <v>0</v>
      </c>
      <c r="AB12" s="1"/>
      <c r="AC12" s="1"/>
      <c r="AD12" s="1"/>
      <c r="AE12" s="1"/>
      <c r="AF12" s="1" t="n">
        <f aca="false">IF($M12="",0,SUMIFS($P$58:$P$87,$L$58:$L$87,"&gt;="&amp;$M12,$L$58:$L$87,"&lt;="&amp;$N12))</f>
        <v>0</v>
      </c>
      <c r="AG12" s="1" t="n">
        <f aca="false">IF($M12="",0,SUMIFS($Q$58:$Q$87,$L$58:$L$87,"&gt;="&amp;$M12,$L$58:$L$87,"&lt;="&amp;$N12))</f>
        <v>0</v>
      </c>
      <c r="AH12" s="1" t="n">
        <f aca="false">IF($M12="",0,SUMIFS($R$58:$R$87,$L$58:$L$87,"&gt;="&amp;$M12,$L$58:$L$87,"&lt;="&amp;$N12))</f>
        <v>0</v>
      </c>
    </row>
    <row r="13" customFormat="false" ht="15" hidden="false" customHeight="false" outlineLevel="0" collapsed="false">
      <c r="A13" s="1"/>
      <c r="B13" s="10"/>
      <c r="C13" s="31" t="str">
        <f aca="false">IF(B13="","",TEXT(B13,"ddd"))</f>
        <v/>
      </c>
      <c r="D13" s="11"/>
      <c r="E13" s="8" t="str">
        <f aca="false">IF(D13="","",IFERROR(INDEX(ProjNumbers,MATCH(D13,ProjNames,0)),""))</f>
        <v/>
      </c>
      <c r="F13" s="8" t="str">
        <f aca="false">IF(D13="","",IFERROR(INDEX(ProjCodes,MATCH(D13,ProjNames,0)),""))</f>
        <v/>
      </c>
      <c r="G13" s="32"/>
      <c r="H13" s="11"/>
      <c r="I13" s="33"/>
      <c r="J13" s="8" t="str">
        <f aca="false">IF(COUNTA(B13,D13,G13,H13,I13)=0,"",IF(B13="","Enter date",IF(OR(B13&lt;$AC$2,B13&gt;$AC$3),"Date not in November",IF(D13="","Pick project",IF(ISNA(MATCH(D13,ProjNames,0)),"Project not in list",IF(G13="","Add task description",IF(H13="","Pick NTIME or P6",IF(N(I13)&lt;=0,"Enter hours",IF(AND(AllowOT&lt;&gt;"Yes",SUMIF($B$7:$B$256,B13,$I$7:$I$256)&gt;INDEX($O$58:$O$87,DAY(B13))),"Day over "&amp;INDEX($O$58:$O$87,DAY(B13))&amp;" h","✓")))))))))</f>
        <v/>
      </c>
      <c r="K13" s="1"/>
      <c r="L13" s="24" t="str">
        <f aca="false">"Week 4"&amp;IF(M13="",""," ("&amp;DAY(M13)&amp;"–"&amp;DAY(N13)&amp;")")</f>
        <v>Week 4 (16–22)</v>
      </c>
      <c r="M13" s="34" t="n">
        <f aca="false">IF($AC$4+7*3&gt;$AC$3,"",MAX($AC$2,$AC$4+7*3))</f>
        <v>46342</v>
      </c>
      <c r="N13" s="34" t="n">
        <f aca="false">IF(M13="","",MIN($AC$3,$AC$4+7*4-1))</f>
        <v>46348</v>
      </c>
      <c r="O13" s="24" t="n">
        <f aca="false">IF($M13="","",AF13+IF(OHSystem="NTIME",AH13,0))</f>
        <v>0</v>
      </c>
      <c r="P13" s="24" t="n">
        <f aca="false">IF($M13="","",AG13+IF(OHSystem="P6",AH13,0))</f>
        <v>0</v>
      </c>
      <c r="Q13" s="24" t="n">
        <f aca="false">IF($M13="","",AH13)</f>
        <v>0</v>
      </c>
      <c r="R13" s="24" t="n">
        <f aca="false">IF($M13="","",SUMIFS($S$58:$S$87,$L$58:$L$87,"&gt;="&amp;$M13,$L$58:$L$87,"&lt;="&amp;$N13))</f>
        <v>0</v>
      </c>
      <c r="S13" s="24" t="n">
        <f aca="false">IF($M13="","",SUMIFS($T$58:$T$87,$L$58:$L$87,"&gt;="&amp;$M13,$L$58:$L$87,"&lt;="&amp;$N13))</f>
        <v>0</v>
      </c>
      <c r="T13" s="1"/>
      <c r="U13" s="1"/>
      <c r="V13" s="1"/>
      <c r="W13" s="1" t="str">
        <f aca="false">IF(Projects!B11="","",Projects!B11)</f>
        <v/>
      </c>
      <c r="X13" s="1" t="n">
        <f aca="false">IF(W13="",0,SUMIFS($I$7:$I$256,$D$7:$D$256,W13,$H$7:$H$256,"NTIME"))</f>
        <v>0</v>
      </c>
      <c r="Y13" s="1" t="n">
        <f aca="false">IF(W13="",0,SUMIFS($I$7:$I$256,$D$7:$D$256,W13,$H$7:$H$256,"P6"))</f>
        <v>0</v>
      </c>
      <c r="Z13" s="1" t="n">
        <f aca="false">X13+Y13</f>
        <v>0</v>
      </c>
      <c r="AA13" s="1" t="n">
        <f aca="false">IF(Z13&gt;0,Z13+(201-7)/10^6,0)</f>
        <v>0</v>
      </c>
      <c r="AB13" s="1"/>
      <c r="AC13" s="1"/>
      <c r="AD13" s="1"/>
      <c r="AE13" s="1"/>
      <c r="AF13" s="1" t="n">
        <f aca="false">IF($M13="",0,SUMIFS($P$58:$P$87,$L$58:$L$87,"&gt;="&amp;$M13,$L$58:$L$87,"&lt;="&amp;$N13))</f>
        <v>0</v>
      </c>
      <c r="AG13" s="1" t="n">
        <f aca="false">IF($M13="",0,SUMIFS($Q$58:$Q$87,$L$58:$L$87,"&gt;="&amp;$M13,$L$58:$L$87,"&lt;="&amp;$N13))</f>
        <v>0</v>
      </c>
      <c r="AH13" s="1" t="n">
        <f aca="false">IF($M13="",0,SUMIFS($R$58:$R$87,$L$58:$L$87,"&gt;="&amp;$M13,$L$58:$L$87,"&lt;="&amp;$N13))</f>
        <v>0</v>
      </c>
    </row>
    <row r="14" customFormat="false" ht="15" hidden="false" customHeight="false" outlineLevel="0" collapsed="false">
      <c r="A14" s="1"/>
      <c r="B14" s="10"/>
      <c r="C14" s="31" t="str">
        <f aca="false">IF(B14="","",TEXT(B14,"ddd"))</f>
        <v/>
      </c>
      <c r="D14" s="11"/>
      <c r="E14" s="8" t="str">
        <f aca="false">IF(D14="","",IFERROR(INDEX(ProjNumbers,MATCH(D14,ProjNames,0)),""))</f>
        <v/>
      </c>
      <c r="F14" s="8" t="str">
        <f aca="false">IF(D14="","",IFERROR(INDEX(ProjCodes,MATCH(D14,ProjNames,0)),""))</f>
        <v/>
      </c>
      <c r="G14" s="32"/>
      <c r="H14" s="11"/>
      <c r="I14" s="33"/>
      <c r="J14" s="8" t="str">
        <f aca="false">IF(COUNTA(B14,D14,G14,H14,I14)=0,"",IF(B14="","Enter date",IF(OR(B14&lt;$AC$2,B14&gt;$AC$3),"Date not in November",IF(D14="","Pick project",IF(ISNA(MATCH(D14,ProjNames,0)),"Project not in list",IF(G14="","Add task description",IF(H14="","Pick NTIME or P6",IF(N(I14)&lt;=0,"Enter hours",IF(AND(AllowOT&lt;&gt;"Yes",SUMIF($B$7:$B$256,B14,$I$7:$I$256)&gt;INDEX($O$58:$O$87,DAY(B14))),"Day over "&amp;INDEX($O$58:$O$87,DAY(B14))&amp;" h","✓")))))))))</f>
        <v/>
      </c>
      <c r="K14" s="1"/>
      <c r="L14" s="24" t="str">
        <f aca="false">"Week 5"&amp;IF(M14="",""," ("&amp;DAY(M14)&amp;"–"&amp;DAY(N14)&amp;")")</f>
        <v>Week 5 (23–29)</v>
      </c>
      <c r="M14" s="34" t="n">
        <f aca="false">IF($AC$4+7*4&gt;$AC$3,"",MAX($AC$2,$AC$4+7*4))</f>
        <v>46349</v>
      </c>
      <c r="N14" s="34" t="n">
        <f aca="false">IF(M14="","",MIN($AC$3,$AC$4+7*5-1))</f>
        <v>46355</v>
      </c>
      <c r="O14" s="24" t="n">
        <f aca="false">IF($M14="","",AF14+IF(OHSystem="NTIME",AH14,0))</f>
        <v>0</v>
      </c>
      <c r="P14" s="24" t="n">
        <f aca="false">IF($M14="","",AG14+IF(OHSystem="P6",AH14,0))</f>
        <v>0</v>
      </c>
      <c r="Q14" s="24" t="n">
        <f aca="false">IF($M14="","",AH14)</f>
        <v>0</v>
      </c>
      <c r="R14" s="24" t="n">
        <f aca="false">IF($M14="","",SUMIFS($S$58:$S$87,$L$58:$L$87,"&gt;="&amp;$M14,$L$58:$L$87,"&lt;="&amp;$N14))</f>
        <v>0</v>
      </c>
      <c r="S14" s="24" t="n">
        <f aca="false">IF($M14="","",SUMIFS($T$58:$T$87,$L$58:$L$87,"&gt;="&amp;$M14,$L$58:$L$87,"&lt;="&amp;$N14))</f>
        <v>0</v>
      </c>
      <c r="T14" s="1"/>
      <c r="U14" s="1"/>
      <c r="V14" s="1"/>
      <c r="W14" s="1" t="str">
        <f aca="false">IF(Projects!B12="","",Projects!B12)</f>
        <v/>
      </c>
      <c r="X14" s="1" t="n">
        <f aca="false">IF(W14="",0,SUMIFS($I$7:$I$256,$D$7:$D$256,W14,$H$7:$H$256,"NTIME"))</f>
        <v>0</v>
      </c>
      <c r="Y14" s="1" t="n">
        <f aca="false">IF(W14="",0,SUMIFS($I$7:$I$256,$D$7:$D$256,W14,$H$7:$H$256,"P6"))</f>
        <v>0</v>
      </c>
      <c r="Z14" s="1" t="n">
        <f aca="false">X14+Y14</f>
        <v>0</v>
      </c>
      <c r="AA14" s="1" t="n">
        <f aca="false">IF(Z14&gt;0,Z14+(201-8)/10^6,0)</f>
        <v>0</v>
      </c>
      <c r="AB14" s="1"/>
      <c r="AC14" s="1"/>
      <c r="AD14" s="1"/>
      <c r="AE14" s="1"/>
      <c r="AF14" s="1" t="n">
        <f aca="false">IF($M14="",0,SUMIFS($P$58:$P$87,$L$58:$L$87,"&gt;="&amp;$M14,$L$58:$L$87,"&lt;="&amp;$N14))</f>
        <v>0</v>
      </c>
      <c r="AG14" s="1" t="n">
        <f aca="false">IF($M14="",0,SUMIFS($Q$58:$Q$87,$L$58:$L$87,"&gt;="&amp;$M14,$L$58:$L$87,"&lt;="&amp;$N14))</f>
        <v>0</v>
      </c>
      <c r="AH14" s="1" t="n">
        <f aca="false">IF($M14="",0,SUMIFS($R$58:$R$87,$L$58:$L$87,"&gt;="&amp;$M14,$L$58:$L$87,"&lt;="&amp;$N14))</f>
        <v>0</v>
      </c>
    </row>
    <row r="15" customFormat="false" ht="15" hidden="false" customHeight="false" outlineLevel="0" collapsed="false">
      <c r="A15" s="1"/>
      <c r="B15" s="10"/>
      <c r="C15" s="31" t="str">
        <f aca="false">IF(B15="","",TEXT(B15,"ddd"))</f>
        <v/>
      </c>
      <c r="D15" s="11"/>
      <c r="E15" s="8" t="str">
        <f aca="false">IF(D15="","",IFERROR(INDEX(ProjNumbers,MATCH(D15,ProjNames,0)),""))</f>
        <v/>
      </c>
      <c r="F15" s="8" t="str">
        <f aca="false">IF(D15="","",IFERROR(INDEX(ProjCodes,MATCH(D15,ProjNames,0)),""))</f>
        <v/>
      </c>
      <c r="G15" s="32"/>
      <c r="H15" s="11"/>
      <c r="I15" s="33"/>
      <c r="J15" s="8" t="str">
        <f aca="false">IF(COUNTA(B15,D15,G15,H15,I15)=0,"",IF(B15="","Enter date",IF(OR(B15&lt;$AC$2,B15&gt;$AC$3),"Date not in November",IF(D15="","Pick project",IF(ISNA(MATCH(D15,ProjNames,0)),"Project not in list",IF(G15="","Add task description",IF(H15="","Pick NTIME or P6",IF(N(I15)&lt;=0,"Enter hours",IF(AND(AllowOT&lt;&gt;"Yes",SUMIF($B$7:$B$256,B15,$I$7:$I$256)&gt;INDEX($O$58:$O$87,DAY(B15))),"Day over "&amp;INDEX($O$58:$O$87,DAY(B15))&amp;" h","✓")))))))))</f>
        <v/>
      </c>
      <c r="K15" s="1"/>
      <c r="L15" s="24" t="str">
        <f aca="false">"Week 6"&amp;IF(M15="",""," ("&amp;DAY(M15)&amp;"–"&amp;DAY(N15)&amp;")")</f>
        <v>Week 6 (30–30)</v>
      </c>
      <c r="M15" s="34" t="n">
        <f aca="false">IF($AC$4+7*5&gt;$AC$3,"",MAX($AC$2,$AC$4+7*5))</f>
        <v>46356</v>
      </c>
      <c r="N15" s="34" t="n">
        <f aca="false">IF(M15="","",MIN($AC$3,$AC$4+7*6-1))</f>
        <v>46356</v>
      </c>
      <c r="O15" s="24" t="n">
        <f aca="false">IF($M15="","",AF15+IF(OHSystem="NTIME",AH15,0))</f>
        <v>0</v>
      </c>
      <c r="P15" s="24" t="n">
        <f aca="false">IF($M15="","",AG15+IF(OHSystem="P6",AH15,0))</f>
        <v>0</v>
      </c>
      <c r="Q15" s="24" t="n">
        <f aca="false">IF($M15="","",AH15)</f>
        <v>0</v>
      </c>
      <c r="R15" s="24" t="n">
        <f aca="false">IF($M15="","",SUMIFS($S$58:$S$87,$L$58:$L$87,"&gt;="&amp;$M15,$L$58:$L$87,"&lt;="&amp;$N15))</f>
        <v>0</v>
      </c>
      <c r="S15" s="24" t="n">
        <f aca="false">IF($M15="","",SUMIFS($T$58:$T$87,$L$58:$L$87,"&gt;="&amp;$M15,$L$58:$L$87,"&lt;="&amp;$N15))</f>
        <v>0</v>
      </c>
      <c r="T15" s="1"/>
      <c r="U15" s="1"/>
      <c r="V15" s="1"/>
      <c r="W15" s="1" t="str">
        <f aca="false">IF(Projects!B13="","",Projects!B13)</f>
        <v/>
      </c>
      <c r="X15" s="1" t="n">
        <f aca="false">IF(W15="",0,SUMIFS($I$7:$I$256,$D$7:$D$256,W15,$H$7:$H$256,"NTIME"))</f>
        <v>0</v>
      </c>
      <c r="Y15" s="1" t="n">
        <f aca="false">IF(W15="",0,SUMIFS($I$7:$I$256,$D$7:$D$256,W15,$H$7:$H$256,"P6"))</f>
        <v>0</v>
      </c>
      <c r="Z15" s="1" t="n">
        <f aca="false">X15+Y15</f>
        <v>0</v>
      </c>
      <c r="AA15" s="1" t="n">
        <f aca="false">IF(Z15&gt;0,Z15+(201-9)/10^6,0)</f>
        <v>0</v>
      </c>
      <c r="AB15" s="1"/>
      <c r="AC15" s="1"/>
      <c r="AD15" s="1"/>
      <c r="AE15" s="1"/>
      <c r="AF15" s="1" t="n">
        <f aca="false">IF($M15="",0,SUMIFS($P$58:$P$87,$L$58:$L$87,"&gt;="&amp;$M15,$L$58:$L$87,"&lt;="&amp;$N15))</f>
        <v>0</v>
      </c>
      <c r="AG15" s="1" t="n">
        <f aca="false">IF($M15="",0,SUMIFS($Q$58:$Q$87,$L$58:$L$87,"&gt;="&amp;$M15,$L$58:$L$87,"&lt;="&amp;$N15))</f>
        <v>0</v>
      </c>
      <c r="AH15" s="1" t="n">
        <f aca="false">IF($M15="",0,SUMIFS($R$58:$R$87,$L$58:$L$87,"&gt;="&amp;$M15,$L$58:$L$87,"&lt;="&amp;$N15))</f>
        <v>0</v>
      </c>
    </row>
    <row r="16" customFormat="false" ht="15" hidden="false" customHeight="false" outlineLevel="0" collapsed="false">
      <c r="A16" s="1"/>
      <c r="B16" s="10"/>
      <c r="C16" s="31" t="str">
        <f aca="false">IF(B16="","",TEXT(B16,"ddd"))</f>
        <v/>
      </c>
      <c r="D16" s="11"/>
      <c r="E16" s="8" t="str">
        <f aca="false">IF(D16="","",IFERROR(INDEX(ProjNumbers,MATCH(D16,ProjNames,0)),""))</f>
        <v/>
      </c>
      <c r="F16" s="8" t="str">
        <f aca="false">IF(D16="","",IFERROR(INDEX(ProjCodes,MATCH(D16,ProjNames,0)),""))</f>
        <v/>
      </c>
      <c r="G16" s="32"/>
      <c r="H16" s="11"/>
      <c r="I16" s="33"/>
      <c r="J16" s="8" t="str">
        <f aca="false">IF(COUNTA(B16,D16,G16,H16,I16)=0,"",IF(B16="","Enter date",IF(OR(B16&lt;$AC$2,B16&gt;$AC$3),"Date not in November",IF(D16="","Pick project",IF(ISNA(MATCH(D16,ProjNames,0)),"Project not in list",IF(G16="","Add task description",IF(H16="","Pick NTIME or P6",IF(N(I16)&lt;=0,"Enter hours",IF(AND(AllowOT&lt;&gt;"Yes",SUMIF($B$7:$B$256,B16,$I$7:$I$256)&gt;INDEX($O$58:$O$87,DAY(B16))),"Day over "&amp;INDEX($O$58:$O$87,DAY(B16))&amp;" h","✓")))))))))</f>
        <v/>
      </c>
      <c r="K16" s="1"/>
      <c r="L16" s="27" t="s">
        <v>84</v>
      </c>
      <c r="M16" s="27"/>
      <c r="N16" s="27"/>
      <c r="O16" s="27" t="n">
        <f aca="false">SUM(O10:O15)</f>
        <v>0</v>
      </c>
      <c r="P16" s="27" t="n">
        <f aca="false">SUM(P10:P15)</f>
        <v>0</v>
      </c>
      <c r="Q16" s="27" t="n">
        <f aca="false">SUM(Q10:Q15)</f>
        <v>0</v>
      </c>
      <c r="R16" s="27" t="n">
        <f aca="false">SUM(R10:R15)</f>
        <v>0</v>
      </c>
      <c r="S16" s="27" t="n">
        <f aca="false">SUM(S10:S15)</f>
        <v>0</v>
      </c>
      <c r="T16" s="1"/>
      <c r="U16" s="1"/>
      <c r="V16" s="1"/>
      <c r="W16" s="1" t="str">
        <f aca="false">IF(Projects!B14="","",Projects!B14)</f>
        <v/>
      </c>
      <c r="X16" s="1" t="n">
        <f aca="false">IF(W16="",0,SUMIFS($I$7:$I$256,$D$7:$D$256,W16,$H$7:$H$256,"NTIME"))</f>
        <v>0</v>
      </c>
      <c r="Y16" s="1" t="n">
        <f aca="false">IF(W16="",0,SUMIFS($I$7:$I$256,$D$7:$D$256,W16,$H$7:$H$256,"P6"))</f>
        <v>0</v>
      </c>
      <c r="Z16" s="1" t="n">
        <f aca="false">X16+Y16</f>
        <v>0</v>
      </c>
      <c r="AA16" s="1" t="n">
        <f aca="false">IF(Z16&gt;0,Z16+(201-10)/10^6,0)</f>
        <v>0</v>
      </c>
      <c r="AB16" s="1"/>
      <c r="AC16" s="1"/>
      <c r="AD16" s="1"/>
      <c r="AE16" s="1"/>
      <c r="AF16" s="1" t="n">
        <f aca="false">SUM(AF10:AF15)</f>
        <v>0</v>
      </c>
      <c r="AG16" s="1" t="n">
        <f aca="false">SUM(AG10:AG15)</f>
        <v>0</v>
      </c>
      <c r="AH16" s="1" t="n">
        <f aca="false">SUM(AH10:AH15)</f>
        <v>0</v>
      </c>
    </row>
    <row r="17" customFormat="false" ht="15" hidden="false" customHeight="false" outlineLevel="0" collapsed="false">
      <c r="A17" s="1"/>
      <c r="B17" s="10"/>
      <c r="C17" s="31" t="str">
        <f aca="false">IF(B17="","",TEXT(B17,"ddd"))</f>
        <v/>
      </c>
      <c r="D17" s="11"/>
      <c r="E17" s="8" t="str">
        <f aca="false">IF(D17="","",IFERROR(INDEX(ProjNumbers,MATCH(D17,ProjNames,0)),""))</f>
        <v/>
      </c>
      <c r="F17" s="8" t="str">
        <f aca="false">IF(D17="","",IFERROR(INDEX(ProjCodes,MATCH(D17,ProjNames,0)),""))</f>
        <v/>
      </c>
      <c r="G17" s="32"/>
      <c r="H17" s="11"/>
      <c r="I17" s="33"/>
      <c r="J17" s="8" t="str">
        <f aca="false">IF(COUNTA(B17,D17,G17,H17,I17)=0,"",IF(B17="","Enter date",IF(OR(B17&lt;$AC$2,B17&gt;$AC$3),"Date not in November",IF(D17="","Pick project",IF(ISNA(MATCH(D17,ProjNames,0)),"Project not in list",IF(G17="","Add task description",IF(H17="","Pick NTIME or P6",IF(N(I17)&lt;=0,"Enter hours",IF(AND(AllowOT&lt;&gt;"Yes",SUMIF($B$7:$B$256,B17,$I$7:$I$256)&gt;INDEX($O$58:$O$87,DAY(B17))),"Day over "&amp;INDEX($O$58:$O$87,DAY(B17))&amp;" h","✓")))))))))</f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tr">
        <f aca="false">IF(Projects!B15="","",Projects!B15)</f>
        <v/>
      </c>
      <c r="X17" s="1" t="n">
        <f aca="false">IF(W17="",0,SUMIFS($I$7:$I$256,$D$7:$D$256,W17,$H$7:$H$256,"NTIME"))</f>
        <v>0</v>
      </c>
      <c r="Y17" s="1" t="n">
        <f aca="false">IF(W17="",0,SUMIFS($I$7:$I$256,$D$7:$D$256,W17,$H$7:$H$256,"P6"))</f>
        <v>0</v>
      </c>
      <c r="Z17" s="1" t="n">
        <f aca="false">X17+Y17</f>
        <v>0</v>
      </c>
      <c r="AA17" s="1" t="n">
        <f aca="false">IF(Z17&gt;0,Z17+(201-11)/10^6,0)</f>
        <v>0</v>
      </c>
      <c r="AB17" s="1"/>
      <c r="AC17" s="1"/>
      <c r="AD17" s="1"/>
      <c r="AE17" s="1"/>
      <c r="AF17" s="1"/>
      <c r="AG17" s="1"/>
      <c r="AH17" s="1"/>
    </row>
    <row r="18" customFormat="false" ht="15" hidden="false" customHeight="false" outlineLevel="0" collapsed="false">
      <c r="A18" s="1"/>
      <c r="B18" s="10"/>
      <c r="C18" s="31" t="str">
        <f aca="false">IF(B18="","",TEXT(B18,"ddd"))</f>
        <v/>
      </c>
      <c r="D18" s="11"/>
      <c r="E18" s="8" t="str">
        <f aca="false">IF(D18="","",IFERROR(INDEX(ProjNumbers,MATCH(D18,ProjNames,0)),""))</f>
        <v/>
      </c>
      <c r="F18" s="8" t="str">
        <f aca="false">IF(D18="","",IFERROR(INDEX(ProjCodes,MATCH(D18,ProjNames,0)),""))</f>
        <v/>
      </c>
      <c r="G18" s="32"/>
      <c r="H18" s="11"/>
      <c r="I18" s="33"/>
      <c r="J18" s="8" t="str">
        <f aca="false">IF(COUNTA(B18,D18,G18,H18,I18)=0,"",IF(B18="","Enter date",IF(OR(B18&lt;$AC$2,B18&gt;$AC$3),"Date not in November",IF(D18="","Pick project",IF(ISNA(MATCH(D18,ProjNames,0)),"Project not in list",IF(G18="","Add task description",IF(H18="","Pick NTIME or P6",IF(N(I18)&lt;=0,"Enter hours",IF(AND(AllowOT&lt;&gt;"Yes",SUMIF($B$7:$B$256,B18,$I$7:$I$256)&gt;INDEX($O$58:$O$87,DAY(B18))),"Day over "&amp;INDEX($O$58:$O$87,DAY(B18))&amp;" h","✓")))))))))</f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 aca="false">IF(Projects!B16="","",Projects!B16)</f>
        <v/>
      </c>
      <c r="X18" s="1" t="n">
        <f aca="false">IF(W18="",0,SUMIFS($I$7:$I$256,$D$7:$D$256,W18,$H$7:$H$256,"NTIME"))</f>
        <v>0</v>
      </c>
      <c r="Y18" s="1" t="n">
        <f aca="false">IF(W18="",0,SUMIFS($I$7:$I$256,$D$7:$D$256,W18,$H$7:$H$256,"P6"))</f>
        <v>0</v>
      </c>
      <c r="Z18" s="1" t="n">
        <f aca="false">X18+Y18</f>
        <v>0</v>
      </c>
      <c r="AA18" s="1" t="n">
        <f aca="false">IF(Z18&gt;0,Z18+(201-12)/10^6,0)</f>
        <v>0</v>
      </c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/>
      <c r="B19" s="10"/>
      <c r="C19" s="31" t="str">
        <f aca="false">IF(B19="","",TEXT(B19,"ddd"))</f>
        <v/>
      </c>
      <c r="D19" s="11"/>
      <c r="E19" s="8" t="str">
        <f aca="false">IF(D19="","",IFERROR(INDEX(ProjNumbers,MATCH(D19,ProjNames,0)),""))</f>
        <v/>
      </c>
      <c r="F19" s="8" t="str">
        <f aca="false">IF(D19="","",IFERROR(INDEX(ProjCodes,MATCH(D19,ProjNames,0)),""))</f>
        <v/>
      </c>
      <c r="G19" s="32"/>
      <c r="H19" s="11"/>
      <c r="I19" s="33"/>
      <c r="J19" s="8" t="str">
        <f aca="false">IF(COUNTA(B19,D19,G19,H19,I19)=0,"",IF(B19="","Enter date",IF(OR(B19&lt;$AC$2,B19&gt;$AC$3),"Date not in November",IF(D19="","Pick project",IF(ISNA(MATCH(D19,ProjNames,0)),"Project not in list",IF(G19="","Add task description",IF(H19="","Pick NTIME or P6",IF(N(I19)&lt;=0,"Enter hours",IF(AND(AllowOT&lt;&gt;"Yes",SUMIF($B$7:$B$256,B19,$I$7:$I$256)&gt;INDEX($O$58:$O$87,DAY(B19))),"Day over "&amp;INDEX($O$58:$O$87,DAY(B19))&amp;" h","✓")))))))))</f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tr">
        <f aca="false">IF(Projects!B17="","",Projects!B17)</f>
        <v/>
      </c>
      <c r="X19" s="1" t="n">
        <f aca="false">IF(W19="",0,SUMIFS($I$7:$I$256,$D$7:$D$256,W19,$H$7:$H$256,"NTIME"))</f>
        <v>0</v>
      </c>
      <c r="Y19" s="1" t="n">
        <f aca="false">IF(W19="",0,SUMIFS($I$7:$I$256,$D$7:$D$256,W19,$H$7:$H$256,"P6"))</f>
        <v>0</v>
      </c>
      <c r="Z19" s="1" t="n">
        <f aca="false">X19+Y19</f>
        <v>0</v>
      </c>
      <c r="AA19" s="1" t="n">
        <f aca="false">IF(Z19&gt;0,Z19+(201-13)/10^6,0)</f>
        <v>0</v>
      </c>
      <c r="AB19" s="1"/>
      <c r="AC19" s="1"/>
      <c r="AD19" s="1"/>
      <c r="AE19" s="1"/>
      <c r="AF19" s="1"/>
      <c r="AG19" s="1"/>
      <c r="AH19" s="1"/>
    </row>
    <row r="20" customFormat="false" ht="15" hidden="false" customHeight="false" outlineLevel="0" collapsed="false">
      <c r="A20" s="1"/>
      <c r="B20" s="10"/>
      <c r="C20" s="31" t="str">
        <f aca="false">IF(B20="","",TEXT(B20,"ddd"))</f>
        <v/>
      </c>
      <c r="D20" s="11"/>
      <c r="E20" s="8" t="str">
        <f aca="false">IF(D20="","",IFERROR(INDEX(ProjNumbers,MATCH(D20,ProjNames,0)),""))</f>
        <v/>
      </c>
      <c r="F20" s="8" t="str">
        <f aca="false">IF(D20="","",IFERROR(INDEX(ProjCodes,MATCH(D20,ProjNames,0)),""))</f>
        <v/>
      </c>
      <c r="G20" s="32"/>
      <c r="H20" s="11"/>
      <c r="I20" s="33"/>
      <c r="J20" s="8" t="str">
        <f aca="false">IF(COUNTA(B20,D20,G20,H20,I20)=0,"",IF(B20="","Enter date",IF(OR(B20&lt;$AC$2,B20&gt;$AC$3),"Date not in November",IF(D20="","Pick project",IF(ISNA(MATCH(D20,ProjNames,0)),"Project not in list",IF(G20="","Add task description",IF(H20="","Pick NTIME or P6",IF(N(I20)&lt;=0,"Enter hours",IF(AND(AllowOT&lt;&gt;"Yes",SUMIF($B$7:$B$256,B20,$I$7:$I$256)&gt;INDEX($O$58:$O$87,DAY(B20))),"Day over "&amp;INDEX($O$58:$O$87,DAY(B20))&amp;" h","✓")))))))))</f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tr">
        <f aca="false">IF(Projects!B18="","",Projects!B18)</f>
        <v/>
      </c>
      <c r="X20" s="1" t="n">
        <f aca="false">IF(W20="",0,SUMIFS($I$7:$I$256,$D$7:$D$256,W20,$H$7:$H$256,"NTIME"))</f>
        <v>0</v>
      </c>
      <c r="Y20" s="1" t="n">
        <f aca="false">IF(W20="",0,SUMIFS($I$7:$I$256,$D$7:$D$256,W20,$H$7:$H$256,"P6"))</f>
        <v>0</v>
      </c>
      <c r="Z20" s="1" t="n">
        <f aca="false">X20+Y20</f>
        <v>0</v>
      </c>
      <c r="AA20" s="1" t="n">
        <f aca="false">IF(Z20&gt;0,Z20+(201-14)/10^6,0)</f>
        <v>0</v>
      </c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/>
      <c r="B21" s="10"/>
      <c r="C21" s="31" t="str">
        <f aca="false">IF(B21="","",TEXT(B21,"ddd"))</f>
        <v/>
      </c>
      <c r="D21" s="11"/>
      <c r="E21" s="8" t="str">
        <f aca="false">IF(D21="","",IFERROR(INDEX(ProjNumbers,MATCH(D21,ProjNames,0)),""))</f>
        <v/>
      </c>
      <c r="F21" s="8" t="str">
        <f aca="false">IF(D21="","",IFERROR(INDEX(ProjCodes,MATCH(D21,ProjNames,0)),""))</f>
        <v/>
      </c>
      <c r="G21" s="32"/>
      <c r="H21" s="11"/>
      <c r="I21" s="33"/>
      <c r="J21" s="8" t="str">
        <f aca="false">IF(COUNTA(B21,D21,G21,H21,I21)=0,"",IF(B21="","Enter date",IF(OR(B21&lt;$AC$2,B21&gt;$AC$3),"Date not in November",IF(D21="","Pick project",IF(ISNA(MATCH(D21,ProjNames,0)),"Project not in list",IF(G21="","Add task description",IF(H21="","Pick NTIME or P6",IF(N(I21)&lt;=0,"Enter hours",IF(AND(AllowOT&lt;&gt;"Yes",SUMIF($B$7:$B$256,B21,$I$7:$I$256)&gt;INDEX($O$58:$O$87,DAY(B21))),"Day over "&amp;INDEX($O$58:$O$87,DAY(B21))&amp;" h","✓")))))))))</f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tr">
        <f aca="false">IF(Projects!B19="","",Projects!B19)</f>
        <v/>
      </c>
      <c r="X21" s="1" t="n">
        <f aca="false">IF(W21="",0,SUMIFS($I$7:$I$256,$D$7:$D$256,W21,$H$7:$H$256,"NTIME"))</f>
        <v>0</v>
      </c>
      <c r="Y21" s="1" t="n">
        <f aca="false">IF(W21="",0,SUMIFS($I$7:$I$256,$D$7:$D$256,W21,$H$7:$H$256,"P6"))</f>
        <v>0</v>
      </c>
      <c r="Z21" s="1" t="n">
        <f aca="false">X21+Y21</f>
        <v>0</v>
      </c>
      <c r="AA21" s="1" t="n">
        <f aca="false">IF(Z21&gt;0,Z21+(201-15)/10^6,0)</f>
        <v>0</v>
      </c>
      <c r="AB21" s="1"/>
      <c r="AC21" s="1"/>
      <c r="AD21" s="1"/>
      <c r="AE21" s="1"/>
      <c r="AF21" s="1"/>
      <c r="AG21" s="1"/>
      <c r="AH21" s="1"/>
    </row>
    <row r="22" customFormat="false" ht="15" hidden="false" customHeight="false" outlineLevel="0" collapsed="false">
      <c r="A22" s="1"/>
      <c r="B22" s="10"/>
      <c r="C22" s="31" t="str">
        <f aca="false">IF(B22="","",TEXT(B22,"ddd"))</f>
        <v/>
      </c>
      <c r="D22" s="11"/>
      <c r="E22" s="8" t="str">
        <f aca="false">IF(D22="","",IFERROR(INDEX(ProjNumbers,MATCH(D22,ProjNames,0)),""))</f>
        <v/>
      </c>
      <c r="F22" s="8" t="str">
        <f aca="false">IF(D22="","",IFERROR(INDEX(ProjCodes,MATCH(D22,ProjNames,0)),""))</f>
        <v/>
      </c>
      <c r="G22" s="32"/>
      <c r="H22" s="11"/>
      <c r="I22" s="33"/>
      <c r="J22" s="8" t="str">
        <f aca="false">IF(COUNTA(B22,D22,G22,H22,I22)=0,"",IF(B22="","Enter date",IF(OR(B22&lt;$AC$2,B22&gt;$AC$3),"Date not in November",IF(D22="","Pick project",IF(ISNA(MATCH(D22,ProjNames,0)),"Project not in list",IF(G22="","Add task description",IF(H22="","Pick NTIME or P6",IF(N(I22)&lt;=0,"Enter hours",IF(AND(AllowOT&lt;&gt;"Yes",SUMIF($B$7:$B$256,B22,$I$7:$I$256)&gt;INDEX($O$58:$O$87,DAY(B22))),"Day over "&amp;INDEX($O$58:$O$87,DAY(B22))&amp;" h","✓")))))))))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tr">
        <f aca="false">IF(Projects!B20="","",Projects!B20)</f>
        <v/>
      </c>
      <c r="X22" s="1" t="n">
        <f aca="false">IF(W22="",0,SUMIFS($I$7:$I$256,$D$7:$D$256,W22,$H$7:$H$256,"NTIME"))</f>
        <v>0</v>
      </c>
      <c r="Y22" s="1" t="n">
        <f aca="false">IF(W22="",0,SUMIFS($I$7:$I$256,$D$7:$D$256,W22,$H$7:$H$256,"P6"))</f>
        <v>0</v>
      </c>
      <c r="Z22" s="1" t="n">
        <f aca="false">X22+Y22</f>
        <v>0</v>
      </c>
      <c r="AA22" s="1" t="n">
        <f aca="false">IF(Z22&gt;0,Z22+(201-16)/10^6,0)</f>
        <v>0</v>
      </c>
      <c r="AB22" s="1"/>
      <c r="AC22" s="1"/>
      <c r="AD22" s="1"/>
      <c r="AE22" s="1"/>
      <c r="AF22" s="1"/>
      <c r="AG22" s="1"/>
      <c r="AH22" s="1"/>
    </row>
    <row r="23" customFormat="false" ht="15" hidden="false" customHeight="false" outlineLevel="0" collapsed="false">
      <c r="A23" s="1"/>
      <c r="B23" s="10"/>
      <c r="C23" s="31" t="str">
        <f aca="false">IF(B23="","",TEXT(B23,"ddd"))</f>
        <v/>
      </c>
      <c r="D23" s="11"/>
      <c r="E23" s="8" t="str">
        <f aca="false">IF(D23="","",IFERROR(INDEX(ProjNumbers,MATCH(D23,ProjNames,0)),""))</f>
        <v/>
      </c>
      <c r="F23" s="8" t="str">
        <f aca="false">IF(D23="","",IFERROR(INDEX(ProjCodes,MATCH(D23,ProjNames,0)),""))</f>
        <v/>
      </c>
      <c r="G23" s="32"/>
      <c r="H23" s="11"/>
      <c r="I23" s="33"/>
      <c r="J23" s="8" t="str">
        <f aca="false">IF(COUNTA(B23,D23,G23,H23,I23)=0,"",IF(B23="","Enter date",IF(OR(B23&lt;$AC$2,B23&gt;$AC$3),"Date not in November",IF(D23="","Pick project",IF(ISNA(MATCH(D23,ProjNames,0)),"Project not in list",IF(G23="","Add task description",IF(H23="","Pick NTIME or P6",IF(N(I23)&lt;=0,"Enter hours",IF(AND(AllowOT&lt;&gt;"Yes",SUMIF($B$7:$B$256,B23,$I$7:$I$256)&gt;INDEX($O$58:$O$87,DAY(B23))),"Day over "&amp;INDEX($O$58:$O$87,DAY(B23))&amp;" h","✓")))))))))</f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tr">
        <f aca="false">IF(Projects!B21="","",Projects!B21)</f>
        <v/>
      </c>
      <c r="X23" s="1" t="n">
        <f aca="false">IF(W23="",0,SUMIFS($I$7:$I$256,$D$7:$D$256,W23,$H$7:$H$256,"NTIME"))</f>
        <v>0</v>
      </c>
      <c r="Y23" s="1" t="n">
        <f aca="false">IF(W23="",0,SUMIFS($I$7:$I$256,$D$7:$D$256,W23,$H$7:$H$256,"P6"))</f>
        <v>0</v>
      </c>
      <c r="Z23" s="1" t="n">
        <f aca="false">X23+Y23</f>
        <v>0</v>
      </c>
      <c r="AA23" s="1" t="n">
        <f aca="false">IF(Z23&gt;0,Z23+(201-17)/10^6,0)</f>
        <v>0</v>
      </c>
      <c r="AB23" s="1"/>
      <c r="AC23" s="1"/>
      <c r="AD23" s="1"/>
      <c r="AE23" s="1"/>
      <c r="AF23" s="1"/>
      <c r="AG23" s="1"/>
      <c r="AH23" s="1"/>
    </row>
    <row r="24" customFormat="false" ht="15" hidden="false" customHeight="false" outlineLevel="0" collapsed="false">
      <c r="A24" s="1"/>
      <c r="B24" s="10"/>
      <c r="C24" s="31" t="str">
        <f aca="false">IF(B24="","",TEXT(B24,"ddd"))</f>
        <v/>
      </c>
      <c r="D24" s="11"/>
      <c r="E24" s="8" t="str">
        <f aca="false">IF(D24="","",IFERROR(INDEX(ProjNumbers,MATCH(D24,ProjNames,0)),""))</f>
        <v/>
      </c>
      <c r="F24" s="8" t="str">
        <f aca="false">IF(D24="","",IFERROR(INDEX(ProjCodes,MATCH(D24,ProjNames,0)),""))</f>
        <v/>
      </c>
      <c r="G24" s="32"/>
      <c r="H24" s="11"/>
      <c r="I24" s="33"/>
      <c r="J24" s="8" t="str">
        <f aca="false">IF(COUNTA(B24,D24,G24,H24,I24)=0,"",IF(B24="","Enter date",IF(OR(B24&lt;$AC$2,B24&gt;$AC$3),"Date not in November",IF(D24="","Pick project",IF(ISNA(MATCH(D24,ProjNames,0)),"Project not in list",IF(G24="","Add task description",IF(H24="","Pick NTIME or P6",IF(N(I24)&lt;=0,"Enter hours",IF(AND(AllowOT&lt;&gt;"Yes",SUMIF($B$7:$B$256,B24,$I$7:$I$256)&gt;INDEX($O$58:$O$87,DAY(B24))),"Day over "&amp;INDEX($O$58:$O$87,DAY(B24))&amp;" h","✓")))))))))</f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tr">
        <f aca="false">IF(Projects!B22="","",Projects!B22)</f>
        <v/>
      </c>
      <c r="X24" s="1" t="n">
        <f aca="false">IF(W24="",0,SUMIFS($I$7:$I$256,$D$7:$D$256,W24,$H$7:$H$256,"NTIME"))</f>
        <v>0</v>
      </c>
      <c r="Y24" s="1" t="n">
        <f aca="false">IF(W24="",0,SUMIFS($I$7:$I$256,$D$7:$D$256,W24,$H$7:$H$256,"P6"))</f>
        <v>0</v>
      </c>
      <c r="Z24" s="1" t="n">
        <f aca="false">X24+Y24</f>
        <v>0</v>
      </c>
      <c r="AA24" s="1" t="n">
        <f aca="false">IF(Z24&gt;0,Z24+(201-18)/10^6,0)</f>
        <v>0</v>
      </c>
      <c r="AB24" s="1"/>
      <c r="AC24" s="1"/>
      <c r="AD24" s="1"/>
      <c r="AE24" s="1"/>
      <c r="AF24" s="1"/>
      <c r="AG24" s="1"/>
      <c r="AH24" s="1"/>
    </row>
    <row r="25" customFormat="false" ht="15" hidden="false" customHeight="false" outlineLevel="0" collapsed="false">
      <c r="A25" s="1"/>
      <c r="B25" s="10"/>
      <c r="C25" s="31" t="str">
        <f aca="false">IF(B25="","",TEXT(B25,"ddd"))</f>
        <v/>
      </c>
      <c r="D25" s="11"/>
      <c r="E25" s="8" t="str">
        <f aca="false">IF(D25="","",IFERROR(INDEX(ProjNumbers,MATCH(D25,ProjNames,0)),""))</f>
        <v/>
      </c>
      <c r="F25" s="8" t="str">
        <f aca="false">IF(D25="","",IFERROR(INDEX(ProjCodes,MATCH(D25,ProjNames,0)),""))</f>
        <v/>
      </c>
      <c r="G25" s="32"/>
      <c r="H25" s="11"/>
      <c r="I25" s="33"/>
      <c r="J25" s="8" t="str">
        <f aca="false">IF(COUNTA(B25,D25,G25,H25,I25)=0,"",IF(B25="","Enter date",IF(OR(B25&lt;$AC$2,B25&gt;$AC$3),"Date not in November",IF(D25="","Pick project",IF(ISNA(MATCH(D25,ProjNames,0)),"Project not in list",IF(G25="","Add task description",IF(H25="","Pick NTIME or P6",IF(N(I25)&lt;=0,"Enter hours",IF(AND(AllowOT&lt;&gt;"Yes",SUMIF($B$7:$B$256,B25,$I$7:$I$256)&gt;INDEX($O$58:$O$87,DAY(B25))),"Day over "&amp;INDEX($O$58:$O$87,DAY(B25))&amp;" h","✓")))))))))</f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tr">
        <f aca="false">IF(Projects!B23="","",Projects!B23)</f>
        <v/>
      </c>
      <c r="X25" s="1" t="n">
        <f aca="false">IF(W25="",0,SUMIFS($I$7:$I$256,$D$7:$D$256,W25,$H$7:$H$256,"NTIME"))</f>
        <v>0</v>
      </c>
      <c r="Y25" s="1" t="n">
        <f aca="false">IF(W25="",0,SUMIFS($I$7:$I$256,$D$7:$D$256,W25,$H$7:$H$256,"P6"))</f>
        <v>0</v>
      </c>
      <c r="Z25" s="1" t="n">
        <f aca="false">X25+Y25</f>
        <v>0</v>
      </c>
      <c r="AA25" s="1" t="n">
        <f aca="false">IF(Z25&gt;0,Z25+(201-19)/10^6,0)</f>
        <v>0</v>
      </c>
      <c r="AB25" s="1"/>
      <c r="AC25" s="1"/>
      <c r="AD25" s="1"/>
      <c r="AE25" s="1"/>
      <c r="AF25" s="1"/>
      <c r="AG25" s="1"/>
      <c r="AH25" s="1"/>
    </row>
    <row r="26" customFormat="false" ht="15" hidden="false" customHeight="false" outlineLevel="0" collapsed="false">
      <c r="A26" s="1"/>
      <c r="B26" s="10"/>
      <c r="C26" s="31" t="str">
        <f aca="false">IF(B26="","",TEXT(B26,"ddd"))</f>
        <v/>
      </c>
      <c r="D26" s="11"/>
      <c r="E26" s="8" t="str">
        <f aca="false">IF(D26="","",IFERROR(INDEX(ProjNumbers,MATCH(D26,ProjNames,0)),""))</f>
        <v/>
      </c>
      <c r="F26" s="8" t="str">
        <f aca="false">IF(D26="","",IFERROR(INDEX(ProjCodes,MATCH(D26,ProjNames,0)),""))</f>
        <v/>
      </c>
      <c r="G26" s="32"/>
      <c r="H26" s="11"/>
      <c r="I26" s="33"/>
      <c r="J26" s="8" t="str">
        <f aca="false">IF(COUNTA(B26,D26,G26,H26,I26)=0,"",IF(B26="","Enter date",IF(OR(B26&lt;$AC$2,B26&gt;$AC$3),"Date not in November",IF(D26="","Pick project",IF(ISNA(MATCH(D26,ProjNames,0)),"Project not in list",IF(G26="","Add task description",IF(H26="","Pick NTIME or P6",IF(N(I26)&lt;=0,"Enter hours",IF(AND(AllowOT&lt;&gt;"Yes",SUMIF($B$7:$B$256,B26,$I$7:$I$256)&gt;INDEX($O$58:$O$87,DAY(B26))),"Day over "&amp;INDEX($O$58:$O$87,DAY(B26))&amp;" h","✓")))))))))</f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tr">
        <f aca="false">IF(Projects!B24="","",Projects!B24)</f>
        <v/>
      </c>
      <c r="X26" s="1" t="n">
        <f aca="false">IF(W26="",0,SUMIFS($I$7:$I$256,$D$7:$D$256,W26,$H$7:$H$256,"NTIME"))</f>
        <v>0</v>
      </c>
      <c r="Y26" s="1" t="n">
        <f aca="false">IF(W26="",0,SUMIFS($I$7:$I$256,$D$7:$D$256,W26,$H$7:$H$256,"P6"))</f>
        <v>0</v>
      </c>
      <c r="Z26" s="1" t="n">
        <f aca="false">X26+Y26</f>
        <v>0</v>
      </c>
      <c r="AA26" s="1" t="n">
        <f aca="false">IF(Z26&gt;0,Z26+(201-20)/10^6,0)</f>
        <v>0</v>
      </c>
      <c r="AB26" s="1"/>
      <c r="AC26" s="1"/>
      <c r="AD26" s="1"/>
      <c r="AE26" s="1"/>
      <c r="AF26" s="1"/>
      <c r="AG26" s="1"/>
      <c r="AH26" s="1"/>
    </row>
    <row r="27" customFormat="false" ht="15" hidden="false" customHeight="false" outlineLevel="0" collapsed="false">
      <c r="A27" s="1"/>
      <c r="B27" s="10"/>
      <c r="C27" s="31" t="str">
        <f aca="false">IF(B27="","",TEXT(B27,"ddd"))</f>
        <v/>
      </c>
      <c r="D27" s="11"/>
      <c r="E27" s="8" t="str">
        <f aca="false">IF(D27="","",IFERROR(INDEX(ProjNumbers,MATCH(D27,ProjNames,0)),""))</f>
        <v/>
      </c>
      <c r="F27" s="8" t="str">
        <f aca="false">IF(D27="","",IFERROR(INDEX(ProjCodes,MATCH(D27,ProjNames,0)),""))</f>
        <v/>
      </c>
      <c r="G27" s="32"/>
      <c r="H27" s="11"/>
      <c r="I27" s="33"/>
      <c r="J27" s="8" t="str">
        <f aca="false">IF(COUNTA(B27,D27,G27,H27,I27)=0,"",IF(B27="","Enter date",IF(OR(B27&lt;$AC$2,B27&gt;$AC$3),"Date not in November",IF(D27="","Pick project",IF(ISNA(MATCH(D27,ProjNames,0)),"Project not in list",IF(G27="","Add task description",IF(H27="","Pick NTIME or P6",IF(N(I27)&lt;=0,"Enter hours",IF(AND(AllowOT&lt;&gt;"Yes",SUMIF($B$7:$B$256,B27,$I$7:$I$256)&gt;INDEX($O$58:$O$87,DAY(B27))),"Day over "&amp;INDEX($O$58:$O$87,DAY(B27))&amp;" h","✓")))))))))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aca="false">IF(Projects!B25="","",Projects!B25)</f>
        <v/>
      </c>
      <c r="X27" s="1" t="n">
        <f aca="false">IF(W27="",0,SUMIFS($I$7:$I$256,$D$7:$D$256,W27,$H$7:$H$256,"NTIME"))</f>
        <v>0</v>
      </c>
      <c r="Y27" s="1" t="n">
        <f aca="false">IF(W27="",0,SUMIFS($I$7:$I$256,$D$7:$D$256,W27,$H$7:$H$256,"P6"))</f>
        <v>0</v>
      </c>
      <c r="Z27" s="1" t="n">
        <f aca="false">X27+Y27</f>
        <v>0</v>
      </c>
      <c r="AA27" s="1" t="n">
        <f aca="false">IF(Z27&gt;0,Z27+(201-21)/10^6,0)</f>
        <v>0</v>
      </c>
      <c r="AB27" s="1"/>
      <c r="AC27" s="1"/>
      <c r="AD27" s="1"/>
      <c r="AE27" s="1"/>
      <c r="AF27" s="1"/>
      <c r="AG27" s="1"/>
      <c r="AH27" s="1"/>
    </row>
    <row r="28" customFormat="false" ht="15" hidden="false" customHeight="false" outlineLevel="0" collapsed="false">
      <c r="A28" s="1"/>
      <c r="B28" s="10"/>
      <c r="C28" s="31" t="str">
        <f aca="false">IF(B28="","",TEXT(B28,"ddd"))</f>
        <v/>
      </c>
      <c r="D28" s="11"/>
      <c r="E28" s="8" t="str">
        <f aca="false">IF(D28="","",IFERROR(INDEX(ProjNumbers,MATCH(D28,ProjNames,0)),""))</f>
        <v/>
      </c>
      <c r="F28" s="8" t="str">
        <f aca="false">IF(D28="","",IFERROR(INDEX(ProjCodes,MATCH(D28,ProjNames,0)),""))</f>
        <v/>
      </c>
      <c r="G28" s="32"/>
      <c r="H28" s="11"/>
      <c r="I28" s="33"/>
      <c r="J28" s="8" t="str">
        <f aca="false">IF(COUNTA(B28,D28,G28,H28,I28)=0,"",IF(B28="","Enter date",IF(OR(B28&lt;$AC$2,B28&gt;$AC$3),"Date not in November",IF(D28="","Pick project",IF(ISNA(MATCH(D28,ProjNames,0)),"Project not in list",IF(G28="","Add task description",IF(H28="","Pick NTIME or P6",IF(N(I28)&lt;=0,"Enter hours",IF(AND(AllowOT&lt;&gt;"Yes",SUMIF($B$7:$B$256,B28,$I$7:$I$256)&gt;INDEX($O$58:$O$87,DAY(B28))),"Day over "&amp;INDEX($O$58:$O$87,DAY(B28))&amp;" h","✓")))))))))</f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tr">
        <f aca="false">IF(Projects!B26="","",Projects!B26)</f>
        <v/>
      </c>
      <c r="X28" s="1" t="n">
        <f aca="false">IF(W28="",0,SUMIFS($I$7:$I$256,$D$7:$D$256,W28,$H$7:$H$256,"NTIME"))</f>
        <v>0</v>
      </c>
      <c r="Y28" s="1" t="n">
        <f aca="false">IF(W28="",0,SUMIFS($I$7:$I$256,$D$7:$D$256,W28,$H$7:$H$256,"P6"))</f>
        <v>0</v>
      </c>
      <c r="Z28" s="1" t="n">
        <f aca="false">X28+Y28</f>
        <v>0</v>
      </c>
      <c r="AA28" s="1" t="n">
        <f aca="false">IF(Z28&gt;0,Z28+(201-22)/10^6,0)</f>
        <v>0</v>
      </c>
      <c r="AB28" s="1"/>
      <c r="AC28" s="1"/>
      <c r="AD28" s="1"/>
      <c r="AE28" s="1"/>
      <c r="AF28" s="1"/>
      <c r="AG28" s="1"/>
      <c r="AH28" s="1"/>
    </row>
    <row r="29" customFormat="false" ht="15" hidden="false" customHeight="false" outlineLevel="0" collapsed="false">
      <c r="A29" s="1"/>
      <c r="B29" s="10"/>
      <c r="C29" s="31" t="str">
        <f aca="false">IF(B29="","",TEXT(B29,"ddd"))</f>
        <v/>
      </c>
      <c r="D29" s="11"/>
      <c r="E29" s="8" t="str">
        <f aca="false">IF(D29="","",IFERROR(INDEX(ProjNumbers,MATCH(D29,ProjNames,0)),""))</f>
        <v/>
      </c>
      <c r="F29" s="8" t="str">
        <f aca="false">IF(D29="","",IFERROR(INDEX(ProjCodes,MATCH(D29,ProjNames,0)),""))</f>
        <v/>
      </c>
      <c r="G29" s="32"/>
      <c r="H29" s="11"/>
      <c r="I29" s="33"/>
      <c r="J29" s="8" t="str">
        <f aca="false">IF(COUNTA(B29,D29,G29,H29,I29)=0,"",IF(B29="","Enter date",IF(OR(B29&lt;$AC$2,B29&gt;$AC$3),"Date not in November",IF(D29="","Pick project",IF(ISNA(MATCH(D29,ProjNames,0)),"Project not in list",IF(G29="","Add task description",IF(H29="","Pick NTIME or P6",IF(N(I29)&lt;=0,"Enter hours",IF(AND(AllowOT&lt;&gt;"Yes",SUMIF($B$7:$B$256,B29,$I$7:$I$256)&gt;INDEX($O$58:$O$87,DAY(B29))),"Day over "&amp;INDEX($O$58:$O$87,DAY(B29))&amp;" h","✓")))))))))</f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tr">
        <f aca="false">IF(Projects!B27="","",Projects!B27)</f>
        <v/>
      </c>
      <c r="X29" s="1" t="n">
        <f aca="false">IF(W29="",0,SUMIFS($I$7:$I$256,$D$7:$D$256,W29,$H$7:$H$256,"NTIME"))</f>
        <v>0</v>
      </c>
      <c r="Y29" s="1" t="n">
        <f aca="false">IF(W29="",0,SUMIFS($I$7:$I$256,$D$7:$D$256,W29,$H$7:$H$256,"P6"))</f>
        <v>0</v>
      </c>
      <c r="Z29" s="1" t="n">
        <f aca="false">X29+Y29</f>
        <v>0</v>
      </c>
      <c r="AA29" s="1" t="n">
        <f aca="false">IF(Z29&gt;0,Z29+(201-23)/10^6,0)</f>
        <v>0</v>
      </c>
      <c r="AB29" s="1"/>
      <c r="AC29" s="1"/>
      <c r="AD29" s="1"/>
      <c r="AE29" s="1"/>
      <c r="AF29" s="1"/>
      <c r="AG29" s="1"/>
      <c r="AH29" s="1"/>
    </row>
    <row r="30" customFormat="false" ht="15" hidden="false" customHeight="false" outlineLevel="0" collapsed="false">
      <c r="A30" s="1"/>
      <c r="B30" s="10"/>
      <c r="C30" s="31" t="str">
        <f aca="false">IF(B30="","",TEXT(B30,"ddd"))</f>
        <v/>
      </c>
      <c r="D30" s="11"/>
      <c r="E30" s="8" t="str">
        <f aca="false">IF(D30="","",IFERROR(INDEX(ProjNumbers,MATCH(D30,ProjNames,0)),""))</f>
        <v/>
      </c>
      <c r="F30" s="8" t="str">
        <f aca="false">IF(D30="","",IFERROR(INDEX(ProjCodes,MATCH(D30,ProjNames,0)),""))</f>
        <v/>
      </c>
      <c r="G30" s="32"/>
      <c r="H30" s="11"/>
      <c r="I30" s="33"/>
      <c r="J30" s="8" t="str">
        <f aca="false">IF(COUNTA(B30,D30,G30,H30,I30)=0,"",IF(B30="","Enter date",IF(OR(B30&lt;$AC$2,B30&gt;$AC$3),"Date not in November",IF(D30="","Pick project",IF(ISNA(MATCH(D30,ProjNames,0)),"Project not in list",IF(G30="","Add task description",IF(H30="","Pick NTIME or P6",IF(N(I30)&lt;=0,"Enter hours",IF(AND(AllowOT&lt;&gt;"Yes",SUMIF($B$7:$B$256,B30,$I$7:$I$256)&gt;INDEX($O$58:$O$87,DAY(B30))),"Day over "&amp;INDEX($O$58:$O$87,DAY(B30))&amp;" h","✓")))))))))</f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tr">
        <f aca="false">IF(Projects!B28="","",Projects!B28)</f>
        <v/>
      </c>
      <c r="X30" s="1" t="n">
        <f aca="false">IF(W30="",0,SUMIFS($I$7:$I$256,$D$7:$D$256,W30,$H$7:$H$256,"NTIME"))</f>
        <v>0</v>
      </c>
      <c r="Y30" s="1" t="n">
        <f aca="false">IF(W30="",0,SUMIFS($I$7:$I$256,$D$7:$D$256,W30,$H$7:$H$256,"P6"))</f>
        <v>0</v>
      </c>
      <c r="Z30" s="1" t="n">
        <f aca="false">X30+Y30</f>
        <v>0</v>
      </c>
      <c r="AA30" s="1" t="n">
        <f aca="false">IF(Z30&gt;0,Z30+(201-24)/10^6,0)</f>
        <v>0</v>
      </c>
      <c r="AB30" s="1"/>
      <c r="AC30" s="1"/>
      <c r="AD30" s="1"/>
      <c r="AE30" s="1"/>
      <c r="AF30" s="1"/>
      <c r="AG30" s="1"/>
      <c r="AH30" s="1"/>
    </row>
    <row r="31" customFormat="false" ht="15" hidden="false" customHeight="false" outlineLevel="0" collapsed="false">
      <c r="A31" s="1"/>
      <c r="B31" s="10"/>
      <c r="C31" s="31" t="str">
        <f aca="false">IF(B31="","",TEXT(B31,"ddd"))</f>
        <v/>
      </c>
      <c r="D31" s="11"/>
      <c r="E31" s="8" t="str">
        <f aca="false">IF(D31="","",IFERROR(INDEX(ProjNumbers,MATCH(D31,ProjNames,0)),""))</f>
        <v/>
      </c>
      <c r="F31" s="8" t="str">
        <f aca="false">IF(D31="","",IFERROR(INDEX(ProjCodes,MATCH(D31,ProjNames,0)),""))</f>
        <v/>
      </c>
      <c r="G31" s="32"/>
      <c r="H31" s="11"/>
      <c r="I31" s="33"/>
      <c r="J31" s="8" t="str">
        <f aca="false">IF(COUNTA(B31,D31,G31,H31,I31)=0,"",IF(B31="","Enter date",IF(OR(B31&lt;$AC$2,B31&gt;$AC$3),"Date not in November",IF(D31="","Pick project",IF(ISNA(MATCH(D31,ProjNames,0)),"Project not in list",IF(G31="","Add task description",IF(H31="","Pick NTIME or P6",IF(N(I31)&lt;=0,"Enter hours",IF(AND(AllowOT&lt;&gt;"Yes",SUMIF($B$7:$B$256,B31,$I$7:$I$256)&gt;INDEX($O$58:$O$87,DAY(B31))),"Day over "&amp;INDEX($O$58:$O$87,DAY(B31))&amp;" h","✓")))))))))</f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tr">
        <f aca="false">IF(Projects!B29="","",Projects!B29)</f>
        <v/>
      </c>
      <c r="X31" s="1" t="n">
        <f aca="false">IF(W31="",0,SUMIFS($I$7:$I$256,$D$7:$D$256,W31,$H$7:$H$256,"NTIME"))</f>
        <v>0</v>
      </c>
      <c r="Y31" s="1" t="n">
        <f aca="false">IF(W31="",0,SUMIFS($I$7:$I$256,$D$7:$D$256,W31,$H$7:$H$256,"P6"))</f>
        <v>0</v>
      </c>
      <c r="Z31" s="1" t="n">
        <f aca="false">X31+Y31</f>
        <v>0</v>
      </c>
      <c r="AA31" s="1" t="n">
        <f aca="false">IF(Z31&gt;0,Z31+(201-25)/10^6,0)</f>
        <v>0</v>
      </c>
      <c r="AB31" s="1"/>
      <c r="AC31" s="1"/>
      <c r="AD31" s="1"/>
      <c r="AE31" s="1"/>
      <c r="AF31" s="1"/>
      <c r="AG31" s="1"/>
      <c r="AH31" s="1"/>
    </row>
    <row r="32" customFormat="false" ht="15" hidden="false" customHeight="false" outlineLevel="0" collapsed="false">
      <c r="A32" s="1"/>
      <c r="B32" s="10"/>
      <c r="C32" s="31" t="str">
        <f aca="false">IF(B32="","",TEXT(B32,"ddd"))</f>
        <v/>
      </c>
      <c r="D32" s="11"/>
      <c r="E32" s="8" t="str">
        <f aca="false">IF(D32="","",IFERROR(INDEX(ProjNumbers,MATCH(D32,ProjNames,0)),""))</f>
        <v/>
      </c>
      <c r="F32" s="8" t="str">
        <f aca="false">IF(D32="","",IFERROR(INDEX(ProjCodes,MATCH(D32,ProjNames,0)),""))</f>
        <v/>
      </c>
      <c r="G32" s="32"/>
      <c r="H32" s="11"/>
      <c r="I32" s="33"/>
      <c r="J32" s="8" t="str">
        <f aca="false">IF(COUNTA(B32,D32,G32,H32,I32)=0,"",IF(B32="","Enter date",IF(OR(B32&lt;$AC$2,B32&gt;$AC$3),"Date not in November",IF(D32="","Pick project",IF(ISNA(MATCH(D32,ProjNames,0)),"Project not in list",IF(G32="","Add task description",IF(H32="","Pick NTIME or P6",IF(N(I32)&lt;=0,"Enter hours",IF(AND(AllowOT&lt;&gt;"Yes",SUMIF($B$7:$B$256,B32,$I$7:$I$256)&gt;INDEX($O$58:$O$87,DAY(B32))),"Day over "&amp;INDEX($O$58:$O$87,DAY(B32))&amp;" h","✓")))))))))</f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tr">
        <f aca="false">IF(Projects!B30="","",Projects!B30)</f>
        <v/>
      </c>
      <c r="X32" s="1" t="n">
        <f aca="false">IF(W32="",0,SUMIFS($I$7:$I$256,$D$7:$D$256,W32,$H$7:$H$256,"NTIME"))</f>
        <v>0</v>
      </c>
      <c r="Y32" s="1" t="n">
        <f aca="false">IF(W32="",0,SUMIFS($I$7:$I$256,$D$7:$D$256,W32,$H$7:$H$256,"P6"))</f>
        <v>0</v>
      </c>
      <c r="Z32" s="1" t="n">
        <f aca="false">X32+Y32</f>
        <v>0</v>
      </c>
      <c r="AA32" s="1" t="n">
        <f aca="false">IF(Z32&gt;0,Z32+(201-26)/10^6,0)</f>
        <v>0</v>
      </c>
      <c r="AB32" s="1"/>
      <c r="AC32" s="1"/>
      <c r="AD32" s="1"/>
      <c r="AE32" s="1"/>
      <c r="AF32" s="1"/>
      <c r="AG32" s="1"/>
      <c r="AH32" s="1"/>
    </row>
    <row r="33" customFormat="false" ht="15" hidden="false" customHeight="false" outlineLevel="0" collapsed="false">
      <c r="A33" s="1"/>
      <c r="B33" s="10"/>
      <c r="C33" s="31" t="str">
        <f aca="false">IF(B33="","",TEXT(B33,"ddd"))</f>
        <v/>
      </c>
      <c r="D33" s="11"/>
      <c r="E33" s="8" t="str">
        <f aca="false">IF(D33="","",IFERROR(INDEX(ProjNumbers,MATCH(D33,ProjNames,0)),""))</f>
        <v/>
      </c>
      <c r="F33" s="8" t="str">
        <f aca="false">IF(D33="","",IFERROR(INDEX(ProjCodes,MATCH(D33,ProjNames,0)),""))</f>
        <v/>
      </c>
      <c r="G33" s="32"/>
      <c r="H33" s="11"/>
      <c r="I33" s="33"/>
      <c r="J33" s="8" t="str">
        <f aca="false">IF(COUNTA(B33,D33,G33,H33,I33)=0,"",IF(B33="","Enter date",IF(OR(B33&lt;$AC$2,B33&gt;$AC$3),"Date not in November",IF(D33="","Pick project",IF(ISNA(MATCH(D33,ProjNames,0)),"Project not in list",IF(G33="","Add task description",IF(H33="","Pick NTIME or P6",IF(N(I33)&lt;=0,"Enter hours",IF(AND(AllowOT&lt;&gt;"Yes",SUMIF($B$7:$B$256,B33,$I$7:$I$256)&gt;INDEX($O$58:$O$87,DAY(B33))),"Day over "&amp;INDEX($O$58:$O$87,DAY(B33))&amp;" h","✓")))))))))</f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tr">
        <f aca="false">IF(Projects!B31="","",Projects!B31)</f>
        <v/>
      </c>
      <c r="X33" s="1" t="n">
        <f aca="false">IF(W33="",0,SUMIFS($I$7:$I$256,$D$7:$D$256,W33,$H$7:$H$256,"NTIME"))</f>
        <v>0</v>
      </c>
      <c r="Y33" s="1" t="n">
        <f aca="false">IF(W33="",0,SUMIFS($I$7:$I$256,$D$7:$D$256,W33,$H$7:$H$256,"P6"))</f>
        <v>0</v>
      </c>
      <c r="Z33" s="1" t="n">
        <f aca="false">X33+Y33</f>
        <v>0</v>
      </c>
      <c r="AA33" s="1" t="n">
        <f aca="false">IF(Z33&gt;0,Z33+(201-27)/10^6,0)</f>
        <v>0</v>
      </c>
      <c r="AB33" s="1"/>
      <c r="AC33" s="1"/>
      <c r="AD33" s="1"/>
      <c r="AE33" s="1"/>
      <c r="AF33" s="1"/>
      <c r="AG33" s="1"/>
      <c r="AH33" s="1"/>
    </row>
    <row r="34" customFormat="false" ht="15" hidden="false" customHeight="false" outlineLevel="0" collapsed="false">
      <c r="A34" s="1"/>
      <c r="B34" s="10"/>
      <c r="C34" s="31" t="str">
        <f aca="false">IF(B34="","",TEXT(B34,"ddd"))</f>
        <v/>
      </c>
      <c r="D34" s="11"/>
      <c r="E34" s="8" t="str">
        <f aca="false">IF(D34="","",IFERROR(INDEX(ProjNumbers,MATCH(D34,ProjNames,0)),""))</f>
        <v/>
      </c>
      <c r="F34" s="8" t="str">
        <f aca="false">IF(D34="","",IFERROR(INDEX(ProjCodes,MATCH(D34,ProjNames,0)),""))</f>
        <v/>
      </c>
      <c r="G34" s="32"/>
      <c r="H34" s="11"/>
      <c r="I34" s="33"/>
      <c r="J34" s="8" t="str">
        <f aca="false">IF(COUNTA(B34,D34,G34,H34,I34)=0,"",IF(B34="","Enter date",IF(OR(B34&lt;$AC$2,B34&gt;$AC$3),"Date not in November",IF(D34="","Pick project",IF(ISNA(MATCH(D34,ProjNames,0)),"Project not in list",IF(G34="","Add task description",IF(H34="","Pick NTIME or P6",IF(N(I34)&lt;=0,"Enter hours",IF(AND(AllowOT&lt;&gt;"Yes",SUMIF($B$7:$B$256,B34,$I$7:$I$256)&gt;INDEX($O$58:$O$87,DAY(B34))),"Day over "&amp;INDEX($O$58:$O$87,DAY(B34))&amp;" h","✓")))))))))</f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tr">
        <f aca="false">IF(Projects!B32="","",Projects!B32)</f>
        <v/>
      </c>
      <c r="X34" s="1" t="n">
        <f aca="false">IF(W34="",0,SUMIFS($I$7:$I$256,$D$7:$D$256,W34,$H$7:$H$256,"NTIME"))</f>
        <v>0</v>
      </c>
      <c r="Y34" s="1" t="n">
        <f aca="false">IF(W34="",0,SUMIFS($I$7:$I$256,$D$7:$D$256,W34,$H$7:$H$256,"P6"))</f>
        <v>0</v>
      </c>
      <c r="Z34" s="1" t="n">
        <f aca="false">X34+Y34</f>
        <v>0</v>
      </c>
      <c r="AA34" s="1" t="n">
        <f aca="false">IF(Z34&gt;0,Z34+(201-28)/10^6,0)</f>
        <v>0</v>
      </c>
      <c r="AB34" s="1"/>
      <c r="AC34" s="1"/>
      <c r="AD34" s="1"/>
      <c r="AE34" s="1"/>
      <c r="AF34" s="1"/>
      <c r="AG34" s="1"/>
      <c r="AH34" s="1"/>
    </row>
    <row r="35" customFormat="false" ht="15" hidden="false" customHeight="false" outlineLevel="0" collapsed="false">
      <c r="A35" s="1"/>
      <c r="B35" s="10"/>
      <c r="C35" s="31" t="str">
        <f aca="false">IF(B35="","",TEXT(B35,"ddd"))</f>
        <v/>
      </c>
      <c r="D35" s="11"/>
      <c r="E35" s="8" t="str">
        <f aca="false">IF(D35="","",IFERROR(INDEX(ProjNumbers,MATCH(D35,ProjNames,0)),""))</f>
        <v/>
      </c>
      <c r="F35" s="8" t="str">
        <f aca="false">IF(D35="","",IFERROR(INDEX(ProjCodes,MATCH(D35,ProjNames,0)),""))</f>
        <v/>
      </c>
      <c r="G35" s="32"/>
      <c r="H35" s="11"/>
      <c r="I35" s="33"/>
      <c r="J35" s="8" t="str">
        <f aca="false">IF(COUNTA(B35,D35,G35,H35,I35)=0,"",IF(B35="","Enter date",IF(OR(B35&lt;$AC$2,B35&gt;$AC$3),"Date not in November",IF(D35="","Pick project",IF(ISNA(MATCH(D35,ProjNames,0)),"Project not in list",IF(G35="","Add task description",IF(H35="","Pick NTIME or P6",IF(N(I35)&lt;=0,"Enter hours",IF(AND(AllowOT&lt;&gt;"Yes",SUMIF($B$7:$B$256,B35,$I$7:$I$256)&gt;INDEX($O$58:$O$87,DAY(B35))),"Day over "&amp;INDEX($O$58:$O$87,DAY(B35))&amp;" h","✓")))))))))</f>
        <v/>
      </c>
      <c r="K35" s="1"/>
      <c r="L35" s="4" t="s">
        <v>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 t="str">
        <f aca="false">IF(Projects!B33="","",Projects!B33)</f>
        <v/>
      </c>
      <c r="X35" s="1" t="n">
        <f aca="false">IF(W35="",0,SUMIFS($I$7:$I$256,$D$7:$D$256,W35,$H$7:$H$256,"NTIME"))</f>
        <v>0</v>
      </c>
      <c r="Y35" s="1" t="n">
        <f aca="false">IF(W35="",0,SUMIFS($I$7:$I$256,$D$7:$D$256,W35,$H$7:$H$256,"P6"))</f>
        <v>0</v>
      </c>
      <c r="Z35" s="1" t="n">
        <f aca="false">X35+Y35</f>
        <v>0</v>
      </c>
      <c r="AA35" s="1" t="n">
        <f aca="false">IF(Z35&gt;0,Z35+(201-29)/10^6,0)</f>
        <v>0</v>
      </c>
      <c r="AB35" s="1"/>
      <c r="AC35" s="1"/>
      <c r="AD35" s="1"/>
      <c r="AE35" s="1"/>
      <c r="AF35" s="1"/>
      <c r="AG35" s="1"/>
      <c r="AH35" s="1"/>
    </row>
    <row r="36" customFormat="false" ht="23.85" hidden="false" customHeight="false" outlineLevel="0" collapsed="false">
      <c r="A36" s="1"/>
      <c r="B36" s="10"/>
      <c r="C36" s="31" t="str">
        <f aca="false">IF(B36="","",TEXT(B36,"ddd"))</f>
        <v/>
      </c>
      <c r="D36" s="11"/>
      <c r="E36" s="8" t="str">
        <f aca="false">IF(D36="","",IFERROR(INDEX(ProjNumbers,MATCH(D36,ProjNames,0)),""))</f>
        <v/>
      </c>
      <c r="F36" s="8" t="str">
        <f aca="false">IF(D36="","",IFERROR(INDEX(ProjCodes,MATCH(D36,ProjNames,0)),""))</f>
        <v/>
      </c>
      <c r="G36" s="32"/>
      <c r="H36" s="11"/>
      <c r="I36" s="33"/>
      <c r="J36" s="8" t="str">
        <f aca="false">IF(COUNTA(B36,D36,G36,H36,I36)=0,"",IF(B36="","Enter date",IF(OR(B36&lt;$AC$2,B36&gt;$AC$3),"Date not in November",IF(D36="","Pick project",IF(ISNA(MATCH(D36,ProjNames,0)),"Project not in list",IF(G36="","Add task description",IF(H36="","Pick NTIME or P6",IF(N(I36)&lt;=0,"Enter hours",IF(AND(AllowOT&lt;&gt;"Yes",SUMIF($B$7:$B$256,B36,$I$7:$I$256)&gt;INDEX($O$58:$O$87,DAY(B36))),"Day over "&amp;INDEX($O$58:$O$87,DAY(B36))&amp;" h","✓")))))))))</f>
        <v/>
      </c>
      <c r="K36" s="1"/>
      <c r="L36" s="9" t="s">
        <v>72</v>
      </c>
      <c r="M36" s="9" t="s">
        <v>36</v>
      </c>
      <c r="N36" s="9" t="s">
        <v>37</v>
      </c>
      <c r="O36" s="20" t="s">
        <v>46</v>
      </c>
      <c r="P36" s="21" t="s">
        <v>56</v>
      </c>
      <c r="Q36" s="9" t="s">
        <v>57</v>
      </c>
      <c r="R36" s="9" t="s">
        <v>86</v>
      </c>
      <c r="S36" s="1"/>
      <c r="T36" s="1"/>
      <c r="U36" s="1"/>
      <c r="V36" s="1"/>
      <c r="W36" s="1" t="str">
        <f aca="false">IF(Projects!B34="","",Projects!B34)</f>
        <v/>
      </c>
      <c r="X36" s="1" t="n">
        <f aca="false">IF(W36="",0,SUMIFS($I$7:$I$256,$D$7:$D$256,W36,$H$7:$H$256,"NTIME"))</f>
        <v>0</v>
      </c>
      <c r="Y36" s="1" t="n">
        <f aca="false">IF(W36="",0,SUMIFS($I$7:$I$256,$D$7:$D$256,W36,$H$7:$H$256,"P6"))</f>
        <v>0</v>
      </c>
      <c r="Z36" s="1" t="n">
        <f aca="false">X36+Y36</f>
        <v>0</v>
      </c>
      <c r="AA36" s="1" t="n">
        <f aca="false">IF(Z36&gt;0,Z36+(201-30)/10^6,0)</f>
        <v>0</v>
      </c>
      <c r="AB36" s="1"/>
      <c r="AC36" s="1"/>
      <c r="AD36" s="1"/>
      <c r="AE36" s="1"/>
      <c r="AF36" s="1"/>
      <c r="AG36" s="1"/>
      <c r="AH36" s="1"/>
    </row>
    <row r="37" customFormat="false" ht="15" hidden="false" customHeight="false" outlineLevel="0" collapsed="false">
      <c r="A37" s="1"/>
      <c r="B37" s="10"/>
      <c r="C37" s="31" t="str">
        <f aca="false">IF(B37="","",TEXT(B37,"ddd"))</f>
        <v/>
      </c>
      <c r="D37" s="11"/>
      <c r="E37" s="8" t="str">
        <f aca="false">IF(D37="","",IFERROR(INDEX(ProjNumbers,MATCH(D37,ProjNames,0)),""))</f>
        <v/>
      </c>
      <c r="F37" s="8" t="str">
        <f aca="false">IF(D37="","",IFERROR(INDEX(ProjCodes,MATCH(D37,ProjNames,0)),""))</f>
        <v/>
      </c>
      <c r="G37" s="32"/>
      <c r="H37" s="11"/>
      <c r="I37" s="33"/>
      <c r="J37" s="8" t="str">
        <f aca="false">IF(COUNTA(B37,D37,G37,H37,I37)=0,"",IF(B37="","Enter date",IF(OR(B37&lt;$AC$2,B37&gt;$AC$3),"Date not in November",IF(D37="","Pick project",IF(ISNA(MATCH(D37,ProjNames,0)),"Project not in list",IF(G37="","Add task description",IF(H37="","Pick NTIME or P6",IF(N(I37)&lt;=0,"Enter hours",IF(AND(AllowOT&lt;&gt;"Yes",SUMIF($B$7:$B$256,B37,$I$7:$I$256)&gt;INDEX($O$58:$O$87,DAY(B37))),"Day over "&amp;INDEX($O$58:$O$87,DAY(B37))&amp;" h","✓")))))))))</f>
        <v/>
      </c>
      <c r="K37" s="1"/>
      <c r="L37" s="24" t="str">
        <f aca="false">IF($AD37=0,"",INDEX($W$7:$W$206,$AD37))</f>
        <v/>
      </c>
      <c r="M37" s="24" t="str">
        <f aca="false">IF($AD37=0,"",INDEX(ProjNumbers,$AD37))</f>
        <v/>
      </c>
      <c r="N37" s="24" t="str">
        <f aca="false">IF($AD37=0,"",INDEX(ProjCodes,$AD37))</f>
        <v/>
      </c>
      <c r="O37" s="24" t="str">
        <f aca="false">IF($AD37=0,"",INDEX($X$7:$X$206,$AD37))</f>
        <v/>
      </c>
      <c r="P37" s="24" t="str">
        <f aca="false">IF($AD37=0,"",INDEX($Y$7:$Y$206,$AD37))</f>
        <v/>
      </c>
      <c r="Q37" s="24" t="str">
        <f aca="false">IF($AD37=0,"",INDEX($Z$7:$Z$206,$AD37))</f>
        <v/>
      </c>
      <c r="R37" s="25" t="str">
        <f aca="false">IF(OR($AD37=0,$L$5=0),"",Q37/$L$5)</f>
        <v/>
      </c>
      <c r="S37" s="1"/>
      <c r="T37" s="1"/>
      <c r="U37" s="1"/>
      <c r="V37" s="1"/>
      <c r="W37" s="1" t="str">
        <f aca="false">IF(Projects!B35="","",Projects!B35)</f>
        <v/>
      </c>
      <c r="X37" s="1" t="n">
        <f aca="false">IF(W37="",0,SUMIFS($I$7:$I$256,$D$7:$D$256,W37,$H$7:$H$256,"NTIME"))</f>
        <v>0</v>
      </c>
      <c r="Y37" s="1" t="n">
        <f aca="false">IF(W37="",0,SUMIFS($I$7:$I$256,$D$7:$D$256,W37,$H$7:$H$256,"P6"))</f>
        <v>0</v>
      </c>
      <c r="Z37" s="1" t="n">
        <f aca="false">X37+Y37</f>
        <v>0</v>
      </c>
      <c r="AA37" s="1" t="n">
        <f aca="false">IF(Z37&gt;0,Z37+(201-31)/10^6,0)</f>
        <v>0</v>
      </c>
      <c r="AB37" s="1"/>
      <c r="AC37" s="1"/>
      <c r="AD37" s="1" t="n">
        <f aca="false">IF(LARGE($AA$7:$AA$206,1)&lt;=0,0,MATCH(LARGE($AA$7:$AA$206,1),$AA$7:$AA$206,0))</f>
        <v>0</v>
      </c>
      <c r="AE37" s="1"/>
      <c r="AF37" s="1"/>
      <c r="AG37" s="1"/>
      <c r="AH37" s="1"/>
    </row>
    <row r="38" customFormat="false" ht="15" hidden="false" customHeight="false" outlineLevel="0" collapsed="false">
      <c r="A38" s="1"/>
      <c r="B38" s="10"/>
      <c r="C38" s="31" t="str">
        <f aca="false">IF(B38="","",TEXT(B38,"ddd"))</f>
        <v/>
      </c>
      <c r="D38" s="11"/>
      <c r="E38" s="8" t="str">
        <f aca="false">IF(D38="","",IFERROR(INDEX(ProjNumbers,MATCH(D38,ProjNames,0)),""))</f>
        <v/>
      </c>
      <c r="F38" s="8" t="str">
        <f aca="false">IF(D38="","",IFERROR(INDEX(ProjCodes,MATCH(D38,ProjNames,0)),""))</f>
        <v/>
      </c>
      <c r="G38" s="32"/>
      <c r="H38" s="11"/>
      <c r="I38" s="33"/>
      <c r="J38" s="8" t="str">
        <f aca="false">IF(COUNTA(B38,D38,G38,H38,I38)=0,"",IF(B38="","Enter date",IF(OR(B38&lt;$AC$2,B38&gt;$AC$3),"Date not in November",IF(D38="","Pick project",IF(ISNA(MATCH(D38,ProjNames,0)),"Project not in list",IF(G38="","Add task description",IF(H38="","Pick NTIME or P6",IF(N(I38)&lt;=0,"Enter hours",IF(AND(AllowOT&lt;&gt;"Yes",SUMIF($B$7:$B$256,B38,$I$7:$I$256)&gt;INDEX($O$58:$O$87,DAY(B38))),"Day over "&amp;INDEX($O$58:$O$87,DAY(B38))&amp;" h","✓")))))))))</f>
        <v/>
      </c>
      <c r="K38" s="1"/>
      <c r="L38" s="24" t="str">
        <f aca="false">IF($AD38=0,"",INDEX($W$7:$W$206,$AD38))</f>
        <v/>
      </c>
      <c r="M38" s="24" t="str">
        <f aca="false">IF($AD38=0,"",INDEX(ProjNumbers,$AD38))</f>
        <v/>
      </c>
      <c r="N38" s="24" t="str">
        <f aca="false">IF($AD38=0,"",INDEX(ProjCodes,$AD38))</f>
        <v/>
      </c>
      <c r="O38" s="24" t="str">
        <f aca="false">IF($AD38=0,"",INDEX($X$7:$X$206,$AD38))</f>
        <v/>
      </c>
      <c r="P38" s="24" t="str">
        <f aca="false">IF($AD38=0,"",INDEX($Y$7:$Y$206,$AD38))</f>
        <v/>
      </c>
      <c r="Q38" s="24" t="str">
        <f aca="false">IF($AD38=0,"",INDEX($Z$7:$Z$206,$AD38))</f>
        <v/>
      </c>
      <c r="R38" s="25" t="str">
        <f aca="false">IF(OR($AD38=0,$L$5=0),"",Q38/$L$5)</f>
        <v/>
      </c>
      <c r="S38" s="1"/>
      <c r="T38" s="1"/>
      <c r="U38" s="1"/>
      <c r="V38" s="1"/>
      <c r="W38" s="1" t="str">
        <f aca="false">IF(Projects!B36="","",Projects!B36)</f>
        <v/>
      </c>
      <c r="X38" s="1" t="n">
        <f aca="false">IF(W38="",0,SUMIFS($I$7:$I$256,$D$7:$D$256,W38,$H$7:$H$256,"NTIME"))</f>
        <v>0</v>
      </c>
      <c r="Y38" s="1" t="n">
        <f aca="false">IF(W38="",0,SUMIFS($I$7:$I$256,$D$7:$D$256,W38,$H$7:$H$256,"P6"))</f>
        <v>0</v>
      </c>
      <c r="Z38" s="1" t="n">
        <f aca="false">X38+Y38</f>
        <v>0</v>
      </c>
      <c r="AA38" s="1" t="n">
        <f aca="false">IF(Z38&gt;0,Z38+(201-32)/10^6,0)</f>
        <v>0</v>
      </c>
      <c r="AB38" s="1"/>
      <c r="AC38" s="1"/>
      <c r="AD38" s="1" t="n">
        <f aca="false">IF(LARGE($AA$7:$AA$206,2)&lt;=0,0,MATCH(LARGE($AA$7:$AA$206,2),$AA$7:$AA$206,0))</f>
        <v>0</v>
      </c>
      <c r="AE38" s="1"/>
      <c r="AF38" s="1"/>
      <c r="AG38" s="1"/>
      <c r="AH38" s="1"/>
    </row>
    <row r="39" customFormat="false" ht="15" hidden="false" customHeight="false" outlineLevel="0" collapsed="false">
      <c r="A39" s="1"/>
      <c r="B39" s="10"/>
      <c r="C39" s="31" t="str">
        <f aca="false">IF(B39="","",TEXT(B39,"ddd"))</f>
        <v/>
      </c>
      <c r="D39" s="11"/>
      <c r="E39" s="8" t="str">
        <f aca="false">IF(D39="","",IFERROR(INDEX(ProjNumbers,MATCH(D39,ProjNames,0)),""))</f>
        <v/>
      </c>
      <c r="F39" s="8" t="str">
        <f aca="false">IF(D39="","",IFERROR(INDEX(ProjCodes,MATCH(D39,ProjNames,0)),""))</f>
        <v/>
      </c>
      <c r="G39" s="32"/>
      <c r="H39" s="11"/>
      <c r="I39" s="33"/>
      <c r="J39" s="8" t="str">
        <f aca="false">IF(COUNTA(B39,D39,G39,H39,I39)=0,"",IF(B39="","Enter date",IF(OR(B39&lt;$AC$2,B39&gt;$AC$3),"Date not in November",IF(D39="","Pick project",IF(ISNA(MATCH(D39,ProjNames,0)),"Project not in list",IF(G39="","Add task description",IF(H39="","Pick NTIME or P6",IF(N(I39)&lt;=0,"Enter hours",IF(AND(AllowOT&lt;&gt;"Yes",SUMIF($B$7:$B$256,B39,$I$7:$I$256)&gt;INDEX($O$58:$O$87,DAY(B39))),"Day over "&amp;INDEX($O$58:$O$87,DAY(B39))&amp;" h","✓")))))))))</f>
        <v/>
      </c>
      <c r="K39" s="1"/>
      <c r="L39" s="24" t="str">
        <f aca="false">IF($AD39=0,"",INDEX($W$7:$W$206,$AD39))</f>
        <v/>
      </c>
      <c r="M39" s="24" t="str">
        <f aca="false">IF($AD39=0,"",INDEX(ProjNumbers,$AD39))</f>
        <v/>
      </c>
      <c r="N39" s="24" t="str">
        <f aca="false">IF($AD39=0,"",INDEX(ProjCodes,$AD39))</f>
        <v/>
      </c>
      <c r="O39" s="24" t="str">
        <f aca="false">IF($AD39=0,"",INDEX($X$7:$X$206,$AD39))</f>
        <v/>
      </c>
      <c r="P39" s="24" t="str">
        <f aca="false">IF($AD39=0,"",INDEX($Y$7:$Y$206,$AD39))</f>
        <v/>
      </c>
      <c r="Q39" s="24" t="str">
        <f aca="false">IF($AD39=0,"",INDEX($Z$7:$Z$206,$AD39))</f>
        <v/>
      </c>
      <c r="R39" s="25" t="str">
        <f aca="false">IF(OR($AD39=0,$L$5=0),"",Q39/$L$5)</f>
        <v/>
      </c>
      <c r="S39" s="1"/>
      <c r="T39" s="1"/>
      <c r="U39" s="1"/>
      <c r="V39" s="1"/>
      <c r="W39" s="1" t="str">
        <f aca="false">IF(Projects!B37="","",Projects!B37)</f>
        <v/>
      </c>
      <c r="X39" s="1" t="n">
        <f aca="false">IF(W39="",0,SUMIFS($I$7:$I$256,$D$7:$D$256,W39,$H$7:$H$256,"NTIME"))</f>
        <v>0</v>
      </c>
      <c r="Y39" s="1" t="n">
        <f aca="false">IF(W39="",0,SUMIFS($I$7:$I$256,$D$7:$D$256,W39,$H$7:$H$256,"P6"))</f>
        <v>0</v>
      </c>
      <c r="Z39" s="1" t="n">
        <f aca="false">X39+Y39</f>
        <v>0</v>
      </c>
      <c r="AA39" s="1" t="n">
        <f aca="false">IF(Z39&gt;0,Z39+(201-33)/10^6,0)</f>
        <v>0</v>
      </c>
      <c r="AB39" s="1"/>
      <c r="AC39" s="1"/>
      <c r="AD39" s="1" t="n">
        <f aca="false">IF(LARGE($AA$7:$AA$206,3)&lt;=0,0,MATCH(LARGE($AA$7:$AA$206,3),$AA$7:$AA$206,0))</f>
        <v>0</v>
      </c>
      <c r="AE39" s="1"/>
      <c r="AF39" s="1"/>
      <c r="AG39" s="1"/>
      <c r="AH39" s="1"/>
    </row>
    <row r="40" customFormat="false" ht="15" hidden="false" customHeight="false" outlineLevel="0" collapsed="false">
      <c r="A40" s="1"/>
      <c r="B40" s="10"/>
      <c r="C40" s="31" t="str">
        <f aca="false">IF(B40="","",TEXT(B40,"ddd"))</f>
        <v/>
      </c>
      <c r="D40" s="11"/>
      <c r="E40" s="8" t="str">
        <f aca="false">IF(D40="","",IFERROR(INDEX(ProjNumbers,MATCH(D40,ProjNames,0)),""))</f>
        <v/>
      </c>
      <c r="F40" s="8" t="str">
        <f aca="false">IF(D40="","",IFERROR(INDEX(ProjCodes,MATCH(D40,ProjNames,0)),""))</f>
        <v/>
      </c>
      <c r="G40" s="32"/>
      <c r="H40" s="11"/>
      <c r="I40" s="33"/>
      <c r="J40" s="8" t="str">
        <f aca="false">IF(COUNTA(B40,D40,G40,H40,I40)=0,"",IF(B40="","Enter date",IF(OR(B40&lt;$AC$2,B40&gt;$AC$3),"Date not in November",IF(D40="","Pick project",IF(ISNA(MATCH(D40,ProjNames,0)),"Project not in list",IF(G40="","Add task description",IF(H40="","Pick NTIME or P6",IF(N(I40)&lt;=0,"Enter hours",IF(AND(AllowOT&lt;&gt;"Yes",SUMIF($B$7:$B$256,B40,$I$7:$I$256)&gt;INDEX($O$58:$O$87,DAY(B40))),"Day over "&amp;INDEX($O$58:$O$87,DAY(B40))&amp;" h","✓")))))))))</f>
        <v/>
      </c>
      <c r="K40" s="1"/>
      <c r="L40" s="24" t="str">
        <f aca="false">IF($AD40=0,"",INDEX($W$7:$W$206,$AD40))</f>
        <v/>
      </c>
      <c r="M40" s="24" t="str">
        <f aca="false">IF($AD40=0,"",INDEX(ProjNumbers,$AD40))</f>
        <v/>
      </c>
      <c r="N40" s="24" t="str">
        <f aca="false">IF($AD40=0,"",INDEX(ProjCodes,$AD40))</f>
        <v/>
      </c>
      <c r="O40" s="24" t="str">
        <f aca="false">IF($AD40=0,"",INDEX($X$7:$X$206,$AD40))</f>
        <v/>
      </c>
      <c r="P40" s="24" t="str">
        <f aca="false">IF($AD40=0,"",INDEX($Y$7:$Y$206,$AD40))</f>
        <v/>
      </c>
      <c r="Q40" s="24" t="str">
        <f aca="false">IF($AD40=0,"",INDEX($Z$7:$Z$206,$AD40))</f>
        <v/>
      </c>
      <c r="R40" s="25" t="str">
        <f aca="false">IF(OR($AD40=0,$L$5=0),"",Q40/$L$5)</f>
        <v/>
      </c>
      <c r="S40" s="1"/>
      <c r="T40" s="1"/>
      <c r="U40" s="1"/>
      <c r="V40" s="1"/>
      <c r="W40" s="1" t="str">
        <f aca="false">IF(Projects!B38="","",Projects!B38)</f>
        <v/>
      </c>
      <c r="X40" s="1" t="n">
        <f aca="false">IF(W40="",0,SUMIFS($I$7:$I$256,$D$7:$D$256,W40,$H$7:$H$256,"NTIME"))</f>
        <v>0</v>
      </c>
      <c r="Y40" s="1" t="n">
        <f aca="false">IF(W40="",0,SUMIFS($I$7:$I$256,$D$7:$D$256,W40,$H$7:$H$256,"P6"))</f>
        <v>0</v>
      </c>
      <c r="Z40" s="1" t="n">
        <f aca="false">X40+Y40</f>
        <v>0</v>
      </c>
      <c r="AA40" s="1" t="n">
        <f aca="false">IF(Z40&gt;0,Z40+(201-34)/10^6,0)</f>
        <v>0</v>
      </c>
      <c r="AB40" s="1"/>
      <c r="AC40" s="1"/>
      <c r="AD40" s="1" t="n">
        <f aca="false">IF(LARGE($AA$7:$AA$206,4)&lt;=0,0,MATCH(LARGE($AA$7:$AA$206,4),$AA$7:$AA$206,0))</f>
        <v>0</v>
      </c>
      <c r="AE40" s="1"/>
      <c r="AF40" s="1"/>
      <c r="AG40" s="1"/>
      <c r="AH40" s="1"/>
    </row>
    <row r="41" customFormat="false" ht="15" hidden="false" customHeight="false" outlineLevel="0" collapsed="false">
      <c r="A41" s="1"/>
      <c r="B41" s="10"/>
      <c r="C41" s="31" t="str">
        <f aca="false">IF(B41="","",TEXT(B41,"ddd"))</f>
        <v/>
      </c>
      <c r="D41" s="11"/>
      <c r="E41" s="8" t="str">
        <f aca="false">IF(D41="","",IFERROR(INDEX(ProjNumbers,MATCH(D41,ProjNames,0)),""))</f>
        <v/>
      </c>
      <c r="F41" s="8" t="str">
        <f aca="false">IF(D41="","",IFERROR(INDEX(ProjCodes,MATCH(D41,ProjNames,0)),""))</f>
        <v/>
      </c>
      <c r="G41" s="32"/>
      <c r="H41" s="11"/>
      <c r="I41" s="33"/>
      <c r="J41" s="8" t="str">
        <f aca="false">IF(COUNTA(B41,D41,G41,H41,I41)=0,"",IF(B41="","Enter date",IF(OR(B41&lt;$AC$2,B41&gt;$AC$3),"Date not in November",IF(D41="","Pick project",IF(ISNA(MATCH(D41,ProjNames,0)),"Project not in list",IF(G41="","Add task description",IF(H41="","Pick NTIME or P6",IF(N(I41)&lt;=0,"Enter hours",IF(AND(AllowOT&lt;&gt;"Yes",SUMIF($B$7:$B$256,B41,$I$7:$I$256)&gt;INDEX($O$58:$O$87,DAY(B41))),"Day over "&amp;INDEX($O$58:$O$87,DAY(B41))&amp;" h","✓")))))))))</f>
        <v/>
      </c>
      <c r="K41" s="1"/>
      <c r="L41" s="24" t="str">
        <f aca="false">IF($AD41=0,"",INDEX($W$7:$W$206,$AD41))</f>
        <v/>
      </c>
      <c r="M41" s="24" t="str">
        <f aca="false">IF($AD41=0,"",INDEX(ProjNumbers,$AD41))</f>
        <v/>
      </c>
      <c r="N41" s="24" t="str">
        <f aca="false">IF($AD41=0,"",INDEX(ProjCodes,$AD41))</f>
        <v/>
      </c>
      <c r="O41" s="24" t="str">
        <f aca="false">IF($AD41=0,"",INDEX($X$7:$X$206,$AD41))</f>
        <v/>
      </c>
      <c r="P41" s="24" t="str">
        <f aca="false">IF($AD41=0,"",INDEX($Y$7:$Y$206,$AD41))</f>
        <v/>
      </c>
      <c r="Q41" s="24" t="str">
        <f aca="false">IF($AD41=0,"",INDEX($Z$7:$Z$206,$AD41))</f>
        <v/>
      </c>
      <c r="R41" s="25" t="str">
        <f aca="false">IF(OR($AD41=0,$L$5=0),"",Q41/$L$5)</f>
        <v/>
      </c>
      <c r="S41" s="1"/>
      <c r="T41" s="1"/>
      <c r="U41" s="1"/>
      <c r="V41" s="1"/>
      <c r="W41" s="1" t="str">
        <f aca="false">IF(Projects!B39="","",Projects!B39)</f>
        <v/>
      </c>
      <c r="X41" s="1" t="n">
        <f aca="false">IF(W41="",0,SUMIFS($I$7:$I$256,$D$7:$D$256,W41,$H$7:$H$256,"NTIME"))</f>
        <v>0</v>
      </c>
      <c r="Y41" s="1" t="n">
        <f aca="false">IF(W41="",0,SUMIFS($I$7:$I$256,$D$7:$D$256,W41,$H$7:$H$256,"P6"))</f>
        <v>0</v>
      </c>
      <c r="Z41" s="1" t="n">
        <f aca="false">X41+Y41</f>
        <v>0</v>
      </c>
      <c r="AA41" s="1" t="n">
        <f aca="false">IF(Z41&gt;0,Z41+(201-35)/10^6,0)</f>
        <v>0</v>
      </c>
      <c r="AB41" s="1"/>
      <c r="AC41" s="1"/>
      <c r="AD41" s="1" t="n">
        <f aca="false">IF(LARGE($AA$7:$AA$206,5)&lt;=0,0,MATCH(LARGE($AA$7:$AA$206,5),$AA$7:$AA$206,0))</f>
        <v>0</v>
      </c>
      <c r="AE41" s="1"/>
      <c r="AF41" s="1"/>
      <c r="AG41" s="1"/>
      <c r="AH41" s="1"/>
    </row>
    <row r="42" customFormat="false" ht="15" hidden="false" customHeight="false" outlineLevel="0" collapsed="false">
      <c r="A42" s="1"/>
      <c r="B42" s="10"/>
      <c r="C42" s="31" t="str">
        <f aca="false">IF(B42="","",TEXT(B42,"ddd"))</f>
        <v/>
      </c>
      <c r="D42" s="11"/>
      <c r="E42" s="8" t="str">
        <f aca="false">IF(D42="","",IFERROR(INDEX(ProjNumbers,MATCH(D42,ProjNames,0)),""))</f>
        <v/>
      </c>
      <c r="F42" s="8" t="str">
        <f aca="false">IF(D42="","",IFERROR(INDEX(ProjCodes,MATCH(D42,ProjNames,0)),""))</f>
        <v/>
      </c>
      <c r="G42" s="32"/>
      <c r="H42" s="11"/>
      <c r="I42" s="33"/>
      <c r="J42" s="8" t="str">
        <f aca="false">IF(COUNTA(B42,D42,G42,H42,I42)=0,"",IF(B42="","Enter date",IF(OR(B42&lt;$AC$2,B42&gt;$AC$3),"Date not in November",IF(D42="","Pick project",IF(ISNA(MATCH(D42,ProjNames,0)),"Project not in list",IF(G42="","Add task description",IF(H42="","Pick NTIME or P6",IF(N(I42)&lt;=0,"Enter hours",IF(AND(AllowOT&lt;&gt;"Yes",SUMIF($B$7:$B$256,B42,$I$7:$I$256)&gt;INDEX($O$58:$O$87,DAY(B42))),"Day over "&amp;INDEX($O$58:$O$87,DAY(B42))&amp;" h","✓")))))))))</f>
        <v/>
      </c>
      <c r="K42" s="1"/>
      <c r="L42" s="24" t="str">
        <f aca="false">IF($AD42=0,"",INDEX($W$7:$W$206,$AD42))</f>
        <v/>
      </c>
      <c r="M42" s="24" t="str">
        <f aca="false">IF($AD42=0,"",INDEX(ProjNumbers,$AD42))</f>
        <v/>
      </c>
      <c r="N42" s="24" t="str">
        <f aca="false">IF($AD42=0,"",INDEX(ProjCodes,$AD42))</f>
        <v/>
      </c>
      <c r="O42" s="24" t="str">
        <f aca="false">IF($AD42=0,"",INDEX($X$7:$X$206,$AD42))</f>
        <v/>
      </c>
      <c r="P42" s="24" t="str">
        <f aca="false">IF($AD42=0,"",INDEX($Y$7:$Y$206,$AD42))</f>
        <v/>
      </c>
      <c r="Q42" s="24" t="str">
        <f aca="false">IF($AD42=0,"",INDEX($Z$7:$Z$206,$AD42))</f>
        <v/>
      </c>
      <c r="R42" s="25" t="str">
        <f aca="false">IF(OR($AD42=0,$L$5=0),"",Q42/$L$5)</f>
        <v/>
      </c>
      <c r="S42" s="1"/>
      <c r="T42" s="1"/>
      <c r="U42" s="1"/>
      <c r="V42" s="1"/>
      <c r="W42" s="1" t="str">
        <f aca="false">IF(Projects!B40="","",Projects!B40)</f>
        <v/>
      </c>
      <c r="X42" s="1" t="n">
        <f aca="false">IF(W42="",0,SUMIFS($I$7:$I$256,$D$7:$D$256,W42,$H$7:$H$256,"NTIME"))</f>
        <v>0</v>
      </c>
      <c r="Y42" s="1" t="n">
        <f aca="false">IF(W42="",0,SUMIFS($I$7:$I$256,$D$7:$D$256,W42,$H$7:$H$256,"P6"))</f>
        <v>0</v>
      </c>
      <c r="Z42" s="1" t="n">
        <f aca="false">X42+Y42</f>
        <v>0</v>
      </c>
      <c r="AA42" s="1" t="n">
        <f aca="false">IF(Z42&gt;0,Z42+(201-36)/10^6,0)</f>
        <v>0</v>
      </c>
      <c r="AB42" s="1"/>
      <c r="AC42" s="1"/>
      <c r="AD42" s="1" t="n">
        <f aca="false">IF(LARGE($AA$7:$AA$206,6)&lt;=0,0,MATCH(LARGE($AA$7:$AA$206,6),$AA$7:$AA$206,0))</f>
        <v>0</v>
      </c>
      <c r="AE42" s="1"/>
      <c r="AF42" s="1"/>
      <c r="AG42" s="1"/>
      <c r="AH42" s="1"/>
    </row>
    <row r="43" customFormat="false" ht="15" hidden="false" customHeight="false" outlineLevel="0" collapsed="false">
      <c r="A43" s="1"/>
      <c r="B43" s="10"/>
      <c r="C43" s="31" t="str">
        <f aca="false">IF(B43="","",TEXT(B43,"ddd"))</f>
        <v/>
      </c>
      <c r="D43" s="11"/>
      <c r="E43" s="8" t="str">
        <f aca="false">IF(D43="","",IFERROR(INDEX(ProjNumbers,MATCH(D43,ProjNames,0)),""))</f>
        <v/>
      </c>
      <c r="F43" s="8" t="str">
        <f aca="false">IF(D43="","",IFERROR(INDEX(ProjCodes,MATCH(D43,ProjNames,0)),""))</f>
        <v/>
      </c>
      <c r="G43" s="32"/>
      <c r="H43" s="11"/>
      <c r="I43" s="33"/>
      <c r="J43" s="8" t="str">
        <f aca="false">IF(COUNTA(B43,D43,G43,H43,I43)=0,"",IF(B43="","Enter date",IF(OR(B43&lt;$AC$2,B43&gt;$AC$3),"Date not in November",IF(D43="","Pick project",IF(ISNA(MATCH(D43,ProjNames,0)),"Project not in list",IF(G43="","Add task description",IF(H43="","Pick NTIME or P6",IF(N(I43)&lt;=0,"Enter hours",IF(AND(AllowOT&lt;&gt;"Yes",SUMIF($B$7:$B$256,B43,$I$7:$I$256)&gt;INDEX($O$58:$O$87,DAY(B43))),"Day over "&amp;INDEX($O$58:$O$87,DAY(B43))&amp;" h","✓")))))))))</f>
        <v/>
      </c>
      <c r="K43" s="1"/>
      <c r="L43" s="24" t="str">
        <f aca="false">IF($AD43=0,"",INDEX($W$7:$W$206,$AD43))</f>
        <v/>
      </c>
      <c r="M43" s="24" t="str">
        <f aca="false">IF($AD43=0,"",INDEX(ProjNumbers,$AD43))</f>
        <v/>
      </c>
      <c r="N43" s="24" t="str">
        <f aca="false">IF($AD43=0,"",INDEX(ProjCodes,$AD43))</f>
        <v/>
      </c>
      <c r="O43" s="24" t="str">
        <f aca="false">IF($AD43=0,"",INDEX($X$7:$X$206,$AD43))</f>
        <v/>
      </c>
      <c r="P43" s="24" t="str">
        <f aca="false">IF($AD43=0,"",INDEX($Y$7:$Y$206,$AD43))</f>
        <v/>
      </c>
      <c r="Q43" s="24" t="str">
        <f aca="false">IF($AD43=0,"",INDEX($Z$7:$Z$206,$AD43))</f>
        <v/>
      </c>
      <c r="R43" s="25" t="str">
        <f aca="false">IF(OR($AD43=0,$L$5=0),"",Q43/$L$5)</f>
        <v/>
      </c>
      <c r="S43" s="1"/>
      <c r="T43" s="1"/>
      <c r="U43" s="1"/>
      <c r="V43" s="1"/>
      <c r="W43" s="1" t="str">
        <f aca="false">IF(Projects!B41="","",Projects!B41)</f>
        <v/>
      </c>
      <c r="X43" s="1" t="n">
        <f aca="false">IF(W43="",0,SUMIFS($I$7:$I$256,$D$7:$D$256,W43,$H$7:$H$256,"NTIME"))</f>
        <v>0</v>
      </c>
      <c r="Y43" s="1" t="n">
        <f aca="false">IF(W43="",0,SUMIFS($I$7:$I$256,$D$7:$D$256,W43,$H$7:$H$256,"P6"))</f>
        <v>0</v>
      </c>
      <c r="Z43" s="1" t="n">
        <f aca="false">X43+Y43</f>
        <v>0</v>
      </c>
      <c r="AA43" s="1" t="n">
        <f aca="false">IF(Z43&gt;0,Z43+(201-37)/10^6,0)</f>
        <v>0</v>
      </c>
      <c r="AB43" s="1"/>
      <c r="AC43" s="1"/>
      <c r="AD43" s="1" t="n">
        <f aca="false">IF(LARGE($AA$7:$AA$206,7)&lt;=0,0,MATCH(LARGE($AA$7:$AA$206,7),$AA$7:$AA$206,0))</f>
        <v>0</v>
      </c>
      <c r="AE43" s="1"/>
      <c r="AF43" s="1"/>
      <c r="AG43" s="1"/>
      <c r="AH43" s="1"/>
    </row>
    <row r="44" customFormat="false" ht="15" hidden="false" customHeight="false" outlineLevel="0" collapsed="false">
      <c r="A44" s="1"/>
      <c r="B44" s="10"/>
      <c r="C44" s="31" t="str">
        <f aca="false">IF(B44="","",TEXT(B44,"ddd"))</f>
        <v/>
      </c>
      <c r="D44" s="11"/>
      <c r="E44" s="8" t="str">
        <f aca="false">IF(D44="","",IFERROR(INDEX(ProjNumbers,MATCH(D44,ProjNames,0)),""))</f>
        <v/>
      </c>
      <c r="F44" s="8" t="str">
        <f aca="false">IF(D44="","",IFERROR(INDEX(ProjCodes,MATCH(D44,ProjNames,0)),""))</f>
        <v/>
      </c>
      <c r="G44" s="32"/>
      <c r="H44" s="11"/>
      <c r="I44" s="33"/>
      <c r="J44" s="8" t="str">
        <f aca="false">IF(COUNTA(B44,D44,G44,H44,I44)=0,"",IF(B44="","Enter date",IF(OR(B44&lt;$AC$2,B44&gt;$AC$3),"Date not in November",IF(D44="","Pick project",IF(ISNA(MATCH(D44,ProjNames,0)),"Project not in list",IF(G44="","Add task description",IF(H44="","Pick NTIME or P6",IF(N(I44)&lt;=0,"Enter hours",IF(AND(AllowOT&lt;&gt;"Yes",SUMIF($B$7:$B$256,B44,$I$7:$I$256)&gt;INDEX($O$58:$O$87,DAY(B44))),"Day over "&amp;INDEX($O$58:$O$87,DAY(B44))&amp;" h","✓")))))))))</f>
        <v/>
      </c>
      <c r="K44" s="1"/>
      <c r="L44" s="24" t="str">
        <f aca="false">IF($AD44=0,"",INDEX($W$7:$W$206,$AD44))</f>
        <v/>
      </c>
      <c r="M44" s="24" t="str">
        <f aca="false">IF($AD44=0,"",INDEX(ProjNumbers,$AD44))</f>
        <v/>
      </c>
      <c r="N44" s="24" t="str">
        <f aca="false">IF($AD44=0,"",INDEX(ProjCodes,$AD44))</f>
        <v/>
      </c>
      <c r="O44" s="24" t="str">
        <f aca="false">IF($AD44=0,"",INDEX($X$7:$X$206,$AD44))</f>
        <v/>
      </c>
      <c r="P44" s="24" t="str">
        <f aca="false">IF($AD44=0,"",INDEX($Y$7:$Y$206,$AD44))</f>
        <v/>
      </c>
      <c r="Q44" s="24" t="str">
        <f aca="false">IF($AD44=0,"",INDEX($Z$7:$Z$206,$AD44))</f>
        <v/>
      </c>
      <c r="R44" s="25" t="str">
        <f aca="false">IF(OR($AD44=0,$L$5=0),"",Q44/$L$5)</f>
        <v/>
      </c>
      <c r="S44" s="1"/>
      <c r="T44" s="1"/>
      <c r="U44" s="1"/>
      <c r="V44" s="1"/>
      <c r="W44" s="1" t="str">
        <f aca="false">IF(Projects!B42="","",Projects!B42)</f>
        <v/>
      </c>
      <c r="X44" s="1" t="n">
        <f aca="false">IF(W44="",0,SUMIFS($I$7:$I$256,$D$7:$D$256,W44,$H$7:$H$256,"NTIME"))</f>
        <v>0</v>
      </c>
      <c r="Y44" s="1" t="n">
        <f aca="false">IF(W44="",0,SUMIFS($I$7:$I$256,$D$7:$D$256,W44,$H$7:$H$256,"P6"))</f>
        <v>0</v>
      </c>
      <c r="Z44" s="1" t="n">
        <f aca="false">X44+Y44</f>
        <v>0</v>
      </c>
      <c r="AA44" s="1" t="n">
        <f aca="false">IF(Z44&gt;0,Z44+(201-38)/10^6,0)</f>
        <v>0</v>
      </c>
      <c r="AB44" s="1"/>
      <c r="AC44" s="1"/>
      <c r="AD44" s="1" t="n">
        <f aca="false">IF(LARGE($AA$7:$AA$206,8)&lt;=0,0,MATCH(LARGE($AA$7:$AA$206,8),$AA$7:$AA$206,0))</f>
        <v>0</v>
      </c>
      <c r="AE44" s="1"/>
      <c r="AF44" s="1"/>
      <c r="AG44" s="1"/>
      <c r="AH44" s="1"/>
    </row>
    <row r="45" customFormat="false" ht="15" hidden="false" customHeight="false" outlineLevel="0" collapsed="false">
      <c r="A45" s="1"/>
      <c r="B45" s="10"/>
      <c r="C45" s="31" t="str">
        <f aca="false">IF(B45="","",TEXT(B45,"ddd"))</f>
        <v/>
      </c>
      <c r="D45" s="11"/>
      <c r="E45" s="8" t="str">
        <f aca="false">IF(D45="","",IFERROR(INDEX(ProjNumbers,MATCH(D45,ProjNames,0)),""))</f>
        <v/>
      </c>
      <c r="F45" s="8" t="str">
        <f aca="false">IF(D45="","",IFERROR(INDEX(ProjCodes,MATCH(D45,ProjNames,0)),""))</f>
        <v/>
      </c>
      <c r="G45" s="32"/>
      <c r="H45" s="11"/>
      <c r="I45" s="33"/>
      <c r="J45" s="8" t="str">
        <f aca="false">IF(COUNTA(B45,D45,G45,H45,I45)=0,"",IF(B45="","Enter date",IF(OR(B45&lt;$AC$2,B45&gt;$AC$3),"Date not in November",IF(D45="","Pick project",IF(ISNA(MATCH(D45,ProjNames,0)),"Project not in list",IF(G45="","Add task description",IF(H45="","Pick NTIME or P6",IF(N(I45)&lt;=0,"Enter hours",IF(AND(AllowOT&lt;&gt;"Yes",SUMIF($B$7:$B$256,B45,$I$7:$I$256)&gt;INDEX($O$58:$O$87,DAY(B45))),"Day over "&amp;INDEX($O$58:$O$87,DAY(B45))&amp;" h","✓")))))))))</f>
        <v/>
      </c>
      <c r="K45" s="1"/>
      <c r="L45" s="24" t="str">
        <f aca="false">IF($AD45=0,"",INDEX($W$7:$W$206,$AD45))</f>
        <v/>
      </c>
      <c r="M45" s="24" t="str">
        <f aca="false">IF($AD45=0,"",INDEX(ProjNumbers,$AD45))</f>
        <v/>
      </c>
      <c r="N45" s="24" t="str">
        <f aca="false">IF($AD45=0,"",INDEX(ProjCodes,$AD45))</f>
        <v/>
      </c>
      <c r="O45" s="24" t="str">
        <f aca="false">IF($AD45=0,"",INDEX($X$7:$X$206,$AD45))</f>
        <v/>
      </c>
      <c r="P45" s="24" t="str">
        <f aca="false">IF($AD45=0,"",INDEX($Y$7:$Y$206,$AD45))</f>
        <v/>
      </c>
      <c r="Q45" s="24" t="str">
        <f aca="false">IF($AD45=0,"",INDEX($Z$7:$Z$206,$AD45))</f>
        <v/>
      </c>
      <c r="R45" s="25" t="str">
        <f aca="false">IF(OR($AD45=0,$L$5=0),"",Q45/$L$5)</f>
        <v/>
      </c>
      <c r="S45" s="1"/>
      <c r="T45" s="1"/>
      <c r="U45" s="1"/>
      <c r="V45" s="1"/>
      <c r="W45" s="1" t="str">
        <f aca="false">IF(Projects!B43="","",Projects!B43)</f>
        <v/>
      </c>
      <c r="X45" s="1" t="n">
        <f aca="false">IF(W45="",0,SUMIFS($I$7:$I$256,$D$7:$D$256,W45,$H$7:$H$256,"NTIME"))</f>
        <v>0</v>
      </c>
      <c r="Y45" s="1" t="n">
        <f aca="false">IF(W45="",0,SUMIFS($I$7:$I$256,$D$7:$D$256,W45,$H$7:$H$256,"P6"))</f>
        <v>0</v>
      </c>
      <c r="Z45" s="1" t="n">
        <f aca="false">X45+Y45</f>
        <v>0</v>
      </c>
      <c r="AA45" s="1" t="n">
        <f aca="false">IF(Z45&gt;0,Z45+(201-39)/10^6,0)</f>
        <v>0</v>
      </c>
      <c r="AB45" s="1"/>
      <c r="AC45" s="1"/>
      <c r="AD45" s="1" t="n">
        <f aca="false">IF(LARGE($AA$7:$AA$206,9)&lt;=0,0,MATCH(LARGE($AA$7:$AA$206,9),$AA$7:$AA$206,0))</f>
        <v>0</v>
      </c>
      <c r="AE45" s="1"/>
      <c r="AF45" s="1"/>
      <c r="AG45" s="1"/>
      <c r="AH45" s="1"/>
    </row>
    <row r="46" customFormat="false" ht="15" hidden="false" customHeight="false" outlineLevel="0" collapsed="false">
      <c r="A46" s="1"/>
      <c r="B46" s="10"/>
      <c r="C46" s="31" t="str">
        <f aca="false">IF(B46="","",TEXT(B46,"ddd"))</f>
        <v/>
      </c>
      <c r="D46" s="11"/>
      <c r="E46" s="8" t="str">
        <f aca="false">IF(D46="","",IFERROR(INDEX(ProjNumbers,MATCH(D46,ProjNames,0)),""))</f>
        <v/>
      </c>
      <c r="F46" s="8" t="str">
        <f aca="false">IF(D46="","",IFERROR(INDEX(ProjCodes,MATCH(D46,ProjNames,0)),""))</f>
        <v/>
      </c>
      <c r="G46" s="32"/>
      <c r="H46" s="11"/>
      <c r="I46" s="33"/>
      <c r="J46" s="8" t="str">
        <f aca="false">IF(COUNTA(B46,D46,G46,H46,I46)=0,"",IF(B46="","Enter date",IF(OR(B46&lt;$AC$2,B46&gt;$AC$3),"Date not in November",IF(D46="","Pick project",IF(ISNA(MATCH(D46,ProjNames,0)),"Project not in list",IF(G46="","Add task description",IF(H46="","Pick NTIME or P6",IF(N(I46)&lt;=0,"Enter hours",IF(AND(AllowOT&lt;&gt;"Yes",SUMIF($B$7:$B$256,B46,$I$7:$I$256)&gt;INDEX($O$58:$O$87,DAY(B46))),"Day over "&amp;INDEX($O$58:$O$87,DAY(B46))&amp;" h","✓")))))))))</f>
        <v/>
      </c>
      <c r="K46" s="1"/>
      <c r="L46" s="24" t="str">
        <f aca="false">IF($AD46=0,"",INDEX($W$7:$W$206,$AD46))</f>
        <v/>
      </c>
      <c r="M46" s="24" t="str">
        <f aca="false">IF($AD46=0,"",INDEX(ProjNumbers,$AD46))</f>
        <v/>
      </c>
      <c r="N46" s="24" t="str">
        <f aca="false">IF($AD46=0,"",INDEX(ProjCodes,$AD46))</f>
        <v/>
      </c>
      <c r="O46" s="24" t="str">
        <f aca="false">IF($AD46=0,"",INDEX($X$7:$X$206,$AD46))</f>
        <v/>
      </c>
      <c r="P46" s="24" t="str">
        <f aca="false">IF($AD46=0,"",INDEX($Y$7:$Y$206,$AD46))</f>
        <v/>
      </c>
      <c r="Q46" s="24" t="str">
        <f aca="false">IF($AD46=0,"",INDEX($Z$7:$Z$206,$AD46))</f>
        <v/>
      </c>
      <c r="R46" s="25" t="str">
        <f aca="false">IF(OR($AD46=0,$L$5=0),"",Q46/$L$5)</f>
        <v/>
      </c>
      <c r="S46" s="1"/>
      <c r="T46" s="1"/>
      <c r="U46" s="1"/>
      <c r="V46" s="1"/>
      <c r="W46" s="1" t="str">
        <f aca="false">IF(Projects!B44="","",Projects!B44)</f>
        <v/>
      </c>
      <c r="X46" s="1" t="n">
        <f aca="false">IF(W46="",0,SUMIFS($I$7:$I$256,$D$7:$D$256,W46,$H$7:$H$256,"NTIME"))</f>
        <v>0</v>
      </c>
      <c r="Y46" s="1" t="n">
        <f aca="false">IF(W46="",0,SUMIFS($I$7:$I$256,$D$7:$D$256,W46,$H$7:$H$256,"P6"))</f>
        <v>0</v>
      </c>
      <c r="Z46" s="1" t="n">
        <f aca="false">X46+Y46</f>
        <v>0</v>
      </c>
      <c r="AA46" s="1" t="n">
        <f aca="false">IF(Z46&gt;0,Z46+(201-40)/10^6,0)</f>
        <v>0</v>
      </c>
      <c r="AB46" s="1"/>
      <c r="AC46" s="1"/>
      <c r="AD46" s="1" t="n">
        <f aca="false">IF(LARGE($AA$7:$AA$206,10)&lt;=0,0,MATCH(LARGE($AA$7:$AA$206,10),$AA$7:$AA$206,0))</f>
        <v>0</v>
      </c>
      <c r="AE46" s="1"/>
      <c r="AF46" s="1"/>
      <c r="AG46" s="1"/>
      <c r="AH46" s="1"/>
    </row>
    <row r="47" customFormat="false" ht="15" hidden="false" customHeight="false" outlineLevel="0" collapsed="false">
      <c r="A47" s="1"/>
      <c r="B47" s="10"/>
      <c r="C47" s="31" t="str">
        <f aca="false">IF(B47="","",TEXT(B47,"ddd"))</f>
        <v/>
      </c>
      <c r="D47" s="11"/>
      <c r="E47" s="8" t="str">
        <f aca="false">IF(D47="","",IFERROR(INDEX(ProjNumbers,MATCH(D47,ProjNames,0)),""))</f>
        <v/>
      </c>
      <c r="F47" s="8" t="str">
        <f aca="false">IF(D47="","",IFERROR(INDEX(ProjCodes,MATCH(D47,ProjNames,0)),""))</f>
        <v/>
      </c>
      <c r="G47" s="32"/>
      <c r="H47" s="11"/>
      <c r="I47" s="33"/>
      <c r="J47" s="8" t="str">
        <f aca="false">IF(COUNTA(B47,D47,G47,H47,I47)=0,"",IF(B47="","Enter date",IF(OR(B47&lt;$AC$2,B47&gt;$AC$3),"Date not in November",IF(D47="","Pick project",IF(ISNA(MATCH(D47,ProjNames,0)),"Project not in list",IF(G47="","Add task description",IF(H47="","Pick NTIME or P6",IF(N(I47)&lt;=0,"Enter hours",IF(AND(AllowOT&lt;&gt;"Yes",SUMIF($B$7:$B$256,B47,$I$7:$I$256)&gt;INDEX($O$58:$O$87,DAY(B47))),"Day over "&amp;INDEX($O$58:$O$87,DAY(B47))&amp;" h","✓")))))))))</f>
        <v/>
      </c>
      <c r="K47" s="1"/>
      <c r="L47" s="24" t="str">
        <f aca="false">IF($AD47=0,"",INDEX($W$7:$W$206,$AD47))</f>
        <v/>
      </c>
      <c r="M47" s="24" t="str">
        <f aca="false">IF($AD47=0,"",INDEX(ProjNumbers,$AD47))</f>
        <v/>
      </c>
      <c r="N47" s="24" t="str">
        <f aca="false">IF($AD47=0,"",INDEX(ProjCodes,$AD47))</f>
        <v/>
      </c>
      <c r="O47" s="24" t="str">
        <f aca="false">IF($AD47=0,"",INDEX($X$7:$X$206,$AD47))</f>
        <v/>
      </c>
      <c r="P47" s="24" t="str">
        <f aca="false">IF($AD47=0,"",INDEX($Y$7:$Y$206,$AD47))</f>
        <v/>
      </c>
      <c r="Q47" s="24" t="str">
        <f aca="false">IF($AD47=0,"",INDEX($Z$7:$Z$206,$AD47))</f>
        <v/>
      </c>
      <c r="R47" s="25" t="str">
        <f aca="false">IF(OR($AD47=0,$L$5=0),"",Q47/$L$5)</f>
        <v/>
      </c>
      <c r="S47" s="1"/>
      <c r="T47" s="1"/>
      <c r="U47" s="1"/>
      <c r="V47" s="1"/>
      <c r="W47" s="1" t="str">
        <f aca="false">IF(Projects!B45="","",Projects!B45)</f>
        <v/>
      </c>
      <c r="X47" s="1" t="n">
        <f aca="false">IF(W47="",0,SUMIFS($I$7:$I$256,$D$7:$D$256,W47,$H$7:$H$256,"NTIME"))</f>
        <v>0</v>
      </c>
      <c r="Y47" s="1" t="n">
        <f aca="false">IF(W47="",0,SUMIFS($I$7:$I$256,$D$7:$D$256,W47,$H$7:$H$256,"P6"))</f>
        <v>0</v>
      </c>
      <c r="Z47" s="1" t="n">
        <f aca="false">X47+Y47</f>
        <v>0</v>
      </c>
      <c r="AA47" s="1" t="n">
        <f aca="false">IF(Z47&gt;0,Z47+(201-41)/10^6,0)</f>
        <v>0</v>
      </c>
      <c r="AB47" s="1"/>
      <c r="AC47" s="1"/>
      <c r="AD47" s="1" t="n">
        <f aca="false">IF(LARGE($AA$7:$AA$206,11)&lt;=0,0,MATCH(LARGE($AA$7:$AA$206,11),$AA$7:$AA$206,0))</f>
        <v>0</v>
      </c>
      <c r="AE47" s="1"/>
      <c r="AF47" s="1"/>
      <c r="AG47" s="1"/>
      <c r="AH47" s="1"/>
    </row>
    <row r="48" customFormat="false" ht="15" hidden="false" customHeight="false" outlineLevel="0" collapsed="false">
      <c r="A48" s="1"/>
      <c r="B48" s="10"/>
      <c r="C48" s="31" t="str">
        <f aca="false">IF(B48="","",TEXT(B48,"ddd"))</f>
        <v/>
      </c>
      <c r="D48" s="11"/>
      <c r="E48" s="8" t="str">
        <f aca="false">IF(D48="","",IFERROR(INDEX(ProjNumbers,MATCH(D48,ProjNames,0)),""))</f>
        <v/>
      </c>
      <c r="F48" s="8" t="str">
        <f aca="false">IF(D48="","",IFERROR(INDEX(ProjCodes,MATCH(D48,ProjNames,0)),""))</f>
        <v/>
      </c>
      <c r="G48" s="32"/>
      <c r="H48" s="11"/>
      <c r="I48" s="33"/>
      <c r="J48" s="8" t="str">
        <f aca="false">IF(COUNTA(B48,D48,G48,H48,I48)=0,"",IF(B48="","Enter date",IF(OR(B48&lt;$AC$2,B48&gt;$AC$3),"Date not in November",IF(D48="","Pick project",IF(ISNA(MATCH(D48,ProjNames,0)),"Project not in list",IF(G48="","Add task description",IF(H48="","Pick NTIME or P6",IF(N(I48)&lt;=0,"Enter hours",IF(AND(AllowOT&lt;&gt;"Yes",SUMIF($B$7:$B$256,B48,$I$7:$I$256)&gt;INDEX($O$58:$O$87,DAY(B48))),"Day over "&amp;INDEX($O$58:$O$87,DAY(B48))&amp;" h","✓")))))))))</f>
        <v/>
      </c>
      <c r="K48" s="1"/>
      <c r="L48" s="24" t="str">
        <f aca="false">IF($AD48=0,"",INDEX($W$7:$W$206,$AD48))</f>
        <v/>
      </c>
      <c r="M48" s="24" t="str">
        <f aca="false">IF($AD48=0,"",INDEX(ProjNumbers,$AD48))</f>
        <v/>
      </c>
      <c r="N48" s="24" t="str">
        <f aca="false">IF($AD48=0,"",INDEX(ProjCodes,$AD48))</f>
        <v/>
      </c>
      <c r="O48" s="24" t="str">
        <f aca="false">IF($AD48=0,"",INDEX($X$7:$X$206,$AD48))</f>
        <v/>
      </c>
      <c r="P48" s="24" t="str">
        <f aca="false">IF($AD48=0,"",INDEX($Y$7:$Y$206,$AD48))</f>
        <v/>
      </c>
      <c r="Q48" s="24" t="str">
        <f aca="false">IF($AD48=0,"",INDEX($Z$7:$Z$206,$AD48))</f>
        <v/>
      </c>
      <c r="R48" s="25" t="str">
        <f aca="false">IF(OR($AD48=0,$L$5=0),"",Q48/$L$5)</f>
        <v/>
      </c>
      <c r="S48" s="1"/>
      <c r="T48" s="1"/>
      <c r="U48" s="1"/>
      <c r="V48" s="1"/>
      <c r="W48" s="1" t="str">
        <f aca="false">IF(Projects!B46="","",Projects!B46)</f>
        <v/>
      </c>
      <c r="X48" s="1" t="n">
        <f aca="false">IF(W48="",0,SUMIFS($I$7:$I$256,$D$7:$D$256,W48,$H$7:$H$256,"NTIME"))</f>
        <v>0</v>
      </c>
      <c r="Y48" s="1" t="n">
        <f aca="false">IF(W48="",0,SUMIFS($I$7:$I$256,$D$7:$D$256,W48,$H$7:$H$256,"P6"))</f>
        <v>0</v>
      </c>
      <c r="Z48" s="1" t="n">
        <f aca="false">X48+Y48</f>
        <v>0</v>
      </c>
      <c r="AA48" s="1" t="n">
        <f aca="false">IF(Z48&gt;0,Z48+(201-42)/10^6,0)</f>
        <v>0</v>
      </c>
      <c r="AB48" s="1"/>
      <c r="AC48" s="1"/>
      <c r="AD48" s="1" t="n">
        <f aca="false">IF(LARGE($AA$7:$AA$206,12)&lt;=0,0,MATCH(LARGE($AA$7:$AA$206,12),$AA$7:$AA$206,0))</f>
        <v>0</v>
      </c>
      <c r="AE48" s="1"/>
      <c r="AF48" s="1"/>
      <c r="AG48" s="1"/>
      <c r="AH48" s="1"/>
    </row>
    <row r="49" customFormat="false" ht="15" hidden="false" customHeight="false" outlineLevel="0" collapsed="false">
      <c r="A49" s="1"/>
      <c r="B49" s="10"/>
      <c r="C49" s="31" t="str">
        <f aca="false">IF(B49="","",TEXT(B49,"ddd"))</f>
        <v/>
      </c>
      <c r="D49" s="11"/>
      <c r="E49" s="8" t="str">
        <f aca="false">IF(D49="","",IFERROR(INDEX(ProjNumbers,MATCH(D49,ProjNames,0)),""))</f>
        <v/>
      </c>
      <c r="F49" s="8" t="str">
        <f aca="false">IF(D49="","",IFERROR(INDEX(ProjCodes,MATCH(D49,ProjNames,0)),""))</f>
        <v/>
      </c>
      <c r="G49" s="32"/>
      <c r="H49" s="11"/>
      <c r="I49" s="33"/>
      <c r="J49" s="8" t="str">
        <f aca="false">IF(COUNTA(B49,D49,G49,H49,I49)=0,"",IF(B49="","Enter date",IF(OR(B49&lt;$AC$2,B49&gt;$AC$3),"Date not in November",IF(D49="","Pick project",IF(ISNA(MATCH(D49,ProjNames,0)),"Project not in list",IF(G49="","Add task description",IF(H49="","Pick NTIME or P6",IF(N(I49)&lt;=0,"Enter hours",IF(AND(AllowOT&lt;&gt;"Yes",SUMIF($B$7:$B$256,B49,$I$7:$I$256)&gt;INDEX($O$58:$O$87,DAY(B49))),"Day over "&amp;INDEX($O$58:$O$87,DAY(B49))&amp;" h","✓")))))))))</f>
        <v/>
      </c>
      <c r="K49" s="1"/>
      <c r="L49" s="24" t="str">
        <f aca="false">IF($AD49=0,"",INDEX($W$7:$W$206,$AD49))</f>
        <v/>
      </c>
      <c r="M49" s="24" t="str">
        <f aca="false">IF($AD49=0,"",INDEX(ProjNumbers,$AD49))</f>
        <v/>
      </c>
      <c r="N49" s="24" t="str">
        <f aca="false">IF($AD49=0,"",INDEX(ProjCodes,$AD49))</f>
        <v/>
      </c>
      <c r="O49" s="24" t="str">
        <f aca="false">IF($AD49=0,"",INDEX($X$7:$X$206,$AD49))</f>
        <v/>
      </c>
      <c r="P49" s="24" t="str">
        <f aca="false">IF($AD49=0,"",INDEX($Y$7:$Y$206,$AD49))</f>
        <v/>
      </c>
      <c r="Q49" s="24" t="str">
        <f aca="false">IF($AD49=0,"",INDEX($Z$7:$Z$206,$AD49))</f>
        <v/>
      </c>
      <c r="R49" s="25" t="str">
        <f aca="false">IF(OR($AD49=0,$L$5=0),"",Q49/$L$5)</f>
        <v/>
      </c>
      <c r="S49" s="1"/>
      <c r="T49" s="1"/>
      <c r="U49" s="1"/>
      <c r="V49" s="1"/>
      <c r="W49" s="1" t="str">
        <f aca="false">IF(Projects!B47="","",Projects!B47)</f>
        <v/>
      </c>
      <c r="X49" s="1" t="n">
        <f aca="false">IF(W49="",0,SUMIFS($I$7:$I$256,$D$7:$D$256,W49,$H$7:$H$256,"NTIME"))</f>
        <v>0</v>
      </c>
      <c r="Y49" s="1" t="n">
        <f aca="false">IF(W49="",0,SUMIFS($I$7:$I$256,$D$7:$D$256,W49,$H$7:$H$256,"P6"))</f>
        <v>0</v>
      </c>
      <c r="Z49" s="1" t="n">
        <f aca="false">X49+Y49</f>
        <v>0</v>
      </c>
      <c r="AA49" s="1" t="n">
        <f aca="false">IF(Z49&gt;0,Z49+(201-43)/10^6,0)</f>
        <v>0</v>
      </c>
      <c r="AB49" s="1"/>
      <c r="AC49" s="1"/>
      <c r="AD49" s="1" t="n">
        <f aca="false">IF(LARGE($AA$7:$AA$206,13)&lt;=0,0,MATCH(LARGE($AA$7:$AA$206,13),$AA$7:$AA$206,0))</f>
        <v>0</v>
      </c>
      <c r="AE49" s="1"/>
      <c r="AF49" s="1"/>
      <c r="AG49" s="1"/>
      <c r="AH49" s="1"/>
    </row>
    <row r="50" customFormat="false" ht="15" hidden="false" customHeight="false" outlineLevel="0" collapsed="false">
      <c r="A50" s="1"/>
      <c r="B50" s="10"/>
      <c r="C50" s="31" t="str">
        <f aca="false">IF(B50="","",TEXT(B50,"ddd"))</f>
        <v/>
      </c>
      <c r="D50" s="11"/>
      <c r="E50" s="8" t="str">
        <f aca="false">IF(D50="","",IFERROR(INDEX(ProjNumbers,MATCH(D50,ProjNames,0)),""))</f>
        <v/>
      </c>
      <c r="F50" s="8" t="str">
        <f aca="false">IF(D50="","",IFERROR(INDEX(ProjCodes,MATCH(D50,ProjNames,0)),""))</f>
        <v/>
      </c>
      <c r="G50" s="32"/>
      <c r="H50" s="11"/>
      <c r="I50" s="33"/>
      <c r="J50" s="8" t="str">
        <f aca="false">IF(COUNTA(B50,D50,G50,H50,I50)=0,"",IF(B50="","Enter date",IF(OR(B50&lt;$AC$2,B50&gt;$AC$3),"Date not in November",IF(D50="","Pick project",IF(ISNA(MATCH(D50,ProjNames,0)),"Project not in list",IF(G50="","Add task description",IF(H50="","Pick NTIME or P6",IF(N(I50)&lt;=0,"Enter hours",IF(AND(AllowOT&lt;&gt;"Yes",SUMIF($B$7:$B$256,B50,$I$7:$I$256)&gt;INDEX($O$58:$O$87,DAY(B50))),"Day over "&amp;INDEX($O$58:$O$87,DAY(B50))&amp;" h","✓")))))))))</f>
        <v/>
      </c>
      <c r="K50" s="1"/>
      <c r="L50" s="24" t="str">
        <f aca="false">IF($AD50=0,"",INDEX($W$7:$W$206,$AD50))</f>
        <v/>
      </c>
      <c r="M50" s="24" t="str">
        <f aca="false">IF($AD50=0,"",INDEX(ProjNumbers,$AD50))</f>
        <v/>
      </c>
      <c r="N50" s="24" t="str">
        <f aca="false">IF($AD50=0,"",INDEX(ProjCodes,$AD50))</f>
        <v/>
      </c>
      <c r="O50" s="24" t="str">
        <f aca="false">IF($AD50=0,"",INDEX($X$7:$X$206,$AD50))</f>
        <v/>
      </c>
      <c r="P50" s="24" t="str">
        <f aca="false">IF($AD50=0,"",INDEX($Y$7:$Y$206,$AD50))</f>
        <v/>
      </c>
      <c r="Q50" s="24" t="str">
        <f aca="false">IF($AD50=0,"",INDEX($Z$7:$Z$206,$AD50))</f>
        <v/>
      </c>
      <c r="R50" s="25" t="str">
        <f aca="false">IF(OR($AD50=0,$L$5=0),"",Q50/$L$5)</f>
        <v/>
      </c>
      <c r="S50" s="1"/>
      <c r="T50" s="1"/>
      <c r="U50" s="1"/>
      <c r="V50" s="1"/>
      <c r="W50" s="1" t="str">
        <f aca="false">IF(Projects!B48="","",Projects!B48)</f>
        <v/>
      </c>
      <c r="X50" s="1" t="n">
        <f aca="false">IF(W50="",0,SUMIFS($I$7:$I$256,$D$7:$D$256,W50,$H$7:$H$256,"NTIME"))</f>
        <v>0</v>
      </c>
      <c r="Y50" s="1" t="n">
        <f aca="false">IF(W50="",0,SUMIFS($I$7:$I$256,$D$7:$D$256,W50,$H$7:$H$256,"P6"))</f>
        <v>0</v>
      </c>
      <c r="Z50" s="1" t="n">
        <f aca="false">X50+Y50</f>
        <v>0</v>
      </c>
      <c r="AA50" s="1" t="n">
        <f aca="false">IF(Z50&gt;0,Z50+(201-44)/10^6,0)</f>
        <v>0</v>
      </c>
      <c r="AB50" s="1"/>
      <c r="AC50" s="1"/>
      <c r="AD50" s="1" t="n">
        <f aca="false">IF(LARGE($AA$7:$AA$206,14)&lt;=0,0,MATCH(LARGE($AA$7:$AA$206,14),$AA$7:$AA$206,0))</f>
        <v>0</v>
      </c>
      <c r="AE50" s="1"/>
      <c r="AF50" s="1"/>
      <c r="AG50" s="1"/>
      <c r="AH50" s="1"/>
    </row>
    <row r="51" customFormat="false" ht="15" hidden="false" customHeight="false" outlineLevel="0" collapsed="false">
      <c r="A51" s="1"/>
      <c r="B51" s="10"/>
      <c r="C51" s="31" t="str">
        <f aca="false">IF(B51="","",TEXT(B51,"ddd"))</f>
        <v/>
      </c>
      <c r="D51" s="11"/>
      <c r="E51" s="8" t="str">
        <f aca="false">IF(D51="","",IFERROR(INDEX(ProjNumbers,MATCH(D51,ProjNames,0)),""))</f>
        <v/>
      </c>
      <c r="F51" s="8" t="str">
        <f aca="false">IF(D51="","",IFERROR(INDEX(ProjCodes,MATCH(D51,ProjNames,0)),""))</f>
        <v/>
      </c>
      <c r="G51" s="32"/>
      <c r="H51" s="11"/>
      <c r="I51" s="33"/>
      <c r="J51" s="8" t="str">
        <f aca="false">IF(COUNTA(B51,D51,G51,H51,I51)=0,"",IF(B51="","Enter date",IF(OR(B51&lt;$AC$2,B51&gt;$AC$3),"Date not in November",IF(D51="","Pick project",IF(ISNA(MATCH(D51,ProjNames,0)),"Project not in list",IF(G51="","Add task description",IF(H51="","Pick NTIME or P6",IF(N(I51)&lt;=0,"Enter hours",IF(AND(AllowOT&lt;&gt;"Yes",SUMIF($B$7:$B$256,B51,$I$7:$I$256)&gt;INDEX($O$58:$O$87,DAY(B51))),"Day over "&amp;INDEX($O$58:$O$87,DAY(B51))&amp;" h","✓")))))))))</f>
        <v/>
      </c>
      <c r="K51" s="1"/>
      <c r="L51" s="24" t="str">
        <f aca="false">IF($AD51=0,"",INDEX($W$7:$W$206,$AD51))</f>
        <v/>
      </c>
      <c r="M51" s="24" t="str">
        <f aca="false">IF($AD51=0,"",INDEX(ProjNumbers,$AD51))</f>
        <v/>
      </c>
      <c r="N51" s="24" t="str">
        <f aca="false">IF($AD51=0,"",INDEX(ProjCodes,$AD51))</f>
        <v/>
      </c>
      <c r="O51" s="24" t="str">
        <f aca="false">IF($AD51=0,"",INDEX($X$7:$X$206,$AD51))</f>
        <v/>
      </c>
      <c r="P51" s="24" t="str">
        <f aca="false">IF($AD51=0,"",INDEX($Y$7:$Y$206,$AD51))</f>
        <v/>
      </c>
      <c r="Q51" s="24" t="str">
        <f aca="false">IF($AD51=0,"",INDEX($Z$7:$Z$206,$AD51))</f>
        <v/>
      </c>
      <c r="R51" s="25" t="str">
        <f aca="false">IF(OR($AD51=0,$L$5=0),"",Q51/$L$5)</f>
        <v/>
      </c>
      <c r="S51" s="1"/>
      <c r="T51" s="1"/>
      <c r="U51" s="1"/>
      <c r="V51" s="1"/>
      <c r="W51" s="1" t="str">
        <f aca="false">IF(Projects!B49="","",Projects!B49)</f>
        <v/>
      </c>
      <c r="X51" s="1" t="n">
        <f aca="false">IF(W51="",0,SUMIFS($I$7:$I$256,$D$7:$D$256,W51,$H$7:$H$256,"NTIME"))</f>
        <v>0</v>
      </c>
      <c r="Y51" s="1" t="n">
        <f aca="false">IF(W51="",0,SUMIFS($I$7:$I$256,$D$7:$D$256,W51,$H$7:$H$256,"P6"))</f>
        <v>0</v>
      </c>
      <c r="Z51" s="1" t="n">
        <f aca="false">X51+Y51</f>
        <v>0</v>
      </c>
      <c r="AA51" s="1" t="n">
        <f aca="false">IF(Z51&gt;0,Z51+(201-45)/10^6,0)</f>
        <v>0</v>
      </c>
      <c r="AB51" s="1"/>
      <c r="AC51" s="1"/>
      <c r="AD51" s="1" t="n">
        <f aca="false">IF(LARGE($AA$7:$AA$206,15)&lt;=0,0,MATCH(LARGE($AA$7:$AA$206,15),$AA$7:$AA$206,0))</f>
        <v>0</v>
      </c>
      <c r="AE51" s="1"/>
      <c r="AF51" s="1"/>
      <c r="AG51" s="1"/>
      <c r="AH51" s="1"/>
    </row>
    <row r="52" customFormat="false" ht="15" hidden="false" customHeight="false" outlineLevel="0" collapsed="false">
      <c r="A52" s="1"/>
      <c r="B52" s="10"/>
      <c r="C52" s="31" t="str">
        <f aca="false">IF(B52="","",TEXT(B52,"ddd"))</f>
        <v/>
      </c>
      <c r="D52" s="11"/>
      <c r="E52" s="8" t="str">
        <f aca="false">IF(D52="","",IFERROR(INDEX(ProjNumbers,MATCH(D52,ProjNames,0)),""))</f>
        <v/>
      </c>
      <c r="F52" s="8" t="str">
        <f aca="false">IF(D52="","",IFERROR(INDEX(ProjCodes,MATCH(D52,ProjNames,0)),""))</f>
        <v/>
      </c>
      <c r="G52" s="32"/>
      <c r="H52" s="11"/>
      <c r="I52" s="33"/>
      <c r="J52" s="8" t="str">
        <f aca="false">IF(COUNTA(B52,D52,G52,H52,I52)=0,"",IF(B52="","Enter date",IF(OR(B52&lt;$AC$2,B52&gt;$AC$3),"Date not in November",IF(D52="","Pick project",IF(ISNA(MATCH(D52,ProjNames,0)),"Project not in list",IF(G52="","Add task description",IF(H52="","Pick NTIME or P6",IF(N(I52)&lt;=0,"Enter hours",IF(AND(AllowOT&lt;&gt;"Yes",SUMIF($B$7:$B$256,B52,$I$7:$I$256)&gt;INDEX($O$58:$O$87,DAY(B52))),"Day over "&amp;INDEX($O$58:$O$87,DAY(B52))&amp;" h","✓")))))))))</f>
        <v/>
      </c>
      <c r="K52" s="1"/>
      <c r="L52" s="24" t="s">
        <v>87</v>
      </c>
      <c r="M52" s="24"/>
      <c r="N52" s="24"/>
      <c r="O52" s="24" t="n">
        <f aca="false">SUM($P$58:$P$87)-SUM($X$7:$X$206)</f>
        <v>0</v>
      </c>
      <c r="P52" s="24" t="n">
        <f aca="false">SUM($Q$58:$Q$87)-SUM($Y$7:$Y$206)</f>
        <v>0</v>
      </c>
      <c r="Q52" s="24" t="n">
        <f aca="false">O52+P52</f>
        <v>0</v>
      </c>
      <c r="R52" s="25" t="str">
        <f aca="false">IF($L$5=0,"",Q52/$L$5)</f>
        <v/>
      </c>
      <c r="S52" s="1"/>
      <c r="T52" s="1"/>
      <c r="U52" s="1"/>
      <c r="V52" s="1"/>
      <c r="W52" s="1" t="str">
        <f aca="false">IF(Projects!B50="","",Projects!B50)</f>
        <v/>
      </c>
      <c r="X52" s="1" t="n">
        <f aca="false">IF(W52="",0,SUMIFS($I$7:$I$256,$D$7:$D$256,W52,$H$7:$H$256,"NTIME"))</f>
        <v>0</v>
      </c>
      <c r="Y52" s="1" t="n">
        <f aca="false">IF(W52="",0,SUMIFS($I$7:$I$256,$D$7:$D$256,W52,$H$7:$H$256,"P6"))</f>
        <v>0</v>
      </c>
      <c r="Z52" s="1" t="n">
        <f aca="false">X52+Y52</f>
        <v>0</v>
      </c>
      <c r="AA52" s="1" t="n">
        <f aca="false">IF(Z52&gt;0,Z52+(201-46)/10^6,0)</f>
        <v>0</v>
      </c>
      <c r="AB52" s="1"/>
      <c r="AC52" s="1"/>
      <c r="AD52" s="1"/>
      <c r="AE52" s="1"/>
      <c r="AF52" s="1"/>
      <c r="AG52" s="1"/>
      <c r="AH52" s="1"/>
    </row>
    <row r="53" customFormat="false" ht="15" hidden="false" customHeight="false" outlineLevel="0" collapsed="false">
      <c r="A53" s="1"/>
      <c r="B53" s="10"/>
      <c r="C53" s="31" t="str">
        <f aca="false">IF(B53="","",TEXT(B53,"ddd"))</f>
        <v/>
      </c>
      <c r="D53" s="11"/>
      <c r="E53" s="8" t="str">
        <f aca="false">IF(D53="","",IFERROR(INDEX(ProjNumbers,MATCH(D53,ProjNames,0)),""))</f>
        <v/>
      </c>
      <c r="F53" s="8" t="str">
        <f aca="false">IF(D53="","",IFERROR(INDEX(ProjCodes,MATCH(D53,ProjNames,0)),""))</f>
        <v/>
      </c>
      <c r="G53" s="32"/>
      <c r="H53" s="11"/>
      <c r="I53" s="33"/>
      <c r="J53" s="8" t="str">
        <f aca="false">IF(COUNTA(B53,D53,G53,H53,I53)=0,"",IF(B53="","Enter date",IF(OR(B53&lt;$AC$2,B53&gt;$AC$3),"Date not in November",IF(D53="","Pick project",IF(ISNA(MATCH(D53,ProjNames,0)),"Project not in list",IF(G53="","Add task description",IF(H53="","Pick NTIME or P6",IF(N(I53)&lt;=0,"Enter hours",IF(AND(AllowOT&lt;&gt;"Yes",SUMIF($B$7:$B$256,B53,$I$7:$I$256)&gt;INDEX($O$58:$O$87,DAY(B53))),"Day over "&amp;INDEX($O$58:$O$87,DAY(B53))&amp;" h","✓")))))))))</f>
        <v/>
      </c>
      <c r="K53" s="1"/>
      <c r="L53" s="24" t="s">
        <v>15</v>
      </c>
      <c r="M53" s="24" t="s">
        <v>88</v>
      </c>
      <c r="N53" s="24"/>
      <c r="O53" s="24" t="str">
        <f aca="false">IF(OHSystem="NTIME",O5,"")</f>
        <v/>
      </c>
      <c r="P53" s="24" t="str">
        <f aca="false">IF(OHSystem="P6",O5,"")</f>
        <v/>
      </c>
      <c r="Q53" s="24" t="n">
        <f aca="false">O5</f>
        <v>0</v>
      </c>
      <c r="R53" s="25" t="str">
        <f aca="false">IF($L$5=0,"",Q53/$L$5)</f>
        <v/>
      </c>
      <c r="S53" s="1"/>
      <c r="T53" s="1"/>
      <c r="U53" s="1"/>
      <c r="V53" s="1"/>
      <c r="W53" s="1" t="str">
        <f aca="false">IF(Projects!B51="","",Projects!B51)</f>
        <v/>
      </c>
      <c r="X53" s="1" t="n">
        <f aca="false">IF(W53="",0,SUMIFS($I$7:$I$256,$D$7:$D$256,W53,$H$7:$H$256,"NTIME"))</f>
        <v>0</v>
      </c>
      <c r="Y53" s="1" t="n">
        <f aca="false">IF(W53="",0,SUMIFS($I$7:$I$256,$D$7:$D$256,W53,$H$7:$H$256,"P6"))</f>
        <v>0</v>
      </c>
      <c r="Z53" s="1" t="n">
        <f aca="false">X53+Y53</f>
        <v>0</v>
      </c>
      <c r="AA53" s="1" t="n">
        <f aca="false">IF(Z53&gt;0,Z53+(201-47)/10^6,0)</f>
        <v>0</v>
      </c>
      <c r="AB53" s="1"/>
      <c r="AC53" s="1"/>
      <c r="AD53" s="1"/>
      <c r="AE53" s="1"/>
      <c r="AF53" s="1"/>
      <c r="AG53" s="1"/>
      <c r="AH53" s="1"/>
    </row>
    <row r="54" customFormat="false" ht="15" hidden="false" customHeight="false" outlineLevel="0" collapsed="false">
      <c r="A54" s="1"/>
      <c r="B54" s="10"/>
      <c r="C54" s="31" t="str">
        <f aca="false">IF(B54="","",TEXT(B54,"ddd"))</f>
        <v/>
      </c>
      <c r="D54" s="11"/>
      <c r="E54" s="8" t="str">
        <f aca="false">IF(D54="","",IFERROR(INDEX(ProjNumbers,MATCH(D54,ProjNames,0)),""))</f>
        <v/>
      </c>
      <c r="F54" s="8" t="str">
        <f aca="false">IF(D54="","",IFERROR(INDEX(ProjCodes,MATCH(D54,ProjNames,0)),""))</f>
        <v/>
      </c>
      <c r="G54" s="32"/>
      <c r="H54" s="11"/>
      <c r="I54" s="33"/>
      <c r="J54" s="8" t="str">
        <f aca="false">IF(COUNTA(B54,D54,G54,H54,I54)=0,"",IF(B54="","Enter date",IF(OR(B54&lt;$AC$2,B54&gt;$AC$3),"Date not in November",IF(D54="","Pick project",IF(ISNA(MATCH(D54,ProjNames,0)),"Project not in list",IF(G54="","Add task description",IF(H54="","Pick NTIME or P6",IF(N(I54)&lt;=0,"Enter hours",IF(AND(AllowOT&lt;&gt;"Yes",SUMIF($B$7:$B$256,B54,$I$7:$I$256)&gt;INDEX($O$58:$O$87,DAY(B54))),"Day over "&amp;INDEX($O$58:$O$87,DAY(B54))&amp;" h","✓")))))))))</f>
        <v/>
      </c>
      <c r="K54" s="1"/>
      <c r="L54" s="27" t="s">
        <v>57</v>
      </c>
      <c r="M54" s="27"/>
      <c r="N54" s="27"/>
      <c r="O54" s="27" t="n">
        <f aca="false">M5</f>
        <v>0</v>
      </c>
      <c r="P54" s="27" t="n">
        <f aca="false">N5</f>
        <v>0</v>
      </c>
      <c r="Q54" s="27" t="n">
        <f aca="false">L5</f>
        <v>0</v>
      </c>
      <c r="R54" s="27"/>
      <c r="S54" s="1"/>
      <c r="T54" s="1"/>
      <c r="U54" s="1"/>
      <c r="V54" s="1"/>
      <c r="W54" s="1" t="str">
        <f aca="false">IF(Projects!B52="","",Projects!B52)</f>
        <v/>
      </c>
      <c r="X54" s="1" t="n">
        <f aca="false">IF(W54="",0,SUMIFS($I$7:$I$256,$D$7:$D$256,W54,$H$7:$H$256,"NTIME"))</f>
        <v>0</v>
      </c>
      <c r="Y54" s="1" t="n">
        <f aca="false">IF(W54="",0,SUMIFS($I$7:$I$256,$D$7:$D$256,W54,$H$7:$H$256,"P6"))</f>
        <v>0</v>
      </c>
      <c r="Z54" s="1" t="n">
        <f aca="false">X54+Y54</f>
        <v>0</v>
      </c>
      <c r="AA54" s="1" t="n">
        <f aca="false">IF(Z54&gt;0,Z54+(201-48)/10^6,0)</f>
        <v>0</v>
      </c>
      <c r="AB54" s="1"/>
      <c r="AC54" s="1"/>
      <c r="AD54" s="1"/>
      <c r="AE54" s="1"/>
      <c r="AF54" s="1"/>
      <c r="AG54" s="1"/>
      <c r="AH54" s="1"/>
    </row>
    <row r="55" customFormat="false" ht="15" hidden="false" customHeight="false" outlineLevel="0" collapsed="false">
      <c r="A55" s="1"/>
      <c r="B55" s="10"/>
      <c r="C55" s="31" t="str">
        <f aca="false">IF(B55="","",TEXT(B55,"ddd"))</f>
        <v/>
      </c>
      <c r="D55" s="11"/>
      <c r="E55" s="8" t="str">
        <f aca="false">IF(D55="","",IFERROR(INDEX(ProjNumbers,MATCH(D55,ProjNames,0)),""))</f>
        <v/>
      </c>
      <c r="F55" s="8" t="str">
        <f aca="false">IF(D55="","",IFERROR(INDEX(ProjCodes,MATCH(D55,ProjNames,0)),""))</f>
        <v/>
      </c>
      <c r="G55" s="32"/>
      <c r="H55" s="11"/>
      <c r="I55" s="33"/>
      <c r="J55" s="8" t="str">
        <f aca="false">IF(COUNTA(B55,D55,G55,H55,I55)=0,"",IF(B55="","Enter date",IF(OR(B55&lt;$AC$2,B55&gt;$AC$3),"Date not in November",IF(D55="","Pick project",IF(ISNA(MATCH(D55,ProjNames,0)),"Project not in list",IF(G55="","Add task description",IF(H55="","Pick NTIME or P6",IF(N(I55)&lt;=0,"Enter hours",IF(AND(AllowOT&lt;&gt;"Yes",SUMIF($B$7:$B$256,B55,$I$7:$I$256)&gt;INDEX($O$58:$O$87,DAY(B55))),"Day over "&amp;INDEX($O$58:$O$87,DAY(B55))&amp;" h","✓")))))))))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tr">
        <f aca="false">IF(Projects!B53="","",Projects!B53)</f>
        <v/>
      </c>
      <c r="X55" s="1" t="n">
        <f aca="false">IF(W55="",0,SUMIFS($I$7:$I$256,$D$7:$D$256,W55,$H$7:$H$256,"NTIME"))</f>
        <v>0</v>
      </c>
      <c r="Y55" s="1" t="n">
        <f aca="false">IF(W55="",0,SUMIFS($I$7:$I$256,$D$7:$D$256,W55,$H$7:$H$256,"P6"))</f>
        <v>0</v>
      </c>
      <c r="Z55" s="1" t="n">
        <f aca="false">X55+Y55</f>
        <v>0</v>
      </c>
      <c r="AA55" s="1" t="n">
        <f aca="false">IF(Z55&gt;0,Z55+(201-49)/10^6,0)</f>
        <v>0</v>
      </c>
      <c r="AB55" s="1"/>
      <c r="AC55" s="1"/>
      <c r="AD55" s="1"/>
      <c r="AE55" s="1"/>
      <c r="AF55" s="1"/>
      <c r="AG55" s="1"/>
      <c r="AH55" s="1"/>
    </row>
    <row r="56" customFormat="false" ht="15" hidden="false" customHeight="false" outlineLevel="0" collapsed="false">
      <c r="A56" s="1"/>
      <c r="B56" s="10"/>
      <c r="C56" s="31" t="str">
        <f aca="false">IF(B56="","",TEXT(B56,"ddd"))</f>
        <v/>
      </c>
      <c r="D56" s="11"/>
      <c r="E56" s="8" t="str">
        <f aca="false">IF(D56="","",IFERROR(INDEX(ProjNumbers,MATCH(D56,ProjNames,0)),""))</f>
        <v/>
      </c>
      <c r="F56" s="8" t="str">
        <f aca="false">IF(D56="","",IFERROR(INDEX(ProjCodes,MATCH(D56,ProjNames,0)),""))</f>
        <v/>
      </c>
      <c r="G56" s="32"/>
      <c r="H56" s="11"/>
      <c r="I56" s="33"/>
      <c r="J56" s="8" t="str">
        <f aca="false">IF(COUNTA(B56,D56,G56,H56,I56)=0,"",IF(B56="","Enter date",IF(OR(B56&lt;$AC$2,B56&gt;$AC$3),"Date not in November",IF(D56="","Pick project",IF(ISNA(MATCH(D56,ProjNames,0)),"Project not in list",IF(G56="","Add task description",IF(H56="","Pick NTIME or P6",IF(N(I56)&lt;=0,"Enter hours",IF(AND(AllowOT&lt;&gt;"Yes",SUMIF($B$7:$B$256,B56,$I$7:$I$256)&gt;INDEX($O$58:$O$87,DAY(B56))),"Day over "&amp;INDEX($O$58:$O$87,DAY(B56))&amp;" h","✓")))))))))</f>
        <v/>
      </c>
      <c r="K56" s="1"/>
      <c r="L56" s="4" t="s">
        <v>89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 aca="false">IF(Projects!B54="","",Projects!B54)</f>
        <v/>
      </c>
      <c r="X56" s="1" t="n">
        <f aca="false">IF(W56="",0,SUMIFS($I$7:$I$256,$D$7:$D$256,W56,$H$7:$H$256,"NTIME"))</f>
        <v>0</v>
      </c>
      <c r="Y56" s="1" t="n">
        <f aca="false">IF(W56="",0,SUMIFS($I$7:$I$256,$D$7:$D$256,W56,$H$7:$H$256,"P6"))</f>
        <v>0</v>
      </c>
      <c r="Z56" s="1" t="n">
        <f aca="false">X56+Y56</f>
        <v>0</v>
      </c>
      <c r="AA56" s="1" t="n">
        <f aca="false">IF(Z56&gt;0,Z56+(201-50)/10^6,0)</f>
        <v>0</v>
      </c>
      <c r="AB56" s="1"/>
      <c r="AC56" s="1"/>
      <c r="AD56" s="1"/>
      <c r="AE56" s="1"/>
      <c r="AF56" s="1"/>
      <c r="AG56" s="1"/>
      <c r="AH56" s="1"/>
    </row>
    <row r="57" customFormat="false" ht="15" hidden="false" customHeight="false" outlineLevel="0" collapsed="false">
      <c r="A57" s="1"/>
      <c r="B57" s="10"/>
      <c r="C57" s="31" t="str">
        <f aca="false">IF(B57="","",TEXT(B57,"ddd"))</f>
        <v/>
      </c>
      <c r="D57" s="11"/>
      <c r="E57" s="8" t="str">
        <f aca="false">IF(D57="","",IFERROR(INDEX(ProjNumbers,MATCH(D57,ProjNames,0)),""))</f>
        <v/>
      </c>
      <c r="F57" s="8" t="str">
        <f aca="false">IF(D57="","",IFERROR(INDEX(ProjCodes,MATCH(D57,ProjNames,0)),""))</f>
        <v/>
      </c>
      <c r="G57" s="32"/>
      <c r="H57" s="11"/>
      <c r="I57" s="33"/>
      <c r="J57" s="8" t="str">
        <f aca="false">IF(COUNTA(B57,D57,G57,H57,I57)=0,"",IF(B57="","Enter date",IF(OR(B57&lt;$AC$2,B57&gt;$AC$3),"Date not in November",IF(D57="","Pick project",IF(ISNA(MATCH(D57,ProjNames,0)),"Project not in list",IF(G57="","Add task description",IF(H57="","Pick NTIME or P6",IF(N(I57)&lt;=0,"Enter hours",IF(AND(AllowOT&lt;&gt;"Yes",SUMIF($B$7:$B$256,B57,$I$7:$I$256)&gt;INDEX($O$58:$O$87,DAY(B57))),"Day over "&amp;INDEX($O$58:$O$87,DAY(B57))&amp;" h","✓")))))))))</f>
        <v/>
      </c>
      <c r="K57" s="1"/>
      <c r="L57" s="9" t="s">
        <v>33</v>
      </c>
      <c r="M57" s="9" t="s">
        <v>34</v>
      </c>
      <c r="N57" s="9" t="s">
        <v>90</v>
      </c>
      <c r="O57" s="9" t="s">
        <v>91</v>
      </c>
      <c r="P57" s="20" t="s">
        <v>46</v>
      </c>
      <c r="Q57" s="21" t="s">
        <v>56</v>
      </c>
      <c r="R57" s="22" t="s">
        <v>15</v>
      </c>
      <c r="S57" s="9" t="s">
        <v>24</v>
      </c>
      <c r="T57" s="9" t="s">
        <v>57</v>
      </c>
      <c r="U57" s="9" t="s">
        <v>92</v>
      </c>
      <c r="V57" s="1"/>
      <c r="W57" s="1" t="str">
        <f aca="false">IF(Projects!B55="","",Projects!B55)</f>
        <v/>
      </c>
      <c r="X57" s="1" t="n">
        <f aca="false">IF(W57="",0,SUMIFS($I$7:$I$256,$D$7:$D$256,W57,$H$7:$H$256,"NTIME"))</f>
        <v>0</v>
      </c>
      <c r="Y57" s="1" t="n">
        <f aca="false">IF(W57="",0,SUMIFS($I$7:$I$256,$D$7:$D$256,W57,$H$7:$H$256,"P6"))</f>
        <v>0</v>
      </c>
      <c r="Z57" s="1" t="n">
        <f aca="false">X57+Y57</f>
        <v>0</v>
      </c>
      <c r="AA57" s="1" t="n">
        <f aca="false">IF(Z57&gt;0,Z57+(201-51)/10^6,0)</f>
        <v>0</v>
      </c>
      <c r="AB57" s="1"/>
      <c r="AC57" s="1"/>
      <c r="AD57" s="1"/>
      <c r="AE57" s="1"/>
      <c r="AF57" s="1"/>
      <c r="AG57" s="1"/>
      <c r="AH57" s="1"/>
    </row>
    <row r="58" customFormat="false" ht="15" hidden="false" customHeight="false" outlineLevel="0" collapsed="false">
      <c r="A58" s="1"/>
      <c r="B58" s="10"/>
      <c r="C58" s="31" t="str">
        <f aca="false">IF(B58="","",TEXT(B58,"ddd"))</f>
        <v/>
      </c>
      <c r="D58" s="11"/>
      <c r="E58" s="8" t="str">
        <f aca="false">IF(D58="","",IFERROR(INDEX(ProjNumbers,MATCH(D58,ProjNames,0)),""))</f>
        <v/>
      </c>
      <c r="F58" s="8" t="str">
        <f aca="false">IF(D58="","",IFERROR(INDEX(ProjCodes,MATCH(D58,ProjNames,0)),""))</f>
        <v/>
      </c>
      <c r="G58" s="32"/>
      <c r="H58" s="11"/>
      <c r="I58" s="33"/>
      <c r="J58" s="8" t="str">
        <f aca="false">IF(COUNTA(B58,D58,G58,H58,I58)=0,"",IF(B58="","Enter date",IF(OR(B58&lt;$AC$2,B58&gt;$AC$3),"Date not in November",IF(D58="","Pick project",IF(ISNA(MATCH(D58,ProjNames,0)),"Project not in list",IF(G58="","Add task description",IF(H58="","Pick NTIME or P6",IF(N(I58)&lt;=0,"Enter hours",IF(AND(AllowOT&lt;&gt;"Yes",SUMIF($B$7:$B$256,B58,$I$7:$I$256)&gt;INDEX($O$58:$O$87,DAY(B58))),"Day over "&amp;INDEX($O$58:$O$87,DAY(B58))&amp;" h","✓")))))))))</f>
        <v/>
      </c>
      <c r="K58" s="1"/>
      <c r="L58" s="35" t="n">
        <v>46327</v>
      </c>
      <c r="M58" s="36" t="str">
        <f aca="false">TEXT(L58,"ddd")</f>
        <v>Sun</v>
      </c>
      <c r="N58" s="37" t="s">
        <v>94</v>
      </c>
      <c r="O58" s="37" t="n">
        <f aca="false">AvailHours</f>
        <v>8</v>
      </c>
      <c r="P58" s="24" t="n">
        <f aca="false">SUMIFS($I$7:$I$256,$B$7:$B$256,L58,$H$7:$H$256,"NTIME")</f>
        <v>0</v>
      </c>
      <c r="Q58" s="24" t="n">
        <f aca="false">SUMIFS($I$7:$I$256,$B$7:$B$256,L58,$H$7:$H$256,"P6")</f>
        <v>0</v>
      </c>
      <c r="R58" s="24" t="n">
        <f aca="false">IF(N58="Overhead only",O58,IF(AND(N58="Working",P58+Q58&gt;0),MAX(0,O58-P58-Q58),0))</f>
        <v>0</v>
      </c>
      <c r="S58" s="24" t="n">
        <f aca="false">IF(OR(N58="Working",N58="Overhead only"),MAX(0,P58+Q58-O58),0)</f>
        <v>0</v>
      </c>
      <c r="T58" s="24" t="n">
        <f aca="false">P58+Q58+R58</f>
        <v>0</v>
      </c>
      <c r="U58" s="24" t="str">
        <f aca="true">IF(N58="Working",IF(P58+Q58=0,IF(L58&lt;=TODAY(),"Not logged",""),IF(P58+Q58&gt;O58,IF(AllowOT="Yes","Overtime","Over "&amp;O58&amp;" h!"),"✓")),IF(N58="Overhead only","✓ Overhead day",IF(P58+Q58&gt;0,"Entries on "&amp;LOWER(N58)&amp;" day",N58)))</f>
        <v>Weekend</v>
      </c>
      <c r="V58" s="1"/>
      <c r="W58" s="1" t="str">
        <f aca="false">IF(Projects!B56="","",Projects!B56)</f>
        <v/>
      </c>
      <c r="X58" s="1" t="n">
        <f aca="false">IF(W58="",0,SUMIFS($I$7:$I$256,$D$7:$D$256,W58,$H$7:$H$256,"NTIME"))</f>
        <v>0</v>
      </c>
      <c r="Y58" s="1" t="n">
        <f aca="false">IF(W58="",0,SUMIFS($I$7:$I$256,$D$7:$D$256,W58,$H$7:$H$256,"P6"))</f>
        <v>0</v>
      </c>
      <c r="Z58" s="1" t="n">
        <f aca="false">X58+Y58</f>
        <v>0</v>
      </c>
      <c r="AA58" s="1" t="n">
        <f aca="false">IF(Z58&gt;0,Z58+(201-52)/10^6,0)</f>
        <v>0</v>
      </c>
      <c r="AB58" s="1"/>
      <c r="AC58" s="1"/>
      <c r="AD58" s="1"/>
      <c r="AE58" s="1"/>
      <c r="AF58" s="1"/>
      <c r="AG58" s="1"/>
      <c r="AH58" s="1"/>
    </row>
    <row r="59" customFormat="false" ht="15" hidden="false" customHeight="false" outlineLevel="0" collapsed="false">
      <c r="A59" s="1"/>
      <c r="B59" s="10"/>
      <c r="C59" s="31" t="str">
        <f aca="false">IF(B59="","",TEXT(B59,"ddd"))</f>
        <v/>
      </c>
      <c r="D59" s="11"/>
      <c r="E59" s="8" t="str">
        <f aca="false">IF(D59="","",IFERROR(INDEX(ProjNumbers,MATCH(D59,ProjNames,0)),""))</f>
        <v/>
      </c>
      <c r="F59" s="8" t="str">
        <f aca="false">IF(D59="","",IFERROR(INDEX(ProjCodes,MATCH(D59,ProjNames,0)),""))</f>
        <v/>
      </c>
      <c r="G59" s="32"/>
      <c r="H59" s="11"/>
      <c r="I59" s="33"/>
      <c r="J59" s="8" t="str">
        <f aca="false">IF(COUNTA(B59,D59,G59,H59,I59)=0,"",IF(B59="","Enter date",IF(OR(B59&lt;$AC$2,B59&gt;$AC$3),"Date not in November",IF(D59="","Pick project",IF(ISNA(MATCH(D59,ProjNames,0)),"Project not in list",IF(G59="","Add task description",IF(H59="","Pick NTIME or P6",IF(N(I59)&lt;=0,"Enter hours",IF(AND(AllowOT&lt;&gt;"Yes",SUMIF($B$7:$B$256,B59,$I$7:$I$256)&gt;INDEX($O$58:$O$87,DAY(B59))),"Day over "&amp;INDEX($O$58:$O$87,DAY(B59))&amp;" h","✓")))))))))</f>
        <v/>
      </c>
      <c r="K59" s="1"/>
      <c r="L59" s="35" t="n">
        <v>46328</v>
      </c>
      <c r="M59" s="36" t="str">
        <f aca="false">TEXT(L59,"ddd")</f>
        <v>Mon</v>
      </c>
      <c r="N59" s="37" t="s">
        <v>93</v>
      </c>
      <c r="O59" s="37" t="n">
        <f aca="false">AvailHours</f>
        <v>8</v>
      </c>
      <c r="P59" s="24" t="n">
        <f aca="false">SUMIFS($I$7:$I$256,$B$7:$B$256,L59,$H$7:$H$256,"NTIME")</f>
        <v>0</v>
      </c>
      <c r="Q59" s="24" t="n">
        <f aca="false">SUMIFS($I$7:$I$256,$B$7:$B$256,L59,$H$7:$H$256,"P6")</f>
        <v>0</v>
      </c>
      <c r="R59" s="24" t="n">
        <f aca="false">IF(N59="Overhead only",O59,IF(AND(N59="Working",P59+Q59&gt;0),MAX(0,O59-P59-Q59),0))</f>
        <v>0</v>
      </c>
      <c r="S59" s="24" t="n">
        <f aca="false">IF(OR(N59="Working",N59="Overhead only"),MAX(0,P59+Q59-O59),0)</f>
        <v>0</v>
      </c>
      <c r="T59" s="24" t="n">
        <f aca="false">P59+Q59+R59</f>
        <v>0</v>
      </c>
      <c r="U59" s="24" t="str">
        <f aca="true">IF(N59="Working",IF(P59+Q59=0,IF(L59&lt;=TODAY(),"Not logged",""),IF(P59+Q59&gt;O59,IF(AllowOT="Yes","Overtime","Over "&amp;O59&amp;" h!"),"✓")),IF(N59="Overhead only","✓ Overhead day",IF(P59+Q59&gt;0,"Entries on "&amp;LOWER(N59)&amp;" day",N59)))</f>
        <v/>
      </c>
      <c r="V59" s="1"/>
      <c r="W59" s="1" t="str">
        <f aca="false">IF(Projects!B57="","",Projects!B57)</f>
        <v/>
      </c>
      <c r="X59" s="1" t="n">
        <f aca="false">IF(W59="",0,SUMIFS($I$7:$I$256,$D$7:$D$256,W59,$H$7:$H$256,"NTIME"))</f>
        <v>0</v>
      </c>
      <c r="Y59" s="1" t="n">
        <f aca="false">IF(W59="",0,SUMIFS($I$7:$I$256,$D$7:$D$256,W59,$H$7:$H$256,"P6"))</f>
        <v>0</v>
      </c>
      <c r="Z59" s="1" t="n">
        <f aca="false">X59+Y59</f>
        <v>0</v>
      </c>
      <c r="AA59" s="1" t="n">
        <f aca="false">IF(Z59&gt;0,Z59+(201-53)/10^6,0)</f>
        <v>0</v>
      </c>
      <c r="AB59" s="1"/>
      <c r="AC59" s="1"/>
      <c r="AD59" s="1"/>
      <c r="AE59" s="1"/>
      <c r="AF59" s="1"/>
      <c r="AG59" s="1"/>
      <c r="AH59" s="1"/>
    </row>
    <row r="60" customFormat="false" ht="15" hidden="false" customHeight="false" outlineLevel="0" collapsed="false">
      <c r="A60" s="1"/>
      <c r="B60" s="10"/>
      <c r="C60" s="31" t="str">
        <f aca="false">IF(B60="","",TEXT(B60,"ddd"))</f>
        <v/>
      </c>
      <c r="D60" s="11"/>
      <c r="E60" s="8" t="str">
        <f aca="false">IF(D60="","",IFERROR(INDEX(ProjNumbers,MATCH(D60,ProjNames,0)),""))</f>
        <v/>
      </c>
      <c r="F60" s="8" t="str">
        <f aca="false">IF(D60="","",IFERROR(INDEX(ProjCodes,MATCH(D60,ProjNames,0)),""))</f>
        <v/>
      </c>
      <c r="G60" s="32"/>
      <c r="H60" s="11"/>
      <c r="I60" s="33"/>
      <c r="J60" s="8" t="str">
        <f aca="false">IF(COUNTA(B60,D60,G60,H60,I60)=0,"",IF(B60="","Enter date",IF(OR(B60&lt;$AC$2,B60&gt;$AC$3),"Date not in November",IF(D60="","Pick project",IF(ISNA(MATCH(D60,ProjNames,0)),"Project not in list",IF(G60="","Add task description",IF(H60="","Pick NTIME or P6",IF(N(I60)&lt;=0,"Enter hours",IF(AND(AllowOT&lt;&gt;"Yes",SUMIF($B$7:$B$256,B60,$I$7:$I$256)&gt;INDEX($O$58:$O$87,DAY(B60))),"Day over "&amp;INDEX($O$58:$O$87,DAY(B60))&amp;" h","✓")))))))))</f>
        <v/>
      </c>
      <c r="K60" s="1"/>
      <c r="L60" s="35" t="n">
        <v>46329</v>
      </c>
      <c r="M60" s="36" t="str">
        <f aca="false">TEXT(L60,"ddd")</f>
        <v>Tue</v>
      </c>
      <c r="N60" s="37" t="s">
        <v>93</v>
      </c>
      <c r="O60" s="37" t="n">
        <f aca="false">AvailHours</f>
        <v>8</v>
      </c>
      <c r="P60" s="24" t="n">
        <f aca="false">SUMIFS($I$7:$I$256,$B$7:$B$256,L60,$H$7:$H$256,"NTIME")</f>
        <v>0</v>
      </c>
      <c r="Q60" s="24" t="n">
        <f aca="false">SUMIFS($I$7:$I$256,$B$7:$B$256,L60,$H$7:$H$256,"P6")</f>
        <v>0</v>
      </c>
      <c r="R60" s="24" t="n">
        <f aca="false">IF(N60="Overhead only",O60,IF(AND(N60="Working",P60+Q60&gt;0),MAX(0,O60-P60-Q60),0))</f>
        <v>0</v>
      </c>
      <c r="S60" s="24" t="n">
        <f aca="false">IF(OR(N60="Working",N60="Overhead only"),MAX(0,P60+Q60-O60),0)</f>
        <v>0</v>
      </c>
      <c r="T60" s="24" t="n">
        <f aca="false">P60+Q60+R60</f>
        <v>0</v>
      </c>
      <c r="U60" s="24" t="str">
        <f aca="true">IF(N60="Working",IF(P60+Q60=0,IF(L60&lt;=TODAY(),"Not logged",""),IF(P60+Q60&gt;O60,IF(AllowOT="Yes","Overtime","Over "&amp;O60&amp;" h!"),"✓")),IF(N60="Overhead only","✓ Overhead day",IF(P60+Q60&gt;0,"Entries on "&amp;LOWER(N60)&amp;" day",N60)))</f>
        <v/>
      </c>
      <c r="V60" s="1"/>
      <c r="W60" s="1" t="str">
        <f aca="false">IF(Projects!B58="","",Projects!B58)</f>
        <v/>
      </c>
      <c r="X60" s="1" t="n">
        <f aca="false">IF(W60="",0,SUMIFS($I$7:$I$256,$D$7:$D$256,W60,$H$7:$H$256,"NTIME"))</f>
        <v>0</v>
      </c>
      <c r="Y60" s="1" t="n">
        <f aca="false">IF(W60="",0,SUMIFS($I$7:$I$256,$D$7:$D$256,W60,$H$7:$H$256,"P6"))</f>
        <v>0</v>
      </c>
      <c r="Z60" s="1" t="n">
        <f aca="false">X60+Y60</f>
        <v>0</v>
      </c>
      <c r="AA60" s="1" t="n">
        <f aca="false">IF(Z60&gt;0,Z60+(201-54)/10^6,0)</f>
        <v>0</v>
      </c>
      <c r="AB60" s="1"/>
      <c r="AC60" s="1"/>
      <c r="AD60" s="1"/>
      <c r="AE60" s="1"/>
      <c r="AF60" s="1"/>
      <c r="AG60" s="1"/>
      <c r="AH60" s="1"/>
    </row>
    <row r="61" customFormat="false" ht="15" hidden="false" customHeight="false" outlineLevel="0" collapsed="false">
      <c r="A61" s="1"/>
      <c r="B61" s="10"/>
      <c r="C61" s="31" t="str">
        <f aca="false">IF(B61="","",TEXT(B61,"ddd"))</f>
        <v/>
      </c>
      <c r="D61" s="11"/>
      <c r="E61" s="8" t="str">
        <f aca="false">IF(D61="","",IFERROR(INDEX(ProjNumbers,MATCH(D61,ProjNames,0)),""))</f>
        <v/>
      </c>
      <c r="F61" s="8" t="str">
        <f aca="false">IF(D61="","",IFERROR(INDEX(ProjCodes,MATCH(D61,ProjNames,0)),""))</f>
        <v/>
      </c>
      <c r="G61" s="32"/>
      <c r="H61" s="11"/>
      <c r="I61" s="33"/>
      <c r="J61" s="8" t="str">
        <f aca="false">IF(COUNTA(B61,D61,G61,H61,I61)=0,"",IF(B61="","Enter date",IF(OR(B61&lt;$AC$2,B61&gt;$AC$3),"Date not in November",IF(D61="","Pick project",IF(ISNA(MATCH(D61,ProjNames,0)),"Project not in list",IF(G61="","Add task description",IF(H61="","Pick NTIME or P6",IF(N(I61)&lt;=0,"Enter hours",IF(AND(AllowOT&lt;&gt;"Yes",SUMIF($B$7:$B$256,B61,$I$7:$I$256)&gt;INDEX($O$58:$O$87,DAY(B61))),"Day over "&amp;INDEX($O$58:$O$87,DAY(B61))&amp;" h","✓")))))))))</f>
        <v/>
      </c>
      <c r="K61" s="1"/>
      <c r="L61" s="35" t="n">
        <v>46330</v>
      </c>
      <c r="M61" s="36" t="str">
        <f aca="false">TEXT(L61,"ddd")</f>
        <v>Wed</v>
      </c>
      <c r="N61" s="37" t="s">
        <v>93</v>
      </c>
      <c r="O61" s="37" t="n">
        <f aca="false">AvailHours</f>
        <v>8</v>
      </c>
      <c r="P61" s="24" t="n">
        <f aca="false">SUMIFS($I$7:$I$256,$B$7:$B$256,L61,$H$7:$H$256,"NTIME")</f>
        <v>0</v>
      </c>
      <c r="Q61" s="24" t="n">
        <f aca="false">SUMIFS($I$7:$I$256,$B$7:$B$256,L61,$H$7:$H$256,"P6")</f>
        <v>0</v>
      </c>
      <c r="R61" s="24" t="n">
        <f aca="false">IF(N61="Overhead only",O61,IF(AND(N61="Working",P61+Q61&gt;0),MAX(0,O61-P61-Q61),0))</f>
        <v>0</v>
      </c>
      <c r="S61" s="24" t="n">
        <f aca="false">IF(OR(N61="Working",N61="Overhead only"),MAX(0,P61+Q61-O61),0)</f>
        <v>0</v>
      </c>
      <c r="T61" s="24" t="n">
        <f aca="false">P61+Q61+R61</f>
        <v>0</v>
      </c>
      <c r="U61" s="24" t="str">
        <f aca="true">IF(N61="Working",IF(P61+Q61=0,IF(L61&lt;=TODAY(),"Not logged",""),IF(P61+Q61&gt;O61,IF(AllowOT="Yes","Overtime","Over "&amp;O61&amp;" h!"),"✓")),IF(N61="Overhead only","✓ Overhead day",IF(P61+Q61&gt;0,"Entries on "&amp;LOWER(N61)&amp;" day",N61)))</f>
        <v/>
      </c>
      <c r="V61" s="1"/>
      <c r="W61" s="1" t="str">
        <f aca="false">IF(Projects!B59="","",Projects!B59)</f>
        <v/>
      </c>
      <c r="X61" s="1" t="n">
        <f aca="false">IF(W61="",0,SUMIFS($I$7:$I$256,$D$7:$D$256,W61,$H$7:$H$256,"NTIME"))</f>
        <v>0</v>
      </c>
      <c r="Y61" s="1" t="n">
        <f aca="false">IF(W61="",0,SUMIFS($I$7:$I$256,$D$7:$D$256,W61,$H$7:$H$256,"P6"))</f>
        <v>0</v>
      </c>
      <c r="Z61" s="1" t="n">
        <f aca="false">X61+Y61</f>
        <v>0</v>
      </c>
      <c r="AA61" s="1" t="n">
        <f aca="false">IF(Z61&gt;0,Z61+(201-55)/10^6,0)</f>
        <v>0</v>
      </c>
      <c r="AB61" s="1"/>
      <c r="AC61" s="1"/>
      <c r="AD61" s="1"/>
      <c r="AE61" s="1"/>
      <c r="AF61" s="1"/>
      <c r="AG61" s="1"/>
      <c r="AH61" s="1"/>
    </row>
    <row r="62" customFormat="false" ht="15" hidden="false" customHeight="false" outlineLevel="0" collapsed="false">
      <c r="A62" s="1"/>
      <c r="B62" s="10"/>
      <c r="C62" s="31" t="str">
        <f aca="false">IF(B62="","",TEXT(B62,"ddd"))</f>
        <v/>
      </c>
      <c r="D62" s="11"/>
      <c r="E62" s="8" t="str">
        <f aca="false">IF(D62="","",IFERROR(INDEX(ProjNumbers,MATCH(D62,ProjNames,0)),""))</f>
        <v/>
      </c>
      <c r="F62" s="8" t="str">
        <f aca="false">IF(D62="","",IFERROR(INDEX(ProjCodes,MATCH(D62,ProjNames,0)),""))</f>
        <v/>
      </c>
      <c r="G62" s="32"/>
      <c r="H62" s="11"/>
      <c r="I62" s="33"/>
      <c r="J62" s="8" t="str">
        <f aca="false">IF(COUNTA(B62,D62,G62,H62,I62)=0,"",IF(B62="","Enter date",IF(OR(B62&lt;$AC$2,B62&gt;$AC$3),"Date not in November",IF(D62="","Pick project",IF(ISNA(MATCH(D62,ProjNames,0)),"Project not in list",IF(G62="","Add task description",IF(H62="","Pick NTIME or P6",IF(N(I62)&lt;=0,"Enter hours",IF(AND(AllowOT&lt;&gt;"Yes",SUMIF($B$7:$B$256,B62,$I$7:$I$256)&gt;INDEX($O$58:$O$87,DAY(B62))),"Day over "&amp;INDEX($O$58:$O$87,DAY(B62))&amp;" h","✓")))))))))</f>
        <v/>
      </c>
      <c r="K62" s="1"/>
      <c r="L62" s="35" t="n">
        <v>46331</v>
      </c>
      <c r="M62" s="36" t="str">
        <f aca="false">TEXT(L62,"ddd")</f>
        <v>Thu</v>
      </c>
      <c r="N62" s="37" t="s">
        <v>93</v>
      </c>
      <c r="O62" s="37" t="n">
        <f aca="false">AvailHours</f>
        <v>8</v>
      </c>
      <c r="P62" s="24" t="n">
        <f aca="false">SUMIFS($I$7:$I$256,$B$7:$B$256,L62,$H$7:$H$256,"NTIME")</f>
        <v>0</v>
      </c>
      <c r="Q62" s="24" t="n">
        <f aca="false">SUMIFS($I$7:$I$256,$B$7:$B$256,L62,$H$7:$H$256,"P6")</f>
        <v>0</v>
      </c>
      <c r="R62" s="24" t="n">
        <f aca="false">IF(N62="Overhead only",O62,IF(AND(N62="Working",P62+Q62&gt;0),MAX(0,O62-P62-Q62),0))</f>
        <v>0</v>
      </c>
      <c r="S62" s="24" t="n">
        <f aca="false">IF(OR(N62="Working",N62="Overhead only"),MAX(0,P62+Q62-O62),0)</f>
        <v>0</v>
      </c>
      <c r="T62" s="24" t="n">
        <f aca="false">P62+Q62+R62</f>
        <v>0</v>
      </c>
      <c r="U62" s="24" t="str">
        <f aca="true">IF(N62="Working",IF(P62+Q62=0,IF(L62&lt;=TODAY(),"Not logged",""),IF(P62+Q62&gt;O62,IF(AllowOT="Yes","Overtime","Over "&amp;O62&amp;" h!"),"✓")),IF(N62="Overhead only","✓ Overhead day",IF(P62+Q62&gt;0,"Entries on "&amp;LOWER(N62)&amp;" day",N62)))</f>
        <v/>
      </c>
      <c r="V62" s="1"/>
      <c r="W62" s="1" t="str">
        <f aca="false">IF(Projects!B60="","",Projects!B60)</f>
        <v/>
      </c>
      <c r="X62" s="1" t="n">
        <f aca="false">IF(W62="",0,SUMIFS($I$7:$I$256,$D$7:$D$256,W62,$H$7:$H$256,"NTIME"))</f>
        <v>0</v>
      </c>
      <c r="Y62" s="1" t="n">
        <f aca="false">IF(W62="",0,SUMIFS($I$7:$I$256,$D$7:$D$256,W62,$H$7:$H$256,"P6"))</f>
        <v>0</v>
      </c>
      <c r="Z62" s="1" t="n">
        <f aca="false">X62+Y62</f>
        <v>0</v>
      </c>
      <c r="AA62" s="1" t="n">
        <f aca="false">IF(Z62&gt;0,Z62+(201-56)/10^6,0)</f>
        <v>0</v>
      </c>
      <c r="AB62" s="1"/>
      <c r="AC62" s="1"/>
      <c r="AD62" s="1"/>
      <c r="AE62" s="1"/>
      <c r="AF62" s="1"/>
      <c r="AG62" s="1"/>
      <c r="AH62" s="1"/>
    </row>
    <row r="63" customFormat="false" ht="15" hidden="false" customHeight="false" outlineLevel="0" collapsed="false">
      <c r="A63" s="1"/>
      <c r="B63" s="10"/>
      <c r="C63" s="31" t="str">
        <f aca="false">IF(B63="","",TEXT(B63,"ddd"))</f>
        <v/>
      </c>
      <c r="D63" s="11"/>
      <c r="E63" s="8" t="str">
        <f aca="false">IF(D63="","",IFERROR(INDEX(ProjNumbers,MATCH(D63,ProjNames,0)),""))</f>
        <v/>
      </c>
      <c r="F63" s="8" t="str">
        <f aca="false">IF(D63="","",IFERROR(INDEX(ProjCodes,MATCH(D63,ProjNames,0)),""))</f>
        <v/>
      </c>
      <c r="G63" s="32"/>
      <c r="H63" s="11"/>
      <c r="I63" s="33"/>
      <c r="J63" s="8" t="str">
        <f aca="false">IF(COUNTA(B63,D63,G63,H63,I63)=0,"",IF(B63="","Enter date",IF(OR(B63&lt;$AC$2,B63&gt;$AC$3),"Date not in November",IF(D63="","Pick project",IF(ISNA(MATCH(D63,ProjNames,0)),"Project not in list",IF(G63="","Add task description",IF(H63="","Pick NTIME or P6",IF(N(I63)&lt;=0,"Enter hours",IF(AND(AllowOT&lt;&gt;"Yes",SUMIF($B$7:$B$256,B63,$I$7:$I$256)&gt;INDEX($O$58:$O$87,DAY(B63))),"Day over "&amp;INDEX($O$58:$O$87,DAY(B63))&amp;" h","✓")))))))))</f>
        <v/>
      </c>
      <c r="K63" s="1"/>
      <c r="L63" s="35" t="n">
        <v>46332</v>
      </c>
      <c r="M63" s="36" t="str">
        <f aca="false">TEXT(L63,"ddd")</f>
        <v>Fri</v>
      </c>
      <c r="N63" s="37" t="s">
        <v>93</v>
      </c>
      <c r="O63" s="37" t="n">
        <f aca="false">AvailHours</f>
        <v>8</v>
      </c>
      <c r="P63" s="24" t="n">
        <f aca="false">SUMIFS($I$7:$I$256,$B$7:$B$256,L63,$H$7:$H$256,"NTIME")</f>
        <v>0</v>
      </c>
      <c r="Q63" s="24" t="n">
        <f aca="false">SUMIFS($I$7:$I$256,$B$7:$B$256,L63,$H$7:$H$256,"P6")</f>
        <v>0</v>
      </c>
      <c r="R63" s="24" t="n">
        <f aca="false">IF(N63="Overhead only",O63,IF(AND(N63="Working",P63+Q63&gt;0),MAX(0,O63-P63-Q63),0))</f>
        <v>0</v>
      </c>
      <c r="S63" s="24" t="n">
        <f aca="false">IF(OR(N63="Working",N63="Overhead only"),MAX(0,P63+Q63-O63),0)</f>
        <v>0</v>
      </c>
      <c r="T63" s="24" t="n">
        <f aca="false">P63+Q63+R63</f>
        <v>0</v>
      </c>
      <c r="U63" s="24" t="str">
        <f aca="true">IF(N63="Working",IF(P63+Q63=0,IF(L63&lt;=TODAY(),"Not logged",""),IF(P63+Q63&gt;O63,IF(AllowOT="Yes","Overtime","Over "&amp;O63&amp;" h!"),"✓")),IF(N63="Overhead only","✓ Overhead day",IF(P63+Q63&gt;0,"Entries on "&amp;LOWER(N63)&amp;" day",N63)))</f>
        <v/>
      </c>
      <c r="V63" s="1"/>
      <c r="W63" s="1" t="str">
        <f aca="false">IF(Projects!B61="","",Projects!B61)</f>
        <v/>
      </c>
      <c r="X63" s="1" t="n">
        <f aca="false">IF(W63="",0,SUMIFS($I$7:$I$256,$D$7:$D$256,W63,$H$7:$H$256,"NTIME"))</f>
        <v>0</v>
      </c>
      <c r="Y63" s="1" t="n">
        <f aca="false">IF(W63="",0,SUMIFS($I$7:$I$256,$D$7:$D$256,W63,$H$7:$H$256,"P6"))</f>
        <v>0</v>
      </c>
      <c r="Z63" s="1" t="n">
        <f aca="false">X63+Y63</f>
        <v>0</v>
      </c>
      <c r="AA63" s="1" t="n">
        <f aca="false">IF(Z63&gt;0,Z63+(201-57)/10^6,0)</f>
        <v>0</v>
      </c>
      <c r="AB63" s="1"/>
      <c r="AC63" s="1"/>
      <c r="AD63" s="1"/>
      <c r="AE63" s="1"/>
      <c r="AF63" s="1"/>
      <c r="AG63" s="1"/>
      <c r="AH63" s="1"/>
    </row>
    <row r="64" customFormat="false" ht="15" hidden="false" customHeight="false" outlineLevel="0" collapsed="false">
      <c r="A64" s="1"/>
      <c r="B64" s="10"/>
      <c r="C64" s="31" t="str">
        <f aca="false">IF(B64="","",TEXT(B64,"ddd"))</f>
        <v/>
      </c>
      <c r="D64" s="11"/>
      <c r="E64" s="8" t="str">
        <f aca="false">IF(D64="","",IFERROR(INDEX(ProjNumbers,MATCH(D64,ProjNames,0)),""))</f>
        <v/>
      </c>
      <c r="F64" s="8" t="str">
        <f aca="false">IF(D64="","",IFERROR(INDEX(ProjCodes,MATCH(D64,ProjNames,0)),""))</f>
        <v/>
      </c>
      <c r="G64" s="32"/>
      <c r="H64" s="11"/>
      <c r="I64" s="33"/>
      <c r="J64" s="8" t="str">
        <f aca="false">IF(COUNTA(B64,D64,G64,H64,I64)=0,"",IF(B64="","Enter date",IF(OR(B64&lt;$AC$2,B64&gt;$AC$3),"Date not in November",IF(D64="","Pick project",IF(ISNA(MATCH(D64,ProjNames,0)),"Project not in list",IF(G64="","Add task description",IF(H64="","Pick NTIME or P6",IF(N(I64)&lt;=0,"Enter hours",IF(AND(AllowOT&lt;&gt;"Yes",SUMIF($B$7:$B$256,B64,$I$7:$I$256)&gt;INDEX($O$58:$O$87,DAY(B64))),"Day over "&amp;INDEX($O$58:$O$87,DAY(B64))&amp;" h","✓")))))))))</f>
        <v/>
      </c>
      <c r="K64" s="1"/>
      <c r="L64" s="35" t="n">
        <v>46333</v>
      </c>
      <c r="M64" s="36" t="str">
        <f aca="false">TEXT(L64,"ddd")</f>
        <v>Sat</v>
      </c>
      <c r="N64" s="37" t="s">
        <v>94</v>
      </c>
      <c r="O64" s="37" t="n">
        <f aca="false">AvailHours</f>
        <v>8</v>
      </c>
      <c r="P64" s="24" t="n">
        <f aca="false">SUMIFS($I$7:$I$256,$B$7:$B$256,L64,$H$7:$H$256,"NTIME")</f>
        <v>0</v>
      </c>
      <c r="Q64" s="24" t="n">
        <f aca="false">SUMIFS($I$7:$I$256,$B$7:$B$256,L64,$H$7:$H$256,"P6")</f>
        <v>0</v>
      </c>
      <c r="R64" s="24" t="n">
        <f aca="false">IF(N64="Overhead only",O64,IF(AND(N64="Working",P64+Q64&gt;0),MAX(0,O64-P64-Q64),0))</f>
        <v>0</v>
      </c>
      <c r="S64" s="24" t="n">
        <f aca="false">IF(OR(N64="Working",N64="Overhead only"),MAX(0,P64+Q64-O64),0)</f>
        <v>0</v>
      </c>
      <c r="T64" s="24" t="n">
        <f aca="false">P64+Q64+R64</f>
        <v>0</v>
      </c>
      <c r="U64" s="24" t="str">
        <f aca="true">IF(N64="Working",IF(P64+Q64=0,IF(L64&lt;=TODAY(),"Not logged",""),IF(P64+Q64&gt;O64,IF(AllowOT="Yes","Overtime","Over "&amp;O64&amp;" h!"),"✓")),IF(N64="Overhead only","✓ Overhead day",IF(P64+Q64&gt;0,"Entries on "&amp;LOWER(N64)&amp;" day",N64)))</f>
        <v>Weekend</v>
      </c>
      <c r="V64" s="1"/>
      <c r="W64" s="1" t="str">
        <f aca="false">IF(Projects!B62="","",Projects!B62)</f>
        <v/>
      </c>
      <c r="X64" s="1" t="n">
        <f aca="false">IF(W64="",0,SUMIFS($I$7:$I$256,$D$7:$D$256,W64,$H$7:$H$256,"NTIME"))</f>
        <v>0</v>
      </c>
      <c r="Y64" s="1" t="n">
        <f aca="false">IF(W64="",0,SUMIFS($I$7:$I$256,$D$7:$D$256,W64,$H$7:$H$256,"P6"))</f>
        <v>0</v>
      </c>
      <c r="Z64" s="1" t="n">
        <f aca="false">X64+Y64</f>
        <v>0</v>
      </c>
      <c r="AA64" s="1" t="n">
        <f aca="false">IF(Z64&gt;0,Z64+(201-58)/10^6,0)</f>
        <v>0</v>
      </c>
      <c r="AB64" s="1"/>
      <c r="AC64" s="1"/>
      <c r="AD64" s="1"/>
      <c r="AE64" s="1"/>
      <c r="AF64" s="1"/>
      <c r="AG64" s="1"/>
      <c r="AH64" s="1"/>
    </row>
    <row r="65" customFormat="false" ht="15" hidden="false" customHeight="false" outlineLevel="0" collapsed="false">
      <c r="A65" s="1"/>
      <c r="B65" s="10"/>
      <c r="C65" s="31" t="str">
        <f aca="false">IF(B65="","",TEXT(B65,"ddd"))</f>
        <v/>
      </c>
      <c r="D65" s="11"/>
      <c r="E65" s="8" t="str">
        <f aca="false">IF(D65="","",IFERROR(INDEX(ProjNumbers,MATCH(D65,ProjNames,0)),""))</f>
        <v/>
      </c>
      <c r="F65" s="8" t="str">
        <f aca="false">IF(D65="","",IFERROR(INDEX(ProjCodes,MATCH(D65,ProjNames,0)),""))</f>
        <v/>
      </c>
      <c r="G65" s="32"/>
      <c r="H65" s="11"/>
      <c r="I65" s="33"/>
      <c r="J65" s="8" t="str">
        <f aca="false">IF(COUNTA(B65,D65,G65,H65,I65)=0,"",IF(B65="","Enter date",IF(OR(B65&lt;$AC$2,B65&gt;$AC$3),"Date not in November",IF(D65="","Pick project",IF(ISNA(MATCH(D65,ProjNames,0)),"Project not in list",IF(G65="","Add task description",IF(H65="","Pick NTIME or P6",IF(N(I65)&lt;=0,"Enter hours",IF(AND(AllowOT&lt;&gt;"Yes",SUMIF($B$7:$B$256,B65,$I$7:$I$256)&gt;INDEX($O$58:$O$87,DAY(B65))),"Day over "&amp;INDEX($O$58:$O$87,DAY(B65))&amp;" h","✓")))))))))</f>
        <v/>
      </c>
      <c r="K65" s="1"/>
      <c r="L65" s="35" t="n">
        <v>46334</v>
      </c>
      <c r="M65" s="36" t="str">
        <f aca="false">TEXT(L65,"ddd")</f>
        <v>Sun</v>
      </c>
      <c r="N65" s="37" t="s">
        <v>94</v>
      </c>
      <c r="O65" s="37" t="n">
        <f aca="false">AvailHours</f>
        <v>8</v>
      </c>
      <c r="P65" s="24" t="n">
        <f aca="false">SUMIFS($I$7:$I$256,$B$7:$B$256,L65,$H$7:$H$256,"NTIME")</f>
        <v>0</v>
      </c>
      <c r="Q65" s="24" t="n">
        <f aca="false">SUMIFS($I$7:$I$256,$B$7:$B$256,L65,$H$7:$H$256,"P6")</f>
        <v>0</v>
      </c>
      <c r="R65" s="24" t="n">
        <f aca="false">IF(N65="Overhead only",O65,IF(AND(N65="Working",P65+Q65&gt;0),MAX(0,O65-P65-Q65),0))</f>
        <v>0</v>
      </c>
      <c r="S65" s="24" t="n">
        <f aca="false">IF(OR(N65="Working",N65="Overhead only"),MAX(0,P65+Q65-O65),0)</f>
        <v>0</v>
      </c>
      <c r="T65" s="24" t="n">
        <f aca="false">P65+Q65+R65</f>
        <v>0</v>
      </c>
      <c r="U65" s="24" t="str">
        <f aca="true">IF(N65="Working",IF(P65+Q65=0,IF(L65&lt;=TODAY(),"Not logged",""),IF(P65+Q65&gt;O65,IF(AllowOT="Yes","Overtime","Over "&amp;O65&amp;" h!"),"✓")),IF(N65="Overhead only","✓ Overhead day",IF(P65+Q65&gt;0,"Entries on "&amp;LOWER(N65)&amp;" day",N65)))</f>
        <v>Weekend</v>
      </c>
      <c r="V65" s="1"/>
      <c r="W65" s="1" t="str">
        <f aca="false">IF(Projects!B63="","",Projects!B63)</f>
        <v/>
      </c>
      <c r="X65" s="1" t="n">
        <f aca="false">IF(W65="",0,SUMIFS($I$7:$I$256,$D$7:$D$256,W65,$H$7:$H$256,"NTIME"))</f>
        <v>0</v>
      </c>
      <c r="Y65" s="1" t="n">
        <f aca="false">IF(W65="",0,SUMIFS($I$7:$I$256,$D$7:$D$256,W65,$H$7:$H$256,"P6"))</f>
        <v>0</v>
      </c>
      <c r="Z65" s="1" t="n">
        <f aca="false">X65+Y65</f>
        <v>0</v>
      </c>
      <c r="AA65" s="1" t="n">
        <f aca="false">IF(Z65&gt;0,Z65+(201-59)/10^6,0)</f>
        <v>0</v>
      </c>
      <c r="AB65" s="1"/>
      <c r="AC65" s="1"/>
      <c r="AD65" s="1"/>
      <c r="AE65" s="1"/>
      <c r="AF65" s="1"/>
      <c r="AG65" s="1"/>
      <c r="AH65" s="1"/>
    </row>
    <row r="66" customFormat="false" ht="15" hidden="false" customHeight="false" outlineLevel="0" collapsed="false">
      <c r="A66" s="1"/>
      <c r="B66" s="10"/>
      <c r="C66" s="31" t="str">
        <f aca="false">IF(B66="","",TEXT(B66,"ddd"))</f>
        <v/>
      </c>
      <c r="D66" s="11"/>
      <c r="E66" s="8" t="str">
        <f aca="false">IF(D66="","",IFERROR(INDEX(ProjNumbers,MATCH(D66,ProjNames,0)),""))</f>
        <v/>
      </c>
      <c r="F66" s="8" t="str">
        <f aca="false">IF(D66="","",IFERROR(INDEX(ProjCodes,MATCH(D66,ProjNames,0)),""))</f>
        <v/>
      </c>
      <c r="G66" s="32"/>
      <c r="H66" s="11"/>
      <c r="I66" s="33"/>
      <c r="J66" s="8" t="str">
        <f aca="false">IF(COUNTA(B66,D66,G66,H66,I66)=0,"",IF(B66="","Enter date",IF(OR(B66&lt;$AC$2,B66&gt;$AC$3),"Date not in November",IF(D66="","Pick project",IF(ISNA(MATCH(D66,ProjNames,0)),"Project not in list",IF(G66="","Add task description",IF(H66="","Pick NTIME or P6",IF(N(I66)&lt;=0,"Enter hours",IF(AND(AllowOT&lt;&gt;"Yes",SUMIF($B$7:$B$256,B66,$I$7:$I$256)&gt;INDEX($O$58:$O$87,DAY(B66))),"Day over "&amp;INDEX($O$58:$O$87,DAY(B66))&amp;" h","✓")))))))))</f>
        <v/>
      </c>
      <c r="K66" s="1"/>
      <c r="L66" s="35" t="n">
        <v>46335</v>
      </c>
      <c r="M66" s="36" t="str">
        <f aca="false">TEXT(L66,"ddd")</f>
        <v>Mon</v>
      </c>
      <c r="N66" s="37" t="s">
        <v>93</v>
      </c>
      <c r="O66" s="37" t="n">
        <f aca="false">AvailHours</f>
        <v>8</v>
      </c>
      <c r="P66" s="24" t="n">
        <f aca="false">SUMIFS($I$7:$I$256,$B$7:$B$256,L66,$H$7:$H$256,"NTIME")</f>
        <v>0</v>
      </c>
      <c r="Q66" s="24" t="n">
        <f aca="false">SUMIFS($I$7:$I$256,$B$7:$B$256,L66,$H$7:$H$256,"P6")</f>
        <v>0</v>
      </c>
      <c r="R66" s="24" t="n">
        <f aca="false">IF(N66="Overhead only",O66,IF(AND(N66="Working",P66+Q66&gt;0),MAX(0,O66-P66-Q66),0))</f>
        <v>0</v>
      </c>
      <c r="S66" s="24" t="n">
        <f aca="false">IF(OR(N66="Working",N66="Overhead only"),MAX(0,P66+Q66-O66),0)</f>
        <v>0</v>
      </c>
      <c r="T66" s="24" t="n">
        <f aca="false">P66+Q66+R66</f>
        <v>0</v>
      </c>
      <c r="U66" s="24" t="str">
        <f aca="true">IF(N66="Working",IF(P66+Q66=0,IF(L66&lt;=TODAY(),"Not logged",""),IF(P66+Q66&gt;O66,IF(AllowOT="Yes","Overtime","Over "&amp;O66&amp;" h!"),"✓")),IF(N66="Overhead only","✓ Overhead day",IF(P66+Q66&gt;0,"Entries on "&amp;LOWER(N66)&amp;" day",N66)))</f>
        <v/>
      </c>
      <c r="V66" s="1"/>
      <c r="W66" s="1" t="str">
        <f aca="false">IF(Projects!B64="","",Projects!B64)</f>
        <v/>
      </c>
      <c r="X66" s="1" t="n">
        <f aca="false">IF(W66="",0,SUMIFS($I$7:$I$256,$D$7:$D$256,W66,$H$7:$H$256,"NTIME"))</f>
        <v>0</v>
      </c>
      <c r="Y66" s="1" t="n">
        <f aca="false">IF(W66="",0,SUMIFS($I$7:$I$256,$D$7:$D$256,W66,$H$7:$H$256,"P6"))</f>
        <v>0</v>
      </c>
      <c r="Z66" s="1" t="n">
        <f aca="false">X66+Y66</f>
        <v>0</v>
      </c>
      <c r="AA66" s="1" t="n">
        <f aca="false">IF(Z66&gt;0,Z66+(201-60)/10^6,0)</f>
        <v>0</v>
      </c>
      <c r="AB66" s="1"/>
      <c r="AC66" s="1"/>
      <c r="AD66" s="1"/>
      <c r="AE66" s="1"/>
      <c r="AF66" s="1"/>
      <c r="AG66" s="1"/>
      <c r="AH66" s="1"/>
    </row>
    <row r="67" customFormat="false" ht="15" hidden="false" customHeight="false" outlineLevel="0" collapsed="false">
      <c r="A67" s="1"/>
      <c r="B67" s="10"/>
      <c r="C67" s="31" t="str">
        <f aca="false">IF(B67="","",TEXT(B67,"ddd"))</f>
        <v/>
      </c>
      <c r="D67" s="11"/>
      <c r="E67" s="8" t="str">
        <f aca="false">IF(D67="","",IFERROR(INDEX(ProjNumbers,MATCH(D67,ProjNames,0)),""))</f>
        <v/>
      </c>
      <c r="F67" s="8" t="str">
        <f aca="false">IF(D67="","",IFERROR(INDEX(ProjCodes,MATCH(D67,ProjNames,0)),""))</f>
        <v/>
      </c>
      <c r="G67" s="32"/>
      <c r="H67" s="11"/>
      <c r="I67" s="33"/>
      <c r="J67" s="8" t="str">
        <f aca="false">IF(COUNTA(B67,D67,G67,H67,I67)=0,"",IF(B67="","Enter date",IF(OR(B67&lt;$AC$2,B67&gt;$AC$3),"Date not in November",IF(D67="","Pick project",IF(ISNA(MATCH(D67,ProjNames,0)),"Project not in list",IF(G67="","Add task description",IF(H67="","Pick NTIME or P6",IF(N(I67)&lt;=0,"Enter hours",IF(AND(AllowOT&lt;&gt;"Yes",SUMIF($B$7:$B$256,B67,$I$7:$I$256)&gt;INDEX($O$58:$O$87,DAY(B67))),"Day over "&amp;INDEX($O$58:$O$87,DAY(B67))&amp;" h","✓")))))))))</f>
        <v/>
      </c>
      <c r="K67" s="1"/>
      <c r="L67" s="35" t="n">
        <v>46336</v>
      </c>
      <c r="M67" s="36" t="str">
        <f aca="false">TEXT(L67,"ddd")</f>
        <v>Tue</v>
      </c>
      <c r="N67" s="37" t="s">
        <v>93</v>
      </c>
      <c r="O67" s="37" t="n">
        <f aca="false">AvailHours</f>
        <v>8</v>
      </c>
      <c r="P67" s="24" t="n">
        <f aca="false">SUMIFS($I$7:$I$256,$B$7:$B$256,L67,$H$7:$H$256,"NTIME")</f>
        <v>0</v>
      </c>
      <c r="Q67" s="24" t="n">
        <f aca="false">SUMIFS($I$7:$I$256,$B$7:$B$256,L67,$H$7:$H$256,"P6")</f>
        <v>0</v>
      </c>
      <c r="R67" s="24" t="n">
        <f aca="false">IF(N67="Overhead only",O67,IF(AND(N67="Working",P67+Q67&gt;0),MAX(0,O67-P67-Q67),0))</f>
        <v>0</v>
      </c>
      <c r="S67" s="24" t="n">
        <f aca="false">IF(OR(N67="Working",N67="Overhead only"),MAX(0,P67+Q67-O67),0)</f>
        <v>0</v>
      </c>
      <c r="T67" s="24" t="n">
        <f aca="false">P67+Q67+R67</f>
        <v>0</v>
      </c>
      <c r="U67" s="24" t="str">
        <f aca="true">IF(N67="Working",IF(P67+Q67=0,IF(L67&lt;=TODAY(),"Not logged",""),IF(P67+Q67&gt;O67,IF(AllowOT="Yes","Overtime","Over "&amp;O67&amp;" h!"),"✓")),IF(N67="Overhead only","✓ Overhead day",IF(P67+Q67&gt;0,"Entries on "&amp;LOWER(N67)&amp;" day",N67)))</f>
        <v/>
      </c>
      <c r="V67" s="1"/>
      <c r="W67" s="1" t="str">
        <f aca="false">IF(Projects!B65="","",Projects!B65)</f>
        <v/>
      </c>
      <c r="X67" s="1" t="n">
        <f aca="false">IF(W67="",0,SUMIFS($I$7:$I$256,$D$7:$D$256,W67,$H$7:$H$256,"NTIME"))</f>
        <v>0</v>
      </c>
      <c r="Y67" s="1" t="n">
        <f aca="false">IF(W67="",0,SUMIFS($I$7:$I$256,$D$7:$D$256,W67,$H$7:$H$256,"P6"))</f>
        <v>0</v>
      </c>
      <c r="Z67" s="1" t="n">
        <f aca="false">X67+Y67</f>
        <v>0</v>
      </c>
      <c r="AA67" s="1" t="n">
        <f aca="false">IF(Z67&gt;0,Z67+(201-61)/10^6,0)</f>
        <v>0</v>
      </c>
      <c r="AB67" s="1"/>
      <c r="AC67" s="1"/>
      <c r="AD67" s="1"/>
      <c r="AE67" s="1"/>
      <c r="AF67" s="1"/>
      <c r="AG67" s="1"/>
      <c r="AH67" s="1"/>
    </row>
    <row r="68" customFormat="false" ht="15" hidden="false" customHeight="false" outlineLevel="0" collapsed="false">
      <c r="A68" s="1"/>
      <c r="B68" s="10"/>
      <c r="C68" s="31" t="str">
        <f aca="false">IF(B68="","",TEXT(B68,"ddd"))</f>
        <v/>
      </c>
      <c r="D68" s="11"/>
      <c r="E68" s="8" t="str">
        <f aca="false">IF(D68="","",IFERROR(INDEX(ProjNumbers,MATCH(D68,ProjNames,0)),""))</f>
        <v/>
      </c>
      <c r="F68" s="8" t="str">
        <f aca="false">IF(D68="","",IFERROR(INDEX(ProjCodes,MATCH(D68,ProjNames,0)),""))</f>
        <v/>
      </c>
      <c r="G68" s="32"/>
      <c r="H68" s="11"/>
      <c r="I68" s="33"/>
      <c r="J68" s="8" t="str">
        <f aca="false">IF(COUNTA(B68,D68,G68,H68,I68)=0,"",IF(B68="","Enter date",IF(OR(B68&lt;$AC$2,B68&gt;$AC$3),"Date not in November",IF(D68="","Pick project",IF(ISNA(MATCH(D68,ProjNames,0)),"Project not in list",IF(G68="","Add task description",IF(H68="","Pick NTIME or P6",IF(N(I68)&lt;=0,"Enter hours",IF(AND(AllowOT&lt;&gt;"Yes",SUMIF($B$7:$B$256,B68,$I$7:$I$256)&gt;INDEX($O$58:$O$87,DAY(B68))),"Day over "&amp;INDEX($O$58:$O$87,DAY(B68))&amp;" h","✓")))))))))</f>
        <v/>
      </c>
      <c r="K68" s="1"/>
      <c r="L68" s="35" t="n">
        <v>46337</v>
      </c>
      <c r="M68" s="36" t="str">
        <f aca="false">TEXT(L68,"ddd")</f>
        <v>Wed</v>
      </c>
      <c r="N68" s="37" t="s">
        <v>93</v>
      </c>
      <c r="O68" s="37" t="n">
        <f aca="false">AvailHours</f>
        <v>8</v>
      </c>
      <c r="P68" s="24" t="n">
        <f aca="false">SUMIFS($I$7:$I$256,$B$7:$B$256,L68,$H$7:$H$256,"NTIME")</f>
        <v>0</v>
      </c>
      <c r="Q68" s="24" t="n">
        <f aca="false">SUMIFS($I$7:$I$256,$B$7:$B$256,L68,$H$7:$H$256,"P6")</f>
        <v>0</v>
      </c>
      <c r="R68" s="24" t="n">
        <f aca="false">IF(N68="Overhead only",O68,IF(AND(N68="Working",P68+Q68&gt;0),MAX(0,O68-P68-Q68),0))</f>
        <v>0</v>
      </c>
      <c r="S68" s="24" t="n">
        <f aca="false">IF(OR(N68="Working",N68="Overhead only"),MAX(0,P68+Q68-O68),0)</f>
        <v>0</v>
      </c>
      <c r="T68" s="24" t="n">
        <f aca="false">P68+Q68+R68</f>
        <v>0</v>
      </c>
      <c r="U68" s="24" t="str">
        <f aca="true">IF(N68="Working",IF(P68+Q68=0,IF(L68&lt;=TODAY(),"Not logged",""),IF(P68+Q68&gt;O68,IF(AllowOT="Yes","Overtime","Over "&amp;O68&amp;" h!"),"✓")),IF(N68="Overhead only","✓ Overhead day",IF(P68+Q68&gt;0,"Entries on "&amp;LOWER(N68)&amp;" day",N68)))</f>
        <v/>
      </c>
      <c r="V68" s="1"/>
      <c r="W68" s="1" t="str">
        <f aca="false">IF(Projects!B66="","",Projects!B66)</f>
        <v/>
      </c>
      <c r="X68" s="1" t="n">
        <f aca="false">IF(W68="",0,SUMIFS($I$7:$I$256,$D$7:$D$256,W68,$H$7:$H$256,"NTIME"))</f>
        <v>0</v>
      </c>
      <c r="Y68" s="1" t="n">
        <f aca="false">IF(W68="",0,SUMIFS($I$7:$I$256,$D$7:$D$256,W68,$H$7:$H$256,"P6"))</f>
        <v>0</v>
      </c>
      <c r="Z68" s="1" t="n">
        <f aca="false">X68+Y68</f>
        <v>0</v>
      </c>
      <c r="AA68" s="1" t="n">
        <f aca="false">IF(Z68&gt;0,Z68+(201-62)/10^6,0)</f>
        <v>0</v>
      </c>
      <c r="AB68" s="1"/>
      <c r="AC68" s="1"/>
      <c r="AD68" s="1"/>
      <c r="AE68" s="1"/>
      <c r="AF68" s="1"/>
      <c r="AG68" s="1"/>
      <c r="AH68" s="1"/>
    </row>
    <row r="69" customFormat="false" ht="15" hidden="false" customHeight="false" outlineLevel="0" collapsed="false">
      <c r="A69" s="1"/>
      <c r="B69" s="10"/>
      <c r="C69" s="31" t="str">
        <f aca="false">IF(B69="","",TEXT(B69,"ddd"))</f>
        <v/>
      </c>
      <c r="D69" s="11"/>
      <c r="E69" s="8" t="str">
        <f aca="false">IF(D69="","",IFERROR(INDEX(ProjNumbers,MATCH(D69,ProjNames,0)),""))</f>
        <v/>
      </c>
      <c r="F69" s="8" t="str">
        <f aca="false">IF(D69="","",IFERROR(INDEX(ProjCodes,MATCH(D69,ProjNames,0)),""))</f>
        <v/>
      </c>
      <c r="G69" s="32"/>
      <c r="H69" s="11"/>
      <c r="I69" s="33"/>
      <c r="J69" s="8" t="str">
        <f aca="false">IF(COUNTA(B69,D69,G69,H69,I69)=0,"",IF(B69="","Enter date",IF(OR(B69&lt;$AC$2,B69&gt;$AC$3),"Date not in November",IF(D69="","Pick project",IF(ISNA(MATCH(D69,ProjNames,0)),"Project not in list",IF(G69="","Add task description",IF(H69="","Pick NTIME or P6",IF(N(I69)&lt;=0,"Enter hours",IF(AND(AllowOT&lt;&gt;"Yes",SUMIF($B$7:$B$256,B69,$I$7:$I$256)&gt;INDEX($O$58:$O$87,DAY(B69))),"Day over "&amp;INDEX($O$58:$O$87,DAY(B69))&amp;" h","✓")))))))))</f>
        <v/>
      </c>
      <c r="K69" s="1"/>
      <c r="L69" s="35" t="n">
        <v>46338</v>
      </c>
      <c r="M69" s="36" t="str">
        <f aca="false">TEXT(L69,"ddd")</f>
        <v>Thu</v>
      </c>
      <c r="N69" s="37" t="s">
        <v>93</v>
      </c>
      <c r="O69" s="37" t="n">
        <f aca="false">AvailHours</f>
        <v>8</v>
      </c>
      <c r="P69" s="24" t="n">
        <f aca="false">SUMIFS($I$7:$I$256,$B$7:$B$256,L69,$H$7:$H$256,"NTIME")</f>
        <v>0</v>
      </c>
      <c r="Q69" s="24" t="n">
        <f aca="false">SUMIFS($I$7:$I$256,$B$7:$B$256,L69,$H$7:$H$256,"P6")</f>
        <v>0</v>
      </c>
      <c r="R69" s="24" t="n">
        <f aca="false">IF(N69="Overhead only",O69,IF(AND(N69="Working",P69+Q69&gt;0),MAX(0,O69-P69-Q69),0))</f>
        <v>0</v>
      </c>
      <c r="S69" s="24" t="n">
        <f aca="false">IF(OR(N69="Working",N69="Overhead only"),MAX(0,P69+Q69-O69),0)</f>
        <v>0</v>
      </c>
      <c r="T69" s="24" t="n">
        <f aca="false">P69+Q69+R69</f>
        <v>0</v>
      </c>
      <c r="U69" s="24" t="str">
        <f aca="true">IF(N69="Working",IF(P69+Q69=0,IF(L69&lt;=TODAY(),"Not logged",""),IF(P69+Q69&gt;O69,IF(AllowOT="Yes","Overtime","Over "&amp;O69&amp;" h!"),"✓")),IF(N69="Overhead only","✓ Overhead day",IF(P69+Q69&gt;0,"Entries on "&amp;LOWER(N69)&amp;" day",N69)))</f>
        <v/>
      </c>
      <c r="V69" s="1"/>
      <c r="W69" s="1" t="str">
        <f aca="false">IF(Projects!B67="","",Projects!B67)</f>
        <v/>
      </c>
      <c r="X69" s="1" t="n">
        <f aca="false">IF(W69="",0,SUMIFS($I$7:$I$256,$D$7:$D$256,W69,$H$7:$H$256,"NTIME"))</f>
        <v>0</v>
      </c>
      <c r="Y69" s="1" t="n">
        <f aca="false">IF(W69="",0,SUMIFS($I$7:$I$256,$D$7:$D$256,W69,$H$7:$H$256,"P6"))</f>
        <v>0</v>
      </c>
      <c r="Z69" s="1" t="n">
        <f aca="false">X69+Y69</f>
        <v>0</v>
      </c>
      <c r="AA69" s="1" t="n">
        <f aca="false">IF(Z69&gt;0,Z69+(201-63)/10^6,0)</f>
        <v>0</v>
      </c>
      <c r="AB69" s="1"/>
      <c r="AC69" s="1"/>
      <c r="AD69" s="1"/>
      <c r="AE69" s="1"/>
      <c r="AF69" s="1"/>
      <c r="AG69" s="1"/>
      <c r="AH69" s="1"/>
    </row>
    <row r="70" customFormat="false" ht="15" hidden="false" customHeight="false" outlineLevel="0" collapsed="false">
      <c r="A70" s="1"/>
      <c r="B70" s="10"/>
      <c r="C70" s="31" t="str">
        <f aca="false">IF(B70="","",TEXT(B70,"ddd"))</f>
        <v/>
      </c>
      <c r="D70" s="11"/>
      <c r="E70" s="8" t="str">
        <f aca="false">IF(D70="","",IFERROR(INDEX(ProjNumbers,MATCH(D70,ProjNames,0)),""))</f>
        <v/>
      </c>
      <c r="F70" s="8" t="str">
        <f aca="false">IF(D70="","",IFERROR(INDEX(ProjCodes,MATCH(D70,ProjNames,0)),""))</f>
        <v/>
      </c>
      <c r="G70" s="32"/>
      <c r="H70" s="11"/>
      <c r="I70" s="33"/>
      <c r="J70" s="8" t="str">
        <f aca="false">IF(COUNTA(B70,D70,G70,H70,I70)=0,"",IF(B70="","Enter date",IF(OR(B70&lt;$AC$2,B70&gt;$AC$3),"Date not in November",IF(D70="","Pick project",IF(ISNA(MATCH(D70,ProjNames,0)),"Project not in list",IF(G70="","Add task description",IF(H70="","Pick NTIME or P6",IF(N(I70)&lt;=0,"Enter hours",IF(AND(AllowOT&lt;&gt;"Yes",SUMIF($B$7:$B$256,B70,$I$7:$I$256)&gt;INDEX($O$58:$O$87,DAY(B70))),"Day over "&amp;INDEX($O$58:$O$87,DAY(B70))&amp;" h","✓")))))))))</f>
        <v/>
      </c>
      <c r="K70" s="1"/>
      <c r="L70" s="35" t="n">
        <v>46339</v>
      </c>
      <c r="M70" s="36" t="str">
        <f aca="false">TEXT(L70,"ddd")</f>
        <v>Fri</v>
      </c>
      <c r="N70" s="37" t="s">
        <v>93</v>
      </c>
      <c r="O70" s="37" t="n">
        <f aca="false">AvailHours</f>
        <v>8</v>
      </c>
      <c r="P70" s="24" t="n">
        <f aca="false">SUMIFS($I$7:$I$256,$B$7:$B$256,L70,$H$7:$H$256,"NTIME")</f>
        <v>0</v>
      </c>
      <c r="Q70" s="24" t="n">
        <f aca="false">SUMIFS($I$7:$I$256,$B$7:$B$256,L70,$H$7:$H$256,"P6")</f>
        <v>0</v>
      </c>
      <c r="R70" s="24" t="n">
        <f aca="false">IF(N70="Overhead only",O70,IF(AND(N70="Working",P70+Q70&gt;0),MAX(0,O70-P70-Q70),0))</f>
        <v>0</v>
      </c>
      <c r="S70" s="24" t="n">
        <f aca="false">IF(OR(N70="Working",N70="Overhead only"),MAX(0,P70+Q70-O70),0)</f>
        <v>0</v>
      </c>
      <c r="T70" s="24" t="n">
        <f aca="false">P70+Q70+R70</f>
        <v>0</v>
      </c>
      <c r="U70" s="24" t="str">
        <f aca="true">IF(N70="Working",IF(P70+Q70=0,IF(L70&lt;=TODAY(),"Not logged",""),IF(P70+Q70&gt;O70,IF(AllowOT="Yes","Overtime","Over "&amp;O70&amp;" h!"),"✓")),IF(N70="Overhead only","✓ Overhead day",IF(P70+Q70&gt;0,"Entries on "&amp;LOWER(N70)&amp;" day",N70)))</f>
        <v/>
      </c>
      <c r="V70" s="1"/>
      <c r="W70" s="1" t="str">
        <f aca="false">IF(Projects!B68="","",Projects!B68)</f>
        <v/>
      </c>
      <c r="X70" s="1" t="n">
        <f aca="false">IF(W70="",0,SUMIFS($I$7:$I$256,$D$7:$D$256,W70,$H$7:$H$256,"NTIME"))</f>
        <v>0</v>
      </c>
      <c r="Y70" s="1" t="n">
        <f aca="false">IF(W70="",0,SUMIFS($I$7:$I$256,$D$7:$D$256,W70,$H$7:$H$256,"P6"))</f>
        <v>0</v>
      </c>
      <c r="Z70" s="1" t="n">
        <f aca="false">X70+Y70</f>
        <v>0</v>
      </c>
      <c r="AA70" s="1" t="n">
        <f aca="false">IF(Z70&gt;0,Z70+(201-64)/10^6,0)</f>
        <v>0</v>
      </c>
      <c r="AB70" s="1"/>
      <c r="AC70" s="1"/>
      <c r="AD70" s="1"/>
      <c r="AE70" s="1"/>
      <c r="AF70" s="1"/>
      <c r="AG70" s="1"/>
      <c r="AH70" s="1"/>
    </row>
    <row r="71" customFormat="false" ht="15" hidden="false" customHeight="false" outlineLevel="0" collapsed="false">
      <c r="A71" s="1"/>
      <c r="B71" s="10"/>
      <c r="C71" s="31" t="str">
        <f aca="false">IF(B71="","",TEXT(B71,"ddd"))</f>
        <v/>
      </c>
      <c r="D71" s="11"/>
      <c r="E71" s="8" t="str">
        <f aca="false">IF(D71="","",IFERROR(INDEX(ProjNumbers,MATCH(D71,ProjNames,0)),""))</f>
        <v/>
      </c>
      <c r="F71" s="8" t="str">
        <f aca="false">IF(D71="","",IFERROR(INDEX(ProjCodes,MATCH(D71,ProjNames,0)),""))</f>
        <v/>
      </c>
      <c r="G71" s="32"/>
      <c r="H71" s="11"/>
      <c r="I71" s="33"/>
      <c r="J71" s="8" t="str">
        <f aca="false">IF(COUNTA(B71,D71,G71,H71,I71)=0,"",IF(B71="","Enter date",IF(OR(B71&lt;$AC$2,B71&gt;$AC$3),"Date not in November",IF(D71="","Pick project",IF(ISNA(MATCH(D71,ProjNames,0)),"Project not in list",IF(G71="","Add task description",IF(H71="","Pick NTIME or P6",IF(N(I71)&lt;=0,"Enter hours",IF(AND(AllowOT&lt;&gt;"Yes",SUMIF($B$7:$B$256,B71,$I$7:$I$256)&gt;INDEX($O$58:$O$87,DAY(B71))),"Day over "&amp;INDEX($O$58:$O$87,DAY(B71))&amp;" h","✓")))))))))</f>
        <v/>
      </c>
      <c r="K71" s="1"/>
      <c r="L71" s="35" t="n">
        <v>46340</v>
      </c>
      <c r="M71" s="36" t="str">
        <f aca="false">TEXT(L71,"ddd")</f>
        <v>Sat</v>
      </c>
      <c r="N71" s="37" t="s">
        <v>94</v>
      </c>
      <c r="O71" s="37" t="n">
        <f aca="false">AvailHours</f>
        <v>8</v>
      </c>
      <c r="P71" s="24" t="n">
        <f aca="false">SUMIFS($I$7:$I$256,$B$7:$B$256,L71,$H$7:$H$256,"NTIME")</f>
        <v>0</v>
      </c>
      <c r="Q71" s="24" t="n">
        <f aca="false">SUMIFS($I$7:$I$256,$B$7:$B$256,L71,$H$7:$H$256,"P6")</f>
        <v>0</v>
      </c>
      <c r="R71" s="24" t="n">
        <f aca="false">IF(N71="Overhead only",O71,IF(AND(N71="Working",P71+Q71&gt;0),MAX(0,O71-P71-Q71),0))</f>
        <v>0</v>
      </c>
      <c r="S71" s="24" t="n">
        <f aca="false">IF(OR(N71="Working",N71="Overhead only"),MAX(0,P71+Q71-O71),0)</f>
        <v>0</v>
      </c>
      <c r="T71" s="24" t="n">
        <f aca="false">P71+Q71+R71</f>
        <v>0</v>
      </c>
      <c r="U71" s="24" t="str">
        <f aca="true">IF(N71="Working",IF(P71+Q71=0,IF(L71&lt;=TODAY(),"Not logged",""),IF(P71+Q71&gt;O71,IF(AllowOT="Yes","Overtime","Over "&amp;O71&amp;" h!"),"✓")),IF(N71="Overhead only","✓ Overhead day",IF(P71+Q71&gt;0,"Entries on "&amp;LOWER(N71)&amp;" day",N71)))</f>
        <v>Weekend</v>
      </c>
      <c r="V71" s="1"/>
      <c r="W71" s="1" t="str">
        <f aca="false">IF(Projects!B69="","",Projects!B69)</f>
        <v/>
      </c>
      <c r="X71" s="1" t="n">
        <f aca="false">IF(W71="",0,SUMIFS($I$7:$I$256,$D$7:$D$256,W71,$H$7:$H$256,"NTIME"))</f>
        <v>0</v>
      </c>
      <c r="Y71" s="1" t="n">
        <f aca="false">IF(W71="",0,SUMIFS($I$7:$I$256,$D$7:$D$256,W71,$H$7:$H$256,"P6"))</f>
        <v>0</v>
      </c>
      <c r="Z71" s="1" t="n">
        <f aca="false">X71+Y71</f>
        <v>0</v>
      </c>
      <c r="AA71" s="1" t="n">
        <f aca="false">IF(Z71&gt;0,Z71+(201-65)/10^6,0)</f>
        <v>0</v>
      </c>
      <c r="AB71" s="1"/>
      <c r="AC71" s="1"/>
      <c r="AD71" s="1"/>
      <c r="AE71" s="1"/>
      <c r="AF71" s="1"/>
      <c r="AG71" s="1"/>
      <c r="AH71" s="1"/>
    </row>
    <row r="72" customFormat="false" ht="15" hidden="false" customHeight="false" outlineLevel="0" collapsed="false">
      <c r="A72" s="1"/>
      <c r="B72" s="10"/>
      <c r="C72" s="31" t="str">
        <f aca="false">IF(B72="","",TEXT(B72,"ddd"))</f>
        <v/>
      </c>
      <c r="D72" s="11"/>
      <c r="E72" s="8" t="str">
        <f aca="false">IF(D72="","",IFERROR(INDEX(ProjNumbers,MATCH(D72,ProjNames,0)),""))</f>
        <v/>
      </c>
      <c r="F72" s="8" t="str">
        <f aca="false">IF(D72="","",IFERROR(INDEX(ProjCodes,MATCH(D72,ProjNames,0)),""))</f>
        <v/>
      </c>
      <c r="G72" s="32"/>
      <c r="H72" s="11"/>
      <c r="I72" s="33"/>
      <c r="J72" s="8" t="str">
        <f aca="false">IF(COUNTA(B72,D72,G72,H72,I72)=0,"",IF(B72="","Enter date",IF(OR(B72&lt;$AC$2,B72&gt;$AC$3),"Date not in November",IF(D72="","Pick project",IF(ISNA(MATCH(D72,ProjNames,0)),"Project not in list",IF(G72="","Add task description",IF(H72="","Pick NTIME or P6",IF(N(I72)&lt;=0,"Enter hours",IF(AND(AllowOT&lt;&gt;"Yes",SUMIF($B$7:$B$256,B72,$I$7:$I$256)&gt;INDEX($O$58:$O$87,DAY(B72))),"Day over "&amp;INDEX($O$58:$O$87,DAY(B72))&amp;" h","✓")))))))))</f>
        <v/>
      </c>
      <c r="K72" s="1"/>
      <c r="L72" s="35" t="n">
        <v>46341</v>
      </c>
      <c r="M72" s="36" t="str">
        <f aca="false">TEXT(L72,"ddd")</f>
        <v>Sun</v>
      </c>
      <c r="N72" s="37" t="s">
        <v>94</v>
      </c>
      <c r="O72" s="37" t="n">
        <f aca="false">AvailHours</f>
        <v>8</v>
      </c>
      <c r="P72" s="24" t="n">
        <f aca="false">SUMIFS($I$7:$I$256,$B$7:$B$256,L72,$H$7:$H$256,"NTIME")</f>
        <v>0</v>
      </c>
      <c r="Q72" s="24" t="n">
        <f aca="false">SUMIFS($I$7:$I$256,$B$7:$B$256,L72,$H$7:$H$256,"P6")</f>
        <v>0</v>
      </c>
      <c r="R72" s="24" t="n">
        <f aca="false">IF(N72="Overhead only",O72,IF(AND(N72="Working",P72+Q72&gt;0),MAX(0,O72-P72-Q72),0))</f>
        <v>0</v>
      </c>
      <c r="S72" s="24" t="n">
        <f aca="false">IF(OR(N72="Working",N72="Overhead only"),MAX(0,P72+Q72-O72),0)</f>
        <v>0</v>
      </c>
      <c r="T72" s="24" t="n">
        <f aca="false">P72+Q72+R72</f>
        <v>0</v>
      </c>
      <c r="U72" s="24" t="str">
        <f aca="true">IF(N72="Working",IF(P72+Q72=0,IF(L72&lt;=TODAY(),"Not logged",""),IF(P72+Q72&gt;O72,IF(AllowOT="Yes","Overtime","Over "&amp;O72&amp;" h!"),"✓")),IF(N72="Overhead only","✓ Overhead day",IF(P72+Q72&gt;0,"Entries on "&amp;LOWER(N72)&amp;" day",N72)))</f>
        <v>Weekend</v>
      </c>
      <c r="V72" s="1"/>
      <c r="W72" s="1" t="str">
        <f aca="false">IF(Projects!B70="","",Projects!B70)</f>
        <v/>
      </c>
      <c r="X72" s="1" t="n">
        <f aca="false">IF(W72="",0,SUMIFS($I$7:$I$256,$D$7:$D$256,W72,$H$7:$H$256,"NTIME"))</f>
        <v>0</v>
      </c>
      <c r="Y72" s="1" t="n">
        <f aca="false">IF(W72="",0,SUMIFS($I$7:$I$256,$D$7:$D$256,W72,$H$7:$H$256,"P6"))</f>
        <v>0</v>
      </c>
      <c r="Z72" s="1" t="n">
        <f aca="false">X72+Y72</f>
        <v>0</v>
      </c>
      <c r="AA72" s="1" t="n">
        <f aca="false">IF(Z72&gt;0,Z72+(201-66)/10^6,0)</f>
        <v>0</v>
      </c>
      <c r="AB72" s="1"/>
      <c r="AC72" s="1"/>
      <c r="AD72" s="1"/>
      <c r="AE72" s="1"/>
      <c r="AF72" s="1"/>
      <c r="AG72" s="1"/>
      <c r="AH72" s="1"/>
    </row>
    <row r="73" customFormat="false" ht="15" hidden="false" customHeight="false" outlineLevel="0" collapsed="false">
      <c r="A73" s="1"/>
      <c r="B73" s="10"/>
      <c r="C73" s="31" t="str">
        <f aca="false">IF(B73="","",TEXT(B73,"ddd"))</f>
        <v/>
      </c>
      <c r="D73" s="11"/>
      <c r="E73" s="8" t="str">
        <f aca="false">IF(D73="","",IFERROR(INDEX(ProjNumbers,MATCH(D73,ProjNames,0)),""))</f>
        <v/>
      </c>
      <c r="F73" s="8" t="str">
        <f aca="false">IF(D73="","",IFERROR(INDEX(ProjCodes,MATCH(D73,ProjNames,0)),""))</f>
        <v/>
      </c>
      <c r="G73" s="32"/>
      <c r="H73" s="11"/>
      <c r="I73" s="33"/>
      <c r="J73" s="8" t="str">
        <f aca="false">IF(COUNTA(B73,D73,G73,H73,I73)=0,"",IF(B73="","Enter date",IF(OR(B73&lt;$AC$2,B73&gt;$AC$3),"Date not in November",IF(D73="","Pick project",IF(ISNA(MATCH(D73,ProjNames,0)),"Project not in list",IF(G73="","Add task description",IF(H73="","Pick NTIME or P6",IF(N(I73)&lt;=0,"Enter hours",IF(AND(AllowOT&lt;&gt;"Yes",SUMIF($B$7:$B$256,B73,$I$7:$I$256)&gt;INDEX($O$58:$O$87,DAY(B73))),"Day over "&amp;INDEX($O$58:$O$87,DAY(B73))&amp;" h","✓")))))))))</f>
        <v/>
      </c>
      <c r="K73" s="1"/>
      <c r="L73" s="35" t="n">
        <v>46342</v>
      </c>
      <c r="M73" s="36" t="str">
        <f aca="false">TEXT(L73,"ddd")</f>
        <v>Mon</v>
      </c>
      <c r="N73" s="37" t="s">
        <v>93</v>
      </c>
      <c r="O73" s="37" t="n">
        <f aca="false">AvailHours</f>
        <v>8</v>
      </c>
      <c r="P73" s="24" t="n">
        <f aca="false">SUMIFS($I$7:$I$256,$B$7:$B$256,L73,$H$7:$H$256,"NTIME")</f>
        <v>0</v>
      </c>
      <c r="Q73" s="24" t="n">
        <f aca="false">SUMIFS($I$7:$I$256,$B$7:$B$256,L73,$H$7:$H$256,"P6")</f>
        <v>0</v>
      </c>
      <c r="R73" s="24" t="n">
        <f aca="false">IF(N73="Overhead only",O73,IF(AND(N73="Working",P73+Q73&gt;0),MAX(0,O73-P73-Q73),0))</f>
        <v>0</v>
      </c>
      <c r="S73" s="24" t="n">
        <f aca="false">IF(OR(N73="Working",N73="Overhead only"),MAX(0,P73+Q73-O73),0)</f>
        <v>0</v>
      </c>
      <c r="T73" s="24" t="n">
        <f aca="false">P73+Q73+R73</f>
        <v>0</v>
      </c>
      <c r="U73" s="24" t="str">
        <f aca="true">IF(N73="Working",IF(P73+Q73=0,IF(L73&lt;=TODAY(),"Not logged",""),IF(P73+Q73&gt;O73,IF(AllowOT="Yes","Overtime","Over "&amp;O73&amp;" h!"),"✓")),IF(N73="Overhead only","✓ Overhead day",IF(P73+Q73&gt;0,"Entries on "&amp;LOWER(N73)&amp;" day",N73)))</f>
        <v/>
      </c>
      <c r="V73" s="1"/>
      <c r="W73" s="1" t="str">
        <f aca="false">IF(Projects!B71="","",Projects!B71)</f>
        <v/>
      </c>
      <c r="X73" s="1" t="n">
        <f aca="false">IF(W73="",0,SUMIFS($I$7:$I$256,$D$7:$D$256,W73,$H$7:$H$256,"NTIME"))</f>
        <v>0</v>
      </c>
      <c r="Y73" s="1" t="n">
        <f aca="false">IF(W73="",0,SUMIFS($I$7:$I$256,$D$7:$D$256,W73,$H$7:$H$256,"P6"))</f>
        <v>0</v>
      </c>
      <c r="Z73" s="1" t="n">
        <f aca="false">X73+Y73</f>
        <v>0</v>
      </c>
      <c r="AA73" s="1" t="n">
        <f aca="false">IF(Z73&gt;0,Z73+(201-67)/10^6,0)</f>
        <v>0</v>
      </c>
      <c r="AB73" s="1"/>
      <c r="AC73" s="1"/>
      <c r="AD73" s="1"/>
      <c r="AE73" s="1"/>
      <c r="AF73" s="1"/>
      <c r="AG73" s="1"/>
      <c r="AH73" s="1"/>
    </row>
    <row r="74" customFormat="false" ht="15" hidden="false" customHeight="false" outlineLevel="0" collapsed="false">
      <c r="A74" s="1"/>
      <c r="B74" s="10"/>
      <c r="C74" s="31" t="str">
        <f aca="false">IF(B74="","",TEXT(B74,"ddd"))</f>
        <v/>
      </c>
      <c r="D74" s="11"/>
      <c r="E74" s="8" t="str">
        <f aca="false">IF(D74="","",IFERROR(INDEX(ProjNumbers,MATCH(D74,ProjNames,0)),""))</f>
        <v/>
      </c>
      <c r="F74" s="8" t="str">
        <f aca="false">IF(D74="","",IFERROR(INDEX(ProjCodes,MATCH(D74,ProjNames,0)),""))</f>
        <v/>
      </c>
      <c r="G74" s="32"/>
      <c r="H74" s="11"/>
      <c r="I74" s="33"/>
      <c r="J74" s="8" t="str">
        <f aca="false">IF(COUNTA(B74,D74,G74,H74,I74)=0,"",IF(B74="","Enter date",IF(OR(B74&lt;$AC$2,B74&gt;$AC$3),"Date not in November",IF(D74="","Pick project",IF(ISNA(MATCH(D74,ProjNames,0)),"Project not in list",IF(G74="","Add task description",IF(H74="","Pick NTIME or P6",IF(N(I74)&lt;=0,"Enter hours",IF(AND(AllowOT&lt;&gt;"Yes",SUMIF($B$7:$B$256,B74,$I$7:$I$256)&gt;INDEX($O$58:$O$87,DAY(B74))),"Day over "&amp;INDEX($O$58:$O$87,DAY(B74))&amp;" h","✓")))))))))</f>
        <v/>
      </c>
      <c r="K74" s="1"/>
      <c r="L74" s="35" t="n">
        <v>46343</v>
      </c>
      <c r="M74" s="36" t="str">
        <f aca="false">TEXT(L74,"ddd")</f>
        <v>Tue</v>
      </c>
      <c r="N74" s="37" t="s">
        <v>93</v>
      </c>
      <c r="O74" s="37" t="n">
        <f aca="false">AvailHours</f>
        <v>8</v>
      </c>
      <c r="P74" s="24" t="n">
        <f aca="false">SUMIFS($I$7:$I$256,$B$7:$B$256,L74,$H$7:$H$256,"NTIME")</f>
        <v>0</v>
      </c>
      <c r="Q74" s="24" t="n">
        <f aca="false">SUMIFS($I$7:$I$256,$B$7:$B$256,L74,$H$7:$H$256,"P6")</f>
        <v>0</v>
      </c>
      <c r="R74" s="24" t="n">
        <f aca="false">IF(N74="Overhead only",O74,IF(AND(N74="Working",P74+Q74&gt;0),MAX(0,O74-P74-Q74),0))</f>
        <v>0</v>
      </c>
      <c r="S74" s="24" t="n">
        <f aca="false">IF(OR(N74="Working",N74="Overhead only"),MAX(0,P74+Q74-O74),0)</f>
        <v>0</v>
      </c>
      <c r="T74" s="24" t="n">
        <f aca="false">P74+Q74+R74</f>
        <v>0</v>
      </c>
      <c r="U74" s="24" t="str">
        <f aca="true">IF(N74="Working",IF(P74+Q74=0,IF(L74&lt;=TODAY(),"Not logged",""),IF(P74+Q74&gt;O74,IF(AllowOT="Yes","Overtime","Over "&amp;O74&amp;" h!"),"✓")),IF(N74="Overhead only","✓ Overhead day",IF(P74+Q74&gt;0,"Entries on "&amp;LOWER(N74)&amp;" day",N74)))</f>
        <v/>
      </c>
      <c r="V74" s="1"/>
      <c r="W74" s="1" t="str">
        <f aca="false">IF(Projects!B72="","",Projects!B72)</f>
        <v/>
      </c>
      <c r="X74" s="1" t="n">
        <f aca="false">IF(W74="",0,SUMIFS($I$7:$I$256,$D$7:$D$256,W74,$H$7:$H$256,"NTIME"))</f>
        <v>0</v>
      </c>
      <c r="Y74" s="1" t="n">
        <f aca="false">IF(W74="",0,SUMIFS($I$7:$I$256,$D$7:$D$256,W74,$H$7:$H$256,"P6"))</f>
        <v>0</v>
      </c>
      <c r="Z74" s="1" t="n">
        <f aca="false">X74+Y74</f>
        <v>0</v>
      </c>
      <c r="AA74" s="1" t="n">
        <f aca="false">IF(Z74&gt;0,Z74+(201-68)/10^6,0)</f>
        <v>0</v>
      </c>
      <c r="AB74" s="1"/>
      <c r="AC74" s="1"/>
      <c r="AD74" s="1"/>
      <c r="AE74" s="1"/>
      <c r="AF74" s="1"/>
      <c r="AG74" s="1"/>
      <c r="AH74" s="1"/>
    </row>
    <row r="75" customFormat="false" ht="15" hidden="false" customHeight="false" outlineLevel="0" collapsed="false">
      <c r="A75" s="1"/>
      <c r="B75" s="10"/>
      <c r="C75" s="31" t="str">
        <f aca="false">IF(B75="","",TEXT(B75,"ddd"))</f>
        <v/>
      </c>
      <c r="D75" s="11"/>
      <c r="E75" s="8" t="str">
        <f aca="false">IF(D75="","",IFERROR(INDEX(ProjNumbers,MATCH(D75,ProjNames,0)),""))</f>
        <v/>
      </c>
      <c r="F75" s="8" t="str">
        <f aca="false">IF(D75="","",IFERROR(INDEX(ProjCodes,MATCH(D75,ProjNames,0)),""))</f>
        <v/>
      </c>
      <c r="G75" s="32"/>
      <c r="H75" s="11"/>
      <c r="I75" s="33"/>
      <c r="J75" s="8" t="str">
        <f aca="false">IF(COUNTA(B75,D75,G75,H75,I75)=0,"",IF(B75="","Enter date",IF(OR(B75&lt;$AC$2,B75&gt;$AC$3),"Date not in November",IF(D75="","Pick project",IF(ISNA(MATCH(D75,ProjNames,0)),"Project not in list",IF(G75="","Add task description",IF(H75="","Pick NTIME or P6",IF(N(I75)&lt;=0,"Enter hours",IF(AND(AllowOT&lt;&gt;"Yes",SUMIF($B$7:$B$256,B75,$I$7:$I$256)&gt;INDEX($O$58:$O$87,DAY(B75))),"Day over "&amp;INDEX($O$58:$O$87,DAY(B75))&amp;" h","✓")))))))))</f>
        <v/>
      </c>
      <c r="K75" s="1"/>
      <c r="L75" s="35" t="n">
        <v>46344</v>
      </c>
      <c r="M75" s="36" t="str">
        <f aca="false">TEXT(L75,"ddd")</f>
        <v>Wed</v>
      </c>
      <c r="N75" s="37" t="s">
        <v>93</v>
      </c>
      <c r="O75" s="37" t="n">
        <f aca="false">AvailHours</f>
        <v>8</v>
      </c>
      <c r="P75" s="24" t="n">
        <f aca="false">SUMIFS($I$7:$I$256,$B$7:$B$256,L75,$H$7:$H$256,"NTIME")</f>
        <v>0</v>
      </c>
      <c r="Q75" s="24" t="n">
        <f aca="false">SUMIFS($I$7:$I$256,$B$7:$B$256,L75,$H$7:$H$256,"P6")</f>
        <v>0</v>
      </c>
      <c r="R75" s="24" t="n">
        <f aca="false">IF(N75="Overhead only",O75,IF(AND(N75="Working",P75+Q75&gt;0),MAX(0,O75-P75-Q75),0))</f>
        <v>0</v>
      </c>
      <c r="S75" s="24" t="n">
        <f aca="false">IF(OR(N75="Working",N75="Overhead only"),MAX(0,P75+Q75-O75),0)</f>
        <v>0</v>
      </c>
      <c r="T75" s="24" t="n">
        <f aca="false">P75+Q75+R75</f>
        <v>0</v>
      </c>
      <c r="U75" s="24" t="str">
        <f aca="true">IF(N75="Working",IF(P75+Q75=0,IF(L75&lt;=TODAY(),"Not logged",""),IF(P75+Q75&gt;O75,IF(AllowOT="Yes","Overtime","Over "&amp;O75&amp;" h!"),"✓")),IF(N75="Overhead only","✓ Overhead day",IF(P75+Q75&gt;0,"Entries on "&amp;LOWER(N75)&amp;" day",N75)))</f>
        <v/>
      </c>
      <c r="V75" s="1"/>
      <c r="W75" s="1" t="str">
        <f aca="false">IF(Projects!B73="","",Projects!B73)</f>
        <v/>
      </c>
      <c r="X75" s="1" t="n">
        <f aca="false">IF(W75="",0,SUMIFS($I$7:$I$256,$D$7:$D$256,W75,$H$7:$H$256,"NTIME"))</f>
        <v>0</v>
      </c>
      <c r="Y75" s="1" t="n">
        <f aca="false">IF(W75="",0,SUMIFS($I$7:$I$256,$D$7:$D$256,W75,$H$7:$H$256,"P6"))</f>
        <v>0</v>
      </c>
      <c r="Z75" s="1" t="n">
        <f aca="false">X75+Y75</f>
        <v>0</v>
      </c>
      <c r="AA75" s="1" t="n">
        <f aca="false">IF(Z75&gt;0,Z75+(201-69)/10^6,0)</f>
        <v>0</v>
      </c>
      <c r="AB75" s="1"/>
      <c r="AC75" s="1"/>
      <c r="AD75" s="1"/>
      <c r="AE75" s="1"/>
      <c r="AF75" s="1"/>
      <c r="AG75" s="1"/>
      <c r="AH75" s="1"/>
    </row>
    <row r="76" customFormat="false" ht="15" hidden="false" customHeight="false" outlineLevel="0" collapsed="false">
      <c r="A76" s="1"/>
      <c r="B76" s="10"/>
      <c r="C76" s="31" t="str">
        <f aca="false">IF(B76="","",TEXT(B76,"ddd"))</f>
        <v/>
      </c>
      <c r="D76" s="11"/>
      <c r="E76" s="8" t="str">
        <f aca="false">IF(D76="","",IFERROR(INDEX(ProjNumbers,MATCH(D76,ProjNames,0)),""))</f>
        <v/>
      </c>
      <c r="F76" s="8" t="str">
        <f aca="false">IF(D76="","",IFERROR(INDEX(ProjCodes,MATCH(D76,ProjNames,0)),""))</f>
        <v/>
      </c>
      <c r="G76" s="32"/>
      <c r="H76" s="11"/>
      <c r="I76" s="33"/>
      <c r="J76" s="8" t="str">
        <f aca="false">IF(COUNTA(B76,D76,G76,H76,I76)=0,"",IF(B76="","Enter date",IF(OR(B76&lt;$AC$2,B76&gt;$AC$3),"Date not in November",IF(D76="","Pick project",IF(ISNA(MATCH(D76,ProjNames,0)),"Project not in list",IF(G76="","Add task description",IF(H76="","Pick NTIME or P6",IF(N(I76)&lt;=0,"Enter hours",IF(AND(AllowOT&lt;&gt;"Yes",SUMIF($B$7:$B$256,B76,$I$7:$I$256)&gt;INDEX($O$58:$O$87,DAY(B76))),"Day over "&amp;INDEX($O$58:$O$87,DAY(B76))&amp;" h","✓")))))))))</f>
        <v/>
      </c>
      <c r="K76" s="1"/>
      <c r="L76" s="35" t="n">
        <v>46345</v>
      </c>
      <c r="M76" s="36" t="str">
        <f aca="false">TEXT(L76,"ddd")</f>
        <v>Thu</v>
      </c>
      <c r="N76" s="37" t="s">
        <v>93</v>
      </c>
      <c r="O76" s="37" t="n">
        <f aca="false">AvailHours</f>
        <v>8</v>
      </c>
      <c r="P76" s="24" t="n">
        <f aca="false">SUMIFS($I$7:$I$256,$B$7:$B$256,L76,$H$7:$H$256,"NTIME")</f>
        <v>0</v>
      </c>
      <c r="Q76" s="24" t="n">
        <f aca="false">SUMIFS($I$7:$I$256,$B$7:$B$256,L76,$H$7:$H$256,"P6")</f>
        <v>0</v>
      </c>
      <c r="R76" s="24" t="n">
        <f aca="false">IF(N76="Overhead only",O76,IF(AND(N76="Working",P76+Q76&gt;0),MAX(0,O76-P76-Q76),0))</f>
        <v>0</v>
      </c>
      <c r="S76" s="24" t="n">
        <f aca="false">IF(OR(N76="Working",N76="Overhead only"),MAX(0,P76+Q76-O76),0)</f>
        <v>0</v>
      </c>
      <c r="T76" s="24" t="n">
        <f aca="false">P76+Q76+R76</f>
        <v>0</v>
      </c>
      <c r="U76" s="24" t="str">
        <f aca="true">IF(N76="Working",IF(P76+Q76=0,IF(L76&lt;=TODAY(),"Not logged",""),IF(P76+Q76&gt;O76,IF(AllowOT="Yes","Overtime","Over "&amp;O76&amp;" h!"),"✓")),IF(N76="Overhead only","✓ Overhead day",IF(P76+Q76&gt;0,"Entries on "&amp;LOWER(N76)&amp;" day",N76)))</f>
        <v/>
      </c>
      <c r="V76" s="1"/>
      <c r="W76" s="1" t="str">
        <f aca="false">IF(Projects!B74="","",Projects!B74)</f>
        <v/>
      </c>
      <c r="X76" s="1" t="n">
        <f aca="false">IF(W76="",0,SUMIFS($I$7:$I$256,$D$7:$D$256,W76,$H$7:$H$256,"NTIME"))</f>
        <v>0</v>
      </c>
      <c r="Y76" s="1" t="n">
        <f aca="false">IF(W76="",0,SUMIFS($I$7:$I$256,$D$7:$D$256,W76,$H$7:$H$256,"P6"))</f>
        <v>0</v>
      </c>
      <c r="Z76" s="1" t="n">
        <f aca="false">X76+Y76</f>
        <v>0</v>
      </c>
      <c r="AA76" s="1" t="n">
        <f aca="false">IF(Z76&gt;0,Z76+(201-70)/10^6,0)</f>
        <v>0</v>
      </c>
      <c r="AB76" s="1"/>
      <c r="AC76" s="1"/>
      <c r="AD76" s="1"/>
      <c r="AE76" s="1"/>
      <c r="AF76" s="1"/>
      <c r="AG76" s="1"/>
      <c r="AH76" s="1"/>
    </row>
    <row r="77" customFormat="false" ht="15" hidden="false" customHeight="false" outlineLevel="0" collapsed="false">
      <c r="A77" s="1"/>
      <c r="B77" s="10"/>
      <c r="C77" s="31" t="str">
        <f aca="false">IF(B77="","",TEXT(B77,"ddd"))</f>
        <v/>
      </c>
      <c r="D77" s="11"/>
      <c r="E77" s="8" t="str">
        <f aca="false">IF(D77="","",IFERROR(INDEX(ProjNumbers,MATCH(D77,ProjNames,0)),""))</f>
        <v/>
      </c>
      <c r="F77" s="8" t="str">
        <f aca="false">IF(D77="","",IFERROR(INDEX(ProjCodes,MATCH(D77,ProjNames,0)),""))</f>
        <v/>
      </c>
      <c r="G77" s="32"/>
      <c r="H77" s="11"/>
      <c r="I77" s="33"/>
      <c r="J77" s="8" t="str">
        <f aca="false">IF(COUNTA(B77,D77,G77,H77,I77)=0,"",IF(B77="","Enter date",IF(OR(B77&lt;$AC$2,B77&gt;$AC$3),"Date not in November",IF(D77="","Pick project",IF(ISNA(MATCH(D77,ProjNames,0)),"Project not in list",IF(G77="","Add task description",IF(H77="","Pick NTIME or P6",IF(N(I77)&lt;=0,"Enter hours",IF(AND(AllowOT&lt;&gt;"Yes",SUMIF($B$7:$B$256,B77,$I$7:$I$256)&gt;INDEX($O$58:$O$87,DAY(B77))),"Day over "&amp;INDEX($O$58:$O$87,DAY(B77))&amp;" h","✓")))))))))</f>
        <v/>
      </c>
      <c r="K77" s="1"/>
      <c r="L77" s="35" t="n">
        <v>46346</v>
      </c>
      <c r="M77" s="36" t="str">
        <f aca="false">TEXT(L77,"ddd")</f>
        <v>Fri</v>
      </c>
      <c r="N77" s="37" t="s">
        <v>93</v>
      </c>
      <c r="O77" s="37" t="n">
        <f aca="false">AvailHours</f>
        <v>8</v>
      </c>
      <c r="P77" s="24" t="n">
        <f aca="false">SUMIFS($I$7:$I$256,$B$7:$B$256,L77,$H$7:$H$256,"NTIME")</f>
        <v>0</v>
      </c>
      <c r="Q77" s="24" t="n">
        <f aca="false">SUMIFS($I$7:$I$256,$B$7:$B$256,L77,$H$7:$H$256,"P6")</f>
        <v>0</v>
      </c>
      <c r="R77" s="24" t="n">
        <f aca="false">IF(N77="Overhead only",O77,IF(AND(N77="Working",P77+Q77&gt;0),MAX(0,O77-P77-Q77),0))</f>
        <v>0</v>
      </c>
      <c r="S77" s="24" t="n">
        <f aca="false">IF(OR(N77="Working",N77="Overhead only"),MAX(0,P77+Q77-O77),0)</f>
        <v>0</v>
      </c>
      <c r="T77" s="24" t="n">
        <f aca="false">P77+Q77+R77</f>
        <v>0</v>
      </c>
      <c r="U77" s="24" t="str">
        <f aca="true">IF(N77="Working",IF(P77+Q77=0,IF(L77&lt;=TODAY(),"Not logged",""),IF(P77+Q77&gt;O77,IF(AllowOT="Yes","Overtime","Over "&amp;O77&amp;" h!"),"✓")),IF(N77="Overhead only","✓ Overhead day",IF(P77+Q77&gt;0,"Entries on "&amp;LOWER(N77)&amp;" day",N77)))</f>
        <v/>
      </c>
      <c r="V77" s="1"/>
      <c r="W77" s="1" t="str">
        <f aca="false">IF(Projects!B75="","",Projects!B75)</f>
        <v/>
      </c>
      <c r="X77" s="1" t="n">
        <f aca="false">IF(W77="",0,SUMIFS($I$7:$I$256,$D$7:$D$256,W77,$H$7:$H$256,"NTIME"))</f>
        <v>0</v>
      </c>
      <c r="Y77" s="1" t="n">
        <f aca="false">IF(W77="",0,SUMIFS($I$7:$I$256,$D$7:$D$256,W77,$H$7:$H$256,"P6"))</f>
        <v>0</v>
      </c>
      <c r="Z77" s="1" t="n">
        <f aca="false">X77+Y77</f>
        <v>0</v>
      </c>
      <c r="AA77" s="1" t="n">
        <f aca="false">IF(Z77&gt;0,Z77+(201-71)/10^6,0)</f>
        <v>0</v>
      </c>
      <c r="AB77" s="1"/>
      <c r="AC77" s="1"/>
      <c r="AD77" s="1"/>
      <c r="AE77" s="1"/>
      <c r="AF77" s="1"/>
      <c r="AG77" s="1"/>
      <c r="AH77" s="1"/>
    </row>
    <row r="78" customFormat="false" ht="15" hidden="false" customHeight="false" outlineLevel="0" collapsed="false">
      <c r="A78" s="1"/>
      <c r="B78" s="10"/>
      <c r="C78" s="31" t="str">
        <f aca="false">IF(B78="","",TEXT(B78,"ddd"))</f>
        <v/>
      </c>
      <c r="D78" s="11"/>
      <c r="E78" s="8" t="str">
        <f aca="false">IF(D78="","",IFERROR(INDEX(ProjNumbers,MATCH(D78,ProjNames,0)),""))</f>
        <v/>
      </c>
      <c r="F78" s="8" t="str">
        <f aca="false">IF(D78="","",IFERROR(INDEX(ProjCodes,MATCH(D78,ProjNames,0)),""))</f>
        <v/>
      </c>
      <c r="G78" s="32"/>
      <c r="H78" s="11"/>
      <c r="I78" s="33"/>
      <c r="J78" s="8" t="str">
        <f aca="false">IF(COUNTA(B78,D78,G78,H78,I78)=0,"",IF(B78="","Enter date",IF(OR(B78&lt;$AC$2,B78&gt;$AC$3),"Date not in November",IF(D78="","Pick project",IF(ISNA(MATCH(D78,ProjNames,0)),"Project not in list",IF(G78="","Add task description",IF(H78="","Pick NTIME or P6",IF(N(I78)&lt;=0,"Enter hours",IF(AND(AllowOT&lt;&gt;"Yes",SUMIF($B$7:$B$256,B78,$I$7:$I$256)&gt;INDEX($O$58:$O$87,DAY(B78))),"Day over "&amp;INDEX($O$58:$O$87,DAY(B78))&amp;" h","✓")))))))))</f>
        <v/>
      </c>
      <c r="K78" s="1"/>
      <c r="L78" s="35" t="n">
        <v>46347</v>
      </c>
      <c r="M78" s="36" t="str">
        <f aca="false">TEXT(L78,"ddd")</f>
        <v>Sat</v>
      </c>
      <c r="N78" s="37" t="s">
        <v>94</v>
      </c>
      <c r="O78" s="37" t="n">
        <f aca="false">AvailHours</f>
        <v>8</v>
      </c>
      <c r="P78" s="24" t="n">
        <f aca="false">SUMIFS($I$7:$I$256,$B$7:$B$256,L78,$H$7:$H$256,"NTIME")</f>
        <v>0</v>
      </c>
      <c r="Q78" s="24" t="n">
        <f aca="false">SUMIFS($I$7:$I$256,$B$7:$B$256,L78,$H$7:$H$256,"P6")</f>
        <v>0</v>
      </c>
      <c r="R78" s="24" t="n">
        <f aca="false">IF(N78="Overhead only",O78,IF(AND(N78="Working",P78+Q78&gt;0),MAX(0,O78-P78-Q78),0))</f>
        <v>0</v>
      </c>
      <c r="S78" s="24" t="n">
        <f aca="false">IF(OR(N78="Working",N78="Overhead only"),MAX(0,P78+Q78-O78),0)</f>
        <v>0</v>
      </c>
      <c r="T78" s="24" t="n">
        <f aca="false">P78+Q78+R78</f>
        <v>0</v>
      </c>
      <c r="U78" s="24" t="str">
        <f aca="true">IF(N78="Working",IF(P78+Q78=0,IF(L78&lt;=TODAY(),"Not logged",""),IF(P78+Q78&gt;O78,IF(AllowOT="Yes","Overtime","Over "&amp;O78&amp;" h!"),"✓")),IF(N78="Overhead only","✓ Overhead day",IF(P78+Q78&gt;0,"Entries on "&amp;LOWER(N78)&amp;" day",N78)))</f>
        <v>Weekend</v>
      </c>
      <c r="V78" s="1"/>
      <c r="W78" s="1" t="str">
        <f aca="false">IF(Projects!B76="","",Projects!B76)</f>
        <v/>
      </c>
      <c r="X78" s="1" t="n">
        <f aca="false">IF(W78="",0,SUMIFS($I$7:$I$256,$D$7:$D$256,W78,$H$7:$H$256,"NTIME"))</f>
        <v>0</v>
      </c>
      <c r="Y78" s="1" t="n">
        <f aca="false">IF(W78="",0,SUMIFS($I$7:$I$256,$D$7:$D$256,W78,$H$7:$H$256,"P6"))</f>
        <v>0</v>
      </c>
      <c r="Z78" s="1" t="n">
        <f aca="false">X78+Y78</f>
        <v>0</v>
      </c>
      <c r="AA78" s="1" t="n">
        <f aca="false">IF(Z78&gt;0,Z78+(201-72)/10^6,0)</f>
        <v>0</v>
      </c>
      <c r="AB78" s="1"/>
      <c r="AC78" s="1"/>
      <c r="AD78" s="1"/>
      <c r="AE78" s="1"/>
      <c r="AF78" s="1"/>
      <c r="AG78" s="1"/>
      <c r="AH78" s="1"/>
    </row>
    <row r="79" customFormat="false" ht="15" hidden="false" customHeight="false" outlineLevel="0" collapsed="false">
      <c r="A79" s="1"/>
      <c r="B79" s="10"/>
      <c r="C79" s="31" t="str">
        <f aca="false">IF(B79="","",TEXT(B79,"ddd"))</f>
        <v/>
      </c>
      <c r="D79" s="11"/>
      <c r="E79" s="8" t="str">
        <f aca="false">IF(D79="","",IFERROR(INDEX(ProjNumbers,MATCH(D79,ProjNames,0)),""))</f>
        <v/>
      </c>
      <c r="F79" s="8" t="str">
        <f aca="false">IF(D79="","",IFERROR(INDEX(ProjCodes,MATCH(D79,ProjNames,0)),""))</f>
        <v/>
      </c>
      <c r="G79" s="32"/>
      <c r="H79" s="11"/>
      <c r="I79" s="33"/>
      <c r="J79" s="8" t="str">
        <f aca="false">IF(COUNTA(B79,D79,G79,H79,I79)=0,"",IF(B79="","Enter date",IF(OR(B79&lt;$AC$2,B79&gt;$AC$3),"Date not in November",IF(D79="","Pick project",IF(ISNA(MATCH(D79,ProjNames,0)),"Project not in list",IF(G79="","Add task description",IF(H79="","Pick NTIME or P6",IF(N(I79)&lt;=0,"Enter hours",IF(AND(AllowOT&lt;&gt;"Yes",SUMIF($B$7:$B$256,B79,$I$7:$I$256)&gt;INDEX($O$58:$O$87,DAY(B79))),"Day over "&amp;INDEX($O$58:$O$87,DAY(B79))&amp;" h","✓")))))))))</f>
        <v/>
      </c>
      <c r="K79" s="1"/>
      <c r="L79" s="35" t="n">
        <v>46348</v>
      </c>
      <c r="M79" s="36" t="str">
        <f aca="false">TEXT(L79,"ddd")</f>
        <v>Sun</v>
      </c>
      <c r="N79" s="37" t="s">
        <v>94</v>
      </c>
      <c r="O79" s="37" t="n">
        <f aca="false">AvailHours</f>
        <v>8</v>
      </c>
      <c r="P79" s="24" t="n">
        <f aca="false">SUMIFS($I$7:$I$256,$B$7:$B$256,L79,$H$7:$H$256,"NTIME")</f>
        <v>0</v>
      </c>
      <c r="Q79" s="24" t="n">
        <f aca="false">SUMIFS($I$7:$I$256,$B$7:$B$256,L79,$H$7:$H$256,"P6")</f>
        <v>0</v>
      </c>
      <c r="R79" s="24" t="n">
        <f aca="false">IF(N79="Overhead only",O79,IF(AND(N79="Working",P79+Q79&gt;0),MAX(0,O79-P79-Q79),0))</f>
        <v>0</v>
      </c>
      <c r="S79" s="24" t="n">
        <f aca="false">IF(OR(N79="Working",N79="Overhead only"),MAX(0,P79+Q79-O79),0)</f>
        <v>0</v>
      </c>
      <c r="T79" s="24" t="n">
        <f aca="false">P79+Q79+R79</f>
        <v>0</v>
      </c>
      <c r="U79" s="24" t="str">
        <f aca="true">IF(N79="Working",IF(P79+Q79=0,IF(L79&lt;=TODAY(),"Not logged",""),IF(P79+Q79&gt;O79,IF(AllowOT="Yes","Overtime","Over "&amp;O79&amp;" h!"),"✓")),IF(N79="Overhead only","✓ Overhead day",IF(P79+Q79&gt;0,"Entries on "&amp;LOWER(N79)&amp;" day",N79)))</f>
        <v>Weekend</v>
      </c>
      <c r="V79" s="1"/>
      <c r="W79" s="1" t="str">
        <f aca="false">IF(Projects!B77="","",Projects!B77)</f>
        <v/>
      </c>
      <c r="X79" s="1" t="n">
        <f aca="false">IF(W79="",0,SUMIFS($I$7:$I$256,$D$7:$D$256,W79,$H$7:$H$256,"NTIME"))</f>
        <v>0</v>
      </c>
      <c r="Y79" s="1" t="n">
        <f aca="false">IF(W79="",0,SUMIFS($I$7:$I$256,$D$7:$D$256,W79,$H$7:$H$256,"P6"))</f>
        <v>0</v>
      </c>
      <c r="Z79" s="1" t="n">
        <f aca="false">X79+Y79</f>
        <v>0</v>
      </c>
      <c r="AA79" s="1" t="n">
        <f aca="false">IF(Z79&gt;0,Z79+(201-73)/10^6,0)</f>
        <v>0</v>
      </c>
      <c r="AB79" s="1"/>
      <c r="AC79" s="1"/>
      <c r="AD79" s="1"/>
      <c r="AE79" s="1"/>
      <c r="AF79" s="1"/>
      <c r="AG79" s="1"/>
      <c r="AH79" s="1"/>
    </row>
    <row r="80" customFormat="false" ht="15" hidden="false" customHeight="false" outlineLevel="0" collapsed="false">
      <c r="A80" s="1"/>
      <c r="B80" s="10"/>
      <c r="C80" s="31" t="str">
        <f aca="false">IF(B80="","",TEXT(B80,"ddd"))</f>
        <v/>
      </c>
      <c r="D80" s="11"/>
      <c r="E80" s="8" t="str">
        <f aca="false">IF(D80="","",IFERROR(INDEX(ProjNumbers,MATCH(D80,ProjNames,0)),""))</f>
        <v/>
      </c>
      <c r="F80" s="8" t="str">
        <f aca="false">IF(D80="","",IFERROR(INDEX(ProjCodes,MATCH(D80,ProjNames,0)),""))</f>
        <v/>
      </c>
      <c r="G80" s="32"/>
      <c r="H80" s="11"/>
      <c r="I80" s="33"/>
      <c r="J80" s="8" t="str">
        <f aca="false">IF(COUNTA(B80,D80,G80,H80,I80)=0,"",IF(B80="","Enter date",IF(OR(B80&lt;$AC$2,B80&gt;$AC$3),"Date not in November",IF(D80="","Pick project",IF(ISNA(MATCH(D80,ProjNames,0)),"Project not in list",IF(G80="","Add task description",IF(H80="","Pick NTIME or P6",IF(N(I80)&lt;=0,"Enter hours",IF(AND(AllowOT&lt;&gt;"Yes",SUMIF($B$7:$B$256,B80,$I$7:$I$256)&gt;INDEX($O$58:$O$87,DAY(B80))),"Day over "&amp;INDEX($O$58:$O$87,DAY(B80))&amp;" h","✓")))))))))</f>
        <v/>
      </c>
      <c r="K80" s="1"/>
      <c r="L80" s="35" t="n">
        <v>46349</v>
      </c>
      <c r="M80" s="36" t="str">
        <f aca="false">TEXT(L80,"ddd")</f>
        <v>Mon</v>
      </c>
      <c r="N80" s="37" t="s">
        <v>93</v>
      </c>
      <c r="O80" s="37" t="n">
        <f aca="false">AvailHours</f>
        <v>8</v>
      </c>
      <c r="P80" s="24" t="n">
        <f aca="false">SUMIFS($I$7:$I$256,$B$7:$B$256,L80,$H$7:$H$256,"NTIME")</f>
        <v>0</v>
      </c>
      <c r="Q80" s="24" t="n">
        <f aca="false">SUMIFS($I$7:$I$256,$B$7:$B$256,L80,$H$7:$H$256,"P6")</f>
        <v>0</v>
      </c>
      <c r="R80" s="24" t="n">
        <f aca="false">IF(N80="Overhead only",O80,IF(AND(N80="Working",P80+Q80&gt;0),MAX(0,O80-P80-Q80),0))</f>
        <v>0</v>
      </c>
      <c r="S80" s="24" t="n">
        <f aca="false">IF(OR(N80="Working",N80="Overhead only"),MAX(0,P80+Q80-O80),0)</f>
        <v>0</v>
      </c>
      <c r="T80" s="24" t="n">
        <f aca="false">P80+Q80+R80</f>
        <v>0</v>
      </c>
      <c r="U80" s="24" t="str">
        <f aca="true">IF(N80="Working",IF(P80+Q80=0,IF(L80&lt;=TODAY(),"Not logged",""),IF(P80+Q80&gt;O80,IF(AllowOT="Yes","Overtime","Over "&amp;O80&amp;" h!"),"✓")),IF(N80="Overhead only","✓ Overhead day",IF(P80+Q80&gt;0,"Entries on "&amp;LOWER(N80)&amp;" day",N80)))</f>
        <v/>
      </c>
      <c r="V80" s="1"/>
      <c r="W80" s="1" t="str">
        <f aca="false">IF(Projects!B78="","",Projects!B78)</f>
        <v/>
      </c>
      <c r="X80" s="1" t="n">
        <f aca="false">IF(W80="",0,SUMIFS($I$7:$I$256,$D$7:$D$256,W80,$H$7:$H$256,"NTIME"))</f>
        <v>0</v>
      </c>
      <c r="Y80" s="1" t="n">
        <f aca="false">IF(W80="",0,SUMIFS($I$7:$I$256,$D$7:$D$256,W80,$H$7:$H$256,"P6"))</f>
        <v>0</v>
      </c>
      <c r="Z80" s="1" t="n">
        <f aca="false">X80+Y80</f>
        <v>0</v>
      </c>
      <c r="AA80" s="1" t="n">
        <f aca="false">IF(Z80&gt;0,Z80+(201-74)/10^6,0)</f>
        <v>0</v>
      </c>
      <c r="AB80" s="1"/>
      <c r="AC80" s="1"/>
      <c r="AD80" s="1"/>
      <c r="AE80" s="1"/>
      <c r="AF80" s="1"/>
      <c r="AG80" s="1"/>
      <c r="AH80" s="1"/>
    </row>
    <row r="81" customFormat="false" ht="15" hidden="false" customHeight="false" outlineLevel="0" collapsed="false">
      <c r="A81" s="1"/>
      <c r="B81" s="10"/>
      <c r="C81" s="31" t="str">
        <f aca="false">IF(B81="","",TEXT(B81,"ddd"))</f>
        <v/>
      </c>
      <c r="D81" s="11"/>
      <c r="E81" s="8" t="str">
        <f aca="false">IF(D81="","",IFERROR(INDEX(ProjNumbers,MATCH(D81,ProjNames,0)),""))</f>
        <v/>
      </c>
      <c r="F81" s="8" t="str">
        <f aca="false">IF(D81="","",IFERROR(INDEX(ProjCodes,MATCH(D81,ProjNames,0)),""))</f>
        <v/>
      </c>
      <c r="G81" s="32"/>
      <c r="H81" s="11"/>
      <c r="I81" s="33"/>
      <c r="J81" s="8" t="str">
        <f aca="false">IF(COUNTA(B81,D81,G81,H81,I81)=0,"",IF(B81="","Enter date",IF(OR(B81&lt;$AC$2,B81&gt;$AC$3),"Date not in November",IF(D81="","Pick project",IF(ISNA(MATCH(D81,ProjNames,0)),"Project not in list",IF(G81="","Add task description",IF(H81="","Pick NTIME or P6",IF(N(I81)&lt;=0,"Enter hours",IF(AND(AllowOT&lt;&gt;"Yes",SUMIF($B$7:$B$256,B81,$I$7:$I$256)&gt;INDEX($O$58:$O$87,DAY(B81))),"Day over "&amp;INDEX($O$58:$O$87,DAY(B81))&amp;" h","✓")))))))))</f>
        <v/>
      </c>
      <c r="K81" s="1"/>
      <c r="L81" s="35" t="n">
        <v>46350</v>
      </c>
      <c r="M81" s="36" t="str">
        <f aca="false">TEXT(L81,"ddd")</f>
        <v>Tue</v>
      </c>
      <c r="N81" s="37" t="s">
        <v>93</v>
      </c>
      <c r="O81" s="37" t="n">
        <f aca="false">AvailHours</f>
        <v>8</v>
      </c>
      <c r="P81" s="24" t="n">
        <f aca="false">SUMIFS($I$7:$I$256,$B$7:$B$256,L81,$H$7:$H$256,"NTIME")</f>
        <v>0</v>
      </c>
      <c r="Q81" s="24" t="n">
        <f aca="false">SUMIFS($I$7:$I$256,$B$7:$B$256,L81,$H$7:$H$256,"P6")</f>
        <v>0</v>
      </c>
      <c r="R81" s="24" t="n">
        <f aca="false">IF(N81="Overhead only",O81,IF(AND(N81="Working",P81+Q81&gt;0),MAX(0,O81-P81-Q81),0))</f>
        <v>0</v>
      </c>
      <c r="S81" s="24" t="n">
        <f aca="false">IF(OR(N81="Working",N81="Overhead only"),MAX(0,P81+Q81-O81),0)</f>
        <v>0</v>
      </c>
      <c r="T81" s="24" t="n">
        <f aca="false">P81+Q81+R81</f>
        <v>0</v>
      </c>
      <c r="U81" s="24" t="str">
        <f aca="true">IF(N81="Working",IF(P81+Q81=0,IF(L81&lt;=TODAY(),"Not logged",""),IF(P81+Q81&gt;O81,IF(AllowOT="Yes","Overtime","Over "&amp;O81&amp;" h!"),"✓")),IF(N81="Overhead only","✓ Overhead day",IF(P81+Q81&gt;0,"Entries on "&amp;LOWER(N81)&amp;" day",N81)))</f>
        <v/>
      </c>
      <c r="V81" s="1"/>
      <c r="W81" s="1" t="str">
        <f aca="false">IF(Projects!B79="","",Projects!B79)</f>
        <v/>
      </c>
      <c r="X81" s="1" t="n">
        <f aca="false">IF(W81="",0,SUMIFS($I$7:$I$256,$D$7:$D$256,W81,$H$7:$H$256,"NTIME"))</f>
        <v>0</v>
      </c>
      <c r="Y81" s="1" t="n">
        <f aca="false">IF(W81="",0,SUMIFS($I$7:$I$256,$D$7:$D$256,W81,$H$7:$H$256,"P6"))</f>
        <v>0</v>
      </c>
      <c r="Z81" s="1" t="n">
        <f aca="false">X81+Y81</f>
        <v>0</v>
      </c>
      <c r="AA81" s="1" t="n">
        <f aca="false">IF(Z81&gt;0,Z81+(201-75)/10^6,0)</f>
        <v>0</v>
      </c>
      <c r="AB81" s="1"/>
      <c r="AC81" s="1"/>
      <c r="AD81" s="1"/>
      <c r="AE81" s="1"/>
      <c r="AF81" s="1"/>
      <c r="AG81" s="1"/>
      <c r="AH81" s="1"/>
    </row>
    <row r="82" customFormat="false" ht="15" hidden="false" customHeight="false" outlineLevel="0" collapsed="false">
      <c r="A82" s="1"/>
      <c r="B82" s="10"/>
      <c r="C82" s="31" t="str">
        <f aca="false">IF(B82="","",TEXT(B82,"ddd"))</f>
        <v/>
      </c>
      <c r="D82" s="11"/>
      <c r="E82" s="8" t="str">
        <f aca="false">IF(D82="","",IFERROR(INDEX(ProjNumbers,MATCH(D82,ProjNames,0)),""))</f>
        <v/>
      </c>
      <c r="F82" s="8" t="str">
        <f aca="false">IF(D82="","",IFERROR(INDEX(ProjCodes,MATCH(D82,ProjNames,0)),""))</f>
        <v/>
      </c>
      <c r="G82" s="32"/>
      <c r="H82" s="11"/>
      <c r="I82" s="33"/>
      <c r="J82" s="8" t="str">
        <f aca="false">IF(COUNTA(B82,D82,G82,H82,I82)=0,"",IF(B82="","Enter date",IF(OR(B82&lt;$AC$2,B82&gt;$AC$3),"Date not in November",IF(D82="","Pick project",IF(ISNA(MATCH(D82,ProjNames,0)),"Project not in list",IF(G82="","Add task description",IF(H82="","Pick NTIME or P6",IF(N(I82)&lt;=0,"Enter hours",IF(AND(AllowOT&lt;&gt;"Yes",SUMIF($B$7:$B$256,B82,$I$7:$I$256)&gt;INDEX($O$58:$O$87,DAY(B82))),"Day over "&amp;INDEX($O$58:$O$87,DAY(B82))&amp;" h","✓")))))))))</f>
        <v/>
      </c>
      <c r="K82" s="1"/>
      <c r="L82" s="35" t="n">
        <v>46351</v>
      </c>
      <c r="M82" s="36" t="str">
        <f aca="false">TEXT(L82,"ddd")</f>
        <v>Wed</v>
      </c>
      <c r="N82" s="37" t="s">
        <v>93</v>
      </c>
      <c r="O82" s="37" t="n">
        <f aca="false">AvailHours</f>
        <v>8</v>
      </c>
      <c r="P82" s="24" t="n">
        <f aca="false">SUMIFS($I$7:$I$256,$B$7:$B$256,L82,$H$7:$H$256,"NTIME")</f>
        <v>0</v>
      </c>
      <c r="Q82" s="24" t="n">
        <f aca="false">SUMIFS($I$7:$I$256,$B$7:$B$256,L82,$H$7:$H$256,"P6")</f>
        <v>0</v>
      </c>
      <c r="R82" s="24" t="n">
        <f aca="false">IF(N82="Overhead only",O82,IF(AND(N82="Working",P82+Q82&gt;0),MAX(0,O82-P82-Q82),0))</f>
        <v>0</v>
      </c>
      <c r="S82" s="24" t="n">
        <f aca="false">IF(OR(N82="Working",N82="Overhead only"),MAX(0,P82+Q82-O82),0)</f>
        <v>0</v>
      </c>
      <c r="T82" s="24" t="n">
        <f aca="false">P82+Q82+R82</f>
        <v>0</v>
      </c>
      <c r="U82" s="24" t="str">
        <f aca="true">IF(N82="Working",IF(P82+Q82=0,IF(L82&lt;=TODAY(),"Not logged",""),IF(P82+Q82&gt;O82,IF(AllowOT="Yes","Overtime","Over "&amp;O82&amp;" h!"),"✓")),IF(N82="Overhead only","✓ Overhead day",IF(P82+Q82&gt;0,"Entries on "&amp;LOWER(N82)&amp;" day",N82)))</f>
        <v/>
      </c>
      <c r="V82" s="1"/>
      <c r="W82" s="1" t="str">
        <f aca="false">IF(Projects!B80="","",Projects!B80)</f>
        <v/>
      </c>
      <c r="X82" s="1" t="n">
        <f aca="false">IF(W82="",0,SUMIFS($I$7:$I$256,$D$7:$D$256,W82,$H$7:$H$256,"NTIME"))</f>
        <v>0</v>
      </c>
      <c r="Y82" s="1" t="n">
        <f aca="false">IF(W82="",0,SUMIFS($I$7:$I$256,$D$7:$D$256,W82,$H$7:$H$256,"P6"))</f>
        <v>0</v>
      </c>
      <c r="Z82" s="1" t="n">
        <f aca="false">X82+Y82</f>
        <v>0</v>
      </c>
      <c r="AA82" s="1" t="n">
        <f aca="false">IF(Z82&gt;0,Z82+(201-76)/10^6,0)</f>
        <v>0</v>
      </c>
      <c r="AB82" s="1"/>
      <c r="AC82" s="1"/>
      <c r="AD82" s="1"/>
      <c r="AE82" s="1"/>
      <c r="AF82" s="1"/>
      <c r="AG82" s="1"/>
      <c r="AH82" s="1"/>
    </row>
    <row r="83" customFormat="false" ht="15" hidden="false" customHeight="false" outlineLevel="0" collapsed="false">
      <c r="A83" s="1"/>
      <c r="B83" s="10"/>
      <c r="C83" s="31" t="str">
        <f aca="false">IF(B83="","",TEXT(B83,"ddd"))</f>
        <v/>
      </c>
      <c r="D83" s="11"/>
      <c r="E83" s="8" t="str">
        <f aca="false">IF(D83="","",IFERROR(INDEX(ProjNumbers,MATCH(D83,ProjNames,0)),""))</f>
        <v/>
      </c>
      <c r="F83" s="8" t="str">
        <f aca="false">IF(D83="","",IFERROR(INDEX(ProjCodes,MATCH(D83,ProjNames,0)),""))</f>
        <v/>
      </c>
      <c r="G83" s="32"/>
      <c r="H83" s="11"/>
      <c r="I83" s="33"/>
      <c r="J83" s="8" t="str">
        <f aca="false">IF(COUNTA(B83,D83,G83,H83,I83)=0,"",IF(B83="","Enter date",IF(OR(B83&lt;$AC$2,B83&gt;$AC$3),"Date not in November",IF(D83="","Pick project",IF(ISNA(MATCH(D83,ProjNames,0)),"Project not in list",IF(G83="","Add task description",IF(H83="","Pick NTIME or P6",IF(N(I83)&lt;=0,"Enter hours",IF(AND(AllowOT&lt;&gt;"Yes",SUMIF($B$7:$B$256,B83,$I$7:$I$256)&gt;INDEX($O$58:$O$87,DAY(B83))),"Day over "&amp;INDEX($O$58:$O$87,DAY(B83))&amp;" h","✓")))))))))</f>
        <v/>
      </c>
      <c r="K83" s="1"/>
      <c r="L83" s="35" t="n">
        <v>46352</v>
      </c>
      <c r="M83" s="36" t="str">
        <f aca="false">TEXT(L83,"ddd")</f>
        <v>Thu</v>
      </c>
      <c r="N83" s="37" t="s">
        <v>93</v>
      </c>
      <c r="O83" s="37" t="n">
        <f aca="false">AvailHours</f>
        <v>8</v>
      </c>
      <c r="P83" s="24" t="n">
        <f aca="false">SUMIFS($I$7:$I$256,$B$7:$B$256,L83,$H$7:$H$256,"NTIME")</f>
        <v>0</v>
      </c>
      <c r="Q83" s="24" t="n">
        <f aca="false">SUMIFS($I$7:$I$256,$B$7:$B$256,L83,$H$7:$H$256,"P6")</f>
        <v>0</v>
      </c>
      <c r="R83" s="24" t="n">
        <f aca="false">IF(N83="Overhead only",O83,IF(AND(N83="Working",P83+Q83&gt;0),MAX(0,O83-P83-Q83),0))</f>
        <v>0</v>
      </c>
      <c r="S83" s="24" t="n">
        <f aca="false">IF(OR(N83="Working",N83="Overhead only"),MAX(0,P83+Q83-O83),0)</f>
        <v>0</v>
      </c>
      <c r="T83" s="24" t="n">
        <f aca="false">P83+Q83+R83</f>
        <v>0</v>
      </c>
      <c r="U83" s="24" t="str">
        <f aca="true">IF(N83="Working",IF(P83+Q83=0,IF(L83&lt;=TODAY(),"Not logged",""),IF(P83+Q83&gt;O83,IF(AllowOT="Yes","Overtime","Over "&amp;O83&amp;" h!"),"✓")),IF(N83="Overhead only","✓ Overhead day",IF(P83+Q83&gt;0,"Entries on "&amp;LOWER(N83)&amp;" day",N83)))</f>
        <v/>
      </c>
      <c r="V83" s="1"/>
      <c r="W83" s="1" t="str">
        <f aca="false">IF(Projects!B81="","",Projects!B81)</f>
        <v/>
      </c>
      <c r="X83" s="1" t="n">
        <f aca="false">IF(W83="",0,SUMIFS($I$7:$I$256,$D$7:$D$256,W83,$H$7:$H$256,"NTIME"))</f>
        <v>0</v>
      </c>
      <c r="Y83" s="1" t="n">
        <f aca="false">IF(W83="",0,SUMIFS($I$7:$I$256,$D$7:$D$256,W83,$H$7:$H$256,"P6"))</f>
        <v>0</v>
      </c>
      <c r="Z83" s="1" t="n">
        <f aca="false">X83+Y83</f>
        <v>0</v>
      </c>
      <c r="AA83" s="1" t="n">
        <f aca="false">IF(Z83&gt;0,Z83+(201-77)/10^6,0)</f>
        <v>0</v>
      </c>
      <c r="AB83" s="1"/>
      <c r="AC83" s="1"/>
      <c r="AD83" s="1"/>
      <c r="AE83" s="1"/>
      <c r="AF83" s="1"/>
      <c r="AG83" s="1"/>
      <c r="AH83" s="1"/>
    </row>
    <row r="84" customFormat="false" ht="15" hidden="false" customHeight="false" outlineLevel="0" collapsed="false">
      <c r="A84" s="1"/>
      <c r="B84" s="10"/>
      <c r="C84" s="31" t="str">
        <f aca="false">IF(B84="","",TEXT(B84,"ddd"))</f>
        <v/>
      </c>
      <c r="D84" s="11"/>
      <c r="E84" s="8" t="str">
        <f aca="false">IF(D84="","",IFERROR(INDEX(ProjNumbers,MATCH(D84,ProjNames,0)),""))</f>
        <v/>
      </c>
      <c r="F84" s="8" t="str">
        <f aca="false">IF(D84="","",IFERROR(INDEX(ProjCodes,MATCH(D84,ProjNames,0)),""))</f>
        <v/>
      </c>
      <c r="G84" s="32"/>
      <c r="H84" s="11"/>
      <c r="I84" s="33"/>
      <c r="J84" s="8" t="str">
        <f aca="false">IF(COUNTA(B84,D84,G84,H84,I84)=0,"",IF(B84="","Enter date",IF(OR(B84&lt;$AC$2,B84&gt;$AC$3),"Date not in November",IF(D84="","Pick project",IF(ISNA(MATCH(D84,ProjNames,0)),"Project not in list",IF(G84="","Add task description",IF(H84="","Pick NTIME or P6",IF(N(I84)&lt;=0,"Enter hours",IF(AND(AllowOT&lt;&gt;"Yes",SUMIF($B$7:$B$256,B84,$I$7:$I$256)&gt;INDEX($O$58:$O$87,DAY(B84))),"Day over "&amp;INDEX($O$58:$O$87,DAY(B84))&amp;" h","✓")))))))))</f>
        <v/>
      </c>
      <c r="K84" s="1"/>
      <c r="L84" s="35" t="n">
        <v>46353</v>
      </c>
      <c r="M84" s="36" t="str">
        <f aca="false">TEXT(L84,"ddd")</f>
        <v>Fri</v>
      </c>
      <c r="N84" s="37" t="s">
        <v>93</v>
      </c>
      <c r="O84" s="37" t="n">
        <f aca="false">AvailHours</f>
        <v>8</v>
      </c>
      <c r="P84" s="24" t="n">
        <f aca="false">SUMIFS($I$7:$I$256,$B$7:$B$256,L84,$H$7:$H$256,"NTIME")</f>
        <v>0</v>
      </c>
      <c r="Q84" s="24" t="n">
        <f aca="false">SUMIFS($I$7:$I$256,$B$7:$B$256,L84,$H$7:$H$256,"P6")</f>
        <v>0</v>
      </c>
      <c r="R84" s="24" t="n">
        <f aca="false">IF(N84="Overhead only",O84,IF(AND(N84="Working",P84+Q84&gt;0),MAX(0,O84-P84-Q84),0))</f>
        <v>0</v>
      </c>
      <c r="S84" s="24" t="n">
        <f aca="false">IF(OR(N84="Working",N84="Overhead only"),MAX(0,P84+Q84-O84),0)</f>
        <v>0</v>
      </c>
      <c r="T84" s="24" t="n">
        <f aca="false">P84+Q84+R84</f>
        <v>0</v>
      </c>
      <c r="U84" s="24" t="str">
        <f aca="true">IF(N84="Working",IF(P84+Q84=0,IF(L84&lt;=TODAY(),"Not logged",""),IF(P84+Q84&gt;O84,IF(AllowOT="Yes","Overtime","Over "&amp;O84&amp;" h!"),"✓")),IF(N84="Overhead only","✓ Overhead day",IF(P84+Q84&gt;0,"Entries on "&amp;LOWER(N84)&amp;" day",N84)))</f>
        <v/>
      </c>
      <c r="V84" s="1"/>
      <c r="W84" s="1" t="str">
        <f aca="false">IF(Projects!B82="","",Projects!B82)</f>
        <v/>
      </c>
      <c r="X84" s="1" t="n">
        <f aca="false">IF(W84="",0,SUMIFS($I$7:$I$256,$D$7:$D$256,W84,$H$7:$H$256,"NTIME"))</f>
        <v>0</v>
      </c>
      <c r="Y84" s="1" t="n">
        <f aca="false">IF(W84="",0,SUMIFS($I$7:$I$256,$D$7:$D$256,W84,$H$7:$H$256,"P6"))</f>
        <v>0</v>
      </c>
      <c r="Z84" s="1" t="n">
        <f aca="false">X84+Y84</f>
        <v>0</v>
      </c>
      <c r="AA84" s="1" t="n">
        <f aca="false">IF(Z84&gt;0,Z84+(201-78)/10^6,0)</f>
        <v>0</v>
      </c>
      <c r="AB84" s="1"/>
      <c r="AC84" s="1"/>
      <c r="AD84" s="1"/>
      <c r="AE84" s="1"/>
      <c r="AF84" s="1"/>
      <c r="AG84" s="1"/>
      <c r="AH84" s="1"/>
    </row>
    <row r="85" customFormat="false" ht="15" hidden="false" customHeight="false" outlineLevel="0" collapsed="false">
      <c r="A85" s="1"/>
      <c r="B85" s="10"/>
      <c r="C85" s="31" t="str">
        <f aca="false">IF(B85="","",TEXT(B85,"ddd"))</f>
        <v/>
      </c>
      <c r="D85" s="11"/>
      <c r="E85" s="8" t="str">
        <f aca="false">IF(D85="","",IFERROR(INDEX(ProjNumbers,MATCH(D85,ProjNames,0)),""))</f>
        <v/>
      </c>
      <c r="F85" s="8" t="str">
        <f aca="false">IF(D85="","",IFERROR(INDEX(ProjCodes,MATCH(D85,ProjNames,0)),""))</f>
        <v/>
      </c>
      <c r="G85" s="32"/>
      <c r="H85" s="11"/>
      <c r="I85" s="33"/>
      <c r="J85" s="8" t="str">
        <f aca="false">IF(COUNTA(B85,D85,G85,H85,I85)=0,"",IF(B85="","Enter date",IF(OR(B85&lt;$AC$2,B85&gt;$AC$3),"Date not in November",IF(D85="","Pick project",IF(ISNA(MATCH(D85,ProjNames,0)),"Project not in list",IF(G85="","Add task description",IF(H85="","Pick NTIME or P6",IF(N(I85)&lt;=0,"Enter hours",IF(AND(AllowOT&lt;&gt;"Yes",SUMIF($B$7:$B$256,B85,$I$7:$I$256)&gt;INDEX($O$58:$O$87,DAY(B85))),"Day over "&amp;INDEX($O$58:$O$87,DAY(B85))&amp;" h","✓")))))))))</f>
        <v/>
      </c>
      <c r="K85" s="1"/>
      <c r="L85" s="35" t="n">
        <v>46354</v>
      </c>
      <c r="M85" s="36" t="str">
        <f aca="false">TEXT(L85,"ddd")</f>
        <v>Sat</v>
      </c>
      <c r="N85" s="37" t="s">
        <v>94</v>
      </c>
      <c r="O85" s="37" t="n">
        <f aca="false">AvailHours</f>
        <v>8</v>
      </c>
      <c r="P85" s="24" t="n">
        <f aca="false">SUMIFS($I$7:$I$256,$B$7:$B$256,L85,$H$7:$H$256,"NTIME")</f>
        <v>0</v>
      </c>
      <c r="Q85" s="24" t="n">
        <f aca="false">SUMIFS($I$7:$I$256,$B$7:$B$256,L85,$H$7:$H$256,"P6")</f>
        <v>0</v>
      </c>
      <c r="R85" s="24" t="n">
        <f aca="false">IF(N85="Overhead only",O85,IF(AND(N85="Working",P85+Q85&gt;0),MAX(0,O85-P85-Q85),0))</f>
        <v>0</v>
      </c>
      <c r="S85" s="24" t="n">
        <f aca="false">IF(OR(N85="Working",N85="Overhead only"),MAX(0,P85+Q85-O85),0)</f>
        <v>0</v>
      </c>
      <c r="T85" s="24" t="n">
        <f aca="false">P85+Q85+R85</f>
        <v>0</v>
      </c>
      <c r="U85" s="24" t="str">
        <f aca="true">IF(N85="Working",IF(P85+Q85=0,IF(L85&lt;=TODAY(),"Not logged",""),IF(P85+Q85&gt;O85,IF(AllowOT="Yes","Overtime","Over "&amp;O85&amp;" h!"),"✓")),IF(N85="Overhead only","✓ Overhead day",IF(P85+Q85&gt;0,"Entries on "&amp;LOWER(N85)&amp;" day",N85)))</f>
        <v>Weekend</v>
      </c>
      <c r="V85" s="1"/>
      <c r="W85" s="1" t="str">
        <f aca="false">IF(Projects!B83="","",Projects!B83)</f>
        <v/>
      </c>
      <c r="X85" s="1" t="n">
        <f aca="false">IF(W85="",0,SUMIFS($I$7:$I$256,$D$7:$D$256,W85,$H$7:$H$256,"NTIME"))</f>
        <v>0</v>
      </c>
      <c r="Y85" s="1" t="n">
        <f aca="false">IF(W85="",0,SUMIFS($I$7:$I$256,$D$7:$D$256,W85,$H$7:$H$256,"P6"))</f>
        <v>0</v>
      </c>
      <c r="Z85" s="1" t="n">
        <f aca="false">X85+Y85</f>
        <v>0</v>
      </c>
      <c r="AA85" s="1" t="n">
        <f aca="false">IF(Z85&gt;0,Z85+(201-79)/10^6,0)</f>
        <v>0</v>
      </c>
      <c r="AB85" s="1"/>
      <c r="AC85" s="1"/>
      <c r="AD85" s="1"/>
      <c r="AE85" s="1"/>
      <c r="AF85" s="1"/>
      <c r="AG85" s="1"/>
      <c r="AH85" s="1"/>
    </row>
    <row r="86" customFormat="false" ht="15" hidden="false" customHeight="false" outlineLevel="0" collapsed="false">
      <c r="A86" s="1"/>
      <c r="B86" s="10"/>
      <c r="C86" s="31" t="str">
        <f aca="false">IF(B86="","",TEXT(B86,"ddd"))</f>
        <v/>
      </c>
      <c r="D86" s="11"/>
      <c r="E86" s="8" t="str">
        <f aca="false">IF(D86="","",IFERROR(INDEX(ProjNumbers,MATCH(D86,ProjNames,0)),""))</f>
        <v/>
      </c>
      <c r="F86" s="8" t="str">
        <f aca="false">IF(D86="","",IFERROR(INDEX(ProjCodes,MATCH(D86,ProjNames,0)),""))</f>
        <v/>
      </c>
      <c r="G86" s="32"/>
      <c r="H86" s="11"/>
      <c r="I86" s="33"/>
      <c r="J86" s="8" t="str">
        <f aca="false">IF(COUNTA(B86,D86,G86,H86,I86)=0,"",IF(B86="","Enter date",IF(OR(B86&lt;$AC$2,B86&gt;$AC$3),"Date not in November",IF(D86="","Pick project",IF(ISNA(MATCH(D86,ProjNames,0)),"Project not in list",IF(G86="","Add task description",IF(H86="","Pick NTIME or P6",IF(N(I86)&lt;=0,"Enter hours",IF(AND(AllowOT&lt;&gt;"Yes",SUMIF($B$7:$B$256,B86,$I$7:$I$256)&gt;INDEX($O$58:$O$87,DAY(B86))),"Day over "&amp;INDEX($O$58:$O$87,DAY(B86))&amp;" h","✓")))))))))</f>
        <v/>
      </c>
      <c r="K86" s="1"/>
      <c r="L86" s="35" t="n">
        <v>46355</v>
      </c>
      <c r="M86" s="36" t="str">
        <f aca="false">TEXT(L86,"ddd")</f>
        <v>Sun</v>
      </c>
      <c r="N86" s="37" t="s">
        <v>94</v>
      </c>
      <c r="O86" s="37" t="n">
        <f aca="false">AvailHours</f>
        <v>8</v>
      </c>
      <c r="P86" s="24" t="n">
        <f aca="false">SUMIFS($I$7:$I$256,$B$7:$B$256,L86,$H$7:$H$256,"NTIME")</f>
        <v>0</v>
      </c>
      <c r="Q86" s="24" t="n">
        <f aca="false">SUMIFS($I$7:$I$256,$B$7:$B$256,L86,$H$7:$H$256,"P6")</f>
        <v>0</v>
      </c>
      <c r="R86" s="24" t="n">
        <f aca="false">IF(N86="Overhead only",O86,IF(AND(N86="Working",P86+Q86&gt;0),MAX(0,O86-P86-Q86),0))</f>
        <v>0</v>
      </c>
      <c r="S86" s="24" t="n">
        <f aca="false">IF(OR(N86="Working",N86="Overhead only"),MAX(0,P86+Q86-O86),0)</f>
        <v>0</v>
      </c>
      <c r="T86" s="24" t="n">
        <f aca="false">P86+Q86+R86</f>
        <v>0</v>
      </c>
      <c r="U86" s="24" t="str">
        <f aca="true">IF(N86="Working",IF(P86+Q86=0,IF(L86&lt;=TODAY(),"Not logged",""),IF(P86+Q86&gt;O86,IF(AllowOT="Yes","Overtime","Over "&amp;O86&amp;" h!"),"✓")),IF(N86="Overhead only","✓ Overhead day",IF(P86+Q86&gt;0,"Entries on "&amp;LOWER(N86)&amp;" day",N86)))</f>
        <v>Weekend</v>
      </c>
      <c r="V86" s="1"/>
      <c r="W86" s="1" t="str">
        <f aca="false">IF(Projects!B84="","",Projects!B84)</f>
        <v/>
      </c>
      <c r="X86" s="1" t="n">
        <f aca="false">IF(W86="",0,SUMIFS($I$7:$I$256,$D$7:$D$256,W86,$H$7:$H$256,"NTIME"))</f>
        <v>0</v>
      </c>
      <c r="Y86" s="1" t="n">
        <f aca="false">IF(W86="",0,SUMIFS($I$7:$I$256,$D$7:$D$256,W86,$H$7:$H$256,"P6"))</f>
        <v>0</v>
      </c>
      <c r="Z86" s="1" t="n">
        <f aca="false">X86+Y86</f>
        <v>0</v>
      </c>
      <c r="AA86" s="1" t="n">
        <f aca="false">IF(Z86&gt;0,Z86+(201-80)/10^6,0)</f>
        <v>0</v>
      </c>
      <c r="AB86" s="1"/>
      <c r="AC86" s="1"/>
      <c r="AD86" s="1"/>
      <c r="AE86" s="1"/>
      <c r="AF86" s="1"/>
      <c r="AG86" s="1"/>
      <c r="AH86" s="1"/>
    </row>
    <row r="87" customFormat="false" ht="15" hidden="false" customHeight="false" outlineLevel="0" collapsed="false">
      <c r="A87" s="1"/>
      <c r="B87" s="10"/>
      <c r="C87" s="31" t="str">
        <f aca="false">IF(B87="","",TEXT(B87,"ddd"))</f>
        <v/>
      </c>
      <c r="D87" s="11"/>
      <c r="E87" s="8" t="str">
        <f aca="false">IF(D87="","",IFERROR(INDEX(ProjNumbers,MATCH(D87,ProjNames,0)),""))</f>
        <v/>
      </c>
      <c r="F87" s="8" t="str">
        <f aca="false">IF(D87="","",IFERROR(INDEX(ProjCodes,MATCH(D87,ProjNames,0)),""))</f>
        <v/>
      </c>
      <c r="G87" s="32"/>
      <c r="H87" s="11"/>
      <c r="I87" s="33"/>
      <c r="J87" s="8" t="str">
        <f aca="false">IF(COUNTA(B87,D87,G87,H87,I87)=0,"",IF(B87="","Enter date",IF(OR(B87&lt;$AC$2,B87&gt;$AC$3),"Date not in November",IF(D87="","Pick project",IF(ISNA(MATCH(D87,ProjNames,0)),"Project not in list",IF(G87="","Add task description",IF(H87="","Pick NTIME or P6",IF(N(I87)&lt;=0,"Enter hours",IF(AND(AllowOT&lt;&gt;"Yes",SUMIF($B$7:$B$256,B87,$I$7:$I$256)&gt;INDEX($O$58:$O$87,DAY(B87))),"Day over "&amp;INDEX($O$58:$O$87,DAY(B87))&amp;" h","✓")))))))))</f>
        <v/>
      </c>
      <c r="K87" s="1"/>
      <c r="L87" s="35" t="n">
        <v>46356</v>
      </c>
      <c r="M87" s="36" t="str">
        <f aca="false">TEXT(L87,"ddd")</f>
        <v>Mon</v>
      </c>
      <c r="N87" s="37" t="s">
        <v>93</v>
      </c>
      <c r="O87" s="37" t="n">
        <f aca="false">AvailHours</f>
        <v>8</v>
      </c>
      <c r="P87" s="24" t="n">
        <f aca="false">SUMIFS($I$7:$I$256,$B$7:$B$256,L87,$H$7:$H$256,"NTIME")</f>
        <v>0</v>
      </c>
      <c r="Q87" s="24" t="n">
        <f aca="false">SUMIFS($I$7:$I$256,$B$7:$B$256,L87,$H$7:$H$256,"P6")</f>
        <v>0</v>
      </c>
      <c r="R87" s="24" t="n">
        <f aca="false">IF(N87="Overhead only",O87,IF(AND(N87="Working",P87+Q87&gt;0),MAX(0,O87-P87-Q87),0))</f>
        <v>0</v>
      </c>
      <c r="S87" s="24" t="n">
        <f aca="false">IF(OR(N87="Working",N87="Overhead only"),MAX(0,P87+Q87-O87),0)</f>
        <v>0</v>
      </c>
      <c r="T87" s="24" t="n">
        <f aca="false">P87+Q87+R87</f>
        <v>0</v>
      </c>
      <c r="U87" s="24" t="str">
        <f aca="true">IF(N87="Working",IF(P87+Q87=0,IF(L87&lt;=TODAY(),"Not logged",""),IF(P87+Q87&gt;O87,IF(AllowOT="Yes","Overtime","Over "&amp;O87&amp;" h!"),"✓")),IF(N87="Overhead only","✓ Overhead day",IF(P87+Q87&gt;0,"Entries on "&amp;LOWER(N87)&amp;" day",N87)))</f>
        <v/>
      </c>
      <c r="V87" s="1"/>
      <c r="W87" s="1" t="str">
        <f aca="false">IF(Projects!B85="","",Projects!B85)</f>
        <v/>
      </c>
      <c r="X87" s="1" t="n">
        <f aca="false">IF(W87="",0,SUMIFS($I$7:$I$256,$D$7:$D$256,W87,$H$7:$H$256,"NTIME"))</f>
        <v>0</v>
      </c>
      <c r="Y87" s="1" t="n">
        <f aca="false">IF(W87="",0,SUMIFS($I$7:$I$256,$D$7:$D$256,W87,$H$7:$H$256,"P6"))</f>
        <v>0</v>
      </c>
      <c r="Z87" s="1" t="n">
        <f aca="false">X87+Y87</f>
        <v>0</v>
      </c>
      <c r="AA87" s="1" t="n">
        <f aca="false">IF(Z87&gt;0,Z87+(201-81)/10^6,0)</f>
        <v>0</v>
      </c>
      <c r="AB87" s="1"/>
      <c r="AC87" s="1"/>
      <c r="AD87" s="1"/>
      <c r="AE87" s="1"/>
      <c r="AF87" s="1"/>
      <c r="AG87" s="1"/>
      <c r="AH87" s="1"/>
    </row>
    <row r="88" customFormat="false" ht="15" hidden="false" customHeight="false" outlineLevel="0" collapsed="false">
      <c r="A88" s="1"/>
      <c r="B88" s="10"/>
      <c r="C88" s="31" t="str">
        <f aca="false">IF(B88="","",TEXT(B88,"ddd"))</f>
        <v/>
      </c>
      <c r="D88" s="11"/>
      <c r="E88" s="8" t="str">
        <f aca="false">IF(D88="","",IFERROR(INDEX(ProjNumbers,MATCH(D88,ProjNames,0)),""))</f>
        <v/>
      </c>
      <c r="F88" s="8" t="str">
        <f aca="false">IF(D88="","",IFERROR(INDEX(ProjCodes,MATCH(D88,ProjNames,0)),""))</f>
        <v/>
      </c>
      <c r="G88" s="32"/>
      <c r="H88" s="11"/>
      <c r="I88" s="33"/>
      <c r="J88" s="8" t="str">
        <f aca="false">IF(COUNTA(B88,D88,G88,H88,I88)=0,"",IF(B88="","Enter date",IF(OR(B88&lt;$AC$2,B88&gt;$AC$3),"Date not in November",IF(D88="","Pick project",IF(ISNA(MATCH(D88,ProjNames,0)),"Project not in list",IF(G88="","Add task description",IF(H88="","Pick NTIME or P6",IF(N(I88)&lt;=0,"Enter hours",IF(AND(AllowOT&lt;&gt;"Yes",SUMIF($B$7:$B$256,B88,$I$7:$I$256)&gt;INDEX($O$58:$O$87,DAY(B88))),"Day over "&amp;INDEX($O$58:$O$87,DAY(B88))&amp;" h","✓")))))))))</f>
        <v/>
      </c>
      <c r="K88" s="1"/>
      <c r="L88" s="27" t="s">
        <v>84</v>
      </c>
      <c r="M88" s="27"/>
      <c r="N88" s="27"/>
      <c r="O88" s="27"/>
      <c r="P88" s="27" t="n">
        <f aca="false">SUM(P58:P87)</f>
        <v>0</v>
      </c>
      <c r="Q88" s="27" t="n">
        <f aca="false">SUM(Q58:Q87)</f>
        <v>0</v>
      </c>
      <c r="R88" s="27" t="n">
        <f aca="false">SUM(R58:R87)</f>
        <v>0</v>
      </c>
      <c r="S88" s="27" t="n">
        <f aca="false">SUM(S58:S87)</f>
        <v>0</v>
      </c>
      <c r="T88" s="27" t="n">
        <f aca="false">SUM(T58:T87)</f>
        <v>0</v>
      </c>
      <c r="U88" s="27"/>
      <c r="V88" s="1"/>
      <c r="W88" s="1" t="str">
        <f aca="false">IF(Projects!B86="","",Projects!B86)</f>
        <v/>
      </c>
      <c r="X88" s="1" t="n">
        <f aca="false">IF(W88="",0,SUMIFS($I$7:$I$256,$D$7:$D$256,W88,$H$7:$H$256,"NTIME"))</f>
        <v>0</v>
      </c>
      <c r="Y88" s="1" t="n">
        <f aca="false">IF(W88="",0,SUMIFS($I$7:$I$256,$D$7:$D$256,W88,$H$7:$H$256,"P6"))</f>
        <v>0</v>
      </c>
      <c r="Z88" s="1" t="n">
        <f aca="false">X88+Y88</f>
        <v>0</v>
      </c>
      <c r="AA88" s="1" t="n">
        <f aca="false">IF(Z88&gt;0,Z88+(201-82)/10^6,0)</f>
        <v>0</v>
      </c>
      <c r="AB88" s="1"/>
      <c r="AC88" s="1"/>
      <c r="AD88" s="1"/>
      <c r="AE88" s="1"/>
      <c r="AF88" s="1"/>
      <c r="AG88" s="1"/>
      <c r="AH88" s="1"/>
    </row>
    <row r="89" customFormat="false" ht="15" hidden="false" customHeight="false" outlineLevel="0" collapsed="false">
      <c r="A89" s="1"/>
      <c r="B89" s="10"/>
      <c r="C89" s="31" t="str">
        <f aca="false">IF(B89="","",TEXT(B89,"ddd"))</f>
        <v/>
      </c>
      <c r="D89" s="11"/>
      <c r="E89" s="8" t="str">
        <f aca="false">IF(D89="","",IFERROR(INDEX(ProjNumbers,MATCH(D89,ProjNames,0)),""))</f>
        <v/>
      </c>
      <c r="F89" s="8" t="str">
        <f aca="false">IF(D89="","",IFERROR(INDEX(ProjCodes,MATCH(D89,ProjNames,0)),""))</f>
        <v/>
      </c>
      <c r="G89" s="32"/>
      <c r="H89" s="11"/>
      <c r="I89" s="33"/>
      <c r="J89" s="8" t="str">
        <f aca="false">IF(COUNTA(B89,D89,G89,H89,I89)=0,"",IF(B89="","Enter date",IF(OR(B89&lt;$AC$2,B89&gt;$AC$3),"Date not in November",IF(D89="","Pick project",IF(ISNA(MATCH(D89,ProjNames,0)),"Project not in list",IF(G89="","Add task description",IF(H89="","Pick NTIME or P6",IF(N(I89)&lt;=0,"Enter hours",IF(AND(AllowOT&lt;&gt;"Yes",SUMIF($B$7:$B$256,B89,$I$7:$I$256)&gt;INDEX($O$58:$O$87,DAY(B89))),"Day over "&amp;INDEX($O$58:$O$87,DAY(B89))&amp;" h","✓")))))))))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 t="str">
        <f aca="false">IF(Projects!B87="","",Projects!B87)</f>
        <v/>
      </c>
      <c r="X89" s="1" t="n">
        <f aca="false">IF(W89="",0,SUMIFS($I$7:$I$256,$D$7:$D$256,W89,$H$7:$H$256,"NTIME"))</f>
        <v>0</v>
      </c>
      <c r="Y89" s="1" t="n">
        <f aca="false">IF(W89="",0,SUMIFS($I$7:$I$256,$D$7:$D$256,W89,$H$7:$H$256,"P6"))</f>
        <v>0</v>
      </c>
      <c r="Z89" s="1" t="n">
        <f aca="false">X89+Y89</f>
        <v>0</v>
      </c>
      <c r="AA89" s="1" t="n">
        <f aca="false">IF(Z89&gt;0,Z89+(201-83)/10^6,0)</f>
        <v>0</v>
      </c>
      <c r="AB89" s="1"/>
      <c r="AC89" s="1"/>
      <c r="AD89" s="1"/>
      <c r="AE89" s="1"/>
      <c r="AF89" s="1"/>
      <c r="AG89" s="1"/>
      <c r="AH89" s="1"/>
    </row>
    <row r="90" customFormat="false" ht="15" hidden="false" customHeight="false" outlineLevel="0" collapsed="false">
      <c r="A90" s="1"/>
      <c r="B90" s="10"/>
      <c r="C90" s="31" t="str">
        <f aca="false">IF(B90="","",TEXT(B90,"ddd"))</f>
        <v/>
      </c>
      <c r="D90" s="11"/>
      <c r="E90" s="8" t="str">
        <f aca="false">IF(D90="","",IFERROR(INDEX(ProjNumbers,MATCH(D90,ProjNames,0)),""))</f>
        <v/>
      </c>
      <c r="F90" s="8" t="str">
        <f aca="false">IF(D90="","",IFERROR(INDEX(ProjCodes,MATCH(D90,ProjNames,0)),""))</f>
        <v/>
      </c>
      <c r="G90" s="32"/>
      <c r="H90" s="11"/>
      <c r="I90" s="33"/>
      <c r="J90" s="8" t="str">
        <f aca="false">IF(COUNTA(B90,D90,G90,H90,I90)=0,"",IF(B90="","Enter date",IF(OR(B90&lt;$AC$2,B90&gt;$AC$3),"Date not in November",IF(D90="","Pick project",IF(ISNA(MATCH(D90,ProjNames,0)),"Project not in list",IF(G90="","Add task description",IF(H90="","Pick NTIME or P6",IF(N(I90)&lt;=0,"Enter hours",IF(AND(AllowOT&lt;&gt;"Yes",SUMIF($B$7:$B$256,B90,$I$7:$I$256)&gt;INDEX($O$58:$O$87,DAY(B90))),"Day over "&amp;INDEX($O$58:$O$87,DAY(B90))&amp;" h","✓")))))))))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tr">
        <f aca="false">IF(Projects!B88="","",Projects!B88)</f>
        <v/>
      </c>
      <c r="X90" s="1" t="n">
        <f aca="false">IF(W90="",0,SUMIFS($I$7:$I$256,$D$7:$D$256,W90,$H$7:$H$256,"NTIME"))</f>
        <v>0</v>
      </c>
      <c r="Y90" s="1" t="n">
        <f aca="false">IF(W90="",0,SUMIFS($I$7:$I$256,$D$7:$D$256,W90,$H$7:$H$256,"P6"))</f>
        <v>0</v>
      </c>
      <c r="Z90" s="1" t="n">
        <f aca="false">X90+Y90</f>
        <v>0</v>
      </c>
      <c r="AA90" s="1" t="n">
        <f aca="false">IF(Z90&gt;0,Z90+(201-84)/10^6,0)</f>
        <v>0</v>
      </c>
      <c r="AB90" s="1"/>
      <c r="AC90" s="1"/>
      <c r="AD90" s="1"/>
      <c r="AE90" s="1"/>
      <c r="AF90" s="1"/>
      <c r="AG90" s="1"/>
      <c r="AH90" s="1"/>
    </row>
    <row r="91" customFormat="false" ht="15" hidden="false" customHeight="false" outlineLevel="0" collapsed="false">
      <c r="A91" s="1"/>
      <c r="B91" s="10"/>
      <c r="C91" s="31" t="str">
        <f aca="false">IF(B91="","",TEXT(B91,"ddd"))</f>
        <v/>
      </c>
      <c r="D91" s="11"/>
      <c r="E91" s="8" t="str">
        <f aca="false">IF(D91="","",IFERROR(INDEX(ProjNumbers,MATCH(D91,ProjNames,0)),""))</f>
        <v/>
      </c>
      <c r="F91" s="8" t="str">
        <f aca="false">IF(D91="","",IFERROR(INDEX(ProjCodes,MATCH(D91,ProjNames,0)),""))</f>
        <v/>
      </c>
      <c r="G91" s="32"/>
      <c r="H91" s="11"/>
      <c r="I91" s="33"/>
      <c r="J91" s="8" t="str">
        <f aca="false">IF(COUNTA(B91,D91,G91,H91,I91)=0,"",IF(B91="","Enter date",IF(OR(B91&lt;$AC$2,B91&gt;$AC$3),"Date not in November",IF(D91="","Pick project",IF(ISNA(MATCH(D91,ProjNames,0)),"Project not in list",IF(G91="","Add task description",IF(H91="","Pick NTIME or P6",IF(N(I91)&lt;=0,"Enter hours",IF(AND(AllowOT&lt;&gt;"Yes",SUMIF($B$7:$B$256,B91,$I$7:$I$256)&gt;INDEX($O$58:$O$87,DAY(B91))),"Day over "&amp;INDEX($O$58:$O$87,DAY(B91))&amp;" h","✓")))))))))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tr">
        <f aca="false">IF(Projects!B89="","",Projects!B89)</f>
        <v/>
      </c>
      <c r="X91" s="1" t="n">
        <f aca="false">IF(W91="",0,SUMIFS($I$7:$I$256,$D$7:$D$256,W91,$H$7:$H$256,"NTIME"))</f>
        <v>0</v>
      </c>
      <c r="Y91" s="1" t="n">
        <f aca="false">IF(W91="",0,SUMIFS($I$7:$I$256,$D$7:$D$256,W91,$H$7:$H$256,"P6"))</f>
        <v>0</v>
      </c>
      <c r="Z91" s="1" t="n">
        <f aca="false">X91+Y91</f>
        <v>0</v>
      </c>
      <c r="AA91" s="1" t="n">
        <f aca="false">IF(Z91&gt;0,Z91+(201-85)/10^6,0)</f>
        <v>0</v>
      </c>
      <c r="AB91" s="1"/>
      <c r="AC91" s="1"/>
      <c r="AD91" s="1"/>
      <c r="AE91" s="1"/>
      <c r="AF91" s="1"/>
      <c r="AG91" s="1"/>
      <c r="AH91" s="1"/>
    </row>
    <row r="92" customFormat="false" ht="15" hidden="false" customHeight="false" outlineLevel="0" collapsed="false">
      <c r="A92" s="1"/>
      <c r="B92" s="10"/>
      <c r="C92" s="31" t="str">
        <f aca="false">IF(B92="","",TEXT(B92,"ddd"))</f>
        <v/>
      </c>
      <c r="D92" s="11"/>
      <c r="E92" s="8" t="str">
        <f aca="false">IF(D92="","",IFERROR(INDEX(ProjNumbers,MATCH(D92,ProjNames,0)),""))</f>
        <v/>
      </c>
      <c r="F92" s="8" t="str">
        <f aca="false">IF(D92="","",IFERROR(INDEX(ProjCodes,MATCH(D92,ProjNames,0)),""))</f>
        <v/>
      </c>
      <c r="G92" s="32"/>
      <c r="H92" s="11"/>
      <c r="I92" s="33"/>
      <c r="J92" s="8" t="str">
        <f aca="false">IF(COUNTA(B92,D92,G92,H92,I92)=0,"",IF(B92="","Enter date",IF(OR(B92&lt;$AC$2,B92&gt;$AC$3),"Date not in November",IF(D92="","Pick project",IF(ISNA(MATCH(D92,ProjNames,0)),"Project not in list",IF(G92="","Add task description",IF(H92="","Pick NTIME or P6",IF(N(I92)&lt;=0,"Enter hours",IF(AND(AllowOT&lt;&gt;"Yes",SUMIF($B$7:$B$256,B92,$I$7:$I$256)&gt;INDEX($O$58:$O$87,DAY(B92))),"Day over "&amp;INDEX($O$58:$O$87,DAY(B92))&amp;" h","✓")))))))))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tr">
        <f aca="false">IF(Projects!B90="","",Projects!B90)</f>
        <v/>
      </c>
      <c r="X92" s="1" t="n">
        <f aca="false">IF(W92="",0,SUMIFS($I$7:$I$256,$D$7:$D$256,W92,$H$7:$H$256,"NTIME"))</f>
        <v>0</v>
      </c>
      <c r="Y92" s="1" t="n">
        <f aca="false">IF(W92="",0,SUMIFS($I$7:$I$256,$D$7:$D$256,W92,$H$7:$H$256,"P6"))</f>
        <v>0</v>
      </c>
      <c r="Z92" s="1" t="n">
        <f aca="false">X92+Y92</f>
        <v>0</v>
      </c>
      <c r="AA92" s="1" t="n">
        <f aca="false">IF(Z92&gt;0,Z92+(201-86)/10^6,0)</f>
        <v>0</v>
      </c>
      <c r="AB92" s="1"/>
      <c r="AC92" s="1"/>
      <c r="AD92" s="1"/>
      <c r="AE92" s="1"/>
      <c r="AF92" s="1"/>
      <c r="AG92" s="1"/>
      <c r="AH92" s="1"/>
    </row>
    <row r="93" customFormat="false" ht="15" hidden="false" customHeight="false" outlineLevel="0" collapsed="false">
      <c r="A93" s="1"/>
      <c r="B93" s="10"/>
      <c r="C93" s="31" t="str">
        <f aca="false">IF(B93="","",TEXT(B93,"ddd"))</f>
        <v/>
      </c>
      <c r="D93" s="11"/>
      <c r="E93" s="8" t="str">
        <f aca="false">IF(D93="","",IFERROR(INDEX(ProjNumbers,MATCH(D93,ProjNames,0)),""))</f>
        <v/>
      </c>
      <c r="F93" s="8" t="str">
        <f aca="false">IF(D93="","",IFERROR(INDEX(ProjCodes,MATCH(D93,ProjNames,0)),""))</f>
        <v/>
      </c>
      <c r="G93" s="32"/>
      <c r="H93" s="11"/>
      <c r="I93" s="33"/>
      <c r="J93" s="8" t="str">
        <f aca="false">IF(COUNTA(B93,D93,G93,H93,I93)=0,"",IF(B93="","Enter date",IF(OR(B93&lt;$AC$2,B93&gt;$AC$3),"Date not in November",IF(D93="","Pick project",IF(ISNA(MATCH(D93,ProjNames,0)),"Project not in list",IF(G93="","Add task description",IF(H93="","Pick NTIME or P6",IF(N(I93)&lt;=0,"Enter hours",IF(AND(AllowOT&lt;&gt;"Yes",SUMIF($B$7:$B$256,B93,$I$7:$I$256)&gt;INDEX($O$58:$O$87,DAY(B93))),"Day over "&amp;INDEX($O$58:$O$87,DAY(B93))&amp;" h","✓")))))))))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tr">
        <f aca="false">IF(Projects!B91="","",Projects!B91)</f>
        <v/>
      </c>
      <c r="X93" s="1" t="n">
        <f aca="false">IF(W93="",0,SUMIFS($I$7:$I$256,$D$7:$D$256,W93,$H$7:$H$256,"NTIME"))</f>
        <v>0</v>
      </c>
      <c r="Y93" s="1" t="n">
        <f aca="false">IF(W93="",0,SUMIFS($I$7:$I$256,$D$7:$D$256,W93,$H$7:$H$256,"P6"))</f>
        <v>0</v>
      </c>
      <c r="Z93" s="1" t="n">
        <f aca="false">X93+Y93</f>
        <v>0</v>
      </c>
      <c r="AA93" s="1" t="n">
        <f aca="false">IF(Z93&gt;0,Z93+(201-87)/10^6,0)</f>
        <v>0</v>
      </c>
      <c r="AB93" s="1"/>
      <c r="AC93" s="1"/>
      <c r="AD93" s="1"/>
      <c r="AE93" s="1"/>
      <c r="AF93" s="1"/>
      <c r="AG93" s="1"/>
      <c r="AH93" s="1"/>
    </row>
    <row r="94" customFormat="false" ht="15" hidden="false" customHeight="false" outlineLevel="0" collapsed="false">
      <c r="A94" s="1"/>
      <c r="B94" s="10"/>
      <c r="C94" s="31" t="str">
        <f aca="false">IF(B94="","",TEXT(B94,"ddd"))</f>
        <v/>
      </c>
      <c r="D94" s="11"/>
      <c r="E94" s="8" t="str">
        <f aca="false">IF(D94="","",IFERROR(INDEX(ProjNumbers,MATCH(D94,ProjNames,0)),""))</f>
        <v/>
      </c>
      <c r="F94" s="8" t="str">
        <f aca="false">IF(D94="","",IFERROR(INDEX(ProjCodes,MATCH(D94,ProjNames,0)),""))</f>
        <v/>
      </c>
      <c r="G94" s="32"/>
      <c r="H94" s="11"/>
      <c r="I94" s="33"/>
      <c r="J94" s="8" t="str">
        <f aca="false">IF(COUNTA(B94,D94,G94,H94,I94)=0,"",IF(B94="","Enter date",IF(OR(B94&lt;$AC$2,B94&gt;$AC$3),"Date not in November",IF(D94="","Pick project",IF(ISNA(MATCH(D94,ProjNames,0)),"Project not in list",IF(G94="","Add task description",IF(H94="","Pick NTIME or P6",IF(N(I94)&lt;=0,"Enter hours",IF(AND(AllowOT&lt;&gt;"Yes",SUMIF($B$7:$B$256,B94,$I$7:$I$256)&gt;INDEX($O$58:$O$87,DAY(B94))),"Day over "&amp;INDEX($O$58:$O$87,DAY(B94))&amp;" h","✓")))))))))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tr">
        <f aca="false">IF(Projects!B92="","",Projects!B92)</f>
        <v/>
      </c>
      <c r="X94" s="1" t="n">
        <f aca="false">IF(W94="",0,SUMIFS($I$7:$I$256,$D$7:$D$256,W94,$H$7:$H$256,"NTIME"))</f>
        <v>0</v>
      </c>
      <c r="Y94" s="1" t="n">
        <f aca="false">IF(W94="",0,SUMIFS($I$7:$I$256,$D$7:$D$256,W94,$H$7:$H$256,"P6"))</f>
        <v>0</v>
      </c>
      <c r="Z94" s="1" t="n">
        <f aca="false">X94+Y94</f>
        <v>0</v>
      </c>
      <c r="AA94" s="1" t="n">
        <f aca="false">IF(Z94&gt;0,Z94+(201-88)/10^6,0)</f>
        <v>0</v>
      </c>
      <c r="AB94" s="1"/>
      <c r="AC94" s="1"/>
      <c r="AD94" s="1"/>
      <c r="AE94" s="1"/>
      <c r="AF94" s="1"/>
      <c r="AG94" s="1"/>
      <c r="AH94" s="1"/>
    </row>
    <row r="95" customFormat="false" ht="15" hidden="false" customHeight="false" outlineLevel="0" collapsed="false">
      <c r="A95" s="1"/>
      <c r="B95" s="10"/>
      <c r="C95" s="31" t="str">
        <f aca="false">IF(B95="","",TEXT(B95,"ddd"))</f>
        <v/>
      </c>
      <c r="D95" s="11"/>
      <c r="E95" s="8" t="str">
        <f aca="false">IF(D95="","",IFERROR(INDEX(ProjNumbers,MATCH(D95,ProjNames,0)),""))</f>
        <v/>
      </c>
      <c r="F95" s="8" t="str">
        <f aca="false">IF(D95="","",IFERROR(INDEX(ProjCodes,MATCH(D95,ProjNames,0)),""))</f>
        <v/>
      </c>
      <c r="G95" s="32"/>
      <c r="H95" s="11"/>
      <c r="I95" s="33"/>
      <c r="J95" s="8" t="str">
        <f aca="false">IF(COUNTA(B95,D95,G95,H95,I95)=0,"",IF(B95="","Enter date",IF(OR(B95&lt;$AC$2,B95&gt;$AC$3),"Date not in November",IF(D95="","Pick project",IF(ISNA(MATCH(D95,ProjNames,0)),"Project not in list",IF(G95="","Add task description",IF(H95="","Pick NTIME or P6",IF(N(I95)&lt;=0,"Enter hours",IF(AND(AllowOT&lt;&gt;"Yes",SUMIF($B$7:$B$256,B95,$I$7:$I$256)&gt;INDEX($O$58:$O$87,DAY(B95))),"Day over "&amp;INDEX($O$58:$O$87,DAY(B95))&amp;" h","✓")))))))))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tr">
        <f aca="false">IF(Projects!B93="","",Projects!B93)</f>
        <v/>
      </c>
      <c r="X95" s="1" t="n">
        <f aca="false">IF(W95="",0,SUMIFS($I$7:$I$256,$D$7:$D$256,W95,$H$7:$H$256,"NTIME"))</f>
        <v>0</v>
      </c>
      <c r="Y95" s="1" t="n">
        <f aca="false">IF(W95="",0,SUMIFS($I$7:$I$256,$D$7:$D$256,W95,$H$7:$H$256,"P6"))</f>
        <v>0</v>
      </c>
      <c r="Z95" s="1" t="n">
        <f aca="false">X95+Y95</f>
        <v>0</v>
      </c>
      <c r="AA95" s="1" t="n">
        <f aca="false">IF(Z95&gt;0,Z95+(201-89)/10^6,0)</f>
        <v>0</v>
      </c>
      <c r="AB95" s="1"/>
      <c r="AC95" s="1"/>
      <c r="AD95" s="1"/>
      <c r="AE95" s="1"/>
      <c r="AF95" s="1"/>
      <c r="AG95" s="1"/>
      <c r="AH95" s="1"/>
    </row>
    <row r="96" customFormat="false" ht="15" hidden="false" customHeight="false" outlineLevel="0" collapsed="false">
      <c r="A96" s="1"/>
      <c r="B96" s="10"/>
      <c r="C96" s="31" t="str">
        <f aca="false">IF(B96="","",TEXT(B96,"ddd"))</f>
        <v/>
      </c>
      <c r="D96" s="11"/>
      <c r="E96" s="8" t="str">
        <f aca="false">IF(D96="","",IFERROR(INDEX(ProjNumbers,MATCH(D96,ProjNames,0)),""))</f>
        <v/>
      </c>
      <c r="F96" s="8" t="str">
        <f aca="false">IF(D96="","",IFERROR(INDEX(ProjCodes,MATCH(D96,ProjNames,0)),""))</f>
        <v/>
      </c>
      <c r="G96" s="32"/>
      <c r="H96" s="11"/>
      <c r="I96" s="33"/>
      <c r="J96" s="8" t="str">
        <f aca="false">IF(COUNTA(B96,D96,G96,H96,I96)=0,"",IF(B96="","Enter date",IF(OR(B96&lt;$AC$2,B96&gt;$AC$3),"Date not in November",IF(D96="","Pick project",IF(ISNA(MATCH(D96,ProjNames,0)),"Project not in list",IF(G96="","Add task description",IF(H96="","Pick NTIME or P6",IF(N(I96)&lt;=0,"Enter hours",IF(AND(AllowOT&lt;&gt;"Yes",SUMIF($B$7:$B$256,B96,$I$7:$I$256)&gt;INDEX($O$58:$O$87,DAY(B96))),"Day over "&amp;INDEX($O$58:$O$87,DAY(B96))&amp;" h","✓")))))))))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tr">
        <f aca="false">IF(Projects!B94="","",Projects!B94)</f>
        <v/>
      </c>
      <c r="X96" s="1" t="n">
        <f aca="false">IF(W96="",0,SUMIFS($I$7:$I$256,$D$7:$D$256,W96,$H$7:$H$256,"NTIME"))</f>
        <v>0</v>
      </c>
      <c r="Y96" s="1" t="n">
        <f aca="false">IF(W96="",0,SUMIFS($I$7:$I$256,$D$7:$D$256,W96,$H$7:$H$256,"P6"))</f>
        <v>0</v>
      </c>
      <c r="Z96" s="1" t="n">
        <f aca="false">X96+Y96</f>
        <v>0</v>
      </c>
      <c r="AA96" s="1" t="n">
        <f aca="false">IF(Z96&gt;0,Z96+(201-90)/10^6,0)</f>
        <v>0</v>
      </c>
      <c r="AB96" s="1"/>
      <c r="AC96" s="1"/>
      <c r="AD96" s="1"/>
      <c r="AE96" s="1"/>
      <c r="AF96" s="1"/>
      <c r="AG96" s="1"/>
      <c r="AH96" s="1"/>
    </row>
    <row r="97" customFormat="false" ht="15" hidden="false" customHeight="false" outlineLevel="0" collapsed="false">
      <c r="A97" s="1"/>
      <c r="B97" s="10"/>
      <c r="C97" s="31" t="str">
        <f aca="false">IF(B97="","",TEXT(B97,"ddd"))</f>
        <v/>
      </c>
      <c r="D97" s="11"/>
      <c r="E97" s="8" t="str">
        <f aca="false">IF(D97="","",IFERROR(INDEX(ProjNumbers,MATCH(D97,ProjNames,0)),""))</f>
        <v/>
      </c>
      <c r="F97" s="8" t="str">
        <f aca="false">IF(D97="","",IFERROR(INDEX(ProjCodes,MATCH(D97,ProjNames,0)),""))</f>
        <v/>
      </c>
      <c r="G97" s="32"/>
      <c r="H97" s="11"/>
      <c r="I97" s="33"/>
      <c r="J97" s="8" t="str">
        <f aca="false">IF(COUNTA(B97,D97,G97,H97,I97)=0,"",IF(B97="","Enter date",IF(OR(B97&lt;$AC$2,B97&gt;$AC$3),"Date not in November",IF(D97="","Pick project",IF(ISNA(MATCH(D97,ProjNames,0)),"Project not in list",IF(G97="","Add task description",IF(H97="","Pick NTIME or P6",IF(N(I97)&lt;=0,"Enter hours",IF(AND(AllowOT&lt;&gt;"Yes",SUMIF($B$7:$B$256,B97,$I$7:$I$256)&gt;INDEX($O$58:$O$87,DAY(B97))),"Day over "&amp;INDEX($O$58:$O$87,DAY(B97))&amp;" h","✓")))))))))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tr">
        <f aca="false">IF(Projects!B95="","",Projects!B95)</f>
        <v/>
      </c>
      <c r="X97" s="1" t="n">
        <f aca="false">IF(W97="",0,SUMIFS($I$7:$I$256,$D$7:$D$256,W97,$H$7:$H$256,"NTIME"))</f>
        <v>0</v>
      </c>
      <c r="Y97" s="1" t="n">
        <f aca="false">IF(W97="",0,SUMIFS($I$7:$I$256,$D$7:$D$256,W97,$H$7:$H$256,"P6"))</f>
        <v>0</v>
      </c>
      <c r="Z97" s="1" t="n">
        <f aca="false">X97+Y97</f>
        <v>0</v>
      </c>
      <c r="AA97" s="1" t="n">
        <f aca="false">IF(Z97&gt;0,Z97+(201-91)/10^6,0)</f>
        <v>0</v>
      </c>
      <c r="AB97" s="1"/>
      <c r="AC97" s="1"/>
      <c r="AD97" s="1"/>
      <c r="AE97" s="1"/>
      <c r="AF97" s="1"/>
      <c r="AG97" s="1"/>
      <c r="AH97" s="1"/>
    </row>
    <row r="98" customFormat="false" ht="15" hidden="false" customHeight="false" outlineLevel="0" collapsed="false">
      <c r="A98" s="1"/>
      <c r="B98" s="10"/>
      <c r="C98" s="31" t="str">
        <f aca="false">IF(B98="","",TEXT(B98,"ddd"))</f>
        <v/>
      </c>
      <c r="D98" s="11"/>
      <c r="E98" s="8" t="str">
        <f aca="false">IF(D98="","",IFERROR(INDEX(ProjNumbers,MATCH(D98,ProjNames,0)),""))</f>
        <v/>
      </c>
      <c r="F98" s="8" t="str">
        <f aca="false">IF(D98="","",IFERROR(INDEX(ProjCodes,MATCH(D98,ProjNames,0)),""))</f>
        <v/>
      </c>
      <c r="G98" s="32"/>
      <c r="H98" s="11"/>
      <c r="I98" s="33"/>
      <c r="J98" s="8" t="str">
        <f aca="false">IF(COUNTA(B98,D98,G98,H98,I98)=0,"",IF(B98="","Enter date",IF(OR(B98&lt;$AC$2,B98&gt;$AC$3),"Date not in November",IF(D98="","Pick project",IF(ISNA(MATCH(D98,ProjNames,0)),"Project not in list",IF(G98="","Add task description",IF(H98="","Pick NTIME or P6",IF(N(I98)&lt;=0,"Enter hours",IF(AND(AllowOT&lt;&gt;"Yes",SUMIF($B$7:$B$256,B98,$I$7:$I$256)&gt;INDEX($O$58:$O$87,DAY(B98))),"Day over "&amp;INDEX($O$58:$O$87,DAY(B98))&amp;" h","✓")))))))))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tr">
        <f aca="false">IF(Projects!B96="","",Projects!B96)</f>
        <v/>
      </c>
      <c r="X98" s="1" t="n">
        <f aca="false">IF(W98="",0,SUMIFS($I$7:$I$256,$D$7:$D$256,W98,$H$7:$H$256,"NTIME"))</f>
        <v>0</v>
      </c>
      <c r="Y98" s="1" t="n">
        <f aca="false">IF(W98="",0,SUMIFS($I$7:$I$256,$D$7:$D$256,W98,$H$7:$H$256,"P6"))</f>
        <v>0</v>
      </c>
      <c r="Z98" s="1" t="n">
        <f aca="false">X98+Y98</f>
        <v>0</v>
      </c>
      <c r="AA98" s="1" t="n">
        <f aca="false">IF(Z98&gt;0,Z98+(201-92)/10^6,0)</f>
        <v>0</v>
      </c>
      <c r="AB98" s="1"/>
      <c r="AC98" s="1"/>
      <c r="AD98" s="1"/>
      <c r="AE98" s="1"/>
      <c r="AF98" s="1"/>
      <c r="AG98" s="1"/>
      <c r="AH98" s="1"/>
    </row>
    <row r="99" customFormat="false" ht="15" hidden="false" customHeight="false" outlineLevel="0" collapsed="false">
      <c r="A99" s="1"/>
      <c r="B99" s="10"/>
      <c r="C99" s="31" t="str">
        <f aca="false">IF(B99="","",TEXT(B99,"ddd"))</f>
        <v/>
      </c>
      <c r="D99" s="11"/>
      <c r="E99" s="8" t="str">
        <f aca="false">IF(D99="","",IFERROR(INDEX(ProjNumbers,MATCH(D99,ProjNames,0)),""))</f>
        <v/>
      </c>
      <c r="F99" s="8" t="str">
        <f aca="false">IF(D99="","",IFERROR(INDEX(ProjCodes,MATCH(D99,ProjNames,0)),""))</f>
        <v/>
      </c>
      <c r="G99" s="32"/>
      <c r="H99" s="11"/>
      <c r="I99" s="33"/>
      <c r="J99" s="8" t="str">
        <f aca="false">IF(COUNTA(B99,D99,G99,H99,I99)=0,"",IF(B99="","Enter date",IF(OR(B99&lt;$AC$2,B99&gt;$AC$3),"Date not in November",IF(D99="","Pick project",IF(ISNA(MATCH(D99,ProjNames,0)),"Project not in list",IF(G99="","Add task description",IF(H99="","Pick NTIME or P6",IF(N(I99)&lt;=0,"Enter hours",IF(AND(AllowOT&lt;&gt;"Yes",SUMIF($B$7:$B$256,B99,$I$7:$I$256)&gt;INDEX($O$58:$O$87,DAY(B99))),"Day over "&amp;INDEX($O$58:$O$87,DAY(B99))&amp;" h","✓")))))))))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tr">
        <f aca="false">IF(Projects!B97="","",Projects!B97)</f>
        <v/>
      </c>
      <c r="X99" s="1" t="n">
        <f aca="false">IF(W99="",0,SUMIFS($I$7:$I$256,$D$7:$D$256,W99,$H$7:$H$256,"NTIME"))</f>
        <v>0</v>
      </c>
      <c r="Y99" s="1" t="n">
        <f aca="false">IF(W99="",0,SUMIFS($I$7:$I$256,$D$7:$D$256,W99,$H$7:$H$256,"P6"))</f>
        <v>0</v>
      </c>
      <c r="Z99" s="1" t="n">
        <f aca="false">X99+Y99</f>
        <v>0</v>
      </c>
      <c r="AA99" s="1" t="n">
        <f aca="false">IF(Z99&gt;0,Z99+(201-93)/10^6,0)</f>
        <v>0</v>
      </c>
      <c r="AB99" s="1"/>
      <c r="AC99" s="1"/>
      <c r="AD99" s="1"/>
      <c r="AE99" s="1"/>
      <c r="AF99" s="1"/>
      <c r="AG99" s="1"/>
      <c r="AH99" s="1"/>
    </row>
    <row r="100" customFormat="false" ht="15" hidden="false" customHeight="false" outlineLevel="0" collapsed="false">
      <c r="A100" s="1"/>
      <c r="B100" s="10"/>
      <c r="C100" s="31" t="str">
        <f aca="false">IF(B100="","",TEXT(B100,"ddd"))</f>
        <v/>
      </c>
      <c r="D100" s="11"/>
      <c r="E100" s="8" t="str">
        <f aca="false">IF(D100="","",IFERROR(INDEX(ProjNumbers,MATCH(D100,ProjNames,0)),""))</f>
        <v/>
      </c>
      <c r="F100" s="8" t="str">
        <f aca="false">IF(D100="","",IFERROR(INDEX(ProjCodes,MATCH(D100,ProjNames,0)),""))</f>
        <v/>
      </c>
      <c r="G100" s="32"/>
      <c r="H100" s="11"/>
      <c r="I100" s="33"/>
      <c r="J100" s="8" t="str">
        <f aca="false">IF(COUNTA(B100,D100,G100,H100,I100)=0,"",IF(B100="","Enter date",IF(OR(B100&lt;$AC$2,B100&gt;$AC$3),"Date not in November",IF(D100="","Pick project",IF(ISNA(MATCH(D100,ProjNames,0)),"Project not in list",IF(G100="","Add task description",IF(H100="","Pick NTIME or P6",IF(N(I100)&lt;=0,"Enter hours",IF(AND(AllowOT&lt;&gt;"Yes",SUMIF($B$7:$B$256,B100,$I$7:$I$256)&gt;INDEX($O$58:$O$87,DAY(B100))),"Day over "&amp;INDEX($O$58:$O$87,DAY(B100))&amp;" h","✓")))))))))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tr">
        <f aca="false">IF(Projects!B98="","",Projects!B98)</f>
        <v/>
      </c>
      <c r="X100" s="1" t="n">
        <f aca="false">IF(W100="",0,SUMIFS($I$7:$I$256,$D$7:$D$256,W100,$H$7:$H$256,"NTIME"))</f>
        <v>0</v>
      </c>
      <c r="Y100" s="1" t="n">
        <f aca="false">IF(W100="",0,SUMIFS($I$7:$I$256,$D$7:$D$256,W100,$H$7:$H$256,"P6"))</f>
        <v>0</v>
      </c>
      <c r="Z100" s="1" t="n">
        <f aca="false">X100+Y100</f>
        <v>0</v>
      </c>
      <c r="AA100" s="1" t="n">
        <f aca="false">IF(Z100&gt;0,Z100+(201-94)/10^6,0)</f>
        <v>0</v>
      </c>
      <c r="AB100" s="1"/>
      <c r="AC100" s="1"/>
      <c r="AD100" s="1"/>
      <c r="AE100" s="1"/>
      <c r="AF100" s="1"/>
      <c r="AG100" s="1"/>
      <c r="AH100" s="1"/>
    </row>
    <row r="101" customFormat="false" ht="15" hidden="false" customHeight="false" outlineLevel="0" collapsed="false">
      <c r="A101" s="1"/>
      <c r="B101" s="10"/>
      <c r="C101" s="31" t="str">
        <f aca="false">IF(B101="","",TEXT(B101,"ddd"))</f>
        <v/>
      </c>
      <c r="D101" s="11"/>
      <c r="E101" s="8" t="str">
        <f aca="false">IF(D101="","",IFERROR(INDEX(ProjNumbers,MATCH(D101,ProjNames,0)),""))</f>
        <v/>
      </c>
      <c r="F101" s="8" t="str">
        <f aca="false">IF(D101="","",IFERROR(INDEX(ProjCodes,MATCH(D101,ProjNames,0)),""))</f>
        <v/>
      </c>
      <c r="G101" s="32"/>
      <c r="H101" s="11"/>
      <c r="I101" s="33"/>
      <c r="J101" s="8" t="str">
        <f aca="false">IF(COUNTA(B101,D101,G101,H101,I101)=0,"",IF(B101="","Enter date",IF(OR(B101&lt;$AC$2,B101&gt;$AC$3),"Date not in November",IF(D101="","Pick project",IF(ISNA(MATCH(D101,ProjNames,0)),"Project not in list",IF(G101="","Add task description",IF(H101="","Pick NTIME or P6",IF(N(I101)&lt;=0,"Enter hours",IF(AND(AllowOT&lt;&gt;"Yes",SUMIF($B$7:$B$256,B101,$I$7:$I$256)&gt;INDEX($O$58:$O$87,DAY(B101))),"Day over "&amp;INDEX($O$58:$O$87,DAY(B101))&amp;" h","✓")))))))))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aca="false">IF(Projects!B99="","",Projects!B99)</f>
        <v/>
      </c>
      <c r="X101" s="1" t="n">
        <f aca="false">IF(W101="",0,SUMIFS($I$7:$I$256,$D$7:$D$256,W101,$H$7:$H$256,"NTIME"))</f>
        <v>0</v>
      </c>
      <c r="Y101" s="1" t="n">
        <f aca="false">IF(W101="",0,SUMIFS($I$7:$I$256,$D$7:$D$256,W101,$H$7:$H$256,"P6"))</f>
        <v>0</v>
      </c>
      <c r="Z101" s="1" t="n">
        <f aca="false">X101+Y101</f>
        <v>0</v>
      </c>
      <c r="AA101" s="1" t="n">
        <f aca="false">IF(Z101&gt;0,Z101+(201-95)/10^6,0)</f>
        <v>0</v>
      </c>
      <c r="AB101" s="1"/>
      <c r="AC101" s="1"/>
      <c r="AD101" s="1"/>
      <c r="AE101" s="1"/>
      <c r="AF101" s="1"/>
      <c r="AG101" s="1"/>
      <c r="AH101" s="1"/>
    </row>
    <row r="102" customFormat="false" ht="15" hidden="false" customHeight="false" outlineLevel="0" collapsed="false">
      <c r="A102" s="1"/>
      <c r="B102" s="10"/>
      <c r="C102" s="31" t="str">
        <f aca="false">IF(B102="","",TEXT(B102,"ddd"))</f>
        <v/>
      </c>
      <c r="D102" s="11"/>
      <c r="E102" s="8" t="str">
        <f aca="false">IF(D102="","",IFERROR(INDEX(ProjNumbers,MATCH(D102,ProjNames,0)),""))</f>
        <v/>
      </c>
      <c r="F102" s="8" t="str">
        <f aca="false">IF(D102="","",IFERROR(INDEX(ProjCodes,MATCH(D102,ProjNames,0)),""))</f>
        <v/>
      </c>
      <c r="G102" s="32"/>
      <c r="H102" s="11"/>
      <c r="I102" s="33"/>
      <c r="J102" s="8" t="str">
        <f aca="false">IF(COUNTA(B102,D102,G102,H102,I102)=0,"",IF(B102="","Enter date",IF(OR(B102&lt;$AC$2,B102&gt;$AC$3),"Date not in November",IF(D102="","Pick project",IF(ISNA(MATCH(D102,ProjNames,0)),"Project not in list",IF(G102="","Add task description",IF(H102="","Pick NTIME or P6",IF(N(I102)&lt;=0,"Enter hours",IF(AND(AllowOT&lt;&gt;"Yes",SUMIF($B$7:$B$256,B102,$I$7:$I$256)&gt;INDEX($O$58:$O$87,DAY(B102))),"Day over "&amp;INDEX($O$58:$O$87,DAY(B102))&amp;" h","✓")))))))))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tr">
        <f aca="false">IF(Projects!B100="","",Projects!B100)</f>
        <v/>
      </c>
      <c r="X102" s="1" t="n">
        <f aca="false">IF(W102="",0,SUMIFS($I$7:$I$256,$D$7:$D$256,W102,$H$7:$H$256,"NTIME"))</f>
        <v>0</v>
      </c>
      <c r="Y102" s="1" t="n">
        <f aca="false">IF(W102="",0,SUMIFS($I$7:$I$256,$D$7:$D$256,W102,$H$7:$H$256,"P6"))</f>
        <v>0</v>
      </c>
      <c r="Z102" s="1" t="n">
        <f aca="false">X102+Y102</f>
        <v>0</v>
      </c>
      <c r="AA102" s="1" t="n">
        <f aca="false">IF(Z102&gt;0,Z102+(201-96)/10^6,0)</f>
        <v>0</v>
      </c>
      <c r="AB102" s="1"/>
      <c r="AC102" s="1"/>
      <c r="AD102" s="1"/>
      <c r="AE102" s="1"/>
      <c r="AF102" s="1"/>
      <c r="AG102" s="1"/>
      <c r="AH102" s="1"/>
    </row>
    <row r="103" customFormat="false" ht="15" hidden="false" customHeight="false" outlineLevel="0" collapsed="false">
      <c r="A103" s="1"/>
      <c r="B103" s="10"/>
      <c r="C103" s="31" t="str">
        <f aca="false">IF(B103="","",TEXT(B103,"ddd"))</f>
        <v/>
      </c>
      <c r="D103" s="11"/>
      <c r="E103" s="8" t="str">
        <f aca="false">IF(D103="","",IFERROR(INDEX(ProjNumbers,MATCH(D103,ProjNames,0)),""))</f>
        <v/>
      </c>
      <c r="F103" s="8" t="str">
        <f aca="false">IF(D103="","",IFERROR(INDEX(ProjCodes,MATCH(D103,ProjNames,0)),""))</f>
        <v/>
      </c>
      <c r="G103" s="32"/>
      <c r="H103" s="11"/>
      <c r="I103" s="33"/>
      <c r="J103" s="8" t="str">
        <f aca="false">IF(COUNTA(B103,D103,G103,H103,I103)=0,"",IF(B103="","Enter date",IF(OR(B103&lt;$AC$2,B103&gt;$AC$3),"Date not in November",IF(D103="","Pick project",IF(ISNA(MATCH(D103,ProjNames,0)),"Project not in list",IF(G103="","Add task description",IF(H103="","Pick NTIME or P6",IF(N(I103)&lt;=0,"Enter hours",IF(AND(AllowOT&lt;&gt;"Yes",SUMIF($B$7:$B$256,B103,$I$7:$I$256)&gt;INDEX($O$58:$O$87,DAY(B103))),"Day over "&amp;INDEX($O$58:$O$87,DAY(B103))&amp;" h","✓")))))))))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tr">
        <f aca="false">IF(Projects!B101="","",Projects!B101)</f>
        <v/>
      </c>
      <c r="X103" s="1" t="n">
        <f aca="false">IF(W103="",0,SUMIFS($I$7:$I$256,$D$7:$D$256,W103,$H$7:$H$256,"NTIME"))</f>
        <v>0</v>
      </c>
      <c r="Y103" s="1" t="n">
        <f aca="false">IF(W103="",0,SUMIFS($I$7:$I$256,$D$7:$D$256,W103,$H$7:$H$256,"P6"))</f>
        <v>0</v>
      </c>
      <c r="Z103" s="1" t="n">
        <f aca="false">X103+Y103</f>
        <v>0</v>
      </c>
      <c r="AA103" s="1" t="n">
        <f aca="false">IF(Z103&gt;0,Z103+(201-97)/10^6,0)</f>
        <v>0</v>
      </c>
      <c r="AB103" s="1"/>
      <c r="AC103" s="1"/>
      <c r="AD103" s="1"/>
      <c r="AE103" s="1"/>
      <c r="AF103" s="1"/>
      <c r="AG103" s="1"/>
      <c r="AH103" s="1"/>
    </row>
    <row r="104" customFormat="false" ht="15" hidden="false" customHeight="false" outlineLevel="0" collapsed="false">
      <c r="A104" s="1"/>
      <c r="B104" s="10"/>
      <c r="C104" s="31" t="str">
        <f aca="false">IF(B104="","",TEXT(B104,"ddd"))</f>
        <v/>
      </c>
      <c r="D104" s="11"/>
      <c r="E104" s="8" t="str">
        <f aca="false">IF(D104="","",IFERROR(INDEX(ProjNumbers,MATCH(D104,ProjNames,0)),""))</f>
        <v/>
      </c>
      <c r="F104" s="8" t="str">
        <f aca="false">IF(D104="","",IFERROR(INDEX(ProjCodes,MATCH(D104,ProjNames,0)),""))</f>
        <v/>
      </c>
      <c r="G104" s="32"/>
      <c r="H104" s="11"/>
      <c r="I104" s="33"/>
      <c r="J104" s="8" t="str">
        <f aca="false">IF(COUNTA(B104,D104,G104,H104,I104)=0,"",IF(B104="","Enter date",IF(OR(B104&lt;$AC$2,B104&gt;$AC$3),"Date not in November",IF(D104="","Pick project",IF(ISNA(MATCH(D104,ProjNames,0)),"Project not in list",IF(G104="","Add task description",IF(H104="","Pick NTIME or P6",IF(N(I104)&lt;=0,"Enter hours",IF(AND(AllowOT&lt;&gt;"Yes",SUMIF($B$7:$B$256,B104,$I$7:$I$256)&gt;INDEX($O$58:$O$87,DAY(B104))),"Day over "&amp;INDEX($O$58:$O$87,DAY(B104))&amp;" h","✓")))))))))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tr">
        <f aca="false">IF(Projects!B102="","",Projects!B102)</f>
        <v/>
      </c>
      <c r="X104" s="1" t="n">
        <f aca="false">IF(W104="",0,SUMIFS($I$7:$I$256,$D$7:$D$256,W104,$H$7:$H$256,"NTIME"))</f>
        <v>0</v>
      </c>
      <c r="Y104" s="1" t="n">
        <f aca="false">IF(W104="",0,SUMIFS($I$7:$I$256,$D$7:$D$256,W104,$H$7:$H$256,"P6"))</f>
        <v>0</v>
      </c>
      <c r="Z104" s="1" t="n">
        <f aca="false">X104+Y104</f>
        <v>0</v>
      </c>
      <c r="AA104" s="1" t="n">
        <f aca="false">IF(Z104&gt;0,Z104+(201-98)/10^6,0)</f>
        <v>0</v>
      </c>
      <c r="AB104" s="1"/>
      <c r="AC104" s="1"/>
      <c r="AD104" s="1"/>
      <c r="AE104" s="1"/>
      <c r="AF104" s="1"/>
      <c r="AG104" s="1"/>
      <c r="AH104" s="1"/>
    </row>
    <row r="105" customFormat="false" ht="15" hidden="false" customHeight="false" outlineLevel="0" collapsed="false">
      <c r="A105" s="1"/>
      <c r="B105" s="10"/>
      <c r="C105" s="31" t="str">
        <f aca="false">IF(B105="","",TEXT(B105,"ddd"))</f>
        <v/>
      </c>
      <c r="D105" s="11"/>
      <c r="E105" s="8" t="str">
        <f aca="false">IF(D105="","",IFERROR(INDEX(ProjNumbers,MATCH(D105,ProjNames,0)),""))</f>
        <v/>
      </c>
      <c r="F105" s="8" t="str">
        <f aca="false">IF(D105="","",IFERROR(INDEX(ProjCodes,MATCH(D105,ProjNames,0)),""))</f>
        <v/>
      </c>
      <c r="G105" s="32"/>
      <c r="H105" s="11"/>
      <c r="I105" s="33"/>
      <c r="J105" s="8" t="str">
        <f aca="false">IF(COUNTA(B105,D105,G105,H105,I105)=0,"",IF(B105="","Enter date",IF(OR(B105&lt;$AC$2,B105&gt;$AC$3),"Date not in November",IF(D105="","Pick project",IF(ISNA(MATCH(D105,ProjNames,0)),"Project not in list",IF(G105="","Add task description",IF(H105="","Pick NTIME or P6",IF(N(I105)&lt;=0,"Enter hours",IF(AND(AllowOT&lt;&gt;"Yes",SUMIF($B$7:$B$256,B105,$I$7:$I$256)&gt;INDEX($O$58:$O$87,DAY(B105))),"Day over "&amp;INDEX($O$58:$O$87,DAY(B105))&amp;" h","✓")))))))))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tr">
        <f aca="false">IF(Projects!B103="","",Projects!B103)</f>
        <v/>
      </c>
      <c r="X105" s="1" t="n">
        <f aca="false">IF(W105="",0,SUMIFS($I$7:$I$256,$D$7:$D$256,W105,$H$7:$H$256,"NTIME"))</f>
        <v>0</v>
      </c>
      <c r="Y105" s="1" t="n">
        <f aca="false">IF(W105="",0,SUMIFS($I$7:$I$256,$D$7:$D$256,W105,$H$7:$H$256,"P6"))</f>
        <v>0</v>
      </c>
      <c r="Z105" s="1" t="n">
        <f aca="false">X105+Y105</f>
        <v>0</v>
      </c>
      <c r="AA105" s="1" t="n">
        <f aca="false">IF(Z105&gt;0,Z105+(201-99)/10^6,0)</f>
        <v>0</v>
      </c>
      <c r="AB105" s="1"/>
      <c r="AC105" s="1"/>
      <c r="AD105" s="1"/>
      <c r="AE105" s="1"/>
      <c r="AF105" s="1"/>
      <c r="AG105" s="1"/>
      <c r="AH105" s="1"/>
    </row>
    <row r="106" customFormat="false" ht="15" hidden="false" customHeight="false" outlineLevel="0" collapsed="false">
      <c r="A106" s="1"/>
      <c r="B106" s="10"/>
      <c r="C106" s="31" t="str">
        <f aca="false">IF(B106="","",TEXT(B106,"ddd"))</f>
        <v/>
      </c>
      <c r="D106" s="11"/>
      <c r="E106" s="8" t="str">
        <f aca="false">IF(D106="","",IFERROR(INDEX(ProjNumbers,MATCH(D106,ProjNames,0)),""))</f>
        <v/>
      </c>
      <c r="F106" s="8" t="str">
        <f aca="false">IF(D106="","",IFERROR(INDEX(ProjCodes,MATCH(D106,ProjNames,0)),""))</f>
        <v/>
      </c>
      <c r="G106" s="32"/>
      <c r="H106" s="11"/>
      <c r="I106" s="33"/>
      <c r="J106" s="8" t="str">
        <f aca="false">IF(COUNTA(B106,D106,G106,H106,I106)=0,"",IF(B106="","Enter date",IF(OR(B106&lt;$AC$2,B106&gt;$AC$3),"Date not in November",IF(D106="","Pick project",IF(ISNA(MATCH(D106,ProjNames,0)),"Project not in list",IF(G106="","Add task description",IF(H106="","Pick NTIME or P6",IF(N(I106)&lt;=0,"Enter hours",IF(AND(AllowOT&lt;&gt;"Yes",SUMIF($B$7:$B$256,B106,$I$7:$I$256)&gt;INDEX($O$58:$O$87,DAY(B106))),"Day over "&amp;INDEX($O$58:$O$87,DAY(B106))&amp;" h","✓")))))))))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tr">
        <f aca="false">IF(Projects!B104="","",Projects!B104)</f>
        <v/>
      </c>
      <c r="X106" s="1" t="n">
        <f aca="false">IF(W106="",0,SUMIFS($I$7:$I$256,$D$7:$D$256,W106,$H$7:$H$256,"NTIME"))</f>
        <v>0</v>
      </c>
      <c r="Y106" s="1" t="n">
        <f aca="false">IF(W106="",0,SUMIFS($I$7:$I$256,$D$7:$D$256,W106,$H$7:$H$256,"P6"))</f>
        <v>0</v>
      </c>
      <c r="Z106" s="1" t="n">
        <f aca="false">X106+Y106</f>
        <v>0</v>
      </c>
      <c r="AA106" s="1" t="n">
        <f aca="false">IF(Z106&gt;0,Z106+(201-100)/10^6,0)</f>
        <v>0</v>
      </c>
      <c r="AB106" s="1"/>
      <c r="AC106" s="1"/>
      <c r="AD106" s="1"/>
      <c r="AE106" s="1"/>
      <c r="AF106" s="1"/>
      <c r="AG106" s="1"/>
      <c r="AH106" s="1"/>
    </row>
    <row r="107" customFormat="false" ht="15" hidden="false" customHeight="false" outlineLevel="0" collapsed="false">
      <c r="A107" s="1"/>
      <c r="B107" s="10"/>
      <c r="C107" s="31" t="str">
        <f aca="false">IF(B107="","",TEXT(B107,"ddd"))</f>
        <v/>
      </c>
      <c r="D107" s="11"/>
      <c r="E107" s="8" t="str">
        <f aca="false">IF(D107="","",IFERROR(INDEX(ProjNumbers,MATCH(D107,ProjNames,0)),""))</f>
        <v/>
      </c>
      <c r="F107" s="8" t="str">
        <f aca="false">IF(D107="","",IFERROR(INDEX(ProjCodes,MATCH(D107,ProjNames,0)),""))</f>
        <v/>
      </c>
      <c r="G107" s="32"/>
      <c r="H107" s="11"/>
      <c r="I107" s="33"/>
      <c r="J107" s="8" t="str">
        <f aca="false">IF(COUNTA(B107,D107,G107,H107,I107)=0,"",IF(B107="","Enter date",IF(OR(B107&lt;$AC$2,B107&gt;$AC$3),"Date not in November",IF(D107="","Pick project",IF(ISNA(MATCH(D107,ProjNames,0)),"Project not in list",IF(G107="","Add task description",IF(H107="","Pick NTIME or P6",IF(N(I107)&lt;=0,"Enter hours",IF(AND(AllowOT&lt;&gt;"Yes",SUMIF($B$7:$B$256,B107,$I$7:$I$256)&gt;INDEX($O$58:$O$87,DAY(B107))),"Day over "&amp;INDEX($O$58:$O$87,DAY(B107))&amp;" h","✓")))))))))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tr">
        <f aca="false">IF(Projects!B105="","",Projects!B105)</f>
        <v/>
      </c>
      <c r="X107" s="1" t="n">
        <f aca="false">IF(W107="",0,SUMIFS($I$7:$I$256,$D$7:$D$256,W107,$H$7:$H$256,"NTIME"))</f>
        <v>0</v>
      </c>
      <c r="Y107" s="1" t="n">
        <f aca="false">IF(W107="",0,SUMIFS($I$7:$I$256,$D$7:$D$256,W107,$H$7:$H$256,"P6"))</f>
        <v>0</v>
      </c>
      <c r="Z107" s="1" t="n">
        <f aca="false">X107+Y107</f>
        <v>0</v>
      </c>
      <c r="AA107" s="1" t="n">
        <f aca="false">IF(Z107&gt;0,Z107+(201-101)/10^6,0)</f>
        <v>0</v>
      </c>
      <c r="AB107" s="1"/>
      <c r="AC107" s="1"/>
      <c r="AD107" s="1"/>
      <c r="AE107" s="1"/>
      <c r="AF107" s="1"/>
      <c r="AG107" s="1"/>
      <c r="AH107" s="1"/>
    </row>
    <row r="108" customFormat="false" ht="15" hidden="false" customHeight="false" outlineLevel="0" collapsed="false">
      <c r="A108" s="1"/>
      <c r="B108" s="10"/>
      <c r="C108" s="31" t="str">
        <f aca="false">IF(B108="","",TEXT(B108,"ddd"))</f>
        <v/>
      </c>
      <c r="D108" s="11"/>
      <c r="E108" s="8" t="str">
        <f aca="false">IF(D108="","",IFERROR(INDEX(ProjNumbers,MATCH(D108,ProjNames,0)),""))</f>
        <v/>
      </c>
      <c r="F108" s="8" t="str">
        <f aca="false">IF(D108="","",IFERROR(INDEX(ProjCodes,MATCH(D108,ProjNames,0)),""))</f>
        <v/>
      </c>
      <c r="G108" s="32"/>
      <c r="H108" s="11"/>
      <c r="I108" s="33"/>
      <c r="J108" s="8" t="str">
        <f aca="false">IF(COUNTA(B108,D108,G108,H108,I108)=0,"",IF(B108="","Enter date",IF(OR(B108&lt;$AC$2,B108&gt;$AC$3),"Date not in November",IF(D108="","Pick project",IF(ISNA(MATCH(D108,ProjNames,0)),"Project not in list",IF(G108="","Add task description",IF(H108="","Pick NTIME or P6",IF(N(I108)&lt;=0,"Enter hours",IF(AND(AllowOT&lt;&gt;"Yes",SUMIF($B$7:$B$256,B108,$I$7:$I$256)&gt;INDEX($O$58:$O$87,DAY(B108))),"Day over "&amp;INDEX($O$58:$O$87,DAY(B108))&amp;" h","✓")))))))))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aca="false">IF(Projects!B106="","",Projects!B106)</f>
        <v/>
      </c>
      <c r="X108" s="1" t="n">
        <f aca="false">IF(W108="",0,SUMIFS($I$7:$I$256,$D$7:$D$256,W108,$H$7:$H$256,"NTIME"))</f>
        <v>0</v>
      </c>
      <c r="Y108" s="1" t="n">
        <f aca="false">IF(W108="",0,SUMIFS($I$7:$I$256,$D$7:$D$256,W108,$H$7:$H$256,"P6"))</f>
        <v>0</v>
      </c>
      <c r="Z108" s="1" t="n">
        <f aca="false">X108+Y108</f>
        <v>0</v>
      </c>
      <c r="AA108" s="1" t="n">
        <f aca="false">IF(Z108&gt;0,Z108+(201-102)/10^6,0)</f>
        <v>0</v>
      </c>
      <c r="AB108" s="1"/>
      <c r="AC108" s="1"/>
      <c r="AD108" s="1"/>
      <c r="AE108" s="1"/>
      <c r="AF108" s="1"/>
      <c r="AG108" s="1"/>
      <c r="AH108" s="1"/>
    </row>
    <row r="109" customFormat="false" ht="15" hidden="false" customHeight="false" outlineLevel="0" collapsed="false">
      <c r="A109" s="1"/>
      <c r="B109" s="10"/>
      <c r="C109" s="31" t="str">
        <f aca="false">IF(B109="","",TEXT(B109,"ddd"))</f>
        <v/>
      </c>
      <c r="D109" s="11"/>
      <c r="E109" s="8" t="str">
        <f aca="false">IF(D109="","",IFERROR(INDEX(ProjNumbers,MATCH(D109,ProjNames,0)),""))</f>
        <v/>
      </c>
      <c r="F109" s="8" t="str">
        <f aca="false">IF(D109="","",IFERROR(INDEX(ProjCodes,MATCH(D109,ProjNames,0)),""))</f>
        <v/>
      </c>
      <c r="G109" s="32"/>
      <c r="H109" s="11"/>
      <c r="I109" s="33"/>
      <c r="J109" s="8" t="str">
        <f aca="false">IF(COUNTA(B109,D109,G109,H109,I109)=0,"",IF(B109="","Enter date",IF(OR(B109&lt;$AC$2,B109&gt;$AC$3),"Date not in November",IF(D109="","Pick project",IF(ISNA(MATCH(D109,ProjNames,0)),"Project not in list",IF(G109="","Add task description",IF(H109="","Pick NTIME or P6",IF(N(I109)&lt;=0,"Enter hours",IF(AND(AllowOT&lt;&gt;"Yes",SUMIF($B$7:$B$256,B109,$I$7:$I$256)&gt;INDEX($O$58:$O$87,DAY(B109))),"Day over "&amp;INDEX($O$58:$O$87,DAY(B109))&amp;" h","✓")))))))))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tr">
        <f aca="false">IF(Projects!B107="","",Projects!B107)</f>
        <v/>
      </c>
      <c r="X109" s="1" t="n">
        <f aca="false">IF(W109="",0,SUMIFS($I$7:$I$256,$D$7:$D$256,W109,$H$7:$H$256,"NTIME"))</f>
        <v>0</v>
      </c>
      <c r="Y109" s="1" t="n">
        <f aca="false">IF(W109="",0,SUMIFS($I$7:$I$256,$D$7:$D$256,W109,$H$7:$H$256,"P6"))</f>
        <v>0</v>
      </c>
      <c r="Z109" s="1" t="n">
        <f aca="false">X109+Y109</f>
        <v>0</v>
      </c>
      <c r="AA109" s="1" t="n">
        <f aca="false">IF(Z109&gt;0,Z109+(201-103)/10^6,0)</f>
        <v>0</v>
      </c>
      <c r="AB109" s="1"/>
      <c r="AC109" s="1"/>
      <c r="AD109" s="1"/>
      <c r="AE109" s="1"/>
      <c r="AF109" s="1"/>
      <c r="AG109" s="1"/>
      <c r="AH109" s="1"/>
    </row>
    <row r="110" customFormat="false" ht="15" hidden="false" customHeight="false" outlineLevel="0" collapsed="false">
      <c r="A110" s="1"/>
      <c r="B110" s="10"/>
      <c r="C110" s="31" t="str">
        <f aca="false">IF(B110="","",TEXT(B110,"ddd"))</f>
        <v/>
      </c>
      <c r="D110" s="11"/>
      <c r="E110" s="8" t="str">
        <f aca="false">IF(D110="","",IFERROR(INDEX(ProjNumbers,MATCH(D110,ProjNames,0)),""))</f>
        <v/>
      </c>
      <c r="F110" s="8" t="str">
        <f aca="false">IF(D110="","",IFERROR(INDEX(ProjCodes,MATCH(D110,ProjNames,0)),""))</f>
        <v/>
      </c>
      <c r="G110" s="32"/>
      <c r="H110" s="11"/>
      <c r="I110" s="33"/>
      <c r="J110" s="8" t="str">
        <f aca="false">IF(COUNTA(B110,D110,G110,H110,I110)=0,"",IF(B110="","Enter date",IF(OR(B110&lt;$AC$2,B110&gt;$AC$3),"Date not in November",IF(D110="","Pick project",IF(ISNA(MATCH(D110,ProjNames,0)),"Project not in list",IF(G110="","Add task description",IF(H110="","Pick NTIME or P6",IF(N(I110)&lt;=0,"Enter hours",IF(AND(AllowOT&lt;&gt;"Yes",SUMIF($B$7:$B$256,B110,$I$7:$I$256)&gt;INDEX($O$58:$O$87,DAY(B110))),"Day over "&amp;INDEX($O$58:$O$87,DAY(B110))&amp;" h","✓")))))))))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tr">
        <f aca="false">IF(Projects!B108="","",Projects!B108)</f>
        <v/>
      </c>
      <c r="X110" s="1" t="n">
        <f aca="false">IF(W110="",0,SUMIFS($I$7:$I$256,$D$7:$D$256,W110,$H$7:$H$256,"NTIME"))</f>
        <v>0</v>
      </c>
      <c r="Y110" s="1" t="n">
        <f aca="false">IF(W110="",0,SUMIFS($I$7:$I$256,$D$7:$D$256,W110,$H$7:$H$256,"P6"))</f>
        <v>0</v>
      </c>
      <c r="Z110" s="1" t="n">
        <f aca="false">X110+Y110</f>
        <v>0</v>
      </c>
      <c r="AA110" s="1" t="n">
        <f aca="false">IF(Z110&gt;0,Z110+(201-104)/10^6,0)</f>
        <v>0</v>
      </c>
      <c r="AB110" s="1"/>
      <c r="AC110" s="1"/>
      <c r="AD110" s="1"/>
      <c r="AE110" s="1"/>
      <c r="AF110" s="1"/>
      <c r="AG110" s="1"/>
      <c r="AH110" s="1"/>
    </row>
    <row r="111" customFormat="false" ht="15" hidden="false" customHeight="false" outlineLevel="0" collapsed="false">
      <c r="A111" s="1"/>
      <c r="B111" s="10"/>
      <c r="C111" s="31" t="str">
        <f aca="false">IF(B111="","",TEXT(B111,"ddd"))</f>
        <v/>
      </c>
      <c r="D111" s="11"/>
      <c r="E111" s="8" t="str">
        <f aca="false">IF(D111="","",IFERROR(INDEX(ProjNumbers,MATCH(D111,ProjNames,0)),""))</f>
        <v/>
      </c>
      <c r="F111" s="8" t="str">
        <f aca="false">IF(D111="","",IFERROR(INDEX(ProjCodes,MATCH(D111,ProjNames,0)),""))</f>
        <v/>
      </c>
      <c r="G111" s="32"/>
      <c r="H111" s="11"/>
      <c r="I111" s="33"/>
      <c r="J111" s="8" t="str">
        <f aca="false">IF(COUNTA(B111,D111,G111,H111,I111)=0,"",IF(B111="","Enter date",IF(OR(B111&lt;$AC$2,B111&gt;$AC$3),"Date not in November",IF(D111="","Pick project",IF(ISNA(MATCH(D111,ProjNames,0)),"Project not in list",IF(G111="","Add task description",IF(H111="","Pick NTIME or P6",IF(N(I111)&lt;=0,"Enter hours",IF(AND(AllowOT&lt;&gt;"Yes",SUMIF($B$7:$B$256,B111,$I$7:$I$256)&gt;INDEX($O$58:$O$87,DAY(B111))),"Day over "&amp;INDEX($O$58:$O$87,DAY(B111))&amp;" h","✓")))))))))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tr">
        <f aca="false">IF(Projects!B109="","",Projects!B109)</f>
        <v/>
      </c>
      <c r="X111" s="1" t="n">
        <f aca="false">IF(W111="",0,SUMIFS($I$7:$I$256,$D$7:$D$256,W111,$H$7:$H$256,"NTIME"))</f>
        <v>0</v>
      </c>
      <c r="Y111" s="1" t="n">
        <f aca="false">IF(W111="",0,SUMIFS($I$7:$I$256,$D$7:$D$256,W111,$H$7:$H$256,"P6"))</f>
        <v>0</v>
      </c>
      <c r="Z111" s="1" t="n">
        <f aca="false">X111+Y111</f>
        <v>0</v>
      </c>
      <c r="AA111" s="1" t="n">
        <f aca="false">IF(Z111&gt;0,Z111+(201-105)/10^6,0)</f>
        <v>0</v>
      </c>
      <c r="AB111" s="1"/>
      <c r="AC111" s="1"/>
      <c r="AD111" s="1"/>
      <c r="AE111" s="1"/>
      <c r="AF111" s="1"/>
      <c r="AG111" s="1"/>
      <c r="AH111" s="1"/>
    </row>
    <row r="112" customFormat="false" ht="15" hidden="false" customHeight="false" outlineLevel="0" collapsed="false">
      <c r="A112" s="1"/>
      <c r="B112" s="10"/>
      <c r="C112" s="31" t="str">
        <f aca="false">IF(B112="","",TEXT(B112,"ddd"))</f>
        <v/>
      </c>
      <c r="D112" s="11"/>
      <c r="E112" s="8" t="str">
        <f aca="false">IF(D112="","",IFERROR(INDEX(ProjNumbers,MATCH(D112,ProjNames,0)),""))</f>
        <v/>
      </c>
      <c r="F112" s="8" t="str">
        <f aca="false">IF(D112="","",IFERROR(INDEX(ProjCodes,MATCH(D112,ProjNames,0)),""))</f>
        <v/>
      </c>
      <c r="G112" s="32"/>
      <c r="H112" s="11"/>
      <c r="I112" s="33"/>
      <c r="J112" s="8" t="str">
        <f aca="false">IF(COUNTA(B112,D112,G112,H112,I112)=0,"",IF(B112="","Enter date",IF(OR(B112&lt;$AC$2,B112&gt;$AC$3),"Date not in November",IF(D112="","Pick project",IF(ISNA(MATCH(D112,ProjNames,0)),"Project not in list",IF(G112="","Add task description",IF(H112="","Pick NTIME or P6",IF(N(I112)&lt;=0,"Enter hours",IF(AND(AllowOT&lt;&gt;"Yes",SUMIF($B$7:$B$256,B112,$I$7:$I$256)&gt;INDEX($O$58:$O$87,DAY(B112))),"Day over "&amp;INDEX($O$58:$O$87,DAY(B112))&amp;" h","✓")))))))))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tr">
        <f aca="false">IF(Projects!B110="","",Projects!B110)</f>
        <v/>
      </c>
      <c r="X112" s="1" t="n">
        <f aca="false">IF(W112="",0,SUMIFS($I$7:$I$256,$D$7:$D$256,W112,$H$7:$H$256,"NTIME"))</f>
        <v>0</v>
      </c>
      <c r="Y112" s="1" t="n">
        <f aca="false">IF(W112="",0,SUMIFS($I$7:$I$256,$D$7:$D$256,W112,$H$7:$H$256,"P6"))</f>
        <v>0</v>
      </c>
      <c r="Z112" s="1" t="n">
        <f aca="false">X112+Y112</f>
        <v>0</v>
      </c>
      <c r="AA112" s="1" t="n">
        <f aca="false">IF(Z112&gt;0,Z112+(201-106)/10^6,0)</f>
        <v>0</v>
      </c>
      <c r="AB112" s="1"/>
      <c r="AC112" s="1"/>
      <c r="AD112" s="1"/>
      <c r="AE112" s="1"/>
      <c r="AF112" s="1"/>
      <c r="AG112" s="1"/>
      <c r="AH112" s="1"/>
    </row>
    <row r="113" customFormat="false" ht="15" hidden="false" customHeight="false" outlineLevel="0" collapsed="false">
      <c r="A113" s="1"/>
      <c r="B113" s="10"/>
      <c r="C113" s="31" t="str">
        <f aca="false">IF(B113="","",TEXT(B113,"ddd"))</f>
        <v/>
      </c>
      <c r="D113" s="11"/>
      <c r="E113" s="8" t="str">
        <f aca="false">IF(D113="","",IFERROR(INDEX(ProjNumbers,MATCH(D113,ProjNames,0)),""))</f>
        <v/>
      </c>
      <c r="F113" s="8" t="str">
        <f aca="false">IF(D113="","",IFERROR(INDEX(ProjCodes,MATCH(D113,ProjNames,0)),""))</f>
        <v/>
      </c>
      <c r="G113" s="32"/>
      <c r="H113" s="11"/>
      <c r="I113" s="33"/>
      <c r="J113" s="8" t="str">
        <f aca="false">IF(COUNTA(B113,D113,G113,H113,I113)=0,"",IF(B113="","Enter date",IF(OR(B113&lt;$AC$2,B113&gt;$AC$3),"Date not in November",IF(D113="","Pick project",IF(ISNA(MATCH(D113,ProjNames,0)),"Project not in list",IF(G113="","Add task description",IF(H113="","Pick NTIME or P6",IF(N(I113)&lt;=0,"Enter hours",IF(AND(AllowOT&lt;&gt;"Yes",SUMIF($B$7:$B$256,B113,$I$7:$I$256)&gt;INDEX($O$58:$O$87,DAY(B113))),"Day over "&amp;INDEX($O$58:$O$87,DAY(B113))&amp;" h","✓")))))))))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tr">
        <f aca="false">IF(Projects!B111="","",Projects!B111)</f>
        <v/>
      </c>
      <c r="X113" s="1" t="n">
        <f aca="false">IF(W113="",0,SUMIFS($I$7:$I$256,$D$7:$D$256,W113,$H$7:$H$256,"NTIME"))</f>
        <v>0</v>
      </c>
      <c r="Y113" s="1" t="n">
        <f aca="false">IF(W113="",0,SUMIFS($I$7:$I$256,$D$7:$D$256,W113,$H$7:$H$256,"P6"))</f>
        <v>0</v>
      </c>
      <c r="Z113" s="1" t="n">
        <f aca="false">X113+Y113</f>
        <v>0</v>
      </c>
      <c r="AA113" s="1" t="n">
        <f aca="false">IF(Z113&gt;0,Z113+(201-107)/10^6,0)</f>
        <v>0</v>
      </c>
      <c r="AB113" s="1"/>
      <c r="AC113" s="1"/>
      <c r="AD113" s="1"/>
      <c r="AE113" s="1"/>
      <c r="AF113" s="1"/>
      <c r="AG113" s="1"/>
      <c r="AH113" s="1"/>
    </row>
    <row r="114" customFormat="false" ht="15" hidden="false" customHeight="false" outlineLevel="0" collapsed="false">
      <c r="A114" s="1"/>
      <c r="B114" s="10"/>
      <c r="C114" s="31" t="str">
        <f aca="false">IF(B114="","",TEXT(B114,"ddd"))</f>
        <v/>
      </c>
      <c r="D114" s="11"/>
      <c r="E114" s="8" t="str">
        <f aca="false">IF(D114="","",IFERROR(INDEX(ProjNumbers,MATCH(D114,ProjNames,0)),""))</f>
        <v/>
      </c>
      <c r="F114" s="8" t="str">
        <f aca="false">IF(D114="","",IFERROR(INDEX(ProjCodes,MATCH(D114,ProjNames,0)),""))</f>
        <v/>
      </c>
      <c r="G114" s="32"/>
      <c r="H114" s="11"/>
      <c r="I114" s="33"/>
      <c r="J114" s="8" t="str">
        <f aca="false">IF(COUNTA(B114,D114,G114,H114,I114)=0,"",IF(B114="","Enter date",IF(OR(B114&lt;$AC$2,B114&gt;$AC$3),"Date not in November",IF(D114="","Pick project",IF(ISNA(MATCH(D114,ProjNames,0)),"Project not in list",IF(G114="","Add task description",IF(H114="","Pick NTIME or P6",IF(N(I114)&lt;=0,"Enter hours",IF(AND(AllowOT&lt;&gt;"Yes",SUMIF($B$7:$B$256,B114,$I$7:$I$256)&gt;INDEX($O$58:$O$87,DAY(B114))),"Day over "&amp;INDEX($O$58:$O$87,DAY(B114))&amp;" h","✓")))))))))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tr">
        <f aca="false">IF(Projects!B112="","",Projects!B112)</f>
        <v/>
      </c>
      <c r="X114" s="1" t="n">
        <f aca="false">IF(W114="",0,SUMIFS($I$7:$I$256,$D$7:$D$256,W114,$H$7:$H$256,"NTIME"))</f>
        <v>0</v>
      </c>
      <c r="Y114" s="1" t="n">
        <f aca="false">IF(W114="",0,SUMIFS($I$7:$I$256,$D$7:$D$256,W114,$H$7:$H$256,"P6"))</f>
        <v>0</v>
      </c>
      <c r="Z114" s="1" t="n">
        <f aca="false">X114+Y114</f>
        <v>0</v>
      </c>
      <c r="AA114" s="1" t="n">
        <f aca="false">IF(Z114&gt;0,Z114+(201-108)/10^6,0)</f>
        <v>0</v>
      </c>
      <c r="AB114" s="1"/>
      <c r="AC114" s="1"/>
      <c r="AD114" s="1"/>
      <c r="AE114" s="1"/>
      <c r="AF114" s="1"/>
      <c r="AG114" s="1"/>
      <c r="AH114" s="1"/>
    </row>
    <row r="115" customFormat="false" ht="15" hidden="false" customHeight="false" outlineLevel="0" collapsed="false">
      <c r="A115" s="1"/>
      <c r="B115" s="10"/>
      <c r="C115" s="31" t="str">
        <f aca="false">IF(B115="","",TEXT(B115,"ddd"))</f>
        <v/>
      </c>
      <c r="D115" s="11"/>
      <c r="E115" s="8" t="str">
        <f aca="false">IF(D115="","",IFERROR(INDEX(ProjNumbers,MATCH(D115,ProjNames,0)),""))</f>
        <v/>
      </c>
      <c r="F115" s="8" t="str">
        <f aca="false">IF(D115="","",IFERROR(INDEX(ProjCodes,MATCH(D115,ProjNames,0)),""))</f>
        <v/>
      </c>
      <c r="G115" s="32"/>
      <c r="H115" s="11"/>
      <c r="I115" s="33"/>
      <c r="J115" s="8" t="str">
        <f aca="false">IF(COUNTA(B115,D115,G115,H115,I115)=0,"",IF(B115="","Enter date",IF(OR(B115&lt;$AC$2,B115&gt;$AC$3),"Date not in November",IF(D115="","Pick project",IF(ISNA(MATCH(D115,ProjNames,0)),"Project not in list",IF(G115="","Add task description",IF(H115="","Pick NTIME or P6",IF(N(I115)&lt;=0,"Enter hours",IF(AND(AllowOT&lt;&gt;"Yes",SUMIF($B$7:$B$256,B115,$I$7:$I$256)&gt;INDEX($O$58:$O$87,DAY(B115))),"Day over "&amp;INDEX($O$58:$O$87,DAY(B115))&amp;" h","✓")))))))))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tr">
        <f aca="false">IF(Projects!B113="","",Projects!B113)</f>
        <v/>
      </c>
      <c r="X115" s="1" t="n">
        <f aca="false">IF(W115="",0,SUMIFS($I$7:$I$256,$D$7:$D$256,W115,$H$7:$H$256,"NTIME"))</f>
        <v>0</v>
      </c>
      <c r="Y115" s="1" t="n">
        <f aca="false">IF(W115="",0,SUMIFS($I$7:$I$256,$D$7:$D$256,W115,$H$7:$H$256,"P6"))</f>
        <v>0</v>
      </c>
      <c r="Z115" s="1" t="n">
        <f aca="false">X115+Y115</f>
        <v>0</v>
      </c>
      <c r="AA115" s="1" t="n">
        <f aca="false">IF(Z115&gt;0,Z115+(201-109)/10^6,0)</f>
        <v>0</v>
      </c>
      <c r="AB115" s="1"/>
      <c r="AC115" s="1"/>
      <c r="AD115" s="1"/>
      <c r="AE115" s="1"/>
      <c r="AF115" s="1"/>
      <c r="AG115" s="1"/>
      <c r="AH115" s="1"/>
    </row>
    <row r="116" customFormat="false" ht="15" hidden="false" customHeight="false" outlineLevel="0" collapsed="false">
      <c r="A116" s="1"/>
      <c r="B116" s="10"/>
      <c r="C116" s="31" t="str">
        <f aca="false">IF(B116="","",TEXT(B116,"ddd"))</f>
        <v/>
      </c>
      <c r="D116" s="11"/>
      <c r="E116" s="8" t="str">
        <f aca="false">IF(D116="","",IFERROR(INDEX(ProjNumbers,MATCH(D116,ProjNames,0)),""))</f>
        <v/>
      </c>
      <c r="F116" s="8" t="str">
        <f aca="false">IF(D116="","",IFERROR(INDEX(ProjCodes,MATCH(D116,ProjNames,0)),""))</f>
        <v/>
      </c>
      <c r="G116" s="32"/>
      <c r="H116" s="11"/>
      <c r="I116" s="33"/>
      <c r="J116" s="8" t="str">
        <f aca="false">IF(COUNTA(B116,D116,G116,H116,I116)=0,"",IF(B116="","Enter date",IF(OR(B116&lt;$AC$2,B116&gt;$AC$3),"Date not in November",IF(D116="","Pick project",IF(ISNA(MATCH(D116,ProjNames,0)),"Project not in list",IF(G116="","Add task description",IF(H116="","Pick NTIME or P6",IF(N(I116)&lt;=0,"Enter hours",IF(AND(AllowOT&lt;&gt;"Yes",SUMIF($B$7:$B$256,B116,$I$7:$I$256)&gt;INDEX($O$58:$O$87,DAY(B116))),"Day over "&amp;INDEX($O$58:$O$87,DAY(B116))&amp;" h","✓")))))))))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tr">
        <f aca="false">IF(Projects!B114="","",Projects!B114)</f>
        <v/>
      </c>
      <c r="X116" s="1" t="n">
        <f aca="false">IF(W116="",0,SUMIFS($I$7:$I$256,$D$7:$D$256,W116,$H$7:$H$256,"NTIME"))</f>
        <v>0</v>
      </c>
      <c r="Y116" s="1" t="n">
        <f aca="false">IF(W116="",0,SUMIFS($I$7:$I$256,$D$7:$D$256,W116,$H$7:$H$256,"P6"))</f>
        <v>0</v>
      </c>
      <c r="Z116" s="1" t="n">
        <f aca="false">X116+Y116</f>
        <v>0</v>
      </c>
      <c r="AA116" s="1" t="n">
        <f aca="false">IF(Z116&gt;0,Z116+(201-110)/10^6,0)</f>
        <v>0</v>
      </c>
      <c r="AB116" s="1"/>
      <c r="AC116" s="1"/>
      <c r="AD116" s="1"/>
      <c r="AE116" s="1"/>
      <c r="AF116" s="1"/>
      <c r="AG116" s="1"/>
      <c r="AH116" s="1"/>
    </row>
    <row r="117" customFormat="false" ht="15" hidden="false" customHeight="false" outlineLevel="0" collapsed="false">
      <c r="A117" s="1"/>
      <c r="B117" s="10"/>
      <c r="C117" s="31" t="str">
        <f aca="false">IF(B117="","",TEXT(B117,"ddd"))</f>
        <v/>
      </c>
      <c r="D117" s="11"/>
      <c r="E117" s="8" t="str">
        <f aca="false">IF(D117="","",IFERROR(INDEX(ProjNumbers,MATCH(D117,ProjNames,0)),""))</f>
        <v/>
      </c>
      <c r="F117" s="8" t="str">
        <f aca="false">IF(D117="","",IFERROR(INDEX(ProjCodes,MATCH(D117,ProjNames,0)),""))</f>
        <v/>
      </c>
      <c r="G117" s="32"/>
      <c r="H117" s="11"/>
      <c r="I117" s="33"/>
      <c r="J117" s="8" t="str">
        <f aca="false">IF(COUNTA(B117,D117,G117,H117,I117)=0,"",IF(B117="","Enter date",IF(OR(B117&lt;$AC$2,B117&gt;$AC$3),"Date not in November",IF(D117="","Pick project",IF(ISNA(MATCH(D117,ProjNames,0)),"Project not in list",IF(G117="","Add task description",IF(H117="","Pick NTIME or P6",IF(N(I117)&lt;=0,"Enter hours",IF(AND(AllowOT&lt;&gt;"Yes",SUMIF($B$7:$B$256,B117,$I$7:$I$256)&gt;INDEX($O$58:$O$87,DAY(B117))),"Day over "&amp;INDEX($O$58:$O$87,DAY(B117))&amp;" h","✓")))))))))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tr">
        <f aca="false">IF(Projects!B115="","",Projects!B115)</f>
        <v/>
      </c>
      <c r="X117" s="1" t="n">
        <f aca="false">IF(W117="",0,SUMIFS($I$7:$I$256,$D$7:$D$256,W117,$H$7:$H$256,"NTIME"))</f>
        <v>0</v>
      </c>
      <c r="Y117" s="1" t="n">
        <f aca="false">IF(W117="",0,SUMIFS($I$7:$I$256,$D$7:$D$256,W117,$H$7:$H$256,"P6"))</f>
        <v>0</v>
      </c>
      <c r="Z117" s="1" t="n">
        <f aca="false">X117+Y117</f>
        <v>0</v>
      </c>
      <c r="AA117" s="1" t="n">
        <f aca="false">IF(Z117&gt;0,Z117+(201-111)/10^6,0)</f>
        <v>0</v>
      </c>
      <c r="AB117" s="1"/>
      <c r="AC117" s="1"/>
      <c r="AD117" s="1"/>
      <c r="AE117" s="1"/>
      <c r="AF117" s="1"/>
      <c r="AG117" s="1"/>
      <c r="AH117" s="1"/>
    </row>
    <row r="118" customFormat="false" ht="15" hidden="false" customHeight="false" outlineLevel="0" collapsed="false">
      <c r="A118" s="1"/>
      <c r="B118" s="10"/>
      <c r="C118" s="31" t="str">
        <f aca="false">IF(B118="","",TEXT(B118,"ddd"))</f>
        <v/>
      </c>
      <c r="D118" s="11"/>
      <c r="E118" s="8" t="str">
        <f aca="false">IF(D118="","",IFERROR(INDEX(ProjNumbers,MATCH(D118,ProjNames,0)),""))</f>
        <v/>
      </c>
      <c r="F118" s="8" t="str">
        <f aca="false">IF(D118="","",IFERROR(INDEX(ProjCodes,MATCH(D118,ProjNames,0)),""))</f>
        <v/>
      </c>
      <c r="G118" s="32"/>
      <c r="H118" s="11"/>
      <c r="I118" s="33"/>
      <c r="J118" s="8" t="str">
        <f aca="false">IF(COUNTA(B118,D118,G118,H118,I118)=0,"",IF(B118="","Enter date",IF(OR(B118&lt;$AC$2,B118&gt;$AC$3),"Date not in November",IF(D118="","Pick project",IF(ISNA(MATCH(D118,ProjNames,0)),"Project not in list",IF(G118="","Add task description",IF(H118="","Pick NTIME or P6",IF(N(I118)&lt;=0,"Enter hours",IF(AND(AllowOT&lt;&gt;"Yes",SUMIF($B$7:$B$256,B118,$I$7:$I$256)&gt;INDEX($O$58:$O$87,DAY(B118))),"Day over "&amp;INDEX($O$58:$O$87,DAY(B118))&amp;" h","✓")))))))))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tr">
        <f aca="false">IF(Projects!B116="","",Projects!B116)</f>
        <v/>
      </c>
      <c r="X118" s="1" t="n">
        <f aca="false">IF(W118="",0,SUMIFS($I$7:$I$256,$D$7:$D$256,W118,$H$7:$H$256,"NTIME"))</f>
        <v>0</v>
      </c>
      <c r="Y118" s="1" t="n">
        <f aca="false">IF(W118="",0,SUMIFS($I$7:$I$256,$D$7:$D$256,W118,$H$7:$H$256,"P6"))</f>
        <v>0</v>
      </c>
      <c r="Z118" s="1" t="n">
        <f aca="false">X118+Y118</f>
        <v>0</v>
      </c>
      <c r="AA118" s="1" t="n">
        <f aca="false">IF(Z118&gt;0,Z118+(201-112)/10^6,0)</f>
        <v>0</v>
      </c>
      <c r="AB118" s="1"/>
      <c r="AC118" s="1"/>
      <c r="AD118" s="1"/>
      <c r="AE118" s="1"/>
      <c r="AF118" s="1"/>
      <c r="AG118" s="1"/>
      <c r="AH118" s="1"/>
    </row>
    <row r="119" customFormat="false" ht="15" hidden="false" customHeight="false" outlineLevel="0" collapsed="false">
      <c r="A119" s="1"/>
      <c r="B119" s="10"/>
      <c r="C119" s="31" t="str">
        <f aca="false">IF(B119="","",TEXT(B119,"ddd"))</f>
        <v/>
      </c>
      <c r="D119" s="11"/>
      <c r="E119" s="8" t="str">
        <f aca="false">IF(D119="","",IFERROR(INDEX(ProjNumbers,MATCH(D119,ProjNames,0)),""))</f>
        <v/>
      </c>
      <c r="F119" s="8" t="str">
        <f aca="false">IF(D119="","",IFERROR(INDEX(ProjCodes,MATCH(D119,ProjNames,0)),""))</f>
        <v/>
      </c>
      <c r="G119" s="32"/>
      <c r="H119" s="11"/>
      <c r="I119" s="33"/>
      <c r="J119" s="8" t="str">
        <f aca="false">IF(COUNTA(B119,D119,G119,H119,I119)=0,"",IF(B119="","Enter date",IF(OR(B119&lt;$AC$2,B119&gt;$AC$3),"Date not in November",IF(D119="","Pick project",IF(ISNA(MATCH(D119,ProjNames,0)),"Project not in list",IF(G119="","Add task description",IF(H119="","Pick NTIME or P6",IF(N(I119)&lt;=0,"Enter hours",IF(AND(AllowOT&lt;&gt;"Yes",SUMIF($B$7:$B$256,B119,$I$7:$I$256)&gt;INDEX($O$58:$O$87,DAY(B119))),"Day over "&amp;INDEX($O$58:$O$87,DAY(B119))&amp;" h","✓")))))))))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 aca="false">IF(Projects!B117="","",Projects!B117)</f>
        <v/>
      </c>
      <c r="X119" s="1" t="n">
        <f aca="false">IF(W119="",0,SUMIFS($I$7:$I$256,$D$7:$D$256,W119,$H$7:$H$256,"NTIME"))</f>
        <v>0</v>
      </c>
      <c r="Y119" s="1" t="n">
        <f aca="false">IF(W119="",0,SUMIFS($I$7:$I$256,$D$7:$D$256,W119,$H$7:$H$256,"P6"))</f>
        <v>0</v>
      </c>
      <c r="Z119" s="1" t="n">
        <f aca="false">X119+Y119</f>
        <v>0</v>
      </c>
      <c r="AA119" s="1" t="n">
        <f aca="false">IF(Z119&gt;0,Z119+(201-113)/10^6,0)</f>
        <v>0</v>
      </c>
      <c r="AB119" s="1"/>
      <c r="AC119" s="1"/>
      <c r="AD119" s="1"/>
      <c r="AE119" s="1"/>
      <c r="AF119" s="1"/>
      <c r="AG119" s="1"/>
      <c r="AH119" s="1"/>
    </row>
    <row r="120" customFormat="false" ht="15" hidden="false" customHeight="false" outlineLevel="0" collapsed="false">
      <c r="A120" s="1"/>
      <c r="B120" s="10"/>
      <c r="C120" s="31" t="str">
        <f aca="false">IF(B120="","",TEXT(B120,"ddd"))</f>
        <v/>
      </c>
      <c r="D120" s="11"/>
      <c r="E120" s="8" t="str">
        <f aca="false">IF(D120="","",IFERROR(INDEX(ProjNumbers,MATCH(D120,ProjNames,0)),""))</f>
        <v/>
      </c>
      <c r="F120" s="8" t="str">
        <f aca="false">IF(D120="","",IFERROR(INDEX(ProjCodes,MATCH(D120,ProjNames,0)),""))</f>
        <v/>
      </c>
      <c r="G120" s="32"/>
      <c r="H120" s="11"/>
      <c r="I120" s="33"/>
      <c r="J120" s="8" t="str">
        <f aca="false">IF(COUNTA(B120,D120,G120,H120,I120)=0,"",IF(B120="","Enter date",IF(OR(B120&lt;$AC$2,B120&gt;$AC$3),"Date not in November",IF(D120="","Pick project",IF(ISNA(MATCH(D120,ProjNames,0)),"Project not in list",IF(G120="","Add task description",IF(H120="","Pick NTIME or P6",IF(N(I120)&lt;=0,"Enter hours",IF(AND(AllowOT&lt;&gt;"Yes",SUMIF($B$7:$B$256,B120,$I$7:$I$256)&gt;INDEX($O$58:$O$87,DAY(B120))),"Day over "&amp;INDEX($O$58:$O$87,DAY(B120))&amp;" h","✓")))))))))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tr">
        <f aca="false">IF(Projects!B118="","",Projects!B118)</f>
        <v/>
      </c>
      <c r="X120" s="1" t="n">
        <f aca="false">IF(W120="",0,SUMIFS($I$7:$I$256,$D$7:$D$256,W120,$H$7:$H$256,"NTIME"))</f>
        <v>0</v>
      </c>
      <c r="Y120" s="1" t="n">
        <f aca="false">IF(W120="",0,SUMIFS($I$7:$I$256,$D$7:$D$256,W120,$H$7:$H$256,"P6"))</f>
        <v>0</v>
      </c>
      <c r="Z120" s="1" t="n">
        <f aca="false">X120+Y120</f>
        <v>0</v>
      </c>
      <c r="AA120" s="1" t="n">
        <f aca="false">IF(Z120&gt;0,Z120+(201-114)/10^6,0)</f>
        <v>0</v>
      </c>
      <c r="AB120" s="1"/>
      <c r="AC120" s="1"/>
      <c r="AD120" s="1"/>
      <c r="AE120" s="1"/>
      <c r="AF120" s="1"/>
      <c r="AG120" s="1"/>
      <c r="AH120" s="1"/>
    </row>
    <row r="121" customFormat="false" ht="15" hidden="false" customHeight="false" outlineLevel="0" collapsed="false">
      <c r="A121" s="1"/>
      <c r="B121" s="10"/>
      <c r="C121" s="31" t="str">
        <f aca="false">IF(B121="","",TEXT(B121,"ddd"))</f>
        <v/>
      </c>
      <c r="D121" s="11"/>
      <c r="E121" s="8" t="str">
        <f aca="false">IF(D121="","",IFERROR(INDEX(ProjNumbers,MATCH(D121,ProjNames,0)),""))</f>
        <v/>
      </c>
      <c r="F121" s="8" t="str">
        <f aca="false">IF(D121="","",IFERROR(INDEX(ProjCodes,MATCH(D121,ProjNames,0)),""))</f>
        <v/>
      </c>
      <c r="G121" s="32"/>
      <c r="H121" s="11"/>
      <c r="I121" s="33"/>
      <c r="J121" s="8" t="str">
        <f aca="false">IF(COUNTA(B121,D121,G121,H121,I121)=0,"",IF(B121="","Enter date",IF(OR(B121&lt;$AC$2,B121&gt;$AC$3),"Date not in November",IF(D121="","Pick project",IF(ISNA(MATCH(D121,ProjNames,0)),"Project not in list",IF(G121="","Add task description",IF(H121="","Pick NTIME or P6",IF(N(I121)&lt;=0,"Enter hours",IF(AND(AllowOT&lt;&gt;"Yes",SUMIF($B$7:$B$256,B121,$I$7:$I$256)&gt;INDEX($O$58:$O$87,DAY(B121))),"Day over "&amp;INDEX($O$58:$O$87,DAY(B121))&amp;" h","✓")))))))))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tr">
        <f aca="false">IF(Projects!B119="","",Projects!B119)</f>
        <v/>
      </c>
      <c r="X121" s="1" t="n">
        <f aca="false">IF(W121="",0,SUMIFS($I$7:$I$256,$D$7:$D$256,W121,$H$7:$H$256,"NTIME"))</f>
        <v>0</v>
      </c>
      <c r="Y121" s="1" t="n">
        <f aca="false">IF(W121="",0,SUMIFS($I$7:$I$256,$D$7:$D$256,W121,$H$7:$H$256,"P6"))</f>
        <v>0</v>
      </c>
      <c r="Z121" s="1" t="n">
        <f aca="false">X121+Y121</f>
        <v>0</v>
      </c>
      <c r="AA121" s="1" t="n">
        <f aca="false">IF(Z121&gt;0,Z121+(201-115)/10^6,0)</f>
        <v>0</v>
      </c>
      <c r="AB121" s="1"/>
      <c r="AC121" s="1"/>
      <c r="AD121" s="1"/>
      <c r="AE121" s="1"/>
      <c r="AF121" s="1"/>
      <c r="AG121" s="1"/>
      <c r="AH121" s="1"/>
    </row>
    <row r="122" customFormat="false" ht="15" hidden="false" customHeight="false" outlineLevel="0" collapsed="false">
      <c r="A122" s="1"/>
      <c r="B122" s="10"/>
      <c r="C122" s="31" t="str">
        <f aca="false">IF(B122="","",TEXT(B122,"ddd"))</f>
        <v/>
      </c>
      <c r="D122" s="11"/>
      <c r="E122" s="8" t="str">
        <f aca="false">IF(D122="","",IFERROR(INDEX(ProjNumbers,MATCH(D122,ProjNames,0)),""))</f>
        <v/>
      </c>
      <c r="F122" s="8" t="str">
        <f aca="false">IF(D122="","",IFERROR(INDEX(ProjCodes,MATCH(D122,ProjNames,0)),""))</f>
        <v/>
      </c>
      <c r="G122" s="32"/>
      <c r="H122" s="11"/>
      <c r="I122" s="33"/>
      <c r="J122" s="8" t="str">
        <f aca="false">IF(COUNTA(B122,D122,G122,H122,I122)=0,"",IF(B122="","Enter date",IF(OR(B122&lt;$AC$2,B122&gt;$AC$3),"Date not in November",IF(D122="","Pick project",IF(ISNA(MATCH(D122,ProjNames,0)),"Project not in list",IF(G122="","Add task description",IF(H122="","Pick NTIME or P6",IF(N(I122)&lt;=0,"Enter hours",IF(AND(AllowOT&lt;&gt;"Yes",SUMIF($B$7:$B$256,B122,$I$7:$I$256)&gt;INDEX($O$58:$O$87,DAY(B122))),"Day over "&amp;INDEX($O$58:$O$87,DAY(B122))&amp;" h","✓")))))))))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tr">
        <f aca="false">IF(Projects!B120="","",Projects!B120)</f>
        <v/>
      </c>
      <c r="X122" s="1" t="n">
        <f aca="false">IF(W122="",0,SUMIFS($I$7:$I$256,$D$7:$D$256,W122,$H$7:$H$256,"NTIME"))</f>
        <v>0</v>
      </c>
      <c r="Y122" s="1" t="n">
        <f aca="false">IF(W122="",0,SUMIFS($I$7:$I$256,$D$7:$D$256,W122,$H$7:$H$256,"P6"))</f>
        <v>0</v>
      </c>
      <c r="Z122" s="1" t="n">
        <f aca="false">X122+Y122</f>
        <v>0</v>
      </c>
      <c r="AA122" s="1" t="n">
        <f aca="false">IF(Z122&gt;0,Z122+(201-116)/10^6,0)</f>
        <v>0</v>
      </c>
      <c r="AB122" s="1"/>
      <c r="AC122" s="1"/>
      <c r="AD122" s="1"/>
      <c r="AE122" s="1"/>
      <c r="AF122" s="1"/>
      <c r="AG122" s="1"/>
      <c r="AH122" s="1"/>
    </row>
    <row r="123" customFormat="false" ht="15" hidden="false" customHeight="false" outlineLevel="0" collapsed="false">
      <c r="A123" s="1"/>
      <c r="B123" s="10"/>
      <c r="C123" s="31" t="str">
        <f aca="false">IF(B123="","",TEXT(B123,"ddd"))</f>
        <v/>
      </c>
      <c r="D123" s="11"/>
      <c r="E123" s="8" t="str">
        <f aca="false">IF(D123="","",IFERROR(INDEX(ProjNumbers,MATCH(D123,ProjNames,0)),""))</f>
        <v/>
      </c>
      <c r="F123" s="8" t="str">
        <f aca="false">IF(D123="","",IFERROR(INDEX(ProjCodes,MATCH(D123,ProjNames,0)),""))</f>
        <v/>
      </c>
      <c r="G123" s="32"/>
      <c r="H123" s="11"/>
      <c r="I123" s="33"/>
      <c r="J123" s="8" t="str">
        <f aca="false">IF(COUNTA(B123,D123,G123,H123,I123)=0,"",IF(B123="","Enter date",IF(OR(B123&lt;$AC$2,B123&gt;$AC$3),"Date not in November",IF(D123="","Pick project",IF(ISNA(MATCH(D123,ProjNames,0)),"Project not in list",IF(G123="","Add task description",IF(H123="","Pick NTIME or P6",IF(N(I123)&lt;=0,"Enter hours",IF(AND(AllowOT&lt;&gt;"Yes",SUMIF($B$7:$B$256,B123,$I$7:$I$256)&gt;INDEX($O$58:$O$87,DAY(B123))),"Day over "&amp;INDEX($O$58:$O$87,DAY(B123))&amp;" h","✓")))))))))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tr">
        <f aca="false">IF(Projects!B121="","",Projects!B121)</f>
        <v/>
      </c>
      <c r="X123" s="1" t="n">
        <f aca="false">IF(W123="",0,SUMIFS($I$7:$I$256,$D$7:$D$256,W123,$H$7:$H$256,"NTIME"))</f>
        <v>0</v>
      </c>
      <c r="Y123" s="1" t="n">
        <f aca="false">IF(W123="",0,SUMIFS($I$7:$I$256,$D$7:$D$256,W123,$H$7:$H$256,"P6"))</f>
        <v>0</v>
      </c>
      <c r="Z123" s="1" t="n">
        <f aca="false">X123+Y123</f>
        <v>0</v>
      </c>
      <c r="AA123" s="1" t="n">
        <f aca="false">IF(Z123&gt;0,Z123+(201-117)/10^6,0)</f>
        <v>0</v>
      </c>
      <c r="AB123" s="1"/>
      <c r="AC123" s="1"/>
      <c r="AD123" s="1"/>
      <c r="AE123" s="1"/>
      <c r="AF123" s="1"/>
      <c r="AG123" s="1"/>
      <c r="AH123" s="1"/>
    </row>
    <row r="124" customFormat="false" ht="15" hidden="false" customHeight="false" outlineLevel="0" collapsed="false">
      <c r="A124" s="1"/>
      <c r="B124" s="10"/>
      <c r="C124" s="31" t="str">
        <f aca="false">IF(B124="","",TEXT(B124,"ddd"))</f>
        <v/>
      </c>
      <c r="D124" s="11"/>
      <c r="E124" s="8" t="str">
        <f aca="false">IF(D124="","",IFERROR(INDEX(ProjNumbers,MATCH(D124,ProjNames,0)),""))</f>
        <v/>
      </c>
      <c r="F124" s="8" t="str">
        <f aca="false">IF(D124="","",IFERROR(INDEX(ProjCodes,MATCH(D124,ProjNames,0)),""))</f>
        <v/>
      </c>
      <c r="G124" s="32"/>
      <c r="H124" s="11"/>
      <c r="I124" s="33"/>
      <c r="J124" s="8" t="str">
        <f aca="false">IF(COUNTA(B124,D124,G124,H124,I124)=0,"",IF(B124="","Enter date",IF(OR(B124&lt;$AC$2,B124&gt;$AC$3),"Date not in November",IF(D124="","Pick project",IF(ISNA(MATCH(D124,ProjNames,0)),"Project not in list",IF(G124="","Add task description",IF(H124="","Pick NTIME or P6",IF(N(I124)&lt;=0,"Enter hours",IF(AND(AllowOT&lt;&gt;"Yes",SUMIF($B$7:$B$256,B124,$I$7:$I$256)&gt;INDEX($O$58:$O$87,DAY(B124))),"Day over "&amp;INDEX($O$58:$O$87,DAY(B124))&amp;" h","✓")))))))))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tr">
        <f aca="false">IF(Projects!B122="","",Projects!B122)</f>
        <v/>
      </c>
      <c r="X124" s="1" t="n">
        <f aca="false">IF(W124="",0,SUMIFS($I$7:$I$256,$D$7:$D$256,W124,$H$7:$H$256,"NTIME"))</f>
        <v>0</v>
      </c>
      <c r="Y124" s="1" t="n">
        <f aca="false">IF(W124="",0,SUMIFS($I$7:$I$256,$D$7:$D$256,W124,$H$7:$H$256,"P6"))</f>
        <v>0</v>
      </c>
      <c r="Z124" s="1" t="n">
        <f aca="false">X124+Y124</f>
        <v>0</v>
      </c>
      <c r="AA124" s="1" t="n">
        <f aca="false">IF(Z124&gt;0,Z124+(201-118)/10^6,0)</f>
        <v>0</v>
      </c>
      <c r="AB124" s="1"/>
      <c r="AC124" s="1"/>
      <c r="AD124" s="1"/>
      <c r="AE124" s="1"/>
      <c r="AF124" s="1"/>
      <c r="AG124" s="1"/>
      <c r="AH124" s="1"/>
    </row>
    <row r="125" customFormat="false" ht="15" hidden="false" customHeight="false" outlineLevel="0" collapsed="false">
      <c r="A125" s="1"/>
      <c r="B125" s="10"/>
      <c r="C125" s="31" t="str">
        <f aca="false">IF(B125="","",TEXT(B125,"ddd"))</f>
        <v/>
      </c>
      <c r="D125" s="11"/>
      <c r="E125" s="8" t="str">
        <f aca="false">IF(D125="","",IFERROR(INDEX(ProjNumbers,MATCH(D125,ProjNames,0)),""))</f>
        <v/>
      </c>
      <c r="F125" s="8" t="str">
        <f aca="false">IF(D125="","",IFERROR(INDEX(ProjCodes,MATCH(D125,ProjNames,0)),""))</f>
        <v/>
      </c>
      <c r="G125" s="32"/>
      <c r="H125" s="11"/>
      <c r="I125" s="33"/>
      <c r="J125" s="8" t="str">
        <f aca="false">IF(COUNTA(B125,D125,G125,H125,I125)=0,"",IF(B125="","Enter date",IF(OR(B125&lt;$AC$2,B125&gt;$AC$3),"Date not in November",IF(D125="","Pick project",IF(ISNA(MATCH(D125,ProjNames,0)),"Project not in list",IF(G125="","Add task description",IF(H125="","Pick NTIME or P6",IF(N(I125)&lt;=0,"Enter hours",IF(AND(AllowOT&lt;&gt;"Yes",SUMIF($B$7:$B$256,B125,$I$7:$I$256)&gt;INDEX($O$58:$O$87,DAY(B125))),"Day over "&amp;INDEX($O$58:$O$87,DAY(B125))&amp;" h","✓")))))))))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tr">
        <f aca="false">IF(Projects!B123="","",Projects!B123)</f>
        <v/>
      </c>
      <c r="X125" s="1" t="n">
        <f aca="false">IF(W125="",0,SUMIFS($I$7:$I$256,$D$7:$D$256,W125,$H$7:$H$256,"NTIME"))</f>
        <v>0</v>
      </c>
      <c r="Y125" s="1" t="n">
        <f aca="false">IF(W125="",0,SUMIFS($I$7:$I$256,$D$7:$D$256,W125,$H$7:$H$256,"P6"))</f>
        <v>0</v>
      </c>
      <c r="Z125" s="1" t="n">
        <f aca="false">X125+Y125</f>
        <v>0</v>
      </c>
      <c r="AA125" s="1" t="n">
        <f aca="false">IF(Z125&gt;0,Z125+(201-119)/10^6,0)</f>
        <v>0</v>
      </c>
      <c r="AB125" s="1"/>
      <c r="AC125" s="1"/>
      <c r="AD125" s="1"/>
      <c r="AE125" s="1"/>
      <c r="AF125" s="1"/>
      <c r="AG125" s="1"/>
      <c r="AH125" s="1"/>
    </row>
    <row r="126" customFormat="false" ht="15" hidden="false" customHeight="false" outlineLevel="0" collapsed="false">
      <c r="A126" s="1"/>
      <c r="B126" s="10"/>
      <c r="C126" s="31" t="str">
        <f aca="false">IF(B126="","",TEXT(B126,"ddd"))</f>
        <v/>
      </c>
      <c r="D126" s="11"/>
      <c r="E126" s="8" t="str">
        <f aca="false">IF(D126="","",IFERROR(INDEX(ProjNumbers,MATCH(D126,ProjNames,0)),""))</f>
        <v/>
      </c>
      <c r="F126" s="8" t="str">
        <f aca="false">IF(D126="","",IFERROR(INDEX(ProjCodes,MATCH(D126,ProjNames,0)),""))</f>
        <v/>
      </c>
      <c r="G126" s="32"/>
      <c r="H126" s="11"/>
      <c r="I126" s="33"/>
      <c r="J126" s="8" t="str">
        <f aca="false">IF(COUNTA(B126,D126,G126,H126,I126)=0,"",IF(B126="","Enter date",IF(OR(B126&lt;$AC$2,B126&gt;$AC$3),"Date not in November",IF(D126="","Pick project",IF(ISNA(MATCH(D126,ProjNames,0)),"Project not in list",IF(G126="","Add task description",IF(H126="","Pick NTIME or P6",IF(N(I126)&lt;=0,"Enter hours",IF(AND(AllowOT&lt;&gt;"Yes",SUMIF($B$7:$B$256,B126,$I$7:$I$256)&gt;INDEX($O$58:$O$87,DAY(B126))),"Day over "&amp;INDEX($O$58:$O$87,DAY(B126))&amp;" h","✓")))))))))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tr">
        <f aca="false">IF(Projects!B124="","",Projects!B124)</f>
        <v/>
      </c>
      <c r="X126" s="1" t="n">
        <f aca="false">IF(W126="",0,SUMIFS($I$7:$I$256,$D$7:$D$256,W126,$H$7:$H$256,"NTIME"))</f>
        <v>0</v>
      </c>
      <c r="Y126" s="1" t="n">
        <f aca="false">IF(W126="",0,SUMIFS($I$7:$I$256,$D$7:$D$256,W126,$H$7:$H$256,"P6"))</f>
        <v>0</v>
      </c>
      <c r="Z126" s="1" t="n">
        <f aca="false">X126+Y126</f>
        <v>0</v>
      </c>
      <c r="AA126" s="1" t="n">
        <f aca="false">IF(Z126&gt;0,Z126+(201-120)/10^6,0)</f>
        <v>0</v>
      </c>
      <c r="AB126" s="1"/>
      <c r="AC126" s="1"/>
      <c r="AD126" s="1"/>
      <c r="AE126" s="1"/>
      <c r="AF126" s="1"/>
      <c r="AG126" s="1"/>
      <c r="AH126" s="1"/>
    </row>
    <row r="127" customFormat="false" ht="15" hidden="false" customHeight="false" outlineLevel="0" collapsed="false">
      <c r="A127" s="1"/>
      <c r="B127" s="10"/>
      <c r="C127" s="31" t="str">
        <f aca="false">IF(B127="","",TEXT(B127,"ddd"))</f>
        <v/>
      </c>
      <c r="D127" s="11"/>
      <c r="E127" s="8" t="str">
        <f aca="false">IF(D127="","",IFERROR(INDEX(ProjNumbers,MATCH(D127,ProjNames,0)),""))</f>
        <v/>
      </c>
      <c r="F127" s="8" t="str">
        <f aca="false">IF(D127="","",IFERROR(INDEX(ProjCodes,MATCH(D127,ProjNames,0)),""))</f>
        <v/>
      </c>
      <c r="G127" s="32"/>
      <c r="H127" s="11"/>
      <c r="I127" s="33"/>
      <c r="J127" s="8" t="str">
        <f aca="false">IF(COUNTA(B127,D127,G127,H127,I127)=0,"",IF(B127="","Enter date",IF(OR(B127&lt;$AC$2,B127&gt;$AC$3),"Date not in November",IF(D127="","Pick project",IF(ISNA(MATCH(D127,ProjNames,0)),"Project not in list",IF(G127="","Add task description",IF(H127="","Pick NTIME or P6",IF(N(I127)&lt;=0,"Enter hours",IF(AND(AllowOT&lt;&gt;"Yes",SUMIF($B$7:$B$256,B127,$I$7:$I$256)&gt;INDEX($O$58:$O$87,DAY(B127))),"Day over "&amp;INDEX($O$58:$O$87,DAY(B127))&amp;" h","✓")))))))))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tr">
        <f aca="false">IF(Projects!B125="","",Projects!B125)</f>
        <v/>
      </c>
      <c r="X127" s="1" t="n">
        <f aca="false">IF(W127="",0,SUMIFS($I$7:$I$256,$D$7:$D$256,W127,$H$7:$H$256,"NTIME"))</f>
        <v>0</v>
      </c>
      <c r="Y127" s="1" t="n">
        <f aca="false">IF(W127="",0,SUMIFS($I$7:$I$256,$D$7:$D$256,W127,$H$7:$H$256,"P6"))</f>
        <v>0</v>
      </c>
      <c r="Z127" s="1" t="n">
        <f aca="false">X127+Y127</f>
        <v>0</v>
      </c>
      <c r="AA127" s="1" t="n">
        <f aca="false">IF(Z127&gt;0,Z127+(201-121)/10^6,0)</f>
        <v>0</v>
      </c>
      <c r="AB127" s="1"/>
      <c r="AC127" s="1"/>
      <c r="AD127" s="1"/>
      <c r="AE127" s="1"/>
      <c r="AF127" s="1"/>
      <c r="AG127" s="1"/>
      <c r="AH127" s="1"/>
    </row>
    <row r="128" customFormat="false" ht="15" hidden="false" customHeight="false" outlineLevel="0" collapsed="false">
      <c r="A128" s="1"/>
      <c r="B128" s="10"/>
      <c r="C128" s="31" t="str">
        <f aca="false">IF(B128="","",TEXT(B128,"ddd"))</f>
        <v/>
      </c>
      <c r="D128" s="11"/>
      <c r="E128" s="8" t="str">
        <f aca="false">IF(D128="","",IFERROR(INDEX(ProjNumbers,MATCH(D128,ProjNames,0)),""))</f>
        <v/>
      </c>
      <c r="F128" s="8" t="str">
        <f aca="false">IF(D128="","",IFERROR(INDEX(ProjCodes,MATCH(D128,ProjNames,0)),""))</f>
        <v/>
      </c>
      <c r="G128" s="32"/>
      <c r="H128" s="11"/>
      <c r="I128" s="33"/>
      <c r="J128" s="8" t="str">
        <f aca="false">IF(COUNTA(B128,D128,G128,H128,I128)=0,"",IF(B128="","Enter date",IF(OR(B128&lt;$AC$2,B128&gt;$AC$3),"Date not in November",IF(D128="","Pick project",IF(ISNA(MATCH(D128,ProjNames,0)),"Project not in list",IF(G128="","Add task description",IF(H128="","Pick NTIME or P6",IF(N(I128)&lt;=0,"Enter hours",IF(AND(AllowOT&lt;&gt;"Yes",SUMIF($B$7:$B$256,B128,$I$7:$I$256)&gt;INDEX($O$58:$O$87,DAY(B128))),"Day over "&amp;INDEX($O$58:$O$87,DAY(B128))&amp;" h","✓")))))))))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tr">
        <f aca="false">IF(Projects!B126="","",Projects!B126)</f>
        <v/>
      </c>
      <c r="X128" s="1" t="n">
        <f aca="false">IF(W128="",0,SUMIFS($I$7:$I$256,$D$7:$D$256,W128,$H$7:$H$256,"NTIME"))</f>
        <v>0</v>
      </c>
      <c r="Y128" s="1" t="n">
        <f aca="false">IF(W128="",0,SUMIFS($I$7:$I$256,$D$7:$D$256,W128,$H$7:$H$256,"P6"))</f>
        <v>0</v>
      </c>
      <c r="Z128" s="1" t="n">
        <f aca="false">X128+Y128</f>
        <v>0</v>
      </c>
      <c r="AA128" s="1" t="n">
        <f aca="false">IF(Z128&gt;0,Z128+(201-122)/10^6,0)</f>
        <v>0</v>
      </c>
      <c r="AB128" s="1"/>
      <c r="AC128" s="1"/>
      <c r="AD128" s="1"/>
      <c r="AE128" s="1"/>
      <c r="AF128" s="1"/>
      <c r="AG128" s="1"/>
      <c r="AH128" s="1"/>
    </row>
    <row r="129" customFormat="false" ht="15" hidden="false" customHeight="false" outlineLevel="0" collapsed="false">
      <c r="A129" s="1"/>
      <c r="B129" s="10"/>
      <c r="C129" s="31" t="str">
        <f aca="false">IF(B129="","",TEXT(B129,"ddd"))</f>
        <v/>
      </c>
      <c r="D129" s="11"/>
      <c r="E129" s="8" t="str">
        <f aca="false">IF(D129="","",IFERROR(INDEX(ProjNumbers,MATCH(D129,ProjNames,0)),""))</f>
        <v/>
      </c>
      <c r="F129" s="8" t="str">
        <f aca="false">IF(D129="","",IFERROR(INDEX(ProjCodes,MATCH(D129,ProjNames,0)),""))</f>
        <v/>
      </c>
      <c r="G129" s="32"/>
      <c r="H129" s="11"/>
      <c r="I129" s="33"/>
      <c r="J129" s="8" t="str">
        <f aca="false">IF(COUNTA(B129,D129,G129,H129,I129)=0,"",IF(B129="","Enter date",IF(OR(B129&lt;$AC$2,B129&gt;$AC$3),"Date not in November",IF(D129="","Pick project",IF(ISNA(MATCH(D129,ProjNames,0)),"Project not in list",IF(G129="","Add task description",IF(H129="","Pick NTIME or P6",IF(N(I129)&lt;=0,"Enter hours",IF(AND(AllowOT&lt;&gt;"Yes",SUMIF($B$7:$B$256,B129,$I$7:$I$256)&gt;INDEX($O$58:$O$87,DAY(B129))),"Day over "&amp;INDEX($O$58:$O$87,DAY(B129))&amp;" h","✓")))))))))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tr">
        <f aca="false">IF(Projects!B127="","",Projects!B127)</f>
        <v/>
      </c>
      <c r="X129" s="1" t="n">
        <f aca="false">IF(W129="",0,SUMIFS($I$7:$I$256,$D$7:$D$256,W129,$H$7:$H$256,"NTIME"))</f>
        <v>0</v>
      </c>
      <c r="Y129" s="1" t="n">
        <f aca="false">IF(W129="",0,SUMIFS($I$7:$I$256,$D$7:$D$256,W129,$H$7:$H$256,"P6"))</f>
        <v>0</v>
      </c>
      <c r="Z129" s="1" t="n">
        <f aca="false">X129+Y129</f>
        <v>0</v>
      </c>
      <c r="AA129" s="1" t="n">
        <f aca="false">IF(Z129&gt;0,Z129+(201-123)/10^6,0)</f>
        <v>0</v>
      </c>
      <c r="AB129" s="1"/>
      <c r="AC129" s="1"/>
      <c r="AD129" s="1"/>
      <c r="AE129" s="1"/>
      <c r="AF129" s="1"/>
      <c r="AG129" s="1"/>
      <c r="AH129" s="1"/>
    </row>
    <row r="130" customFormat="false" ht="15" hidden="false" customHeight="false" outlineLevel="0" collapsed="false">
      <c r="A130" s="1"/>
      <c r="B130" s="10"/>
      <c r="C130" s="31" t="str">
        <f aca="false">IF(B130="","",TEXT(B130,"ddd"))</f>
        <v/>
      </c>
      <c r="D130" s="11"/>
      <c r="E130" s="8" t="str">
        <f aca="false">IF(D130="","",IFERROR(INDEX(ProjNumbers,MATCH(D130,ProjNames,0)),""))</f>
        <v/>
      </c>
      <c r="F130" s="8" t="str">
        <f aca="false">IF(D130="","",IFERROR(INDEX(ProjCodes,MATCH(D130,ProjNames,0)),""))</f>
        <v/>
      </c>
      <c r="G130" s="32"/>
      <c r="H130" s="11"/>
      <c r="I130" s="33"/>
      <c r="J130" s="8" t="str">
        <f aca="false">IF(COUNTA(B130,D130,G130,H130,I130)=0,"",IF(B130="","Enter date",IF(OR(B130&lt;$AC$2,B130&gt;$AC$3),"Date not in November",IF(D130="","Pick project",IF(ISNA(MATCH(D130,ProjNames,0)),"Project not in list",IF(G130="","Add task description",IF(H130="","Pick NTIME or P6",IF(N(I130)&lt;=0,"Enter hours",IF(AND(AllowOT&lt;&gt;"Yes",SUMIF($B$7:$B$256,B130,$I$7:$I$256)&gt;INDEX($O$58:$O$87,DAY(B130))),"Day over "&amp;INDEX($O$58:$O$87,DAY(B130))&amp;" h","✓")))))))))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tr">
        <f aca="false">IF(Projects!B128="","",Projects!B128)</f>
        <v/>
      </c>
      <c r="X130" s="1" t="n">
        <f aca="false">IF(W130="",0,SUMIFS($I$7:$I$256,$D$7:$D$256,W130,$H$7:$H$256,"NTIME"))</f>
        <v>0</v>
      </c>
      <c r="Y130" s="1" t="n">
        <f aca="false">IF(W130="",0,SUMIFS($I$7:$I$256,$D$7:$D$256,W130,$H$7:$H$256,"P6"))</f>
        <v>0</v>
      </c>
      <c r="Z130" s="1" t="n">
        <f aca="false">X130+Y130</f>
        <v>0</v>
      </c>
      <c r="AA130" s="1" t="n">
        <f aca="false">IF(Z130&gt;0,Z130+(201-124)/10^6,0)</f>
        <v>0</v>
      </c>
      <c r="AB130" s="1"/>
      <c r="AC130" s="1"/>
      <c r="AD130" s="1"/>
      <c r="AE130" s="1"/>
      <c r="AF130" s="1"/>
      <c r="AG130" s="1"/>
      <c r="AH130" s="1"/>
    </row>
    <row r="131" customFormat="false" ht="15" hidden="false" customHeight="false" outlineLevel="0" collapsed="false">
      <c r="A131" s="1"/>
      <c r="B131" s="10"/>
      <c r="C131" s="31" t="str">
        <f aca="false">IF(B131="","",TEXT(B131,"ddd"))</f>
        <v/>
      </c>
      <c r="D131" s="11"/>
      <c r="E131" s="8" t="str">
        <f aca="false">IF(D131="","",IFERROR(INDEX(ProjNumbers,MATCH(D131,ProjNames,0)),""))</f>
        <v/>
      </c>
      <c r="F131" s="8" t="str">
        <f aca="false">IF(D131="","",IFERROR(INDEX(ProjCodes,MATCH(D131,ProjNames,0)),""))</f>
        <v/>
      </c>
      <c r="G131" s="32"/>
      <c r="H131" s="11"/>
      <c r="I131" s="33"/>
      <c r="J131" s="8" t="str">
        <f aca="false">IF(COUNTA(B131,D131,G131,H131,I131)=0,"",IF(B131="","Enter date",IF(OR(B131&lt;$AC$2,B131&gt;$AC$3),"Date not in November",IF(D131="","Pick project",IF(ISNA(MATCH(D131,ProjNames,0)),"Project not in list",IF(G131="","Add task description",IF(H131="","Pick NTIME or P6",IF(N(I131)&lt;=0,"Enter hours",IF(AND(AllowOT&lt;&gt;"Yes",SUMIF($B$7:$B$256,B131,$I$7:$I$256)&gt;INDEX($O$58:$O$87,DAY(B131))),"Day over "&amp;INDEX($O$58:$O$87,DAY(B131))&amp;" h","✓")))))))))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tr">
        <f aca="false">IF(Projects!B129="","",Projects!B129)</f>
        <v/>
      </c>
      <c r="X131" s="1" t="n">
        <f aca="false">IF(W131="",0,SUMIFS($I$7:$I$256,$D$7:$D$256,W131,$H$7:$H$256,"NTIME"))</f>
        <v>0</v>
      </c>
      <c r="Y131" s="1" t="n">
        <f aca="false">IF(W131="",0,SUMIFS($I$7:$I$256,$D$7:$D$256,W131,$H$7:$H$256,"P6"))</f>
        <v>0</v>
      </c>
      <c r="Z131" s="1" t="n">
        <f aca="false">X131+Y131</f>
        <v>0</v>
      </c>
      <c r="AA131" s="1" t="n">
        <f aca="false">IF(Z131&gt;0,Z131+(201-125)/10^6,0)</f>
        <v>0</v>
      </c>
      <c r="AB131" s="1"/>
      <c r="AC131" s="1"/>
      <c r="AD131" s="1"/>
      <c r="AE131" s="1"/>
      <c r="AF131" s="1"/>
      <c r="AG131" s="1"/>
      <c r="AH131" s="1"/>
    </row>
    <row r="132" customFormat="false" ht="15" hidden="false" customHeight="false" outlineLevel="0" collapsed="false">
      <c r="A132" s="1"/>
      <c r="B132" s="10"/>
      <c r="C132" s="31" t="str">
        <f aca="false">IF(B132="","",TEXT(B132,"ddd"))</f>
        <v/>
      </c>
      <c r="D132" s="11"/>
      <c r="E132" s="8" t="str">
        <f aca="false">IF(D132="","",IFERROR(INDEX(ProjNumbers,MATCH(D132,ProjNames,0)),""))</f>
        <v/>
      </c>
      <c r="F132" s="8" t="str">
        <f aca="false">IF(D132="","",IFERROR(INDEX(ProjCodes,MATCH(D132,ProjNames,0)),""))</f>
        <v/>
      </c>
      <c r="G132" s="32"/>
      <c r="H132" s="11"/>
      <c r="I132" s="33"/>
      <c r="J132" s="8" t="str">
        <f aca="false">IF(COUNTA(B132,D132,G132,H132,I132)=0,"",IF(B132="","Enter date",IF(OR(B132&lt;$AC$2,B132&gt;$AC$3),"Date not in November",IF(D132="","Pick project",IF(ISNA(MATCH(D132,ProjNames,0)),"Project not in list",IF(G132="","Add task description",IF(H132="","Pick NTIME or P6",IF(N(I132)&lt;=0,"Enter hours",IF(AND(AllowOT&lt;&gt;"Yes",SUMIF($B$7:$B$256,B132,$I$7:$I$256)&gt;INDEX($O$58:$O$87,DAY(B132))),"Day over "&amp;INDEX($O$58:$O$87,DAY(B132))&amp;" h","✓")))))))))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tr">
        <f aca="false">IF(Projects!B130="","",Projects!B130)</f>
        <v/>
      </c>
      <c r="X132" s="1" t="n">
        <f aca="false">IF(W132="",0,SUMIFS($I$7:$I$256,$D$7:$D$256,W132,$H$7:$H$256,"NTIME"))</f>
        <v>0</v>
      </c>
      <c r="Y132" s="1" t="n">
        <f aca="false">IF(W132="",0,SUMIFS($I$7:$I$256,$D$7:$D$256,W132,$H$7:$H$256,"P6"))</f>
        <v>0</v>
      </c>
      <c r="Z132" s="1" t="n">
        <f aca="false">X132+Y132</f>
        <v>0</v>
      </c>
      <c r="AA132" s="1" t="n">
        <f aca="false">IF(Z132&gt;0,Z132+(201-126)/10^6,0)</f>
        <v>0</v>
      </c>
      <c r="AB132" s="1"/>
      <c r="AC132" s="1"/>
      <c r="AD132" s="1"/>
      <c r="AE132" s="1"/>
      <c r="AF132" s="1"/>
      <c r="AG132" s="1"/>
      <c r="AH132" s="1"/>
    </row>
    <row r="133" customFormat="false" ht="15" hidden="false" customHeight="false" outlineLevel="0" collapsed="false">
      <c r="A133" s="1"/>
      <c r="B133" s="10"/>
      <c r="C133" s="31" t="str">
        <f aca="false">IF(B133="","",TEXT(B133,"ddd"))</f>
        <v/>
      </c>
      <c r="D133" s="11"/>
      <c r="E133" s="8" t="str">
        <f aca="false">IF(D133="","",IFERROR(INDEX(ProjNumbers,MATCH(D133,ProjNames,0)),""))</f>
        <v/>
      </c>
      <c r="F133" s="8" t="str">
        <f aca="false">IF(D133="","",IFERROR(INDEX(ProjCodes,MATCH(D133,ProjNames,0)),""))</f>
        <v/>
      </c>
      <c r="G133" s="32"/>
      <c r="H133" s="11"/>
      <c r="I133" s="33"/>
      <c r="J133" s="8" t="str">
        <f aca="false">IF(COUNTA(B133,D133,G133,H133,I133)=0,"",IF(B133="","Enter date",IF(OR(B133&lt;$AC$2,B133&gt;$AC$3),"Date not in November",IF(D133="","Pick project",IF(ISNA(MATCH(D133,ProjNames,0)),"Project not in list",IF(G133="","Add task description",IF(H133="","Pick NTIME or P6",IF(N(I133)&lt;=0,"Enter hours",IF(AND(AllowOT&lt;&gt;"Yes",SUMIF($B$7:$B$256,B133,$I$7:$I$256)&gt;INDEX($O$58:$O$87,DAY(B133))),"Day over "&amp;INDEX($O$58:$O$87,DAY(B133))&amp;" h","✓")))))))))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tr">
        <f aca="false">IF(Projects!B131="","",Projects!B131)</f>
        <v/>
      </c>
      <c r="X133" s="1" t="n">
        <f aca="false">IF(W133="",0,SUMIFS($I$7:$I$256,$D$7:$D$256,W133,$H$7:$H$256,"NTIME"))</f>
        <v>0</v>
      </c>
      <c r="Y133" s="1" t="n">
        <f aca="false">IF(W133="",0,SUMIFS($I$7:$I$256,$D$7:$D$256,W133,$H$7:$H$256,"P6"))</f>
        <v>0</v>
      </c>
      <c r="Z133" s="1" t="n">
        <f aca="false">X133+Y133</f>
        <v>0</v>
      </c>
      <c r="AA133" s="1" t="n">
        <f aca="false">IF(Z133&gt;0,Z133+(201-127)/10^6,0)</f>
        <v>0</v>
      </c>
      <c r="AB133" s="1"/>
      <c r="AC133" s="1"/>
      <c r="AD133" s="1"/>
      <c r="AE133" s="1"/>
      <c r="AF133" s="1"/>
      <c r="AG133" s="1"/>
      <c r="AH133" s="1"/>
    </row>
    <row r="134" customFormat="false" ht="15" hidden="false" customHeight="false" outlineLevel="0" collapsed="false">
      <c r="A134" s="1"/>
      <c r="B134" s="10"/>
      <c r="C134" s="31" t="str">
        <f aca="false">IF(B134="","",TEXT(B134,"ddd"))</f>
        <v/>
      </c>
      <c r="D134" s="11"/>
      <c r="E134" s="8" t="str">
        <f aca="false">IF(D134="","",IFERROR(INDEX(ProjNumbers,MATCH(D134,ProjNames,0)),""))</f>
        <v/>
      </c>
      <c r="F134" s="8" t="str">
        <f aca="false">IF(D134="","",IFERROR(INDEX(ProjCodes,MATCH(D134,ProjNames,0)),""))</f>
        <v/>
      </c>
      <c r="G134" s="32"/>
      <c r="H134" s="11"/>
      <c r="I134" s="33"/>
      <c r="J134" s="8" t="str">
        <f aca="false">IF(COUNTA(B134,D134,G134,H134,I134)=0,"",IF(B134="","Enter date",IF(OR(B134&lt;$AC$2,B134&gt;$AC$3),"Date not in November",IF(D134="","Pick project",IF(ISNA(MATCH(D134,ProjNames,0)),"Project not in list",IF(G134="","Add task description",IF(H134="","Pick NTIME or P6",IF(N(I134)&lt;=0,"Enter hours",IF(AND(AllowOT&lt;&gt;"Yes",SUMIF($B$7:$B$256,B134,$I$7:$I$256)&gt;INDEX($O$58:$O$87,DAY(B134))),"Day over "&amp;INDEX($O$58:$O$87,DAY(B134))&amp;" h","✓")))))))))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tr">
        <f aca="false">IF(Projects!B132="","",Projects!B132)</f>
        <v/>
      </c>
      <c r="X134" s="1" t="n">
        <f aca="false">IF(W134="",0,SUMIFS($I$7:$I$256,$D$7:$D$256,W134,$H$7:$H$256,"NTIME"))</f>
        <v>0</v>
      </c>
      <c r="Y134" s="1" t="n">
        <f aca="false">IF(W134="",0,SUMIFS($I$7:$I$256,$D$7:$D$256,W134,$H$7:$H$256,"P6"))</f>
        <v>0</v>
      </c>
      <c r="Z134" s="1" t="n">
        <f aca="false">X134+Y134</f>
        <v>0</v>
      </c>
      <c r="AA134" s="1" t="n">
        <f aca="false">IF(Z134&gt;0,Z134+(201-128)/10^6,0)</f>
        <v>0</v>
      </c>
      <c r="AB134" s="1"/>
      <c r="AC134" s="1"/>
      <c r="AD134" s="1"/>
      <c r="AE134" s="1"/>
      <c r="AF134" s="1"/>
      <c r="AG134" s="1"/>
      <c r="AH134" s="1"/>
    </row>
    <row r="135" customFormat="false" ht="15" hidden="false" customHeight="false" outlineLevel="0" collapsed="false">
      <c r="A135" s="1"/>
      <c r="B135" s="10"/>
      <c r="C135" s="31" t="str">
        <f aca="false">IF(B135="","",TEXT(B135,"ddd"))</f>
        <v/>
      </c>
      <c r="D135" s="11"/>
      <c r="E135" s="8" t="str">
        <f aca="false">IF(D135="","",IFERROR(INDEX(ProjNumbers,MATCH(D135,ProjNames,0)),""))</f>
        <v/>
      </c>
      <c r="F135" s="8" t="str">
        <f aca="false">IF(D135="","",IFERROR(INDEX(ProjCodes,MATCH(D135,ProjNames,0)),""))</f>
        <v/>
      </c>
      <c r="G135" s="32"/>
      <c r="H135" s="11"/>
      <c r="I135" s="33"/>
      <c r="J135" s="8" t="str">
        <f aca="false">IF(COUNTA(B135,D135,G135,H135,I135)=0,"",IF(B135="","Enter date",IF(OR(B135&lt;$AC$2,B135&gt;$AC$3),"Date not in November",IF(D135="","Pick project",IF(ISNA(MATCH(D135,ProjNames,0)),"Project not in list",IF(G135="","Add task description",IF(H135="","Pick NTIME or P6",IF(N(I135)&lt;=0,"Enter hours",IF(AND(AllowOT&lt;&gt;"Yes",SUMIF($B$7:$B$256,B135,$I$7:$I$256)&gt;INDEX($O$58:$O$87,DAY(B135))),"Day over "&amp;INDEX($O$58:$O$87,DAY(B135))&amp;" h","✓")))))))))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tr">
        <f aca="false">IF(Projects!B133="","",Projects!B133)</f>
        <v/>
      </c>
      <c r="X135" s="1" t="n">
        <f aca="false">IF(W135="",0,SUMIFS($I$7:$I$256,$D$7:$D$256,W135,$H$7:$H$256,"NTIME"))</f>
        <v>0</v>
      </c>
      <c r="Y135" s="1" t="n">
        <f aca="false">IF(W135="",0,SUMIFS($I$7:$I$256,$D$7:$D$256,W135,$H$7:$H$256,"P6"))</f>
        <v>0</v>
      </c>
      <c r="Z135" s="1" t="n">
        <f aca="false">X135+Y135</f>
        <v>0</v>
      </c>
      <c r="AA135" s="1" t="n">
        <f aca="false">IF(Z135&gt;0,Z135+(201-129)/10^6,0)</f>
        <v>0</v>
      </c>
      <c r="AB135" s="1"/>
      <c r="AC135" s="1"/>
      <c r="AD135" s="1"/>
      <c r="AE135" s="1"/>
      <c r="AF135" s="1"/>
      <c r="AG135" s="1"/>
      <c r="AH135" s="1"/>
    </row>
    <row r="136" customFormat="false" ht="15" hidden="false" customHeight="false" outlineLevel="0" collapsed="false">
      <c r="A136" s="1"/>
      <c r="B136" s="10"/>
      <c r="C136" s="31" t="str">
        <f aca="false">IF(B136="","",TEXT(B136,"ddd"))</f>
        <v/>
      </c>
      <c r="D136" s="11"/>
      <c r="E136" s="8" t="str">
        <f aca="false">IF(D136="","",IFERROR(INDEX(ProjNumbers,MATCH(D136,ProjNames,0)),""))</f>
        <v/>
      </c>
      <c r="F136" s="8" t="str">
        <f aca="false">IF(D136="","",IFERROR(INDEX(ProjCodes,MATCH(D136,ProjNames,0)),""))</f>
        <v/>
      </c>
      <c r="G136" s="32"/>
      <c r="H136" s="11"/>
      <c r="I136" s="33"/>
      <c r="J136" s="8" t="str">
        <f aca="false">IF(COUNTA(B136,D136,G136,H136,I136)=0,"",IF(B136="","Enter date",IF(OR(B136&lt;$AC$2,B136&gt;$AC$3),"Date not in November",IF(D136="","Pick project",IF(ISNA(MATCH(D136,ProjNames,0)),"Project not in list",IF(G136="","Add task description",IF(H136="","Pick NTIME or P6",IF(N(I136)&lt;=0,"Enter hours",IF(AND(AllowOT&lt;&gt;"Yes",SUMIF($B$7:$B$256,B136,$I$7:$I$256)&gt;INDEX($O$58:$O$87,DAY(B136))),"Day over "&amp;INDEX($O$58:$O$87,DAY(B136))&amp;" h","✓")))))))))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tr">
        <f aca="false">IF(Projects!B134="","",Projects!B134)</f>
        <v/>
      </c>
      <c r="X136" s="1" t="n">
        <f aca="false">IF(W136="",0,SUMIFS($I$7:$I$256,$D$7:$D$256,W136,$H$7:$H$256,"NTIME"))</f>
        <v>0</v>
      </c>
      <c r="Y136" s="1" t="n">
        <f aca="false">IF(W136="",0,SUMIFS($I$7:$I$256,$D$7:$D$256,W136,$H$7:$H$256,"P6"))</f>
        <v>0</v>
      </c>
      <c r="Z136" s="1" t="n">
        <f aca="false">X136+Y136</f>
        <v>0</v>
      </c>
      <c r="AA136" s="1" t="n">
        <f aca="false">IF(Z136&gt;0,Z136+(201-130)/10^6,0)</f>
        <v>0</v>
      </c>
      <c r="AB136" s="1"/>
      <c r="AC136" s="1"/>
      <c r="AD136" s="1"/>
      <c r="AE136" s="1"/>
      <c r="AF136" s="1"/>
      <c r="AG136" s="1"/>
      <c r="AH136" s="1"/>
    </row>
    <row r="137" customFormat="false" ht="15" hidden="false" customHeight="false" outlineLevel="0" collapsed="false">
      <c r="A137" s="1"/>
      <c r="B137" s="10"/>
      <c r="C137" s="31" t="str">
        <f aca="false">IF(B137="","",TEXT(B137,"ddd"))</f>
        <v/>
      </c>
      <c r="D137" s="11"/>
      <c r="E137" s="8" t="str">
        <f aca="false">IF(D137="","",IFERROR(INDEX(ProjNumbers,MATCH(D137,ProjNames,0)),""))</f>
        <v/>
      </c>
      <c r="F137" s="8" t="str">
        <f aca="false">IF(D137="","",IFERROR(INDEX(ProjCodes,MATCH(D137,ProjNames,0)),""))</f>
        <v/>
      </c>
      <c r="G137" s="32"/>
      <c r="H137" s="11"/>
      <c r="I137" s="33"/>
      <c r="J137" s="8" t="str">
        <f aca="false">IF(COUNTA(B137,D137,G137,H137,I137)=0,"",IF(B137="","Enter date",IF(OR(B137&lt;$AC$2,B137&gt;$AC$3),"Date not in November",IF(D137="","Pick project",IF(ISNA(MATCH(D137,ProjNames,0)),"Project not in list",IF(G137="","Add task description",IF(H137="","Pick NTIME or P6",IF(N(I137)&lt;=0,"Enter hours",IF(AND(AllowOT&lt;&gt;"Yes",SUMIF($B$7:$B$256,B137,$I$7:$I$256)&gt;INDEX($O$58:$O$87,DAY(B137))),"Day over "&amp;INDEX($O$58:$O$87,DAY(B137))&amp;" h","✓")))))))))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tr">
        <f aca="false">IF(Projects!B135="","",Projects!B135)</f>
        <v/>
      </c>
      <c r="X137" s="1" t="n">
        <f aca="false">IF(W137="",0,SUMIFS($I$7:$I$256,$D$7:$D$256,W137,$H$7:$H$256,"NTIME"))</f>
        <v>0</v>
      </c>
      <c r="Y137" s="1" t="n">
        <f aca="false">IF(W137="",0,SUMIFS($I$7:$I$256,$D$7:$D$256,W137,$H$7:$H$256,"P6"))</f>
        <v>0</v>
      </c>
      <c r="Z137" s="1" t="n">
        <f aca="false">X137+Y137</f>
        <v>0</v>
      </c>
      <c r="AA137" s="1" t="n">
        <f aca="false">IF(Z137&gt;0,Z137+(201-131)/10^6,0)</f>
        <v>0</v>
      </c>
      <c r="AB137" s="1"/>
      <c r="AC137" s="1"/>
      <c r="AD137" s="1"/>
      <c r="AE137" s="1"/>
      <c r="AF137" s="1"/>
      <c r="AG137" s="1"/>
      <c r="AH137" s="1"/>
    </row>
    <row r="138" customFormat="false" ht="15" hidden="false" customHeight="false" outlineLevel="0" collapsed="false">
      <c r="A138" s="1"/>
      <c r="B138" s="10"/>
      <c r="C138" s="31" t="str">
        <f aca="false">IF(B138="","",TEXT(B138,"ddd"))</f>
        <v/>
      </c>
      <c r="D138" s="11"/>
      <c r="E138" s="8" t="str">
        <f aca="false">IF(D138="","",IFERROR(INDEX(ProjNumbers,MATCH(D138,ProjNames,0)),""))</f>
        <v/>
      </c>
      <c r="F138" s="8" t="str">
        <f aca="false">IF(D138="","",IFERROR(INDEX(ProjCodes,MATCH(D138,ProjNames,0)),""))</f>
        <v/>
      </c>
      <c r="G138" s="32"/>
      <c r="H138" s="11"/>
      <c r="I138" s="33"/>
      <c r="J138" s="8" t="str">
        <f aca="false">IF(COUNTA(B138,D138,G138,H138,I138)=0,"",IF(B138="","Enter date",IF(OR(B138&lt;$AC$2,B138&gt;$AC$3),"Date not in November",IF(D138="","Pick project",IF(ISNA(MATCH(D138,ProjNames,0)),"Project not in list",IF(G138="","Add task description",IF(H138="","Pick NTIME or P6",IF(N(I138)&lt;=0,"Enter hours",IF(AND(AllowOT&lt;&gt;"Yes",SUMIF($B$7:$B$256,B138,$I$7:$I$256)&gt;INDEX($O$58:$O$87,DAY(B138))),"Day over "&amp;INDEX($O$58:$O$87,DAY(B138))&amp;" h","✓")))))))))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tr">
        <f aca="false">IF(Projects!B136="","",Projects!B136)</f>
        <v/>
      </c>
      <c r="X138" s="1" t="n">
        <f aca="false">IF(W138="",0,SUMIFS($I$7:$I$256,$D$7:$D$256,W138,$H$7:$H$256,"NTIME"))</f>
        <v>0</v>
      </c>
      <c r="Y138" s="1" t="n">
        <f aca="false">IF(W138="",0,SUMIFS($I$7:$I$256,$D$7:$D$256,W138,$H$7:$H$256,"P6"))</f>
        <v>0</v>
      </c>
      <c r="Z138" s="1" t="n">
        <f aca="false">X138+Y138</f>
        <v>0</v>
      </c>
      <c r="AA138" s="1" t="n">
        <f aca="false">IF(Z138&gt;0,Z138+(201-132)/10^6,0)</f>
        <v>0</v>
      </c>
      <c r="AB138" s="1"/>
      <c r="AC138" s="1"/>
      <c r="AD138" s="1"/>
      <c r="AE138" s="1"/>
      <c r="AF138" s="1"/>
      <c r="AG138" s="1"/>
      <c r="AH138" s="1"/>
    </row>
    <row r="139" customFormat="false" ht="15" hidden="false" customHeight="false" outlineLevel="0" collapsed="false">
      <c r="A139" s="1"/>
      <c r="B139" s="10"/>
      <c r="C139" s="31" t="str">
        <f aca="false">IF(B139="","",TEXT(B139,"ddd"))</f>
        <v/>
      </c>
      <c r="D139" s="11"/>
      <c r="E139" s="8" t="str">
        <f aca="false">IF(D139="","",IFERROR(INDEX(ProjNumbers,MATCH(D139,ProjNames,0)),""))</f>
        <v/>
      </c>
      <c r="F139" s="8" t="str">
        <f aca="false">IF(D139="","",IFERROR(INDEX(ProjCodes,MATCH(D139,ProjNames,0)),""))</f>
        <v/>
      </c>
      <c r="G139" s="32"/>
      <c r="H139" s="11"/>
      <c r="I139" s="33"/>
      <c r="J139" s="8" t="str">
        <f aca="false">IF(COUNTA(B139,D139,G139,H139,I139)=0,"",IF(B139="","Enter date",IF(OR(B139&lt;$AC$2,B139&gt;$AC$3),"Date not in November",IF(D139="","Pick project",IF(ISNA(MATCH(D139,ProjNames,0)),"Project not in list",IF(G139="","Add task description",IF(H139="","Pick NTIME or P6",IF(N(I139)&lt;=0,"Enter hours",IF(AND(AllowOT&lt;&gt;"Yes",SUMIF($B$7:$B$256,B139,$I$7:$I$256)&gt;INDEX($O$58:$O$87,DAY(B139))),"Day over "&amp;INDEX($O$58:$O$87,DAY(B139))&amp;" h","✓")))))))))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tr">
        <f aca="false">IF(Projects!B137="","",Projects!B137)</f>
        <v/>
      </c>
      <c r="X139" s="1" t="n">
        <f aca="false">IF(W139="",0,SUMIFS($I$7:$I$256,$D$7:$D$256,W139,$H$7:$H$256,"NTIME"))</f>
        <v>0</v>
      </c>
      <c r="Y139" s="1" t="n">
        <f aca="false">IF(W139="",0,SUMIFS($I$7:$I$256,$D$7:$D$256,W139,$H$7:$H$256,"P6"))</f>
        <v>0</v>
      </c>
      <c r="Z139" s="1" t="n">
        <f aca="false">X139+Y139</f>
        <v>0</v>
      </c>
      <c r="AA139" s="1" t="n">
        <f aca="false">IF(Z139&gt;0,Z139+(201-133)/10^6,0)</f>
        <v>0</v>
      </c>
      <c r="AB139" s="1"/>
      <c r="AC139" s="1"/>
      <c r="AD139" s="1"/>
      <c r="AE139" s="1"/>
      <c r="AF139" s="1"/>
      <c r="AG139" s="1"/>
      <c r="AH139" s="1"/>
    </row>
    <row r="140" customFormat="false" ht="15" hidden="false" customHeight="false" outlineLevel="0" collapsed="false">
      <c r="A140" s="1"/>
      <c r="B140" s="10"/>
      <c r="C140" s="31" t="str">
        <f aca="false">IF(B140="","",TEXT(B140,"ddd"))</f>
        <v/>
      </c>
      <c r="D140" s="11"/>
      <c r="E140" s="8" t="str">
        <f aca="false">IF(D140="","",IFERROR(INDEX(ProjNumbers,MATCH(D140,ProjNames,0)),""))</f>
        <v/>
      </c>
      <c r="F140" s="8" t="str">
        <f aca="false">IF(D140="","",IFERROR(INDEX(ProjCodes,MATCH(D140,ProjNames,0)),""))</f>
        <v/>
      </c>
      <c r="G140" s="32"/>
      <c r="H140" s="11"/>
      <c r="I140" s="33"/>
      <c r="J140" s="8" t="str">
        <f aca="false">IF(COUNTA(B140,D140,G140,H140,I140)=0,"",IF(B140="","Enter date",IF(OR(B140&lt;$AC$2,B140&gt;$AC$3),"Date not in November",IF(D140="","Pick project",IF(ISNA(MATCH(D140,ProjNames,0)),"Project not in list",IF(G140="","Add task description",IF(H140="","Pick NTIME or P6",IF(N(I140)&lt;=0,"Enter hours",IF(AND(AllowOT&lt;&gt;"Yes",SUMIF($B$7:$B$256,B140,$I$7:$I$256)&gt;INDEX($O$58:$O$87,DAY(B140))),"Day over "&amp;INDEX($O$58:$O$87,DAY(B140))&amp;" h","✓")))))))))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tr">
        <f aca="false">IF(Projects!B138="","",Projects!B138)</f>
        <v/>
      </c>
      <c r="X140" s="1" t="n">
        <f aca="false">IF(W140="",0,SUMIFS($I$7:$I$256,$D$7:$D$256,W140,$H$7:$H$256,"NTIME"))</f>
        <v>0</v>
      </c>
      <c r="Y140" s="1" t="n">
        <f aca="false">IF(W140="",0,SUMIFS($I$7:$I$256,$D$7:$D$256,W140,$H$7:$H$256,"P6"))</f>
        <v>0</v>
      </c>
      <c r="Z140" s="1" t="n">
        <f aca="false">X140+Y140</f>
        <v>0</v>
      </c>
      <c r="AA140" s="1" t="n">
        <f aca="false">IF(Z140&gt;0,Z140+(201-134)/10^6,0)</f>
        <v>0</v>
      </c>
      <c r="AB140" s="1"/>
      <c r="AC140" s="1"/>
      <c r="AD140" s="1"/>
      <c r="AE140" s="1"/>
      <c r="AF140" s="1"/>
      <c r="AG140" s="1"/>
      <c r="AH140" s="1"/>
    </row>
    <row r="141" customFormat="false" ht="15" hidden="false" customHeight="false" outlineLevel="0" collapsed="false">
      <c r="A141" s="1"/>
      <c r="B141" s="10"/>
      <c r="C141" s="31" t="str">
        <f aca="false">IF(B141="","",TEXT(B141,"ddd"))</f>
        <v/>
      </c>
      <c r="D141" s="11"/>
      <c r="E141" s="8" t="str">
        <f aca="false">IF(D141="","",IFERROR(INDEX(ProjNumbers,MATCH(D141,ProjNames,0)),""))</f>
        <v/>
      </c>
      <c r="F141" s="8" t="str">
        <f aca="false">IF(D141="","",IFERROR(INDEX(ProjCodes,MATCH(D141,ProjNames,0)),""))</f>
        <v/>
      </c>
      <c r="G141" s="32"/>
      <c r="H141" s="11"/>
      <c r="I141" s="33"/>
      <c r="J141" s="8" t="str">
        <f aca="false">IF(COUNTA(B141,D141,G141,H141,I141)=0,"",IF(B141="","Enter date",IF(OR(B141&lt;$AC$2,B141&gt;$AC$3),"Date not in November",IF(D141="","Pick project",IF(ISNA(MATCH(D141,ProjNames,0)),"Project not in list",IF(G141="","Add task description",IF(H141="","Pick NTIME or P6",IF(N(I141)&lt;=0,"Enter hours",IF(AND(AllowOT&lt;&gt;"Yes",SUMIF($B$7:$B$256,B141,$I$7:$I$256)&gt;INDEX($O$58:$O$87,DAY(B141))),"Day over "&amp;INDEX($O$58:$O$87,DAY(B141))&amp;" h","✓")))))))))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tr">
        <f aca="false">IF(Projects!B139="","",Projects!B139)</f>
        <v/>
      </c>
      <c r="X141" s="1" t="n">
        <f aca="false">IF(W141="",0,SUMIFS($I$7:$I$256,$D$7:$D$256,W141,$H$7:$H$256,"NTIME"))</f>
        <v>0</v>
      </c>
      <c r="Y141" s="1" t="n">
        <f aca="false">IF(W141="",0,SUMIFS($I$7:$I$256,$D$7:$D$256,W141,$H$7:$H$256,"P6"))</f>
        <v>0</v>
      </c>
      <c r="Z141" s="1" t="n">
        <f aca="false">X141+Y141</f>
        <v>0</v>
      </c>
      <c r="AA141" s="1" t="n">
        <f aca="false">IF(Z141&gt;0,Z141+(201-135)/10^6,0)</f>
        <v>0</v>
      </c>
      <c r="AB141" s="1"/>
      <c r="AC141" s="1"/>
      <c r="AD141" s="1"/>
      <c r="AE141" s="1"/>
      <c r="AF141" s="1"/>
      <c r="AG141" s="1"/>
      <c r="AH141" s="1"/>
    </row>
    <row r="142" customFormat="false" ht="15" hidden="false" customHeight="false" outlineLevel="0" collapsed="false">
      <c r="A142" s="1"/>
      <c r="B142" s="10"/>
      <c r="C142" s="31" t="str">
        <f aca="false">IF(B142="","",TEXT(B142,"ddd"))</f>
        <v/>
      </c>
      <c r="D142" s="11"/>
      <c r="E142" s="8" t="str">
        <f aca="false">IF(D142="","",IFERROR(INDEX(ProjNumbers,MATCH(D142,ProjNames,0)),""))</f>
        <v/>
      </c>
      <c r="F142" s="8" t="str">
        <f aca="false">IF(D142="","",IFERROR(INDEX(ProjCodes,MATCH(D142,ProjNames,0)),""))</f>
        <v/>
      </c>
      <c r="G142" s="32"/>
      <c r="H142" s="11"/>
      <c r="I142" s="33"/>
      <c r="J142" s="8" t="str">
        <f aca="false">IF(COUNTA(B142,D142,G142,H142,I142)=0,"",IF(B142="","Enter date",IF(OR(B142&lt;$AC$2,B142&gt;$AC$3),"Date not in November",IF(D142="","Pick project",IF(ISNA(MATCH(D142,ProjNames,0)),"Project not in list",IF(G142="","Add task description",IF(H142="","Pick NTIME or P6",IF(N(I142)&lt;=0,"Enter hours",IF(AND(AllowOT&lt;&gt;"Yes",SUMIF($B$7:$B$256,B142,$I$7:$I$256)&gt;INDEX($O$58:$O$87,DAY(B142))),"Day over "&amp;INDEX($O$58:$O$87,DAY(B142))&amp;" h","✓")))))))))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tr">
        <f aca="false">IF(Projects!B140="","",Projects!B140)</f>
        <v/>
      </c>
      <c r="X142" s="1" t="n">
        <f aca="false">IF(W142="",0,SUMIFS($I$7:$I$256,$D$7:$D$256,W142,$H$7:$H$256,"NTIME"))</f>
        <v>0</v>
      </c>
      <c r="Y142" s="1" t="n">
        <f aca="false">IF(W142="",0,SUMIFS($I$7:$I$256,$D$7:$D$256,W142,$H$7:$H$256,"P6"))</f>
        <v>0</v>
      </c>
      <c r="Z142" s="1" t="n">
        <f aca="false">X142+Y142</f>
        <v>0</v>
      </c>
      <c r="AA142" s="1" t="n">
        <f aca="false">IF(Z142&gt;0,Z142+(201-136)/10^6,0)</f>
        <v>0</v>
      </c>
      <c r="AB142" s="1"/>
      <c r="AC142" s="1"/>
      <c r="AD142" s="1"/>
      <c r="AE142" s="1"/>
      <c r="AF142" s="1"/>
      <c r="AG142" s="1"/>
      <c r="AH142" s="1"/>
    </row>
    <row r="143" customFormat="false" ht="15" hidden="false" customHeight="false" outlineLevel="0" collapsed="false">
      <c r="A143" s="1"/>
      <c r="B143" s="10"/>
      <c r="C143" s="31" t="str">
        <f aca="false">IF(B143="","",TEXT(B143,"ddd"))</f>
        <v/>
      </c>
      <c r="D143" s="11"/>
      <c r="E143" s="8" t="str">
        <f aca="false">IF(D143="","",IFERROR(INDEX(ProjNumbers,MATCH(D143,ProjNames,0)),""))</f>
        <v/>
      </c>
      <c r="F143" s="8" t="str">
        <f aca="false">IF(D143="","",IFERROR(INDEX(ProjCodes,MATCH(D143,ProjNames,0)),""))</f>
        <v/>
      </c>
      <c r="G143" s="32"/>
      <c r="H143" s="11"/>
      <c r="I143" s="33"/>
      <c r="J143" s="8" t="str">
        <f aca="false">IF(COUNTA(B143,D143,G143,H143,I143)=0,"",IF(B143="","Enter date",IF(OR(B143&lt;$AC$2,B143&gt;$AC$3),"Date not in November",IF(D143="","Pick project",IF(ISNA(MATCH(D143,ProjNames,0)),"Project not in list",IF(G143="","Add task description",IF(H143="","Pick NTIME or P6",IF(N(I143)&lt;=0,"Enter hours",IF(AND(AllowOT&lt;&gt;"Yes",SUMIF($B$7:$B$256,B143,$I$7:$I$256)&gt;INDEX($O$58:$O$87,DAY(B143))),"Day over "&amp;INDEX($O$58:$O$87,DAY(B143))&amp;" h","✓")))))))))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tr">
        <f aca="false">IF(Projects!B141="","",Projects!B141)</f>
        <v/>
      </c>
      <c r="X143" s="1" t="n">
        <f aca="false">IF(W143="",0,SUMIFS($I$7:$I$256,$D$7:$D$256,W143,$H$7:$H$256,"NTIME"))</f>
        <v>0</v>
      </c>
      <c r="Y143" s="1" t="n">
        <f aca="false">IF(W143="",0,SUMIFS($I$7:$I$256,$D$7:$D$256,W143,$H$7:$H$256,"P6"))</f>
        <v>0</v>
      </c>
      <c r="Z143" s="1" t="n">
        <f aca="false">X143+Y143</f>
        <v>0</v>
      </c>
      <c r="AA143" s="1" t="n">
        <f aca="false">IF(Z143&gt;0,Z143+(201-137)/10^6,0)</f>
        <v>0</v>
      </c>
      <c r="AB143" s="1"/>
      <c r="AC143" s="1"/>
      <c r="AD143" s="1"/>
      <c r="AE143" s="1"/>
      <c r="AF143" s="1"/>
      <c r="AG143" s="1"/>
      <c r="AH143" s="1"/>
    </row>
    <row r="144" customFormat="false" ht="15" hidden="false" customHeight="false" outlineLevel="0" collapsed="false">
      <c r="A144" s="1"/>
      <c r="B144" s="10"/>
      <c r="C144" s="31" t="str">
        <f aca="false">IF(B144="","",TEXT(B144,"ddd"))</f>
        <v/>
      </c>
      <c r="D144" s="11"/>
      <c r="E144" s="8" t="str">
        <f aca="false">IF(D144="","",IFERROR(INDEX(ProjNumbers,MATCH(D144,ProjNames,0)),""))</f>
        <v/>
      </c>
      <c r="F144" s="8" t="str">
        <f aca="false">IF(D144="","",IFERROR(INDEX(ProjCodes,MATCH(D144,ProjNames,0)),""))</f>
        <v/>
      </c>
      <c r="G144" s="32"/>
      <c r="H144" s="11"/>
      <c r="I144" s="33"/>
      <c r="J144" s="8" t="str">
        <f aca="false">IF(COUNTA(B144,D144,G144,H144,I144)=0,"",IF(B144="","Enter date",IF(OR(B144&lt;$AC$2,B144&gt;$AC$3),"Date not in November",IF(D144="","Pick project",IF(ISNA(MATCH(D144,ProjNames,0)),"Project not in list",IF(G144="","Add task description",IF(H144="","Pick NTIME or P6",IF(N(I144)&lt;=0,"Enter hours",IF(AND(AllowOT&lt;&gt;"Yes",SUMIF($B$7:$B$256,B144,$I$7:$I$256)&gt;INDEX($O$58:$O$87,DAY(B144))),"Day over "&amp;INDEX($O$58:$O$87,DAY(B144))&amp;" h","✓")))))))))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tr">
        <f aca="false">IF(Projects!B142="","",Projects!B142)</f>
        <v/>
      </c>
      <c r="X144" s="1" t="n">
        <f aca="false">IF(W144="",0,SUMIFS($I$7:$I$256,$D$7:$D$256,W144,$H$7:$H$256,"NTIME"))</f>
        <v>0</v>
      </c>
      <c r="Y144" s="1" t="n">
        <f aca="false">IF(W144="",0,SUMIFS($I$7:$I$256,$D$7:$D$256,W144,$H$7:$H$256,"P6"))</f>
        <v>0</v>
      </c>
      <c r="Z144" s="1" t="n">
        <f aca="false">X144+Y144</f>
        <v>0</v>
      </c>
      <c r="AA144" s="1" t="n">
        <f aca="false">IF(Z144&gt;0,Z144+(201-138)/10^6,0)</f>
        <v>0</v>
      </c>
      <c r="AB144" s="1"/>
      <c r="AC144" s="1"/>
      <c r="AD144" s="1"/>
      <c r="AE144" s="1"/>
      <c r="AF144" s="1"/>
      <c r="AG144" s="1"/>
      <c r="AH144" s="1"/>
    </row>
    <row r="145" customFormat="false" ht="15" hidden="false" customHeight="false" outlineLevel="0" collapsed="false">
      <c r="A145" s="1"/>
      <c r="B145" s="10"/>
      <c r="C145" s="31" t="str">
        <f aca="false">IF(B145="","",TEXT(B145,"ddd"))</f>
        <v/>
      </c>
      <c r="D145" s="11"/>
      <c r="E145" s="8" t="str">
        <f aca="false">IF(D145="","",IFERROR(INDEX(ProjNumbers,MATCH(D145,ProjNames,0)),""))</f>
        <v/>
      </c>
      <c r="F145" s="8" t="str">
        <f aca="false">IF(D145="","",IFERROR(INDEX(ProjCodes,MATCH(D145,ProjNames,0)),""))</f>
        <v/>
      </c>
      <c r="G145" s="32"/>
      <c r="H145" s="11"/>
      <c r="I145" s="33"/>
      <c r="J145" s="8" t="str">
        <f aca="false">IF(COUNTA(B145,D145,G145,H145,I145)=0,"",IF(B145="","Enter date",IF(OR(B145&lt;$AC$2,B145&gt;$AC$3),"Date not in November",IF(D145="","Pick project",IF(ISNA(MATCH(D145,ProjNames,0)),"Project not in list",IF(G145="","Add task description",IF(H145="","Pick NTIME or P6",IF(N(I145)&lt;=0,"Enter hours",IF(AND(AllowOT&lt;&gt;"Yes",SUMIF($B$7:$B$256,B145,$I$7:$I$256)&gt;INDEX($O$58:$O$87,DAY(B145))),"Day over "&amp;INDEX($O$58:$O$87,DAY(B145))&amp;" h","✓")))))))))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tr">
        <f aca="false">IF(Projects!B143="","",Projects!B143)</f>
        <v/>
      </c>
      <c r="X145" s="1" t="n">
        <f aca="false">IF(W145="",0,SUMIFS($I$7:$I$256,$D$7:$D$256,W145,$H$7:$H$256,"NTIME"))</f>
        <v>0</v>
      </c>
      <c r="Y145" s="1" t="n">
        <f aca="false">IF(W145="",0,SUMIFS($I$7:$I$256,$D$7:$D$256,W145,$H$7:$H$256,"P6"))</f>
        <v>0</v>
      </c>
      <c r="Z145" s="1" t="n">
        <f aca="false">X145+Y145</f>
        <v>0</v>
      </c>
      <c r="AA145" s="1" t="n">
        <f aca="false">IF(Z145&gt;0,Z145+(201-139)/10^6,0)</f>
        <v>0</v>
      </c>
      <c r="AB145" s="1"/>
      <c r="AC145" s="1"/>
      <c r="AD145" s="1"/>
      <c r="AE145" s="1"/>
      <c r="AF145" s="1"/>
      <c r="AG145" s="1"/>
      <c r="AH145" s="1"/>
    </row>
    <row r="146" customFormat="false" ht="15" hidden="false" customHeight="false" outlineLevel="0" collapsed="false">
      <c r="A146" s="1"/>
      <c r="B146" s="10"/>
      <c r="C146" s="31" t="str">
        <f aca="false">IF(B146="","",TEXT(B146,"ddd"))</f>
        <v/>
      </c>
      <c r="D146" s="11"/>
      <c r="E146" s="8" t="str">
        <f aca="false">IF(D146="","",IFERROR(INDEX(ProjNumbers,MATCH(D146,ProjNames,0)),""))</f>
        <v/>
      </c>
      <c r="F146" s="8" t="str">
        <f aca="false">IF(D146="","",IFERROR(INDEX(ProjCodes,MATCH(D146,ProjNames,0)),""))</f>
        <v/>
      </c>
      <c r="G146" s="32"/>
      <c r="H146" s="11"/>
      <c r="I146" s="33"/>
      <c r="J146" s="8" t="str">
        <f aca="false">IF(COUNTA(B146,D146,G146,H146,I146)=0,"",IF(B146="","Enter date",IF(OR(B146&lt;$AC$2,B146&gt;$AC$3),"Date not in November",IF(D146="","Pick project",IF(ISNA(MATCH(D146,ProjNames,0)),"Project not in list",IF(G146="","Add task description",IF(H146="","Pick NTIME or P6",IF(N(I146)&lt;=0,"Enter hours",IF(AND(AllowOT&lt;&gt;"Yes",SUMIF($B$7:$B$256,B146,$I$7:$I$256)&gt;INDEX($O$58:$O$87,DAY(B146))),"Day over "&amp;INDEX($O$58:$O$87,DAY(B146))&amp;" h","✓")))))))))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tr">
        <f aca="false">IF(Projects!B144="","",Projects!B144)</f>
        <v/>
      </c>
      <c r="X146" s="1" t="n">
        <f aca="false">IF(W146="",0,SUMIFS($I$7:$I$256,$D$7:$D$256,W146,$H$7:$H$256,"NTIME"))</f>
        <v>0</v>
      </c>
      <c r="Y146" s="1" t="n">
        <f aca="false">IF(W146="",0,SUMIFS($I$7:$I$256,$D$7:$D$256,W146,$H$7:$H$256,"P6"))</f>
        <v>0</v>
      </c>
      <c r="Z146" s="1" t="n">
        <f aca="false">X146+Y146</f>
        <v>0</v>
      </c>
      <c r="AA146" s="1" t="n">
        <f aca="false">IF(Z146&gt;0,Z146+(201-140)/10^6,0)</f>
        <v>0</v>
      </c>
      <c r="AB146" s="1"/>
      <c r="AC146" s="1"/>
      <c r="AD146" s="1"/>
      <c r="AE146" s="1"/>
      <c r="AF146" s="1"/>
      <c r="AG146" s="1"/>
      <c r="AH146" s="1"/>
    </row>
    <row r="147" customFormat="false" ht="15" hidden="false" customHeight="false" outlineLevel="0" collapsed="false">
      <c r="A147" s="1"/>
      <c r="B147" s="10"/>
      <c r="C147" s="31" t="str">
        <f aca="false">IF(B147="","",TEXT(B147,"ddd"))</f>
        <v/>
      </c>
      <c r="D147" s="11"/>
      <c r="E147" s="8" t="str">
        <f aca="false">IF(D147="","",IFERROR(INDEX(ProjNumbers,MATCH(D147,ProjNames,0)),""))</f>
        <v/>
      </c>
      <c r="F147" s="8" t="str">
        <f aca="false">IF(D147="","",IFERROR(INDEX(ProjCodes,MATCH(D147,ProjNames,0)),""))</f>
        <v/>
      </c>
      <c r="G147" s="32"/>
      <c r="H147" s="11"/>
      <c r="I147" s="33"/>
      <c r="J147" s="8" t="str">
        <f aca="false">IF(COUNTA(B147,D147,G147,H147,I147)=0,"",IF(B147="","Enter date",IF(OR(B147&lt;$AC$2,B147&gt;$AC$3),"Date not in November",IF(D147="","Pick project",IF(ISNA(MATCH(D147,ProjNames,0)),"Project not in list",IF(G147="","Add task description",IF(H147="","Pick NTIME or P6",IF(N(I147)&lt;=0,"Enter hours",IF(AND(AllowOT&lt;&gt;"Yes",SUMIF($B$7:$B$256,B147,$I$7:$I$256)&gt;INDEX($O$58:$O$87,DAY(B147))),"Day over "&amp;INDEX($O$58:$O$87,DAY(B147))&amp;" h","✓")))))))))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tr">
        <f aca="false">IF(Projects!B145="","",Projects!B145)</f>
        <v/>
      </c>
      <c r="X147" s="1" t="n">
        <f aca="false">IF(W147="",0,SUMIFS($I$7:$I$256,$D$7:$D$256,W147,$H$7:$H$256,"NTIME"))</f>
        <v>0</v>
      </c>
      <c r="Y147" s="1" t="n">
        <f aca="false">IF(W147="",0,SUMIFS($I$7:$I$256,$D$7:$D$256,W147,$H$7:$H$256,"P6"))</f>
        <v>0</v>
      </c>
      <c r="Z147" s="1" t="n">
        <f aca="false">X147+Y147</f>
        <v>0</v>
      </c>
      <c r="AA147" s="1" t="n">
        <f aca="false">IF(Z147&gt;0,Z147+(201-141)/10^6,0)</f>
        <v>0</v>
      </c>
      <c r="AB147" s="1"/>
      <c r="AC147" s="1"/>
      <c r="AD147" s="1"/>
      <c r="AE147" s="1"/>
      <c r="AF147" s="1"/>
      <c r="AG147" s="1"/>
      <c r="AH147" s="1"/>
    </row>
    <row r="148" customFormat="false" ht="15" hidden="false" customHeight="false" outlineLevel="0" collapsed="false">
      <c r="A148" s="1"/>
      <c r="B148" s="10"/>
      <c r="C148" s="31" t="str">
        <f aca="false">IF(B148="","",TEXT(B148,"ddd"))</f>
        <v/>
      </c>
      <c r="D148" s="11"/>
      <c r="E148" s="8" t="str">
        <f aca="false">IF(D148="","",IFERROR(INDEX(ProjNumbers,MATCH(D148,ProjNames,0)),""))</f>
        <v/>
      </c>
      <c r="F148" s="8" t="str">
        <f aca="false">IF(D148="","",IFERROR(INDEX(ProjCodes,MATCH(D148,ProjNames,0)),""))</f>
        <v/>
      </c>
      <c r="G148" s="32"/>
      <c r="H148" s="11"/>
      <c r="I148" s="33"/>
      <c r="J148" s="8" t="str">
        <f aca="false">IF(COUNTA(B148,D148,G148,H148,I148)=0,"",IF(B148="","Enter date",IF(OR(B148&lt;$AC$2,B148&gt;$AC$3),"Date not in November",IF(D148="","Pick project",IF(ISNA(MATCH(D148,ProjNames,0)),"Project not in list",IF(G148="","Add task description",IF(H148="","Pick NTIME or P6",IF(N(I148)&lt;=0,"Enter hours",IF(AND(AllowOT&lt;&gt;"Yes",SUMIF($B$7:$B$256,B148,$I$7:$I$256)&gt;INDEX($O$58:$O$87,DAY(B148))),"Day over "&amp;INDEX($O$58:$O$87,DAY(B148))&amp;" h","✓")))))))))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tr">
        <f aca="false">IF(Projects!B146="","",Projects!B146)</f>
        <v/>
      </c>
      <c r="X148" s="1" t="n">
        <f aca="false">IF(W148="",0,SUMIFS($I$7:$I$256,$D$7:$D$256,W148,$H$7:$H$256,"NTIME"))</f>
        <v>0</v>
      </c>
      <c r="Y148" s="1" t="n">
        <f aca="false">IF(W148="",0,SUMIFS($I$7:$I$256,$D$7:$D$256,W148,$H$7:$H$256,"P6"))</f>
        <v>0</v>
      </c>
      <c r="Z148" s="1" t="n">
        <f aca="false">X148+Y148</f>
        <v>0</v>
      </c>
      <c r="AA148" s="1" t="n">
        <f aca="false">IF(Z148&gt;0,Z148+(201-142)/10^6,0)</f>
        <v>0</v>
      </c>
      <c r="AB148" s="1"/>
      <c r="AC148" s="1"/>
      <c r="AD148" s="1"/>
      <c r="AE148" s="1"/>
      <c r="AF148" s="1"/>
      <c r="AG148" s="1"/>
      <c r="AH148" s="1"/>
    </row>
    <row r="149" customFormat="false" ht="15" hidden="false" customHeight="false" outlineLevel="0" collapsed="false">
      <c r="A149" s="1"/>
      <c r="B149" s="10"/>
      <c r="C149" s="31" t="str">
        <f aca="false">IF(B149="","",TEXT(B149,"ddd"))</f>
        <v/>
      </c>
      <c r="D149" s="11"/>
      <c r="E149" s="8" t="str">
        <f aca="false">IF(D149="","",IFERROR(INDEX(ProjNumbers,MATCH(D149,ProjNames,0)),""))</f>
        <v/>
      </c>
      <c r="F149" s="8" t="str">
        <f aca="false">IF(D149="","",IFERROR(INDEX(ProjCodes,MATCH(D149,ProjNames,0)),""))</f>
        <v/>
      </c>
      <c r="G149" s="32"/>
      <c r="H149" s="11"/>
      <c r="I149" s="33"/>
      <c r="J149" s="8" t="str">
        <f aca="false">IF(COUNTA(B149,D149,G149,H149,I149)=0,"",IF(B149="","Enter date",IF(OR(B149&lt;$AC$2,B149&gt;$AC$3),"Date not in November",IF(D149="","Pick project",IF(ISNA(MATCH(D149,ProjNames,0)),"Project not in list",IF(G149="","Add task description",IF(H149="","Pick NTIME or P6",IF(N(I149)&lt;=0,"Enter hours",IF(AND(AllowOT&lt;&gt;"Yes",SUMIF($B$7:$B$256,B149,$I$7:$I$256)&gt;INDEX($O$58:$O$87,DAY(B149))),"Day over "&amp;INDEX($O$58:$O$87,DAY(B149))&amp;" h","✓")))))))))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tr">
        <f aca="false">IF(Projects!B147="","",Projects!B147)</f>
        <v/>
      </c>
      <c r="X149" s="1" t="n">
        <f aca="false">IF(W149="",0,SUMIFS($I$7:$I$256,$D$7:$D$256,W149,$H$7:$H$256,"NTIME"))</f>
        <v>0</v>
      </c>
      <c r="Y149" s="1" t="n">
        <f aca="false">IF(W149="",0,SUMIFS($I$7:$I$256,$D$7:$D$256,W149,$H$7:$H$256,"P6"))</f>
        <v>0</v>
      </c>
      <c r="Z149" s="1" t="n">
        <f aca="false">X149+Y149</f>
        <v>0</v>
      </c>
      <c r="AA149" s="1" t="n">
        <f aca="false">IF(Z149&gt;0,Z149+(201-143)/10^6,0)</f>
        <v>0</v>
      </c>
      <c r="AB149" s="1"/>
      <c r="AC149" s="1"/>
      <c r="AD149" s="1"/>
      <c r="AE149" s="1"/>
      <c r="AF149" s="1"/>
      <c r="AG149" s="1"/>
      <c r="AH149" s="1"/>
    </row>
    <row r="150" customFormat="false" ht="15" hidden="false" customHeight="false" outlineLevel="0" collapsed="false">
      <c r="A150" s="1"/>
      <c r="B150" s="10"/>
      <c r="C150" s="31" t="str">
        <f aca="false">IF(B150="","",TEXT(B150,"ddd"))</f>
        <v/>
      </c>
      <c r="D150" s="11"/>
      <c r="E150" s="8" t="str">
        <f aca="false">IF(D150="","",IFERROR(INDEX(ProjNumbers,MATCH(D150,ProjNames,0)),""))</f>
        <v/>
      </c>
      <c r="F150" s="8" t="str">
        <f aca="false">IF(D150="","",IFERROR(INDEX(ProjCodes,MATCH(D150,ProjNames,0)),""))</f>
        <v/>
      </c>
      <c r="G150" s="32"/>
      <c r="H150" s="11"/>
      <c r="I150" s="33"/>
      <c r="J150" s="8" t="str">
        <f aca="false">IF(COUNTA(B150,D150,G150,H150,I150)=0,"",IF(B150="","Enter date",IF(OR(B150&lt;$AC$2,B150&gt;$AC$3),"Date not in November",IF(D150="","Pick project",IF(ISNA(MATCH(D150,ProjNames,0)),"Project not in list",IF(G150="","Add task description",IF(H150="","Pick NTIME or P6",IF(N(I150)&lt;=0,"Enter hours",IF(AND(AllowOT&lt;&gt;"Yes",SUMIF($B$7:$B$256,B150,$I$7:$I$256)&gt;INDEX($O$58:$O$87,DAY(B150))),"Day over "&amp;INDEX($O$58:$O$87,DAY(B150))&amp;" h","✓")))))))))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tr">
        <f aca="false">IF(Projects!B148="","",Projects!B148)</f>
        <v/>
      </c>
      <c r="X150" s="1" t="n">
        <f aca="false">IF(W150="",0,SUMIFS($I$7:$I$256,$D$7:$D$256,W150,$H$7:$H$256,"NTIME"))</f>
        <v>0</v>
      </c>
      <c r="Y150" s="1" t="n">
        <f aca="false">IF(W150="",0,SUMIFS($I$7:$I$256,$D$7:$D$256,W150,$H$7:$H$256,"P6"))</f>
        <v>0</v>
      </c>
      <c r="Z150" s="1" t="n">
        <f aca="false">X150+Y150</f>
        <v>0</v>
      </c>
      <c r="AA150" s="1" t="n">
        <f aca="false">IF(Z150&gt;0,Z150+(201-144)/10^6,0)</f>
        <v>0</v>
      </c>
      <c r="AB150" s="1"/>
      <c r="AC150" s="1"/>
      <c r="AD150" s="1"/>
      <c r="AE150" s="1"/>
      <c r="AF150" s="1"/>
      <c r="AG150" s="1"/>
      <c r="AH150" s="1"/>
    </row>
    <row r="151" customFormat="false" ht="15" hidden="false" customHeight="false" outlineLevel="0" collapsed="false">
      <c r="A151" s="1"/>
      <c r="B151" s="10"/>
      <c r="C151" s="31" t="str">
        <f aca="false">IF(B151="","",TEXT(B151,"ddd"))</f>
        <v/>
      </c>
      <c r="D151" s="11"/>
      <c r="E151" s="8" t="str">
        <f aca="false">IF(D151="","",IFERROR(INDEX(ProjNumbers,MATCH(D151,ProjNames,0)),""))</f>
        <v/>
      </c>
      <c r="F151" s="8" t="str">
        <f aca="false">IF(D151="","",IFERROR(INDEX(ProjCodes,MATCH(D151,ProjNames,0)),""))</f>
        <v/>
      </c>
      <c r="G151" s="32"/>
      <c r="H151" s="11"/>
      <c r="I151" s="33"/>
      <c r="J151" s="8" t="str">
        <f aca="false">IF(COUNTA(B151,D151,G151,H151,I151)=0,"",IF(B151="","Enter date",IF(OR(B151&lt;$AC$2,B151&gt;$AC$3),"Date not in November",IF(D151="","Pick project",IF(ISNA(MATCH(D151,ProjNames,0)),"Project not in list",IF(G151="","Add task description",IF(H151="","Pick NTIME or P6",IF(N(I151)&lt;=0,"Enter hours",IF(AND(AllowOT&lt;&gt;"Yes",SUMIF($B$7:$B$256,B151,$I$7:$I$256)&gt;INDEX($O$58:$O$87,DAY(B151))),"Day over "&amp;INDEX($O$58:$O$87,DAY(B151))&amp;" h","✓")))))))))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tr">
        <f aca="false">IF(Projects!B149="","",Projects!B149)</f>
        <v/>
      </c>
      <c r="X151" s="1" t="n">
        <f aca="false">IF(W151="",0,SUMIFS($I$7:$I$256,$D$7:$D$256,W151,$H$7:$H$256,"NTIME"))</f>
        <v>0</v>
      </c>
      <c r="Y151" s="1" t="n">
        <f aca="false">IF(W151="",0,SUMIFS($I$7:$I$256,$D$7:$D$256,W151,$H$7:$H$256,"P6"))</f>
        <v>0</v>
      </c>
      <c r="Z151" s="1" t="n">
        <f aca="false">X151+Y151</f>
        <v>0</v>
      </c>
      <c r="AA151" s="1" t="n">
        <f aca="false">IF(Z151&gt;0,Z151+(201-145)/10^6,0)</f>
        <v>0</v>
      </c>
      <c r="AB151" s="1"/>
      <c r="AC151" s="1"/>
      <c r="AD151" s="1"/>
      <c r="AE151" s="1"/>
      <c r="AF151" s="1"/>
      <c r="AG151" s="1"/>
      <c r="AH151" s="1"/>
    </row>
    <row r="152" customFormat="false" ht="15" hidden="false" customHeight="false" outlineLevel="0" collapsed="false">
      <c r="A152" s="1"/>
      <c r="B152" s="10"/>
      <c r="C152" s="31" t="str">
        <f aca="false">IF(B152="","",TEXT(B152,"ddd"))</f>
        <v/>
      </c>
      <c r="D152" s="11"/>
      <c r="E152" s="8" t="str">
        <f aca="false">IF(D152="","",IFERROR(INDEX(ProjNumbers,MATCH(D152,ProjNames,0)),""))</f>
        <v/>
      </c>
      <c r="F152" s="8" t="str">
        <f aca="false">IF(D152="","",IFERROR(INDEX(ProjCodes,MATCH(D152,ProjNames,0)),""))</f>
        <v/>
      </c>
      <c r="G152" s="32"/>
      <c r="H152" s="11"/>
      <c r="I152" s="33"/>
      <c r="J152" s="8" t="str">
        <f aca="false">IF(COUNTA(B152,D152,G152,H152,I152)=0,"",IF(B152="","Enter date",IF(OR(B152&lt;$AC$2,B152&gt;$AC$3),"Date not in November",IF(D152="","Pick project",IF(ISNA(MATCH(D152,ProjNames,0)),"Project not in list",IF(G152="","Add task description",IF(H152="","Pick NTIME or P6",IF(N(I152)&lt;=0,"Enter hours",IF(AND(AllowOT&lt;&gt;"Yes",SUMIF($B$7:$B$256,B152,$I$7:$I$256)&gt;INDEX($O$58:$O$87,DAY(B152))),"Day over "&amp;INDEX($O$58:$O$87,DAY(B152))&amp;" h","✓")))))))))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tr">
        <f aca="false">IF(Projects!B150="","",Projects!B150)</f>
        <v/>
      </c>
      <c r="X152" s="1" t="n">
        <f aca="false">IF(W152="",0,SUMIFS($I$7:$I$256,$D$7:$D$256,W152,$H$7:$H$256,"NTIME"))</f>
        <v>0</v>
      </c>
      <c r="Y152" s="1" t="n">
        <f aca="false">IF(W152="",0,SUMIFS($I$7:$I$256,$D$7:$D$256,W152,$H$7:$H$256,"P6"))</f>
        <v>0</v>
      </c>
      <c r="Z152" s="1" t="n">
        <f aca="false">X152+Y152</f>
        <v>0</v>
      </c>
      <c r="AA152" s="1" t="n">
        <f aca="false">IF(Z152&gt;0,Z152+(201-146)/10^6,0)</f>
        <v>0</v>
      </c>
      <c r="AB152" s="1"/>
      <c r="AC152" s="1"/>
      <c r="AD152" s="1"/>
      <c r="AE152" s="1"/>
      <c r="AF152" s="1"/>
      <c r="AG152" s="1"/>
      <c r="AH152" s="1"/>
    </row>
    <row r="153" customFormat="false" ht="15" hidden="false" customHeight="false" outlineLevel="0" collapsed="false">
      <c r="A153" s="1"/>
      <c r="B153" s="10"/>
      <c r="C153" s="31" t="str">
        <f aca="false">IF(B153="","",TEXT(B153,"ddd"))</f>
        <v/>
      </c>
      <c r="D153" s="11"/>
      <c r="E153" s="8" t="str">
        <f aca="false">IF(D153="","",IFERROR(INDEX(ProjNumbers,MATCH(D153,ProjNames,0)),""))</f>
        <v/>
      </c>
      <c r="F153" s="8" t="str">
        <f aca="false">IF(D153="","",IFERROR(INDEX(ProjCodes,MATCH(D153,ProjNames,0)),""))</f>
        <v/>
      </c>
      <c r="G153" s="32"/>
      <c r="H153" s="11"/>
      <c r="I153" s="33"/>
      <c r="J153" s="8" t="str">
        <f aca="false">IF(COUNTA(B153,D153,G153,H153,I153)=0,"",IF(B153="","Enter date",IF(OR(B153&lt;$AC$2,B153&gt;$AC$3),"Date not in November",IF(D153="","Pick project",IF(ISNA(MATCH(D153,ProjNames,0)),"Project not in list",IF(G153="","Add task description",IF(H153="","Pick NTIME or P6",IF(N(I153)&lt;=0,"Enter hours",IF(AND(AllowOT&lt;&gt;"Yes",SUMIF($B$7:$B$256,B153,$I$7:$I$256)&gt;INDEX($O$58:$O$87,DAY(B153))),"Day over "&amp;INDEX($O$58:$O$87,DAY(B153))&amp;" h","✓")))))))))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tr">
        <f aca="false">IF(Projects!B151="","",Projects!B151)</f>
        <v/>
      </c>
      <c r="X153" s="1" t="n">
        <f aca="false">IF(W153="",0,SUMIFS($I$7:$I$256,$D$7:$D$256,W153,$H$7:$H$256,"NTIME"))</f>
        <v>0</v>
      </c>
      <c r="Y153" s="1" t="n">
        <f aca="false">IF(W153="",0,SUMIFS($I$7:$I$256,$D$7:$D$256,W153,$H$7:$H$256,"P6"))</f>
        <v>0</v>
      </c>
      <c r="Z153" s="1" t="n">
        <f aca="false">X153+Y153</f>
        <v>0</v>
      </c>
      <c r="AA153" s="1" t="n">
        <f aca="false">IF(Z153&gt;0,Z153+(201-147)/10^6,0)</f>
        <v>0</v>
      </c>
      <c r="AB153" s="1"/>
      <c r="AC153" s="1"/>
      <c r="AD153" s="1"/>
      <c r="AE153" s="1"/>
      <c r="AF153" s="1"/>
      <c r="AG153" s="1"/>
      <c r="AH153" s="1"/>
    </row>
    <row r="154" customFormat="false" ht="15" hidden="false" customHeight="false" outlineLevel="0" collapsed="false">
      <c r="A154" s="1"/>
      <c r="B154" s="10"/>
      <c r="C154" s="31" t="str">
        <f aca="false">IF(B154="","",TEXT(B154,"ddd"))</f>
        <v/>
      </c>
      <c r="D154" s="11"/>
      <c r="E154" s="8" t="str">
        <f aca="false">IF(D154="","",IFERROR(INDEX(ProjNumbers,MATCH(D154,ProjNames,0)),""))</f>
        <v/>
      </c>
      <c r="F154" s="8" t="str">
        <f aca="false">IF(D154="","",IFERROR(INDEX(ProjCodes,MATCH(D154,ProjNames,0)),""))</f>
        <v/>
      </c>
      <c r="G154" s="32"/>
      <c r="H154" s="11"/>
      <c r="I154" s="33"/>
      <c r="J154" s="8" t="str">
        <f aca="false">IF(COUNTA(B154,D154,G154,H154,I154)=0,"",IF(B154="","Enter date",IF(OR(B154&lt;$AC$2,B154&gt;$AC$3),"Date not in November",IF(D154="","Pick project",IF(ISNA(MATCH(D154,ProjNames,0)),"Project not in list",IF(G154="","Add task description",IF(H154="","Pick NTIME or P6",IF(N(I154)&lt;=0,"Enter hours",IF(AND(AllowOT&lt;&gt;"Yes",SUMIF($B$7:$B$256,B154,$I$7:$I$256)&gt;INDEX($O$58:$O$87,DAY(B154))),"Day over "&amp;INDEX($O$58:$O$87,DAY(B154))&amp;" h","✓")))))))))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tr">
        <f aca="false">IF(Projects!B152="","",Projects!B152)</f>
        <v/>
      </c>
      <c r="X154" s="1" t="n">
        <f aca="false">IF(W154="",0,SUMIFS($I$7:$I$256,$D$7:$D$256,W154,$H$7:$H$256,"NTIME"))</f>
        <v>0</v>
      </c>
      <c r="Y154" s="1" t="n">
        <f aca="false">IF(W154="",0,SUMIFS($I$7:$I$256,$D$7:$D$256,W154,$H$7:$H$256,"P6"))</f>
        <v>0</v>
      </c>
      <c r="Z154" s="1" t="n">
        <f aca="false">X154+Y154</f>
        <v>0</v>
      </c>
      <c r="AA154" s="1" t="n">
        <f aca="false">IF(Z154&gt;0,Z154+(201-148)/10^6,0)</f>
        <v>0</v>
      </c>
      <c r="AB154" s="1"/>
      <c r="AC154" s="1"/>
      <c r="AD154" s="1"/>
      <c r="AE154" s="1"/>
      <c r="AF154" s="1"/>
      <c r="AG154" s="1"/>
      <c r="AH154" s="1"/>
    </row>
    <row r="155" customFormat="false" ht="15" hidden="false" customHeight="false" outlineLevel="0" collapsed="false">
      <c r="A155" s="1"/>
      <c r="B155" s="10"/>
      <c r="C155" s="31" t="str">
        <f aca="false">IF(B155="","",TEXT(B155,"ddd"))</f>
        <v/>
      </c>
      <c r="D155" s="11"/>
      <c r="E155" s="8" t="str">
        <f aca="false">IF(D155="","",IFERROR(INDEX(ProjNumbers,MATCH(D155,ProjNames,0)),""))</f>
        <v/>
      </c>
      <c r="F155" s="8" t="str">
        <f aca="false">IF(D155="","",IFERROR(INDEX(ProjCodes,MATCH(D155,ProjNames,0)),""))</f>
        <v/>
      </c>
      <c r="G155" s="32"/>
      <c r="H155" s="11"/>
      <c r="I155" s="33"/>
      <c r="J155" s="8" t="str">
        <f aca="false">IF(COUNTA(B155,D155,G155,H155,I155)=0,"",IF(B155="","Enter date",IF(OR(B155&lt;$AC$2,B155&gt;$AC$3),"Date not in November",IF(D155="","Pick project",IF(ISNA(MATCH(D155,ProjNames,0)),"Project not in list",IF(G155="","Add task description",IF(H155="","Pick NTIME or P6",IF(N(I155)&lt;=0,"Enter hours",IF(AND(AllowOT&lt;&gt;"Yes",SUMIF($B$7:$B$256,B155,$I$7:$I$256)&gt;INDEX($O$58:$O$87,DAY(B155))),"Day over "&amp;INDEX($O$58:$O$87,DAY(B155))&amp;" h","✓")))))))))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tr">
        <f aca="false">IF(Projects!B153="","",Projects!B153)</f>
        <v/>
      </c>
      <c r="X155" s="1" t="n">
        <f aca="false">IF(W155="",0,SUMIFS($I$7:$I$256,$D$7:$D$256,W155,$H$7:$H$256,"NTIME"))</f>
        <v>0</v>
      </c>
      <c r="Y155" s="1" t="n">
        <f aca="false">IF(W155="",0,SUMIFS($I$7:$I$256,$D$7:$D$256,W155,$H$7:$H$256,"P6"))</f>
        <v>0</v>
      </c>
      <c r="Z155" s="1" t="n">
        <f aca="false">X155+Y155</f>
        <v>0</v>
      </c>
      <c r="AA155" s="1" t="n">
        <f aca="false">IF(Z155&gt;0,Z155+(201-149)/10^6,0)</f>
        <v>0</v>
      </c>
      <c r="AB155" s="1"/>
      <c r="AC155" s="1"/>
      <c r="AD155" s="1"/>
      <c r="AE155" s="1"/>
      <c r="AF155" s="1"/>
      <c r="AG155" s="1"/>
      <c r="AH155" s="1"/>
    </row>
    <row r="156" customFormat="false" ht="15" hidden="false" customHeight="false" outlineLevel="0" collapsed="false">
      <c r="A156" s="1"/>
      <c r="B156" s="10"/>
      <c r="C156" s="31" t="str">
        <f aca="false">IF(B156="","",TEXT(B156,"ddd"))</f>
        <v/>
      </c>
      <c r="D156" s="11"/>
      <c r="E156" s="8" t="str">
        <f aca="false">IF(D156="","",IFERROR(INDEX(ProjNumbers,MATCH(D156,ProjNames,0)),""))</f>
        <v/>
      </c>
      <c r="F156" s="8" t="str">
        <f aca="false">IF(D156="","",IFERROR(INDEX(ProjCodes,MATCH(D156,ProjNames,0)),""))</f>
        <v/>
      </c>
      <c r="G156" s="32"/>
      <c r="H156" s="11"/>
      <c r="I156" s="33"/>
      <c r="J156" s="8" t="str">
        <f aca="false">IF(COUNTA(B156,D156,G156,H156,I156)=0,"",IF(B156="","Enter date",IF(OR(B156&lt;$AC$2,B156&gt;$AC$3),"Date not in November",IF(D156="","Pick project",IF(ISNA(MATCH(D156,ProjNames,0)),"Project not in list",IF(G156="","Add task description",IF(H156="","Pick NTIME or P6",IF(N(I156)&lt;=0,"Enter hours",IF(AND(AllowOT&lt;&gt;"Yes",SUMIF($B$7:$B$256,B156,$I$7:$I$256)&gt;INDEX($O$58:$O$87,DAY(B156))),"Day over "&amp;INDEX($O$58:$O$87,DAY(B156))&amp;" h","✓")))))))))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tr">
        <f aca="false">IF(Projects!B154="","",Projects!B154)</f>
        <v/>
      </c>
      <c r="X156" s="1" t="n">
        <f aca="false">IF(W156="",0,SUMIFS($I$7:$I$256,$D$7:$D$256,W156,$H$7:$H$256,"NTIME"))</f>
        <v>0</v>
      </c>
      <c r="Y156" s="1" t="n">
        <f aca="false">IF(W156="",0,SUMIFS($I$7:$I$256,$D$7:$D$256,W156,$H$7:$H$256,"P6"))</f>
        <v>0</v>
      </c>
      <c r="Z156" s="1" t="n">
        <f aca="false">X156+Y156</f>
        <v>0</v>
      </c>
      <c r="AA156" s="1" t="n">
        <f aca="false">IF(Z156&gt;0,Z156+(201-150)/10^6,0)</f>
        <v>0</v>
      </c>
      <c r="AB156" s="1"/>
      <c r="AC156" s="1"/>
      <c r="AD156" s="1"/>
      <c r="AE156" s="1"/>
      <c r="AF156" s="1"/>
      <c r="AG156" s="1"/>
      <c r="AH156" s="1"/>
    </row>
    <row r="157" customFormat="false" ht="15" hidden="false" customHeight="false" outlineLevel="0" collapsed="false">
      <c r="A157" s="1"/>
      <c r="B157" s="10"/>
      <c r="C157" s="31" t="str">
        <f aca="false">IF(B157="","",TEXT(B157,"ddd"))</f>
        <v/>
      </c>
      <c r="D157" s="11"/>
      <c r="E157" s="8" t="str">
        <f aca="false">IF(D157="","",IFERROR(INDEX(ProjNumbers,MATCH(D157,ProjNames,0)),""))</f>
        <v/>
      </c>
      <c r="F157" s="8" t="str">
        <f aca="false">IF(D157="","",IFERROR(INDEX(ProjCodes,MATCH(D157,ProjNames,0)),""))</f>
        <v/>
      </c>
      <c r="G157" s="32"/>
      <c r="H157" s="11"/>
      <c r="I157" s="33"/>
      <c r="J157" s="8" t="str">
        <f aca="false">IF(COUNTA(B157,D157,G157,H157,I157)=0,"",IF(B157="","Enter date",IF(OR(B157&lt;$AC$2,B157&gt;$AC$3),"Date not in November",IF(D157="","Pick project",IF(ISNA(MATCH(D157,ProjNames,0)),"Project not in list",IF(G157="","Add task description",IF(H157="","Pick NTIME or P6",IF(N(I157)&lt;=0,"Enter hours",IF(AND(AllowOT&lt;&gt;"Yes",SUMIF($B$7:$B$256,B157,$I$7:$I$256)&gt;INDEX($O$58:$O$87,DAY(B157))),"Day over "&amp;INDEX($O$58:$O$87,DAY(B157))&amp;" h","✓")))))))))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tr">
        <f aca="false">IF(Projects!B155="","",Projects!B155)</f>
        <v/>
      </c>
      <c r="X157" s="1" t="n">
        <f aca="false">IF(W157="",0,SUMIFS($I$7:$I$256,$D$7:$D$256,W157,$H$7:$H$256,"NTIME"))</f>
        <v>0</v>
      </c>
      <c r="Y157" s="1" t="n">
        <f aca="false">IF(W157="",0,SUMIFS($I$7:$I$256,$D$7:$D$256,W157,$H$7:$H$256,"P6"))</f>
        <v>0</v>
      </c>
      <c r="Z157" s="1" t="n">
        <f aca="false">X157+Y157</f>
        <v>0</v>
      </c>
      <c r="AA157" s="1" t="n">
        <f aca="false">IF(Z157&gt;0,Z157+(201-151)/10^6,0)</f>
        <v>0</v>
      </c>
      <c r="AB157" s="1"/>
      <c r="AC157" s="1"/>
      <c r="AD157" s="1"/>
      <c r="AE157" s="1"/>
      <c r="AF157" s="1"/>
      <c r="AG157" s="1"/>
      <c r="AH157" s="1"/>
    </row>
    <row r="158" customFormat="false" ht="15" hidden="false" customHeight="false" outlineLevel="0" collapsed="false">
      <c r="A158" s="1"/>
      <c r="B158" s="10"/>
      <c r="C158" s="31" t="str">
        <f aca="false">IF(B158="","",TEXT(B158,"ddd"))</f>
        <v/>
      </c>
      <c r="D158" s="11"/>
      <c r="E158" s="8" t="str">
        <f aca="false">IF(D158="","",IFERROR(INDEX(ProjNumbers,MATCH(D158,ProjNames,0)),""))</f>
        <v/>
      </c>
      <c r="F158" s="8" t="str">
        <f aca="false">IF(D158="","",IFERROR(INDEX(ProjCodes,MATCH(D158,ProjNames,0)),""))</f>
        <v/>
      </c>
      <c r="G158" s="32"/>
      <c r="H158" s="11"/>
      <c r="I158" s="33"/>
      <c r="J158" s="8" t="str">
        <f aca="false">IF(COUNTA(B158,D158,G158,H158,I158)=0,"",IF(B158="","Enter date",IF(OR(B158&lt;$AC$2,B158&gt;$AC$3),"Date not in November",IF(D158="","Pick project",IF(ISNA(MATCH(D158,ProjNames,0)),"Project not in list",IF(G158="","Add task description",IF(H158="","Pick NTIME or P6",IF(N(I158)&lt;=0,"Enter hours",IF(AND(AllowOT&lt;&gt;"Yes",SUMIF($B$7:$B$256,B158,$I$7:$I$256)&gt;INDEX($O$58:$O$87,DAY(B158))),"Day over "&amp;INDEX($O$58:$O$87,DAY(B158))&amp;" h","✓")))))))))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tr">
        <f aca="false">IF(Projects!B156="","",Projects!B156)</f>
        <v/>
      </c>
      <c r="X158" s="1" t="n">
        <f aca="false">IF(W158="",0,SUMIFS($I$7:$I$256,$D$7:$D$256,W158,$H$7:$H$256,"NTIME"))</f>
        <v>0</v>
      </c>
      <c r="Y158" s="1" t="n">
        <f aca="false">IF(W158="",0,SUMIFS($I$7:$I$256,$D$7:$D$256,W158,$H$7:$H$256,"P6"))</f>
        <v>0</v>
      </c>
      <c r="Z158" s="1" t="n">
        <f aca="false">X158+Y158</f>
        <v>0</v>
      </c>
      <c r="AA158" s="1" t="n">
        <f aca="false">IF(Z158&gt;0,Z158+(201-152)/10^6,0)</f>
        <v>0</v>
      </c>
      <c r="AB158" s="1"/>
      <c r="AC158" s="1"/>
      <c r="AD158" s="1"/>
      <c r="AE158" s="1"/>
      <c r="AF158" s="1"/>
      <c r="AG158" s="1"/>
      <c r="AH158" s="1"/>
    </row>
    <row r="159" customFormat="false" ht="15" hidden="false" customHeight="false" outlineLevel="0" collapsed="false">
      <c r="A159" s="1"/>
      <c r="B159" s="10"/>
      <c r="C159" s="31" t="str">
        <f aca="false">IF(B159="","",TEXT(B159,"ddd"))</f>
        <v/>
      </c>
      <c r="D159" s="11"/>
      <c r="E159" s="8" t="str">
        <f aca="false">IF(D159="","",IFERROR(INDEX(ProjNumbers,MATCH(D159,ProjNames,0)),""))</f>
        <v/>
      </c>
      <c r="F159" s="8" t="str">
        <f aca="false">IF(D159="","",IFERROR(INDEX(ProjCodes,MATCH(D159,ProjNames,0)),""))</f>
        <v/>
      </c>
      <c r="G159" s="32"/>
      <c r="H159" s="11"/>
      <c r="I159" s="33"/>
      <c r="J159" s="8" t="str">
        <f aca="false">IF(COUNTA(B159,D159,G159,H159,I159)=0,"",IF(B159="","Enter date",IF(OR(B159&lt;$AC$2,B159&gt;$AC$3),"Date not in November",IF(D159="","Pick project",IF(ISNA(MATCH(D159,ProjNames,0)),"Project not in list",IF(G159="","Add task description",IF(H159="","Pick NTIME or P6",IF(N(I159)&lt;=0,"Enter hours",IF(AND(AllowOT&lt;&gt;"Yes",SUMIF($B$7:$B$256,B159,$I$7:$I$256)&gt;INDEX($O$58:$O$87,DAY(B159))),"Day over "&amp;INDEX($O$58:$O$87,DAY(B159))&amp;" h","✓")))))))))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tr">
        <f aca="false">IF(Projects!B157="","",Projects!B157)</f>
        <v/>
      </c>
      <c r="X159" s="1" t="n">
        <f aca="false">IF(W159="",0,SUMIFS($I$7:$I$256,$D$7:$D$256,W159,$H$7:$H$256,"NTIME"))</f>
        <v>0</v>
      </c>
      <c r="Y159" s="1" t="n">
        <f aca="false">IF(W159="",0,SUMIFS($I$7:$I$256,$D$7:$D$256,W159,$H$7:$H$256,"P6"))</f>
        <v>0</v>
      </c>
      <c r="Z159" s="1" t="n">
        <f aca="false">X159+Y159</f>
        <v>0</v>
      </c>
      <c r="AA159" s="1" t="n">
        <f aca="false">IF(Z159&gt;0,Z159+(201-153)/10^6,0)</f>
        <v>0</v>
      </c>
      <c r="AB159" s="1"/>
      <c r="AC159" s="1"/>
      <c r="AD159" s="1"/>
      <c r="AE159" s="1"/>
      <c r="AF159" s="1"/>
      <c r="AG159" s="1"/>
      <c r="AH159" s="1"/>
    </row>
    <row r="160" customFormat="false" ht="15" hidden="false" customHeight="false" outlineLevel="0" collapsed="false">
      <c r="A160" s="1"/>
      <c r="B160" s="10"/>
      <c r="C160" s="31" t="str">
        <f aca="false">IF(B160="","",TEXT(B160,"ddd"))</f>
        <v/>
      </c>
      <c r="D160" s="11"/>
      <c r="E160" s="8" t="str">
        <f aca="false">IF(D160="","",IFERROR(INDEX(ProjNumbers,MATCH(D160,ProjNames,0)),""))</f>
        <v/>
      </c>
      <c r="F160" s="8" t="str">
        <f aca="false">IF(D160="","",IFERROR(INDEX(ProjCodes,MATCH(D160,ProjNames,0)),""))</f>
        <v/>
      </c>
      <c r="G160" s="32"/>
      <c r="H160" s="11"/>
      <c r="I160" s="33"/>
      <c r="J160" s="8" t="str">
        <f aca="false">IF(COUNTA(B160,D160,G160,H160,I160)=0,"",IF(B160="","Enter date",IF(OR(B160&lt;$AC$2,B160&gt;$AC$3),"Date not in November",IF(D160="","Pick project",IF(ISNA(MATCH(D160,ProjNames,0)),"Project not in list",IF(G160="","Add task description",IF(H160="","Pick NTIME or P6",IF(N(I160)&lt;=0,"Enter hours",IF(AND(AllowOT&lt;&gt;"Yes",SUMIF($B$7:$B$256,B160,$I$7:$I$256)&gt;INDEX($O$58:$O$87,DAY(B160))),"Day over "&amp;INDEX($O$58:$O$87,DAY(B160))&amp;" h","✓")))))))))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tr">
        <f aca="false">IF(Projects!B158="","",Projects!B158)</f>
        <v/>
      </c>
      <c r="X160" s="1" t="n">
        <f aca="false">IF(W160="",0,SUMIFS($I$7:$I$256,$D$7:$D$256,W160,$H$7:$H$256,"NTIME"))</f>
        <v>0</v>
      </c>
      <c r="Y160" s="1" t="n">
        <f aca="false">IF(W160="",0,SUMIFS($I$7:$I$256,$D$7:$D$256,W160,$H$7:$H$256,"P6"))</f>
        <v>0</v>
      </c>
      <c r="Z160" s="1" t="n">
        <f aca="false">X160+Y160</f>
        <v>0</v>
      </c>
      <c r="AA160" s="1" t="n">
        <f aca="false">IF(Z160&gt;0,Z160+(201-154)/10^6,0)</f>
        <v>0</v>
      </c>
      <c r="AB160" s="1"/>
      <c r="AC160" s="1"/>
      <c r="AD160" s="1"/>
      <c r="AE160" s="1"/>
      <c r="AF160" s="1"/>
      <c r="AG160" s="1"/>
      <c r="AH160" s="1"/>
    </row>
    <row r="161" customFormat="false" ht="15" hidden="false" customHeight="false" outlineLevel="0" collapsed="false">
      <c r="A161" s="1"/>
      <c r="B161" s="10"/>
      <c r="C161" s="31" t="str">
        <f aca="false">IF(B161="","",TEXT(B161,"ddd"))</f>
        <v/>
      </c>
      <c r="D161" s="11"/>
      <c r="E161" s="8" t="str">
        <f aca="false">IF(D161="","",IFERROR(INDEX(ProjNumbers,MATCH(D161,ProjNames,0)),""))</f>
        <v/>
      </c>
      <c r="F161" s="8" t="str">
        <f aca="false">IF(D161="","",IFERROR(INDEX(ProjCodes,MATCH(D161,ProjNames,0)),""))</f>
        <v/>
      </c>
      <c r="G161" s="32"/>
      <c r="H161" s="11"/>
      <c r="I161" s="33"/>
      <c r="J161" s="8" t="str">
        <f aca="false">IF(COUNTA(B161,D161,G161,H161,I161)=0,"",IF(B161="","Enter date",IF(OR(B161&lt;$AC$2,B161&gt;$AC$3),"Date not in November",IF(D161="","Pick project",IF(ISNA(MATCH(D161,ProjNames,0)),"Project not in list",IF(G161="","Add task description",IF(H161="","Pick NTIME or P6",IF(N(I161)&lt;=0,"Enter hours",IF(AND(AllowOT&lt;&gt;"Yes",SUMIF($B$7:$B$256,B161,$I$7:$I$256)&gt;INDEX($O$58:$O$87,DAY(B161))),"Day over "&amp;INDEX($O$58:$O$87,DAY(B161))&amp;" h","✓")))))))))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tr">
        <f aca="false">IF(Projects!B159="","",Projects!B159)</f>
        <v/>
      </c>
      <c r="X161" s="1" t="n">
        <f aca="false">IF(W161="",0,SUMIFS($I$7:$I$256,$D$7:$D$256,W161,$H$7:$H$256,"NTIME"))</f>
        <v>0</v>
      </c>
      <c r="Y161" s="1" t="n">
        <f aca="false">IF(W161="",0,SUMIFS($I$7:$I$256,$D$7:$D$256,W161,$H$7:$H$256,"P6"))</f>
        <v>0</v>
      </c>
      <c r="Z161" s="1" t="n">
        <f aca="false">X161+Y161</f>
        <v>0</v>
      </c>
      <c r="AA161" s="1" t="n">
        <f aca="false">IF(Z161&gt;0,Z161+(201-155)/10^6,0)</f>
        <v>0</v>
      </c>
      <c r="AB161" s="1"/>
      <c r="AC161" s="1"/>
      <c r="AD161" s="1"/>
      <c r="AE161" s="1"/>
      <c r="AF161" s="1"/>
      <c r="AG161" s="1"/>
      <c r="AH161" s="1"/>
    </row>
    <row r="162" customFormat="false" ht="15" hidden="false" customHeight="false" outlineLevel="0" collapsed="false">
      <c r="A162" s="1"/>
      <c r="B162" s="10"/>
      <c r="C162" s="31" t="str">
        <f aca="false">IF(B162="","",TEXT(B162,"ddd"))</f>
        <v/>
      </c>
      <c r="D162" s="11"/>
      <c r="E162" s="8" t="str">
        <f aca="false">IF(D162="","",IFERROR(INDEX(ProjNumbers,MATCH(D162,ProjNames,0)),""))</f>
        <v/>
      </c>
      <c r="F162" s="8" t="str">
        <f aca="false">IF(D162="","",IFERROR(INDEX(ProjCodes,MATCH(D162,ProjNames,0)),""))</f>
        <v/>
      </c>
      <c r="G162" s="32"/>
      <c r="H162" s="11"/>
      <c r="I162" s="33"/>
      <c r="J162" s="8" t="str">
        <f aca="false">IF(COUNTA(B162,D162,G162,H162,I162)=0,"",IF(B162="","Enter date",IF(OR(B162&lt;$AC$2,B162&gt;$AC$3),"Date not in November",IF(D162="","Pick project",IF(ISNA(MATCH(D162,ProjNames,0)),"Project not in list",IF(G162="","Add task description",IF(H162="","Pick NTIME or P6",IF(N(I162)&lt;=0,"Enter hours",IF(AND(AllowOT&lt;&gt;"Yes",SUMIF($B$7:$B$256,B162,$I$7:$I$256)&gt;INDEX($O$58:$O$87,DAY(B162))),"Day over "&amp;INDEX($O$58:$O$87,DAY(B162))&amp;" h","✓")))))))))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tr">
        <f aca="false">IF(Projects!B160="","",Projects!B160)</f>
        <v/>
      </c>
      <c r="X162" s="1" t="n">
        <f aca="false">IF(W162="",0,SUMIFS($I$7:$I$256,$D$7:$D$256,W162,$H$7:$H$256,"NTIME"))</f>
        <v>0</v>
      </c>
      <c r="Y162" s="1" t="n">
        <f aca="false">IF(W162="",0,SUMIFS($I$7:$I$256,$D$7:$D$256,W162,$H$7:$H$256,"P6"))</f>
        <v>0</v>
      </c>
      <c r="Z162" s="1" t="n">
        <f aca="false">X162+Y162</f>
        <v>0</v>
      </c>
      <c r="AA162" s="1" t="n">
        <f aca="false">IF(Z162&gt;0,Z162+(201-156)/10^6,0)</f>
        <v>0</v>
      </c>
      <c r="AB162" s="1"/>
      <c r="AC162" s="1"/>
      <c r="AD162" s="1"/>
      <c r="AE162" s="1"/>
      <c r="AF162" s="1"/>
      <c r="AG162" s="1"/>
      <c r="AH162" s="1"/>
    </row>
    <row r="163" customFormat="false" ht="15" hidden="false" customHeight="false" outlineLevel="0" collapsed="false">
      <c r="A163" s="1"/>
      <c r="B163" s="10"/>
      <c r="C163" s="31" t="str">
        <f aca="false">IF(B163="","",TEXT(B163,"ddd"))</f>
        <v/>
      </c>
      <c r="D163" s="11"/>
      <c r="E163" s="8" t="str">
        <f aca="false">IF(D163="","",IFERROR(INDEX(ProjNumbers,MATCH(D163,ProjNames,0)),""))</f>
        <v/>
      </c>
      <c r="F163" s="8" t="str">
        <f aca="false">IF(D163="","",IFERROR(INDEX(ProjCodes,MATCH(D163,ProjNames,0)),""))</f>
        <v/>
      </c>
      <c r="G163" s="32"/>
      <c r="H163" s="11"/>
      <c r="I163" s="33"/>
      <c r="J163" s="8" t="str">
        <f aca="false">IF(COUNTA(B163,D163,G163,H163,I163)=0,"",IF(B163="","Enter date",IF(OR(B163&lt;$AC$2,B163&gt;$AC$3),"Date not in November",IF(D163="","Pick project",IF(ISNA(MATCH(D163,ProjNames,0)),"Project not in list",IF(G163="","Add task description",IF(H163="","Pick NTIME or P6",IF(N(I163)&lt;=0,"Enter hours",IF(AND(AllowOT&lt;&gt;"Yes",SUMIF($B$7:$B$256,B163,$I$7:$I$256)&gt;INDEX($O$58:$O$87,DAY(B163))),"Day over "&amp;INDEX($O$58:$O$87,DAY(B163))&amp;" h","✓")))))))))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tr">
        <f aca="false">IF(Projects!B161="","",Projects!B161)</f>
        <v/>
      </c>
      <c r="X163" s="1" t="n">
        <f aca="false">IF(W163="",0,SUMIFS($I$7:$I$256,$D$7:$D$256,W163,$H$7:$H$256,"NTIME"))</f>
        <v>0</v>
      </c>
      <c r="Y163" s="1" t="n">
        <f aca="false">IF(W163="",0,SUMIFS($I$7:$I$256,$D$7:$D$256,W163,$H$7:$H$256,"P6"))</f>
        <v>0</v>
      </c>
      <c r="Z163" s="1" t="n">
        <f aca="false">X163+Y163</f>
        <v>0</v>
      </c>
      <c r="AA163" s="1" t="n">
        <f aca="false">IF(Z163&gt;0,Z163+(201-157)/10^6,0)</f>
        <v>0</v>
      </c>
      <c r="AB163" s="1"/>
      <c r="AC163" s="1"/>
      <c r="AD163" s="1"/>
      <c r="AE163" s="1"/>
      <c r="AF163" s="1"/>
      <c r="AG163" s="1"/>
      <c r="AH163" s="1"/>
    </row>
    <row r="164" customFormat="false" ht="15" hidden="false" customHeight="false" outlineLevel="0" collapsed="false">
      <c r="A164" s="1"/>
      <c r="B164" s="10"/>
      <c r="C164" s="31" t="str">
        <f aca="false">IF(B164="","",TEXT(B164,"ddd"))</f>
        <v/>
      </c>
      <c r="D164" s="11"/>
      <c r="E164" s="8" t="str">
        <f aca="false">IF(D164="","",IFERROR(INDEX(ProjNumbers,MATCH(D164,ProjNames,0)),""))</f>
        <v/>
      </c>
      <c r="F164" s="8" t="str">
        <f aca="false">IF(D164="","",IFERROR(INDEX(ProjCodes,MATCH(D164,ProjNames,0)),""))</f>
        <v/>
      </c>
      <c r="G164" s="32"/>
      <c r="H164" s="11"/>
      <c r="I164" s="33"/>
      <c r="J164" s="8" t="str">
        <f aca="false">IF(COUNTA(B164,D164,G164,H164,I164)=0,"",IF(B164="","Enter date",IF(OR(B164&lt;$AC$2,B164&gt;$AC$3),"Date not in November",IF(D164="","Pick project",IF(ISNA(MATCH(D164,ProjNames,0)),"Project not in list",IF(G164="","Add task description",IF(H164="","Pick NTIME or P6",IF(N(I164)&lt;=0,"Enter hours",IF(AND(AllowOT&lt;&gt;"Yes",SUMIF($B$7:$B$256,B164,$I$7:$I$256)&gt;INDEX($O$58:$O$87,DAY(B164))),"Day over "&amp;INDEX($O$58:$O$87,DAY(B164))&amp;" h","✓")))))))))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tr">
        <f aca="false">IF(Projects!B162="","",Projects!B162)</f>
        <v/>
      </c>
      <c r="X164" s="1" t="n">
        <f aca="false">IF(W164="",0,SUMIFS($I$7:$I$256,$D$7:$D$256,W164,$H$7:$H$256,"NTIME"))</f>
        <v>0</v>
      </c>
      <c r="Y164" s="1" t="n">
        <f aca="false">IF(W164="",0,SUMIFS($I$7:$I$256,$D$7:$D$256,W164,$H$7:$H$256,"P6"))</f>
        <v>0</v>
      </c>
      <c r="Z164" s="1" t="n">
        <f aca="false">X164+Y164</f>
        <v>0</v>
      </c>
      <c r="AA164" s="1" t="n">
        <f aca="false">IF(Z164&gt;0,Z164+(201-158)/10^6,0)</f>
        <v>0</v>
      </c>
      <c r="AB164" s="1"/>
      <c r="AC164" s="1"/>
      <c r="AD164" s="1"/>
      <c r="AE164" s="1"/>
      <c r="AF164" s="1"/>
      <c r="AG164" s="1"/>
      <c r="AH164" s="1"/>
    </row>
    <row r="165" customFormat="false" ht="15" hidden="false" customHeight="false" outlineLevel="0" collapsed="false">
      <c r="A165" s="1"/>
      <c r="B165" s="10"/>
      <c r="C165" s="31" t="str">
        <f aca="false">IF(B165="","",TEXT(B165,"ddd"))</f>
        <v/>
      </c>
      <c r="D165" s="11"/>
      <c r="E165" s="8" t="str">
        <f aca="false">IF(D165="","",IFERROR(INDEX(ProjNumbers,MATCH(D165,ProjNames,0)),""))</f>
        <v/>
      </c>
      <c r="F165" s="8" t="str">
        <f aca="false">IF(D165="","",IFERROR(INDEX(ProjCodes,MATCH(D165,ProjNames,0)),""))</f>
        <v/>
      </c>
      <c r="G165" s="32"/>
      <c r="H165" s="11"/>
      <c r="I165" s="33"/>
      <c r="J165" s="8" t="str">
        <f aca="false">IF(COUNTA(B165,D165,G165,H165,I165)=0,"",IF(B165="","Enter date",IF(OR(B165&lt;$AC$2,B165&gt;$AC$3),"Date not in November",IF(D165="","Pick project",IF(ISNA(MATCH(D165,ProjNames,0)),"Project not in list",IF(G165="","Add task description",IF(H165="","Pick NTIME or P6",IF(N(I165)&lt;=0,"Enter hours",IF(AND(AllowOT&lt;&gt;"Yes",SUMIF($B$7:$B$256,B165,$I$7:$I$256)&gt;INDEX($O$58:$O$87,DAY(B165))),"Day over "&amp;INDEX($O$58:$O$87,DAY(B165))&amp;" h","✓")))))))))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tr">
        <f aca="false">IF(Projects!B163="","",Projects!B163)</f>
        <v/>
      </c>
      <c r="X165" s="1" t="n">
        <f aca="false">IF(W165="",0,SUMIFS($I$7:$I$256,$D$7:$D$256,W165,$H$7:$H$256,"NTIME"))</f>
        <v>0</v>
      </c>
      <c r="Y165" s="1" t="n">
        <f aca="false">IF(W165="",0,SUMIFS($I$7:$I$256,$D$7:$D$256,W165,$H$7:$H$256,"P6"))</f>
        <v>0</v>
      </c>
      <c r="Z165" s="1" t="n">
        <f aca="false">X165+Y165</f>
        <v>0</v>
      </c>
      <c r="AA165" s="1" t="n">
        <f aca="false">IF(Z165&gt;0,Z165+(201-159)/10^6,0)</f>
        <v>0</v>
      </c>
      <c r="AB165" s="1"/>
      <c r="AC165" s="1"/>
      <c r="AD165" s="1"/>
      <c r="AE165" s="1"/>
      <c r="AF165" s="1"/>
      <c r="AG165" s="1"/>
      <c r="AH165" s="1"/>
    </row>
    <row r="166" customFormat="false" ht="15" hidden="false" customHeight="false" outlineLevel="0" collapsed="false">
      <c r="A166" s="1"/>
      <c r="B166" s="10"/>
      <c r="C166" s="31" t="str">
        <f aca="false">IF(B166="","",TEXT(B166,"ddd"))</f>
        <v/>
      </c>
      <c r="D166" s="11"/>
      <c r="E166" s="8" t="str">
        <f aca="false">IF(D166="","",IFERROR(INDEX(ProjNumbers,MATCH(D166,ProjNames,0)),""))</f>
        <v/>
      </c>
      <c r="F166" s="8" t="str">
        <f aca="false">IF(D166="","",IFERROR(INDEX(ProjCodes,MATCH(D166,ProjNames,0)),""))</f>
        <v/>
      </c>
      <c r="G166" s="32"/>
      <c r="H166" s="11"/>
      <c r="I166" s="33"/>
      <c r="J166" s="8" t="str">
        <f aca="false">IF(COUNTA(B166,D166,G166,H166,I166)=0,"",IF(B166="","Enter date",IF(OR(B166&lt;$AC$2,B166&gt;$AC$3),"Date not in November",IF(D166="","Pick project",IF(ISNA(MATCH(D166,ProjNames,0)),"Project not in list",IF(G166="","Add task description",IF(H166="","Pick NTIME or P6",IF(N(I166)&lt;=0,"Enter hours",IF(AND(AllowOT&lt;&gt;"Yes",SUMIF($B$7:$B$256,B166,$I$7:$I$256)&gt;INDEX($O$58:$O$87,DAY(B166))),"Day over "&amp;INDEX($O$58:$O$87,DAY(B166))&amp;" h","✓")))))))))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tr">
        <f aca="false">IF(Projects!B164="","",Projects!B164)</f>
        <v/>
      </c>
      <c r="X166" s="1" t="n">
        <f aca="false">IF(W166="",0,SUMIFS($I$7:$I$256,$D$7:$D$256,W166,$H$7:$H$256,"NTIME"))</f>
        <v>0</v>
      </c>
      <c r="Y166" s="1" t="n">
        <f aca="false">IF(W166="",0,SUMIFS($I$7:$I$256,$D$7:$D$256,W166,$H$7:$H$256,"P6"))</f>
        <v>0</v>
      </c>
      <c r="Z166" s="1" t="n">
        <f aca="false">X166+Y166</f>
        <v>0</v>
      </c>
      <c r="AA166" s="1" t="n">
        <f aca="false">IF(Z166&gt;0,Z166+(201-160)/10^6,0)</f>
        <v>0</v>
      </c>
      <c r="AB166" s="1"/>
      <c r="AC166" s="1"/>
      <c r="AD166" s="1"/>
      <c r="AE166" s="1"/>
      <c r="AF166" s="1"/>
      <c r="AG166" s="1"/>
      <c r="AH166" s="1"/>
    </row>
    <row r="167" customFormat="false" ht="15" hidden="false" customHeight="false" outlineLevel="0" collapsed="false">
      <c r="A167" s="1"/>
      <c r="B167" s="10"/>
      <c r="C167" s="31" t="str">
        <f aca="false">IF(B167="","",TEXT(B167,"ddd"))</f>
        <v/>
      </c>
      <c r="D167" s="11"/>
      <c r="E167" s="8" t="str">
        <f aca="false">IF(D167="","",IFERROR(INDEX(ProjNumbers,MATCH(D167,ProjNames,0)),""))</f>
        <v/>
      </c>
      <c r="F167" s="8" t="str">
        <f aca="false">IF(D167="","",IFERROR(INDEX(ProjCodes,MATCH(D167,ProjNames,0)),""))</f>
        <v/>
      </c>
      <c r="G167" s="32"/>
      <c r="H167" s="11"/>
      <c r="I167" s="33"/>
      <c r="J167" s="8" t="str">
        <f aca="false">IF(COUNTA(B167,D167,G167,H167,I167)=0,"",IF(B167="","Enter date",IF(OR(B167&lt;$AC$2,B167&gt;$AC$3),"Date not in November",IF(D167="","Pick project",IF(ISNA(MATCH(D167,ProjNames,0)),"Project not in list",IF(G167="","Add task description",IF(H167="","Pick NTIME or P6",IF(N(I167)&lt;=0,"Enter hours",IF(AND(AllowOT&lt;&gt;"Yes",SUMIF($B$7:$B$256,B167,$I$7:$I$256)&gt;INDEX($O$58:$O$87,DAY(B167))),"Day over "&amp;INDEX($O$58:$O$87,DAY(B167))&amp;" h","✓")))))))))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 aca="false">IF(Projects!B165="","",Projects!B165)</f>
        <v/>
      </c>
      <c r="X167" s="1" t="n">
        <f aca="false">IF(W167="",0,SUMIFS($I$7:$I$256,$D$7:$D$256,W167,$H$7:$H$256,"NTIME"))</f>
        <v>0</v>
      </c>
      <c r="Y167" s="1" t="n">
        <f aca="false">IF(W167="",0,SUMIFS($I$7:$I$256,$D$7:$D$256,W167,$H$7:$H$256,"P6"))</f>
        <v>0</v>
      </c>
      <c r="Z167" s="1" t="n">
        <f aca="false">X167+Y167</f>
        <v>0</v>
      </c>
      <c r="AA167" s="1" t="n">
        <f aca="false">IF(Z167&gt;0,Z167+(201-161)/10^6,0)</f>
        <v>0</v>
      </c>
      <c r="AB167" s="1"/>
      <c r="AC167" s="1"/>
      <c r="AD167" s="1"/>
      <c r="AE167" s="1"/>
      <c r="AF167" s="1"/>
      <c r="AG167" s="1"/>
      <c r="AH167" s="1"/>
    </row>
    <row r="168" customFormat="false" ht="15" hidden="false" customHeight="false" outlineLevel="0" collapsed="false">
      <c r="A168" s="1"/>
      <c r="B168" s="10"/>
      <c r="C168" s="31" t="str">
        <f aca="false">IF(B168="","",TEXT(B168,"ddd"))</f>
        <v/>
      </c>
      <c r="D168" s="11"/>
      <c r="E168" s="8" t="str">
        <f aca="false">IF(D168="","",IFERROR(INDEX(ProjNumbers,MATCH(D168,ProjNames,0)),""))</f>
        <v/>
      </c>
      <c r="F168" s="8" t="str">
        <f aca="false">IF(D168="","",IFERROR(INDEX(ProjCodes,MATCH(D168,ProjNames,0)),""))</f>
        <v/>
      </c>
      <c r="G168" s="32"/>
      <c r="H168" s="11"/>
      <c r="I168" s="33"/>
      <c r="J168" s="8" t="str">
        <f aca="false">IF(COUNTA(B168,D168,G168,H168,I168)=0,"",IF(B168="","Enter date",IF(OR(B168&lt;$AC$2,B168&gt;$AC$3),"Date not in November",IF(D168="","Pick project",IF(ISNA(MATCH(D168,ProjNames,0)),"Project not in list",IF(G168="","Add task description",IF(H168="","Pick NTIME or P6",IF(N(I168)&lt;=0,"Enter hours",IF(AND(AllowOT&lt;&gt;"Yes",SUMIF($B$7:$B$256,B168,$I$7:$I$256)&gt;INDEX($O$58:$O$87,DAY(B168))),"Day over "&amp;INDEX($O$58:$O$87,DAY(B168))&amp;" h","✓")))))))))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tr">
        <f aca="false">IF(Projects!B166="","",Projects!B166)</f>
        <v/>
      </c>
      <c r="X168" s="1" t="n">
        <f aca="false">IF(W168="",0,SUMIFS($I$7:$I$256,$D$7:$D$256,W168,$H$7:$H$256,"NTIME"))</f>
        <v>0</v>
      </c>
      <c r="Y168" s="1" t="n">
        <f aca="false">IF(W168="",0,SUMIFS($I$7:$I$256,$D$7:$D$256,W168,$H$7:$H$256,"P6"))</f>
        <v>0</v>
      </c>
      <c r="Z168" s="1" t="n">
        <f aca="false">X168+Y168</f>
        <v>0</v>
      </c>
      <c r="AA168" s="1" t="n">
        <f aca="false">IF(Z168&gt;0,Z168+(201-162)/10^6,0)</f>
        <v>0</v>
      </c>
      <c r="AB168" s="1"/>
      <c r="AC168" s="1"/>
      <c r="AD168" s="1"/>
      <c r="AE168" s="1"/>
      <c r="AF168" s="1"/>
      <c r="AG168" s="1"/>
      <c r="AH168" s="1"/>
    </row>
    <row r="169" customFormat="false" ht="15" hidden="false" customHeight="false" outlineLevel="0" collapsed="false">
      <c r="A169" s="1"/>
      <c r="B169" s="10"/>
      <c r="C169" s="31" t="str">
        <f aca="false">IF(B169="","",TEXT(B169,"ddd"))</f>
        <v/>
      </c>
      <c r="D169" s="11"/>
      <c r="E169" s="8" t="str">
        <f aca="false">IF(D169="","",IFERROR(INDEX(ProjNumbers,MATCH(D169,ProjNames,0)),""))</f>
        <v/>
      </c>
      <c r="F169" s="8" t="str">
        <f aca="false">IF(D169="","",IFERROR(INDEX(ProjCodes,MATCH(D169,ProjNames,0)),""))</f>
        <v/>
      </c>
      <c r="G169" s="32"/>
      <c r="H169" s="11"/>
      <c r="I169" s="33"/>
      <c r="J169" s="8" t="str">
        <f aca="false">IF(COUNTA(B169,D169,G169,H169,I169)=0,"",IF(B169="","Enter date",IF(OR(B169&lt;$AC$2,B169&gt;$AC$3),"Date not in November",IF(D169="","Pick project",IF(ISNA(MATCH(D169,ProjNames,0)),"Project not in list",IF(G169="","Add task description",IF(H169="","Pick NTIME or P6",IF(N(I169)&lt;=0,"Enter hours",IF(AND(AllowOT&lt;&gt;"Yes",SUMIF($B$7:$B$256,B169,$I$7:$I$256)&gt;INDEX($O$58:$O$87,DAY(B169))),"Day over "&amp;INDEX($O$58:$O$87,DAY(B169))&amp;" h","✓")))))))))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tr">
        <f aca="false">IF(Projects!B167="","",Projects!B167)</f>
        <v/>
      </c>
      <c r="X169" s="1" t="n">
        <f aca="false">IF(W169="",0,SUMIFS($I$7:$I$256,$D$7:$D$256,W169,$H$7:$H$256,"NTIME"))</f>
        <v>0</v>
      </c>
      <c r="Y169" s="1" t="n">
        <f aca="false">IF(W169="",0,SUMIFS($I$7:$I$256,$D$7:$D$256,W169,$H$7:$H$256,"P6"))</f>
        <v>0</v>
      </c>
      <c r="Z169" s="1" t="n">
        <f aca="false">X169+Y169</f>
        <v>0</v>
      </c>
      <c r="AA169" s="1" t="n">
        <f aca="false">IF(Z169&gt;0,Z169+(201-163)/10^6,0)</f>
        <v>0</v>
      </c>
      <c r="AB169" s="1"/>
      <c r="AC169" s="1"/>
      <c r="AD169" s="1"/>
      <c r="AE169" s="1"/>
      <c r="AF169" s="1"/>
      <c r="AG169" s="1"/>
      <c r="AH169" s="1"/>
    </row>
    <row r="170" customFormat="false" ht="15" hidden="false" customHeight="false" outlineLevel="0" collapsed="false">
      <c r="A170" s="1"/>
      <c r="B170" s="10"/>
      <c r="C170" s="31" t="str">
        <f aca="false">IF(B170="","",TEXT(B170,"ddd"))</f>
        <v/>
      </c>
      <c r="D170" s="11"/>
      <c r="E170" s="8" t="str">
        <f aca="false">IF(D170="","",IFERROR(INDEX(ProjNumbers,MATCH(D170,ProjNames,0)),""))</f>
        <v/>
      </c>
      <c r="F170" s="8" t="str">
        <f aca="false">IF(D170="","",IFERROR(INDEX(ProjCodes,MATCH(D170,ProjNames,0)),""))</f>
        <v/>
      </c>
      <c r="G170" s="32"/>
      <c r="H170" s="11"/>
      <c r="I170" s="33"/>
      <c r="J170" s="8" t="str">
        <f aca="false">IF(COUNTA(B170,D170,G170,H170,I170)=0,"",IF(B170="","Enter date",IF(OR(B170&lt;$AC$2,B170&gt;$AC$3),"Date not in November",IF(D170="","Pick project",IF(ISNA(MATCH(D170,ProjNames,0)),"Project not in list",IF(G170="","Add task description",IF(H170="","Pick NTIME or P6",IF(N(I170)&lt;=0,"Enter hours",IF(AND(AllowOT&lt;&gt;"Yes",SUMIF($B$7:$B$256,B170,$I$7:$I$256)&gt;INDEX($O$58:$O$87,DAY(B170))),"Day over "&amp;INDEX($O$58:$O$87,DAY(B170))&amp;" h","✓")))))))))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tr">
        <f aca="false">IF(Projects!B168="","",Projects!B168)</f>
        <v/>
      </c>
      <c r="X170" s="1" t="n">
        <f aca="false">IF(W170="",0,SUMIFS($I$7:$I$256,$D$7:$D$256,W170,$H$7:$H$256,"NTIME"))</f>
        <v>0</v>
      </c>
      <c r="Y170" s="1" t="n">
        <f aca="false">IF(W170="",0,SUMIFS($I$7:$I$256,$D$7:$D$256,W170,$H$7:$H$256,"P6"))</f>
        <v>0</v>
      </c>
      <c r="Z170" s="1" t="n">
        <f aca="false">X170+Y170</f>
        <v>0</v>
      </c>
      <c r="AA170" s="1" t="n">
        <f aca="false">IF(Z170&gt;0,Z170+(201-164)/10^6,0)</f>
        <v>0</v>
      </c>
      <c r="AB170" s="1"/>
      <c r="AC170" s="1"/>
      <c r="AD170" s="1"/>
      <c r="AE170" s="1"/>
      <c r="AF170" s="1"/>
      <c r="AG170" s="1"/>
      <c r="AH170" s="1"/>
    </row>
    <row r="171" customFormat="false" ht="15" hidden="false" customHeight="false" outlineLevel="0" collapsed="false">
      <c r="A171" s="1"/>
      <c r="B171" s="10"/>
      <c r="C171" s="31" t="str">
        <f aca="false">IF(B171="","",TEXT(B171,"ddd"))</f>
        <v/>
      </c>
      <c r="D171" s="11"/>
      <c r="E171" s="8" t="str">
        <f aca="false">IF(D171="","",IFERROR(INDEX(ProjNumbers,MATCH(D171,ProjNames,0)),""))</f>
        <v/>
      </c>
      <c r="F171" s="8" t="str">
        <f aca="false">IF(D171="","",IFERROR(INDEX(ProjCodes,MATCH(D171,ProjNames,0)),""))</f>
        <v/>
      </c>
      <c r="G171" s="32"/>
      <c r="H171" s="11"/>
      <c r="I171" s="33"/>
      <c r="J171" s="8" t="str">
        <f aca="false">IF(COUNTA(B171,D171,G171,H171,I171)=0,"",IF(B171="","Enter date",IF(OR(B171&lt;$AC$2,B171&gt;$AC$3),"Date not in November",IF(D171="","Pick project",IF(ISNA(MATCH(D171,ProjNames,0)),"Project not in list",IF(G171="","Add task description",IF(H171="","Pick NTIME or P6",IF(N(I171)&lt;=0,"Enter hours",IF(AND(AllowOT&lt;&gt;"Yes",SUMIF($B$7:$B$256,B171,$I$7:$I$256)&gt;INDEX($O$58:$O$87,DAY(B171))),"Day over "&amp;INDEX($O$58:$O$87,DAY(B171))&amp;" h","✓")))))))))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tr">
        <f aca="false">IF(Projects!B169="","",Projects!B169)</f>
        <v/>
      </c>
      <c r="X171" s="1" t="n">
        <f aca="false">IF(W171="",0,SUMIFS($I$7:$I$256,$D$7:$D$256,W171,$H$7:$H$256,"NTIME"))</f>
        <v>0</v>
      </c>
      <c r="Y171" s="1" t="n">
        <f aca="false">IF(W171="",0,SUMIFS($I$7:$I$256,$D$7:$D$256,W171,$H$7:$H$256,"P6"))</f>
        <v>0</v>
      </c>
      <c r="Z171" s="1" t="n">
        <f aca="false">X171+Y171</f>
        <v>0</v>
      </c>
      <c r="AA171" s="1" t="n">
        <f aca="false">IF(Z171&gt;0,Z171+(201-165)/10^6,0)</f>
        <v>0</v>
      </c>
      <c r="AB171" s="1"/>
      <c r="AC171" s="1"/>
      <c r="AD171" s="1"/>
      <c r="AE171" s="1"/>
      <c r="AF171" s="1"/>
      <c r="AG171" s="1"/>
      <c r="AH171" s="1"/>
    </row>
    <row r="172" customFormat="false" ht="15" hidden="false" customHeight="false" outlineLevel="0" collapsed="false">
      <c r="A172" s="1"/>
      <c r="B172" s="10"/>
      <c r="C172" s="31" t="str">
        <f aca="false">IF(B172="","",TEXT(B172,"ddd"))</f>
        <v/>
      </c>
      <c r="D172" s="11"/>
      <c r="E172" s="8" t="str">
        <f aca="false">IF(D172="","",IFERROR(INDEX(ProjNumbers,MATCH(D172,ProjNames,0)),""))</f>
        <v/>
      </c>
      <c r="F172" s="8" t="str">
        <f aca="false">IF(D172="","",IFERROR(INDEX(ProjCodes,MATCH(D172,ProjNames,0)),""))</f>
        <v/>
      </c>
      <c r="G172" s="32"/>
      <c r="H172" s="11"/>
      <c r="I172" s="33"/>
      <c r="J172" s="8" t="str">
        <f aca="false">IF(COUNTA(B172,D172,G172,H172,I172)=0,"",IF(B172="","Enter date",IF(OR(B172&lt;$AC$2,B172&gt;$AC$3),"Date not in November",IF(D172="","Pick project",IF(ISNA(MATCH(D172,ProjNames,0)),"Project not in list",IF(G172="","Add task description",IF(H172="","Pick NTIME or P6",IF(N(I172)&lt;=0,"Enter hours",IF(AND(AllowOT&lt;&gt;"Yes",SUMIF($B$7:$B$256,B172,$I$7:$I$256)&gt;INDEX($O$58:$O$87,DAY(B172))),"Day over "&amp;INDEX($O$58:$O$87,DAY(B172))&amp;" h","✓")))))))))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tr">
        <f aca="false">IF(Projects!B170="","",Projects!B170)</f>
        <v/>
      </c>
      <c r="X172" s="1" t="n">
        <f aca="false">IF(W172="",0,SUMIFS($I$7:$I$256,$D$7:$D$256,W172,$H$7:$H$256,"NTIME"))</f>
        <v>0</v>
      </c>
      <c r="Y172" s="1" t="n">
        <f aca="false">IF(W172="",0,SUMIFS($I$7:$I$256,$D$7:$D$256,W172,$H$7:$H$256,"P6"))</f>
        <v>0</v>
      </c>
      <c r="Z172" s="1" t="n">
        <f aca="false">X172+Y172</f>
        <v>0</v>
      </c>
      <c r="AA172" s="1" t="n">
        <f aca="false">IF(Z172&gt;0,Z172+(201-166)/10^6,0)</f>
        <v>0</v>
      </c>
      <c r="AB172" s="1"/>
      <c r="AC172" s="1"/>
      <c r="AD172" s="1"/>
      <c r="AE172" s="1"/>
      <c r="AF172" s="1"/>
      <c r="AG172" s="1"/>
      <c r="AH172" s="1"/>
    </row>
    <row r="173" customFormat="false" ht="15" hidden="false" customHeight="false" outlineLevel="0" collapsed="false">
      <c r="A173" s="1"/>
      <c r="B173" s="10"/>
      <c r="C173" s="31" t="str">
        <f aca="false">IF(B173="","",TEXT(B173,"ddd"))</f>
        <v/>
      </c>
      <c r="D173" s="11"/>
      <c r="E173" s="8" t="str">
        <f aca="false">IF(D173="","",IFERROR(INDEX(ProjNumbers,MATCH(D173,ProjNames,0)),""))</f>
        <v/>
      </c>
      <c r="F173" s="8" t="str">
        <f aca="false">IF(D173="","",IFERROR(INDEX(ProjCodes,MATCH(D173,ProjNames,0)),""))</f>
        <v/>
      </c>
      <c r="G173" s="32"/>
      <c r="H173" s="11"/>
      <c r="I173" s="33"/>
      <c r="J173" s="8" t="str">
        <f aca="false">IF(COUNTA(B173,D173,G173,H173,I173)=0,"",IF(B173="","Enter date",IF(OR(B173&lt;$AC$2,B173&gt;$AC$3),"Date not in November",IF(D173="","Pick project",IF(ISNA(MATCH(D173,ProjNames,0)),"Project not in list",IF(G173="","Add task description",IF(H173="","Pick NTIME or P6",IF(N(I173)&lt;=0,"Enter hours",IF(AND(AllowOT&lt;&gt;"Yes",SUMIF($B$7:$B$256,B173,$I$7:$I$256)&gt;INDEX($O$58:$O$87,DAY(B173))),"Day over "&amp;INDEX($O$58:$O$87,DAY(B173))&amp;" h","✓")))))))))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tr">
        <f aca="false">IF(Projects!B171="","",Projects!B171)</f>
        <v/>
      </c>
      <c r="X173" s="1" t="n">
        <f aca="false">IF(W173="",0,SUMIFS($I$7:$I$256,$D$7:$D$256,W173,$H$7:$H$256,"NTIME"))</f>
        <v>0</v>
      </c>
      <c r="Y173" s="1" t="n">
        <f aca="false">IF(W173="",0,SUMIFS($I$7:$I$256,$D$7:$D$256,W173,$H$7:$H$256,"P6"))</f>
        <v>0</v>
      </c>
      <c r="Z173" s="1" t="n">
        <f aca="false">X173+Y173</f>
        <v>0</v>
      </c>
      <c r="AA173" s="1" t="n">
        <f aca="false">IF(Z173&gt;0,Z173+(201-167)/10^6,0)</f>
        <v>0</v>
      </c>
      <c r="AB173" s="1"/>
      <c r="AC173" s="1"/>
      <c r="AD173" s="1"/>
      <c r="AE173" s="1"/>
      <c r="AF173" s="1"/>
      <c r="AG173" s="1"/>
      <c r="AH173" s="1"/>
    </row>
    <row r="174" customFormat="false" ht="15" hidden="false" customHeight="false" outlineLevel="0" collapsed="false">
      <c r="A174" s="1"/>
      <c r="B174" s="10"/>
      <c r="C174" s="31" t="str">
        <f aca="false">IF(B174="","",TEXT(B174,"ddd"))</f>
        <v/>
      </c>
      <c r="D174" s="11"/>
      <c r="E174" s="8" t="str">
        <f aca="false">IF(D174="","",IFERROR(INDEX(ProjNumbers,MATCH(D174,ProjNames,0)),""))</f>
        <v/>
      </c>
      <c r="F174" s="8" t="str">
        <f aca="false">IF(D174="","",IFERROR(INDEX(ProjCodes,MATCH(D174,ProjNames,0)),""))</f>
        <v/>
      </c>
      <c r="G174" s="32"/>
      <c r="H174" s="11"/>
      <c r="I174" s="33"/>
      <c r="J174" s="8" t="str">
        <f aca="false">IF(COUNTA(B174,D174,G174,H174,I174)=0,"",IF(B174="","Enter date",IF(OR(B174&lt;$AC$2,B174&gt;$AC$3),"Date not in November",IF(D174="","Pick project",IF(ISNA(MATCH(D174,ProjNames,0)),"Project not in list",IF(G174="","Add task description",IF(H174="","Pick NTIME or P6",IF(N(I174)&lt;=0,"Enter hours",IF(AND(AllowOT&lt;&gt;"Yes",SUMIF($B$7:$B$256,B174,$I$7:$I$256)&gt;INDEX($O$58:$O$87,DAY(B174))),"Day over "&amp;INDEX($O$58:$O$87,DAY(B174))&amp;" h","✓")))))))))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tr">
        <f aca="false">IF(Projects!B172="","",Projects!B172)</f>
        <v/>
      </c>
      <c r="X174" s="1" t="n">
        <f aca="false">IF(W174="",0,SUMIFS($I$7:$I$256,$D$7:$D$256,W174,$H$7:$H$256,"NTIME"))</f>
        <v>0</v>
      </c>
      <c r="Y174" s="1" t="n">
        <f aca="false">IF(W174="",0,SUMIFS($I$7:$I$256,$D$7:$D$256,W174,$H$7:$H$256,"P6"))</f>
        <v>0</v>
      </c>
      <c r="Z174" s="1" t="n">
        <f aca="false">X174+Y174</f>
        <v>0</v>
      </c>
      <c r="AA174" s="1" t="n">
        <f aca="false">IF(Z174&gt;0,Z174+(201-168)/10^6,0)</f>
        <v>0</v>
      </c>
      <c r="AB174" s="1"/>
      <c r="AC174" s="1"/>
      <c r="AD174" s="1"/>
      <c r="AE174" s="1"/>
      <c r="AF174" s="1"/>
      <c r="AG174" s="1"/>
      <c r="AH174" s="1"/>
    </row>
    <row r="175" customFormat="false" ht="15" hidden="false" customHeight="false" outlineLevel="0" collapsed="false">
      <c r="A175" s="1"/>
      <c r="B175" s="10"/>
      <c r="C175" s="31" t="str">
        <f aca="false">IF(B175="","",TEXT(B175,"ddd"))</f>
        <v/>
      </c>
      <c r="D175" s="11"/>
      <c r="E175" s="8" t="str">
        <f aca="false">IF(D175="","",IFERROR(INDEX(ProjNumbers,MATCH(D175,ProjNames,0)),""))</f>
        <v/>
      </c>
      <c r="F175" s="8" t="str">
        <f aca="false">IF(D175="","",IFERROR(INDEX(ProjCodes,MATCH(D175,ProjNames,0)),""))</f>
        <v/>
      </c>
      <c r="G175" s="32"/>
      <c r="H175" s="11"/>
      <c r="I175" s="33"/>
      <c r="J175" s="8" t="str">
        <f aca="false">IF(COUNTA(B175,D175,G175,H175,I175)=0,"",IF(B175="","Enter date",IF(OR(B175&lt;$AC$2,B175&gt;$AC$3),"Date not in November",IF(D175="","Pick project",IF(ISNA(MATCH(D175,ProjNames,0)),"Project not in list",IF(G175="","Add task description",IF(H175="","Pick NTIME or P6",IF(N(I175)&lt;=0,"Enter hours",IF(AND(AllowOT&lt;&gt;"Yes",SUMIF($B$7:$B$256,B175,$I$7:$I$256)&gt;INDEX($O$58:$O$87,DAY(B175))),"Day over "&amp;INDEX($O$58:$O$87,DAY(B175))&amp;" h","✓")))))))))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tr">
        <f aca="false">IF(Projects!B173="","",Projects!B173)</f>
        <v/>
      </c>
      <c r="X175" s="1" t="n">
        <f aca="false">IF(W175="",0,SUMIFS($I$7:$I$256,$D$7:$D$256,W175,$H$7:$H$256,"NTIME"))</f>
        <v>0</v>
      </c>
      <c r="Y175" s="1" t="n">
        <f aca="false">IF(W175="",0,SUMIFS($I$7:$I$256,$D$7:$D$256,W175,$H$7:$H$256,"P6"))</f>
        <v>0</v>
      </c>
      <c r="Z175" s="1" t="n">
        <f aca="false">X175+Y175</f>
        <v>0</v>
      </c>
      <c r="AA175" s="1" t="n">
        <f aca="false">IF(Z175&gt;0,Z175+(201-169)/10^6,0)</f>
        <v>0</v>
      </c>
      <c r="AB175" s="1"/>
      <c r="AC175" s="1"/>
      <c r="AD175" s="1"/>
      <c r="AE175" s="1"/>
      <c r="AF175" s="1"/>
      <c r="AG175" s="1"/>
      <c r="AH175" s="1"/>
    </row>
    <row r="176" customFormat="false" ht="15" hidden="false" customHeight="false" outlineLevel="0" collapsed="false">
      <c r="A176" s="1"/>
      <c r="B176" s="10"/>
      <c r="C176" s="31" t="str">
        <f aca="false">IF(B176="","",TEXT(B176,"ddd"))</f>
        <v/>
      </c>
      <c r="D176" s="11"/>
      <c r="E176" s="8" t="str">
        <f aca="false">IF(D176="","",IFERROR(INDEX(ProjNumbers,MATCH(D176,ProjNames,0)),""))</f>
        <v/>
      </c>
      <c r="F176" s="8" t="str">
        <f aca="false">IF(D176="","",IFERROR(INDEX(ProjCodes,MATCH(D176,ProjNames,0)),""))</f>
        <v/>
      </c>
      <c r="G176" s="32"/>
      <c r="H176" s="11"/>
      <c r="I176" s="33"/>
      <c r="J176" s="8" t="str">
        <f aca="false">IF(COUNTA(B176,D176,G176,H176,I176)=0,"",IF(B176="","Enter date",IF(OR(B176&lt;$AC$2,B176&gt;$AC$3),"Date not in November",IF(D176="","Pick project",IF(ISNA(MATCH(D176,ProjNames,0)),"Project not in list",IF(G176="","Add task description",IF(H176="","Pick NTIME or P6",IF(N(I176)&lt;=0,"Enter hours",IF(AND(AllowOT&lt;&gt;"Yes",SUMIF($B$7:$B$256,B176,$I$7:$I$256)&gt;INDEX($O$58:$O$87,DAY(B176))),"Day over "&amp;INDEX($O$58:$O$87,DAY(B176))&amp;" h","✓")))))))))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tr">
        <f aca="false">IF(Projects!B174="","",Projects!B174)</f>
        <v/>
      </c>
      <c r="X176" s="1" t="n">
        <f aca="false">IF(W176="",0,SUMIFS($I$7:$I$256,$D$7:$D$256,W176,$H$7:$H$256,"NTIME"))</f>
        <v>0</v>
      </c>
      <c r="Y176" s="1" t="n">
        <f aca="false">IF(W176="",0,SUMIFS($I$7:$I$256,$D$7:$D$256,W176,$H$7:$H$256,"P6"))</f>
        <v>0</v>
      </c>
      <c r="Z176" s="1" t="n">
        <f aca="false">X176+Y176</f>
        <v>0</v>
      </c>
      <c r="AA176" s="1" t="n">
        <f aca="false">IF(Z176&gt;0,Z176+(201-170)/10^6,0)</f>
        <v>0</v>
      </c>
      <c r="AB176" s="1"/>
      <c r="AC176" s="1"/>
      <c r="AD176" s="1"/>
      <c r="AE176" s="1"/>
      <c r="AF176" s="1"/>
      <c r="AG176" s="1"/>
      <c r="AH176" s="1"/>
    </row>
    <row r="177" customFormat="false" ht="15" hidden="false" customHeight="false" outlineLevel="0" collapsed="false">
      <c r="A177" s="1"/>
      <c r="B177" s="10"/>
      <c r="C177" s="31" t="str">
        <f aca="false">IF(B177="","",TEXT(B177,"ddd"))</f>
        <v/>
      </c>
      <c r="D177" s="11"/>
      <c r="E177" s="8" t="str">
        <f aca="false">IF(D177="","",IFERROR(INDEX(ProjNumbers,MATCH(D177,ProjNames,0)),""))</f>
        <v/>
      </c>
      <c r="F177" s="8" t="str">
        <f aca="false">IF(D177="","",IFERROR(INDEX(ProjCodes,MATCH(D177,ProjNames,0)),""))</f>
        <v/>
      </c>
      <c r="G177" s="32"/>
      <c r="H177" s="11"/>
      <c r="I177" s="33"/>
      <c r="J177" s="8" t="str">
        <f aca="false">IF(COUNTA(B177,D177,G177,H177,I177)=0,"",IF(B177="","Enter date",IF(OR(B177&lt;$AC$2,B177&gt;$AC$3),"Date not in November",IF(D177="","Pick project",IF(ISNA(MATCH(D177,ProjNames,0)),"Project not in list",IF(G177="","Add task description",IF(H177="","Pick NTIME or P6",IF(N(I177)&lt;=0,"Enter hours",IF(AND(AllowOT&lt;&gt;"Yes",SUMIF($B$7:$B$256,B177,$I$7:$I$256)&gt;INDEX($O$58:$O$87,DAY(B177))),"Day over "&amp;INDEX($O$58:$O$87,DAY(B177))&amp;" h","✓")))))))))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tr">
        <f aca="false">IF(Projects!B175="","",Projects!B175)</f>
        <v/>
      </c>
      <c r="X177" s="1" t="n">
        <f aca="false">IF(W177="",0,SUMIFS($I$7:$I$256,$D$7:$D$256,W177,$H$7:$H$256,"NTIME"))</f>
        <v>0</v>
      </c>
      <c r="Y177" s="1" t="n">
        <f aca="false">IF(W177="",0,SUMIFS($I$7:$I$256,$D$7:$D$256,W177,$H$7:$H$256,"P6"))</f>
        <v>0</v>
      </c>
      <c r="Z177" s="1" t="n">
        <f aca="false">X177+Y177</f>
        <v>0</v>
      </c>
      <c r="AA177" s="1" t="n">
        <f aca="false">IF(Z177&gt;0,Z177+(201-171)/10^6,0)</f>
        <v>0</v>
      </c>
      <c r="AB177" s="1"/>
      <c r="AC177" s="1"/>
      <c r="AD177" s="1"/>
      <c r="AE177" s="1"/>
      <c r="AF177" s="1"/>
      <c r="AG177" s="1"/>
      <c r="AH177" s="1"/>
    </row>
    <row r="178" customFormat="false" ht="15" hidden="false" customHeight="false" outlineLevel="0" collapsed="false">
      <c r="A178" s="1"/>
      <c r="B178" s="10"/>
      <c r="C178" s="31" t="str">
        <f aca="false">IF(B178="","",TEXT(B178,"ddd"))</f>
        <v/>
      </c>
      <c r="D178" s="11"/>
      <c r="E178" s="8" t="str">
        <f aca="false">IF(D178="","",IFERROR(INDEX(ProjNumbers,MATCH(D178,ProjNames,0)),""))</f>
        <v/>
      </c>
      <c r="F178" s="8" t="str">
        <f aca="false">IF(D178="","",IFERROR(INDEX(ProjCodes,MATCH(D178,ProjNames,0)),""))</f>
        <v/>
      </c>
      <c r="G178" s="32"/>
      <c r="H178" s="11"/>
      <c r="I178" s="33"/>
      <c r="J178" s="8" t="str">
        <f aca="false">IF(COUNTA(B178,D178,G178,H178,I178)=0,"",IF(B178="","Enter date",IF(OR(B178&lt;$AC$2,B178&gt;$AC$3),"Date not in November",IF(D178="","Pick project",IF(ISNA(MATCH(D178,ProjNames,0)),"Project not in list",IF(G178="","Add task description",IF(H178="","Pick NTIME or P6",IF(N(I178)&lt;=0,"Enter hours",IF(AND(AllowOT&lt;&gt;"Yes",SUMIF($B$7:$B$256,B178,$I$7:$I$256)&gt;INDEX($O$58:$O$87,DAY(B178))),"Day over "&amp;INDEX($O$58:$O$87,DAY(B178))&amp;" h","✓")))))))))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tr">
        <f aca="false">IF(Projects!B176="","",Projects!B176)</f>
        <v/>
      </c>
      <c r="X178" s="1" t="n">
        <f aca="false">IF(W178="",0,SUMIFS($I$7:$I$256,$D$7:$D$256,W178,$H$7:$H$256,"NTIME"))</f>
        <v>0</v>
      </c>
      <c r="Y178" s="1" t="n">
        <f aca="false">IF(W178="",0,SUMIFS($I$7:$I$256,$D$7:$D$256,W178,$H$7:$H$256,"P6"))</f>
        <v>0</v>
      </c>
      <c r="Z178" s="1" t="n">
        <f aca="false">X178+Y178</f>
        <v>0</v>
      </c>
      <c r="AA178" s="1" t="n">
        <f aca="false">IF(Z178&gt;0,Z178+(201-172)/10^6,0)</f>
        <v>0</v>
      </c>
      <c r="AB178" s="1"/>
      <c r="AC178" s="1"/>
      <c r="AD178" s="1"/>
      <c r="AE178" s="1"/>
      <c r="AF178" s="1"/>
      <c r="AG178" s="1"/>
      <c r="AH178" s="1"/>
    </row>
    <row r="179" customFormat="false" ht="15" hidden="false" customHeight="false" outlineLevel="0" collapsed="false">
      <c r="A179" s="1"/>
      <c r="B179" s="10"/>
      <c r="C179" s="31" t="str">
        <f aca="false">IF(B179="","",TEXT(B179,"ddd"))</f>
        <v/>
      </c>
      <c r="D179" s="11"/>
      <c r="E179" s="8" t="str">
        <f aca="false">IF(D179="","",IFERROR(INDEX(ProjNumbers,MATCH(D179,ProjNames,0)),""))</f>
        <v/>
      </c>
      <c r="F179" s="8" t="str">
        <f aca="false">IF(D179="","",IFERROR(INDEX(ProjCodes,MATCH(D179,ProjNames,0)),""))</f>
        <v/>
      </c>
      <c r="G179" s="32"/>
      <c r="H179" s="11"/>
      <c r="I179" s="33"/>
      <c r="J179" s="8" t="str">
        <f aca="false">IF(COUNTA(B179,D179,G179,H179,I179)=0,"",IF(B179="","Enter date",IF(OR(B179&lt;$AC$2,B179&gt;$AC$3),"Date not in November",IF(D179="","Pick project",IF(ISNA(MATCH(D179,ProjNames,0)),"Project not in list",IF(G179="","Add task description",IF(H179="","Pick NTIME or P6",IF(N(I179)&lt;=0,"Enter hours",IF(AND(AllowOT&lt;&gt;"Yes",SUMIF($B$7:$B$256,B179,$I$7:$I$256)&gt;INDEX($O$58:$O$87,DAY(B179))),"Day over "&amp;INDEX($O$58:$O$87,DAY(B179))&amp;" h","✓")))))))))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tr">
        <f aca="false">IF(Projects!B177="","",Projects!B177)</f>
        <v/>
      </c>
      <c r="X179" s="1" t="n">
        <f aca="false">IF(W179="",0,SUMIFS($I$7:$I$256,$D$7:$D$256,W179,$H$7:$H$256,"NTIME"))</f>
        <v>0</v>
      </c>
      <c r="Y179" s="1" t="n">
        <f aca="false">IF(W179="",0,SUMIFS($I$7:$I$256,$D$7:$D$256,W179,$H$7:$H$256,"P6"))</f>
        <v>0</v>
      </c>
      <c r="Z179" s="1" t="n">
        <f aca="false">X179+Y179</f>
        <v>0</v>
      </c>
      <c r="AA179" s="1" t="n">
        <f aca="false">IF(Z179&gt;0,Z179+(201-173)/10^6,0)</f>
        <v>0</v>
      </c>
      <c r="AB179" s="1"/>
      <c r="AC179" s="1"/>
      <c r="AD179" s="1"/>
      <c r="AE179" s="1"/>
      <c r="AF179" s="1"/>
      <c r="AG179" s="1"/>
      <c r="AH179" s="1"/>
    </row>
    <row r="180" customFormat="false" ht="15" hidden="false" customHeight="false" outlineLevel="0" collapsed="false">
      <c r="A180" s="1"/>
      <c r="B180" s="10"/>
      <c r="C180" s="31" t="str">
        <f aca="false">IF(B180="","",TEXT(B180,"ddd"))</f>
        <v/>
      </c>
      <c r="D180" s="11"/>
      <c r="E180" s="8" t="str">
        <f aca="false">IF(D180="","",IFERROR(INDEX(ProjNumbers,MATCH(D180,ProjNames,0)),""))</f>
        <v/>
      </c>
      <c r="F180" s="8" t="str">
        <f aca="false">IF(D180="","",IFERROR(INDEX(ProjCodes,MATCH(D180,ProjNames,0)),""))</f>
        <v/>
      </c>
      <c r="G180" s="32"/>
      <c r="H180" s="11"/>
      <c r="I180" s="33"/>
      <c r="J180" s="8" t="str">
        <f aca="false">IF(COUNTA(B180,D180,G180,H180,I180)=0,"",IF(B180="","Enter date",IF(OR(B180&lt;$AC$2,B180&gt;$AC$3),"Date not in November",IF(D180="","Pick project",IF(ISNA(MATCH(D180,ProjNames,0)),"Project not in list",IF(G180="","Add task description",IF(H180="","Pick NTIME or P6",IF(N(I180)&lt;=0,"Enter hours",IF(AND(AllowOT&lt;&gt;"Yes",SUMIF($B$7:$B$256,B180,$I$7:$I$256)&gt;INDEX($O$58:$O$87,DAY(B180))),"Day over "&amp;INDEX($O$58:$O$87,DAY(B180))&amp;" h","✓")))))))))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tr">
        <f aca="false">IF(Projects!B178="","",Projects!B178)</f>
        <v/>
      </c>
      <c r="X180" s="1" t="n">
        <f aca="false">IF(W180="",0,SUMIFS($I$7:$I$256,$D$7:$D$256,W180,$H$7:$H$256,"NTIME"))</f>
        <v>0</v>
      </c>
      <c r="Y180" s="1" t="n">
        <f aca="false">IF(W180="",0,SUMIFS($I$7:$I$256,$D$7:$D$256,W180,$H$7:$H$256,"P6"))</f>
        <v>0</v>
      </c>
      <c r="Z180" s="1" t="n">
        <f aca="false">X180+Y180</f>
        <v>0</v>
      </c>
      <c r="AA180" s="1" t="n">
        <f aca="false">IF(Z180&gt;0,Z180+(201-174)/10^6,0)</f>
        <v>0</v>
      </c>
      <c r="AB180" s="1"/>
      <c r="AC180" s="1"/>
      <c r="AD180" s="1"/>
      <c r="AE180" s="1"/>
      <c r="AF180" s="1"/>
      <c r="AG180" s="1"/>
      <c r="AH180" s="1"/>
    </row>
    <row r="181" customFormat="false" ht="15" hidden="false" customHeight="false" outlineLevel="0" collapsed="false">
      <c r="A181" s="1"/>
      <c r="B181" s="10"/>
      <c r="C181" s="31" t="str">
        <f aca="false">IF(B181="","",TEXT(B181,"ddd"))</f>
        <v/>
      </c>
      <c r="D181" s="11"/>
      <c r="E181" s="8" t="str">
        <f aca="false">IF(D181="","",IFERROR(INDEX(ProjNumbers,MATCH(D181,ProjNames,0)),""))</f>
        <v/>
      </c>
      <c r="F181" s="8" t="str">
        <f aca="false">IF(D181="","",IFERROR(INDEX(ProjCodes,MATCH(D181,ProjNames,0)),""))</f>
        <v/>
      </c>
      <c r="G181" s="32"/>
      <c r="H181" s="11"/>
      <c r="I181" s="33"/>
      <c r="J181" s="8" t="str">
        <f aca="false">IF(COUNTA(B181,D181,G181,H181,I181)=0,"",IF(B181="","Enter date",IF(OR(B181&lt;$AC$2,B181&gt;$AC$3),"Date not in November",IF(D181="","Pick project",IF(ISNA(MATCH(D181,ProjNames,0)),"Project not in list",IF(G181="","Add task description",IF(H181="","Pick NTIME or P6",IF(N(I181)&lt;=0,"Enter hours",IF(AND(AllowOT&lt;&gt;"Yes",SUMIF($B$7:$B$256,B181,$I$7:$I$256)&gt;INDEX($O$58:$O$87,DAY(B181))),"Day over "&amp;INDEX($O$58:$O$87,DAY(B181))&amp;" h","✓")))))))))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tr">
        <f aca="false">IF(Projects!B179="","",Projects!B179)</f>
        <v/>
      </c>
      <c r="X181" s="1" t="n">
        <f aca="false">IF(W181="",0,SUMIFS($I$7:$I$256,$D$7:$D$256,W181,$H$7:$H$256,"NTIME"))</f>
        <v>0</v>
      </c>
      <c r="Y181" s="1" t="n">
        <f aca="false">IF(W181="",0,SUMIFS($I$7:$I$256,$D$7:$D$256,W181,$H$7:$H$256,"P6"))</f>
        <v>0</v>
      </c>
      <c r="Z181" s="1" t="n">
        <f aca="false">X181+Y181</f>
        <v>0</v>
      </c>
      <c r="AA181" s="1" t="n">
        <f aca="false">IF(Z181&gt;0,Z181+(201-175)/10^6,0)</f>
        <v>0</v>
      </c>
      <c r="AB181" s="1"/>
      <c r="AC181" s="1"/>
      <c r="AD181" s="1"/>
      <c r="AE181" s="1"/>
      <c r="AF181" s="1"/>
      <c r="AG181" s="1"/>
      <c r="AH181" s="1"/>
    </row>
    <row r="182" customFormat="false" ht="15" hidden="false" customHeight="false" outlineLevel="0" collapsed="false">
      <c r="A182" s="1"/>
      <c r="B182" s="10"/>
      <c r="C182" s="31" t="str">
        <f aca="false">IF(B182="","",TEXT(B182,"ddd"))</f>
        <v/>
      </c>
      <c r="D182" s="11"/>
      <c r="E182" s="8" t="str">
        <f aca="false">IF(D182="","",IFERROR(INDEX(ProjNumbers,MATCH(D182,ProjNames,0)),""))</f>
        <v/>
      </c>
      <c r="F182" s="8" t="str">
        <f aca="false">IF(D182="","",IFERROR(INDEX(ProjCodes,MATCH(D182,ProjNames,0)),""))</f>
        <v/>
      </c>
      <c r="G182" s="32"/>
      <c r="H182" s="11"/>
      <c r="I182" s="33"/>
      <c r="J182" s="8" t="str">
        <f aca="false">IF(COUNTA(B182,D182,G182,H182,I182)=0,"",IF(B182="","Enter date",IF(OR(B182&lt;$AC$2,B182&gt;$AC$3),"Date not in November",IF(D182="","Pick project",IF(ISNA(MATCH(D182,ProjNames,0)),"Project not in list",IF(G182="","Add task description",IF(H182="","Pick NTIME or P6",IF(N(I182)&lt;=0,"Enter hours",IF(AND(AllowOT&lt;&gt;"Yes",SUMIF($B$7:$B$256,B182,$I$7:$I$256)&gt;INDEX($O$58:$O$87,DAY(B182))),"Day over "&amp;INDEX($O$58:$O$87,DAY(B182))&amp;" h","✓")))))))))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tr">
        <f aca="false">IF(Projects!B180="","",Projects!B180)</f>
        <v/>
      </c>
      <c r="X182" s="1" t="n">
        <f aca="false">IF(W182="",0,SUMIFS($I$7:$I$256,$D$7:$D$256,W182,$H$7:$H$256,"NTIME"))</f>
        <v>0</v>
      </c>
      <c r="Y182" s="1" t="n">
        <f aca="false">IF(W182="",0,SUMIFS($I$7:$I$256,$D$7:$D$256,W182,$H$7:$H$256,"P6"))</f>
        <v>0</v>
      </c>
      <c r="Z182" s="1" t="n">
        <f aca="false">X182+Y182</f>
        <v>0</v>
      </c>
      <c r="AA182" s="1" t="n">
        <f aca="false">IF(Z182&gt;0,Z182+(201-176)/10^6,0)</f>
        <v>0</v>
      </c>
      <c r="AB182" s="1"/>
      <c r="AC182" s="1"/>
      <c r="AD182" s="1"/>
      <c r="AE182" s="1"/>
      <c r="AF182" s="1"/>
      <c r="AG182" s="1"/>
      <c r="AH182" s="1"/>
    </row>
    <row r="183" customFormat="false" ht="15" hidden="false" customHeight="false" outlineLevel="0" collapsed="false">
      <c r="A183" s="1"/>
      <c r="B183" s="10"/>
      <c r="C183" s="31" t="str">
        <f aca="false">IF(B183="","",TEXT(B183,"ddd"))</f>
        <v/>
      </c>
      <c r="D183" s="11"/>
      <c r="E183" s="8" t="str">
        <f aca="false">IF(D183="","",IFERROR(INDEX(ProjNumbers,MATCH(D183,ProjNames,0)),""))</f>
        <v/>
      </c>
      <c r="F183" s="8" t="str">
        <f aca="false">IF(D183="","",IFERROR(INDEX(ProjCodes,MATCH(D183,ProjNames,0)),""))</f>
        <v/>
      </c>
      <c r="G183" s="32"/>
      <c r="H183" s="11"/>
      <c r="I183" s="33"/>
      <c r="J183" s="8" t="str">
        <f aca="false">IF(COUNTA(B183,D183,G183,H183,I183)=0,"",IF(B183="","Enter date",IF(OR(B183&lt;$AC$2,B183&gt;$AC$3),"Date not in November",IF(D183="","Pick project",IF(ISNA(MATCH(D183,ProjNames,0)),"Project not in list",IF(G183="","Add task description",IF(H183="","Pick NTIME or P6",IF(N(I183)&lt;=0,"Enter hours",IF(AND(AllowOT&lt;&gt;"Yes",SUMIF($B$7:$B$256,B183,$I$7:$I$256)&gt;INDEX($O$58:$O$87,DAY(B183))),"Day over "&amp;INDEX($O$58:$O$87,DAY(B183))&amp;" h","✓")))))))))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tr">
        <f aca="false">IF(Projects!B181="","",Projects!B181)</f>
        <v/>
      </c>
      <c r="X183" s="1" t="n">
        <f aca="false">IF(W183="",0,SUMIFS($I$7:$I$256,$D$7:$D$256,W183,$H$7:$H$256,"NTIME"))</f>
        <v>0</v>
      </c>
      <c r="Y183" s="1" t="n">
        <f aca="false">IF(W183="",0,SUMIFS($I$7:$I$256,$D$7:$D$256,W183,$H$7:$H$256,"P6"))</f>
        <v>0</v>
      </c>
      <c r="Z183" s="1" t="n">
        <f aca="false">X183+Y183</f>
        <v>0</v>
      </c>
      <c r="AA183" s="1" t="n">
        <f aca="false">IF(Z183&gt;0,Z183+(201-177)/10^6,0)</f>
        <v>0</v>
      </c>
      <c r="AB183" s="1"/>
      <c r="AC183" s="1"/>
      <c r="AD183" s="1"/>
      <c r="AE183" s="1"/>
      <c r="AF183" s="1"/>
      <c r="AG183" s="1"/>
      <c r="AH183" s="1"/>
    </row>
    <row r="184" customFormat="false" ht="15" hidden="false" customHeight="false" outlineLevel="0" collapsed="false">
      <c r="A184" s="1"/>
      <c r="B184" s="10"/>
      <c r="C184" s="31" t="str">
        <f aca="false">IF(B184="","",TEXT(B184,"ddd"))</f>
        <v/>
      </c>
      <c r="D184" s="11"/>
      <c r="E184" s="8" t="str">
        <f aca="false">IF(D184="","",IFERROR(INDEX(ProjNumbers,MATCH(D184,ProjNames,0)),""))</f>
        <v/>
      </c>
      <c r="F184" s="8" t="str">
        <f aca="false">IF(D184="","",IFERROR(INDEX(ProjCodes,MATCH(D184,ProjNames,0)),""))</f>
        <v/>
      </c>
      <c r="G184" s="32"/>
      <c r="H184" s="11"/>
      <c r="I184" s="33"/>
      <c r="J184" s="8" t="str">
        <f aca="false">IF(COUNTA(B184,D184,G184,H184,I184)=0,"",IF(B184="","Enter date",IF(OR(B184&lt;$AC$2,B184&gt;$AC$3),"Date not in November",IF(D184="","Pick project",IF(ISNA(MATCH(D184,ProjNames,0)),"Project not in list",IF(G184="","Add task description",IF(H184="","Pick NTIME or P6",IF(N(I184)&lt;=0,"Enter hours",IF(AND(AllowOT&lt;&gt;"Yes",SUMIF($B$7:$B$256,B184,$I$7:$I$256)&gt;INDEX($O$58:$O$87,DAY(B184))),"Day over "&amp;INDEX($O$58:$O$87,DAY(B184))&amp;" h","✓")))))))))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tr">
        <f aca="false">IF(Projects!B182="","",Projects!B182)</f>
        <v/>
      </c>
      <c r="X184" s="1" t="n">
        <f aca="false">IF(W184="",0,SUMIFS($I$7:$I$256,$D$7:$D$256,W184,$H$7:$H$256,"NTIME"))</f>
        <v>0</v>
      </c>
      <c r="Y184" s="1" t="n">
        <f aca="false">IF(W184="",0,SUMIFS($I$7:$I$256,$D$7:$D$256,W184,$H$7:$H$256,"P6"))</f>
        <v>0</v>
      </c>
      <c r="Z184" s="1" t="n">
        <f aca="false">X184+Y184</f>
        <v>0</v>
      </c>
      <c r="AA184" s="1" t="n">
        <f aca="false">IF(Z184&gt;0,Z184+(201-178)/10^6,0)</f>
        <v>0</v>
      </c>
      <c r="AB184" s="1"/>
      <c r="AC184" s="1"/>
      <c r="AD184" s="1"/>
      <c r="AE184" s="1"/>
      <c r="AF184" s="1"/>
      <c r="AG184" s="1"/>
      <c r="AH184" s="1"/>
    </row>
    <row r="185" customFormat="false" ht="15" hidden="false" customHeight="false" outlineLevel="0" collapsed="false">
      <c r="A185" s="1"/>
      <c r="B185" s="10"/>
      <c r="C185" s="31" t="str">
        <f aca="false">IF(B185="","",TEXT(B185,"ddd"))</f>
        <v/>
      </c>
      <c r="D185" s="11"/>
      <c r="E185" s="8" t="str">
        <f aca="false">IF(D185="","",IFERROR(INDEX(ProjNumbers,MATCH(D185,ProjNames,0)),""))</f>
        <v/>
      </c>
      <c r="F185" s="8" t="str">
        <f aca="false">IF(D185="","",IFERROR(INDEX(ProjCodes,MATCH(D185,ProjNames,0)),""))</f>
        <v/>
      </c>
      <c r="G185" s="32"/>
      <c r="H185" s="11"/>
      <c r="I185" s="33"/>
      <c r="J185" s="8" t="str">
        <f aca="false">IF(COUNTA(B185,D185,G185,H185,I185)=0,"",IF(B185="","Enter date",IF(OR(B185&lt;$AC$2,B185&gt;$AC$3),"Date not in November",IF(D185="","Pick project",IF(ISNA(MATCH(D185,ProjNames,0)),"Project not in list",IF(G185="","Add task description",IF(H185="","Pick NTIME or P6",IF(N(I185)&lt;=0,"Enter hours",IF(AND(AllowOT&lt;&gt;"Yes",SUMIF($B$7:$B$256,B185,$I$7:$I$256)&gt;INDEX($O$58:$O$87,DAY(B185))),"Day over "&amp;INDEX($O$58:$O$87,DAY(B185))&amp;" h","✓")))))))))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tr">
        <f aca="false">IF(Projects!B183="","",Projects!B183)</f>
        <v/>
      </c>
      <c r="X185" s="1" t="n">
        <f aca="false">IF(W185="",0,SUMIFS($I$7:$I$256,$D$7:$D$256,W185,$H$7:$H$256,"NTIME"))</f>
        <v>0</v>
      </c>
      <c r="Y185" s="1" t="n">
        <f aca="false">IF(W185="",0,SUMIFS($I$7:$I$256,$D$7:$D$256,W185,$H$7:$H$256,"P6"))</f>
        <v>0</v>
      </c>
      <c r="Z185" s="1" t="n">
        <f aca="false">X185+Y185</f>
        <v>0</v>
      </c>
      <c r="AA185" s="1" t="n">
        <f aca="false">IF(Z185&gt;0,Z185+(201-179)/10^6,0)</f>
        <v>0</v>
      </c>
      <c r="AB185" s="1"/>
      <c r="AC185" s="1"/>
      <c r="AD185" s="1"/>
      <c r="AE185" s="1"/>
      <c r="AF185" s="1"/>
      <c r="AG185" s="1"/>
      <c r="AH185" s="1"/>
    </row>
    <row r="186" customFormat="false" ht="15" hidden="false" customHeight="false" outlineLevel="0" collapsed="false">
      <c r="A186" s="1"/>
      <c r="B186" s="10"/>
      <c r="C186" s="31" t="str">
        <f aca="false">IF(B186="","",TEXT(B186,"ddd"))</f>
        <v/>
      </c>
      <c r="D186" s="11"/>
      <c r="E186" s="8" t="str">
        <f aca="false">IF(D186="","",IFERROR(INDEX(ProjNumbers,MATCH(D186,ProjNames,0)),""))</f>
        <v/>
      </c>
      <c r="F186" s="8" t="str">
        <f aca="false">IF(D186="","",IFERROR(INDEX(ProjCodes,MATCH(D186,ProjNames,0)),""))</f>
        <v/>
      </c>
      <c r="G186" s="32"/>
      <c r="H186" s="11"/>
      <c r="I186" s="33"/>
      <c r="J186" s="8" t="str">
        <f aca="false">IF(COUNTA(B186,D186,G186,H186,I186)=0,"",IF(B186="","Enter date",IF(OR(B186&lt;$AC$2,B186&gt;$AC$3),"Date not in November",IF(D186="","Pick project",IF(ISNA(MATCH(D186,ProjNames,0)),"Project not in list",IF(G186="","Add task description",IF(H186="","Pick NTIME or P6",IF(N(I186)&lt;=0,"Enter hours",IF(AND(AllowOT&lt;&gt;"Yes",SUMIF($B$7:$B$256,B186,$I$7:$I$256)&gt;INDEX($O$58:$O$87,DAY(B186))),"Day over "&amp;INDEX($O$58:$O$87,DAY(B186))&amp;" h","✓")))))))))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tr">
        <f aca="false">IF(Projects!B184="","",Projects!B184)</f>
        <v/>
      </c>
      <c r="X186" s="1" t="n">
        <f aca="false">IF(W186="",0,SUMIFS($I$7:$I$256,$D$7:$D$256,W186,$H$7:$H$256,"NTIME"))</f>
        <v>0</v>
      </c>
      <c r="Y186" s="1" t="n">
        <f aca="false">IF(W186="",0,SUMIFS($I$7:$I$256,$D$7:$D$256,W186,$H$7:$H$256,"P6"))</f>
        <v>0</v>
      </c>
      <c r="Z186" s="1" t="n">
        <f aca="false">X186+Y186</f>
        <v>0</v>
      </c>
      <c r="AA186" s="1" t="n">
        <f aca="false">IF(Z186&gt;0,Z186+(201-180)/10^6,0)</f>
        <v>0</v>
      </c>
      <c r="AB186" s="1"/>
      <c r="AC186" s="1"/>
      <c r="AD186" s="1"/>
      <c r="AE186" s="1"/>
      <c r="AF186" s="1"/>
      <c r="AG186" s="1"/>
      <c r="AH186" s="1"/>
    </row>
    <row r="187" customFormat="false" ht="15" hidden="false" customHeight="false" outlineLevel="0" collapsed="false">
      <c r="A187" s="1"/>
      <c r="B187" s="10"/>
      <c r="C187" s="31" t="str">
        <f aca="false">IF(B187="","",TEXT(B187,"ddd"))</f>
        <v/>
      </c>
      <c r="D187" s="11"/>
      <c r="E187" s="8" t="str">
        <f aca="false">IF(D187="","",IFERROR(INDEX(ProjNumbers,MATCH(D187,ProjNames,0)),""))</f>
        <v/>
      </c>
      <c r="F187" s="8" t="str">
        <f aca="false">IF(D187="","",IFERROR(INDEX(ProjCodes,MATCH(D187,ProjNames,0)),""))</f>
        <v/>
      </c>
      <c r="G187" s="32"/>
      <c r="H187" s="11"/>
      <c r="I187" s="33"/>
      <c r="J187" s="8" t="str">
        <f aca="false">IF(COUNTA(B187,D187,G187,H187,I187)=0,"",IF(B187="","Enter date",IF(OR(B187&lt;$AC$2,B187&gt;$AC$3),"Date not in November",IF(D187="","Pick project",IF(ISNA(MATCH(D187,ProjNames,0)),"Project not in list",IF(G187="","Add task description",IF(H187="","Pick NTIME or P6",IF(N(I187)&lt;=0,"Enter hours",IF(AND(AllowOT&lt;&gt;"Yes",SUMIF($B$7:$B$256,B187,$I$7:$I$256)&gt;INDEX($O$58:$O$87,DAY(B187))),"Day over "&amp;INDEX($O$58:$O$87,DAY(B187))&amp;" h","✓")))))))))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tr">
        <f aca="false">IF(Projects!B185="","",Projects!B185)</f>
        <v/>
      </c>
      <c r="X187" s="1" t="n">
        <f aca="false">IF(W187="",0,SUMIFS($I$7:$I$256,$D$7:$D$256,W187,$H$7:$H$256,"NTIME"))</f>
        <v>0</v>
      </c>
      <c r="Y187" s="1" t="n">
        <f aca="false">IF(W187="",0,SUMIFS($I$7:$I$256,$D$7:$D$256,W187,$H$7:$H$256,"P6"))</f>
        <v>0</v>
      </c>
      <c r="Z187" s="1" t="n">
        <f aca="false">X187+Y187</f>
        <v>0</v>
      </c>
      <c r="AA187" s="1" t="n">
        <f aca="false">IF(Z187&gt;0,Z187+(201-181)/10^6,0)</f>
        <v>0</v>
      </c>
      <c r="AB187" s="1"/>
      <c r="AC187" s="1"/>
      <c r="AD187" s="1"/>
      <c r="AE187" s="1"/>
      <c r="AF187" s="1"/>
      <c r="AG187" s="1"/>
      <c r="AH187" s="1"/>
    </row>
    <row r="188" customFormat="false" ht="15" hidden="false" customHeight="false" outlineLevel="0" collapsed="false">
      <c r="A188" s="1"/>
      <c r="B188" s="10"/>
      <c r="C188" s="31" t="str">
        <f aca="false">IF(B188="","",TEXT(B188,"ddd"))</f>
        <v/>
      </c>
      <c r="D188" s="11"/>
      <c r="E188" s="8" t="str">
        <f aca="false">IF(D188="","",IFERROR(INDEX(ProjNumbers,MATCH(D188,ProjNames,0)),""))</f>
        <v/>
      </c>
      <c r="F188" s="8" t="str">
        <f aca="false">IF(D188="","",IFERROR(INDEX(ProjCodes,MATCH(D188,ProjNames,0)),""))</f>
        <v/>
      </c>
      <c r="G188" s="32"/>
      <c r="H188" s="11"/>
      <c r="I188" s="33"/>
      <c r="J188" s="8" t="str">
        <f aca="false">IF(COUNTA(B188,D188,G188,H188,I188)=0,"",IF(B188="","Enter date",IF(OR(B188&lt;$AC$2,B188&gt;$AC$3),"Date not in November",IF(D188="","Pick project",IF(ISNA(MATCH(D188,ProjNames,0)),"Project not in list",IF(G188="","Add task description",IF(H188="","Pick NTIME or P6",IF(N(I188)&lt;=0,"Enter hours",IF(AND(AllowOT&lt;&gt;"Yes",SUMIF($B$7:$B$256,B188,$I$7:$I$256)&gt;INDEX($O$58:$O$87,DAY(B188))),"Day over "&amp;INDEX($O$58:$O$87,DAY(B188))&amp;" h","✓")))))))))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tr">
        <f aca="false">IF(Projects!B186="","",Projects!B186)</f>
        <v/>
      </c>
      <c r="X188" s="1" t="n">
        <f aca="false">IF(W188="",0,SUMIFS($I$7:$I$256,$D$7:$D$256,W188,$H$7:$H$256,"NTIME"))</f>
        <v>0</v>
      </c>
      <c r="Y188" s="1" t="n">
        <f aca="false">IF(W188="",0,SUMIFS($I$7:$I$256,$D$7:$D$256,W188,$H$7:$H$256,"P6"))</f>
        <v>0</v>
      </c>
      <c r="Z188" s="1" t="n">
        <f aca="false">X188+Y188</f>
        <v>0</v>
      </c>
      <c r="AA188" s="1" t="n">
        <f aca="false">IF(Z188&gt;0,Z188+(201-182)/10^6,0)</f>
        <v>0</v>
      </c>
      <c r="AB188" s="1"/>
      <c r="AC188" s="1"/>
      <c r="AD188" s="1"/>
      <c r="AE188" s="1"/>
      <c r="AF188" s="1"/>
      <c r="AG188" s="1"/>
      <c r="AH188" s="1"/>
    </row>
    <row r="189" customFormat="false" ht="15" hidden="false" customHeight="false" outlineLevel="0" collapsed="false">
      <c r="A189" s="1"/>
      <c r="B189" s="10"/>
      <c r="C189" s="31" t="str">
        <f aca="false">IF(B189="","",TEXT(B189,"ddd"))</f>
        <v/>
      </c>
      <c r="D189" s="11"/>
      <c r="E189" s="8" t="str">
        <f aca="false">IF(D189="","",IFERROR(INDEX(ProjNumbers,MATCH(D189,ProjNames,0)),""))</f>
        <v/>
      </c>
      <c r="F189" s="8" t="str">
        <f aca="false">IF(D189="","",IFERROR(INDEX(ProjCodes,MATCH(D189,ProjNames,0)),""))</f>
        <v/>
      </c>
      <c r="G189" s="32"/>
      <c r="H189" s="11"/>
      <c r="I189" s="33"/>
      <c r="J189" s="8" t="str">
        <f aca="false">IF(COUNTA(B189,D189,G189,H189,I189)=0,"",IF(B189="","Enter date",IF(OR(B189&lt;$AC$2,B189&gt;$AC$3),"Date not in November",IF(D189="","Pick project",IF(ISNA(MATCH(D189,ProjNames,0)),"Project not in list",IF(G189="","Add task description",IF(H189="","Pick NTIME or P6",IF(N(I189)&lt;=0,"Enter hours",IF(AND(AllowOT&lt;&gt;"Yes",SUMIF($B$7:$B$256,B189,$I$7:$I$256)&gt;INDEX($O$58:$O$87,DAY(B189))),"Day over "&amp;INDEX($O$58:$O$87,DAY(B189))&amp;" h","✓")))))))))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tr">
        <f aca="false">IF(Projects!B187="","",Projects!B187)</f>
        <v/>
      </c>
      <c r="X189" s="1" t="n">
        <f aca="false">IF(W189="",0,SUMIFS($I$7:$I$256,$D$7:$D$256,W189,$H$7:$H$256,"NTIME"))</f>
        <v>0</v>
      </c>
      <c r="Y189" s="1" t="n">
        <f aca="false">IF(W189="",0,SUMIFS($I$7:$I$256,$D$7:$D$256,W189,$H$7:$H$256,"P6"))</f>
        <v>0</v>
      </c>
      <c r="Z189" s="1" t="n">
        <f aca="false">X189+Y189</f>
        <v>0</v>
      </c>
      <c r="AA189" s="1" t="n">
        <f aca="false">IF(Z189&gt;0,Z189+(201-183)/10^6,0)</f>
        <v>0</v>
      </c>
      <c r="AB189" s="1"/>
      <c r="AC189" s="1"/>
      <c r="AD189" s="1"/>
      <c r="AE189" s="1"/>
      <c r="AF189" s="1"/>
      <c r="AG189" s="1"/>
      <c r="AH189" s="1"/>
    </row>
    <row r="190" customFormat="false" ht="15" hidden="false" customHeight="false" outlineLevel="0" collapsed="false">
      <c r="A190" s="1"/>
      <c r="B190" s="10"/>
      <c r="C190" s="31" t="str">
        <f aca="false">IF(B190="","",TEXT(B190,"ddd"))</f>
        <v/>
      </c>
      <c r="D190" s="11"/>
      <c r="E190" s="8" t="str">
        <f aca="false">IF(D190="","",IFERROR(INDEX(ProjNumbers,MATCH(D190,ProjNames,0)),""))</f>
        <v/>
      </c>
      <c r="F190" s="8" t="str">
        <f aca="false">IF(D190="","",IFERROR(INDEX(ProjCodes,MATCH(D190,ProjNames,0)),""))</f>
        <v/>
      </c>
      <c r="G190" s="32"/>
      <c r="H190" s="11"/>
      <c r="I190" s="33"/>
      <c r="J190" s="8" t="str">
        <f aca="false">IF(COUNTA(B190,D190,G190,H190,I190)=0,"",IF(B190="","Enter date",IF(OR(B190&lt;$AC$2,B190&gt;$AC$3),"Date not in November",IF(D190="","Pick project",IF(ISNA(MATCH(D190,ProjNames,0)),"Project not in list",IF(G190="","Add task description",IF(H190="","Pick NTIME or P6",IF(N(I190)&lt;=0,"Enter hours",IF(AND(AllowOT&lt;&gt;"Yes",SUMIF($B$7:$B$256,B190,$I$7:$I$256)&gt;INDEX($O$58:$O$87,DAY(B190))),"Day over "&amp;INDEX($O$58:$O$87,DAY(B190))&amp;" h","✓")))))))))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tr">
        <f aca="false">IF(Projects!B188="","",Projects!B188)</f>
        <v/>
      </c>
      <c r="X190" s="1" t="n">
        <f aca="false">IF(W190="",0,SUMIFS($I$7:$I$256,$D$7:$D$256,W190,$H$7:$H$256,"NTIME"))</f>
        <v>0</v>
      </c>
      <c r="Y190" s="1" t="n">
        <f aca="false">IF(W190="",0,SUMIFS($I$7:$I$256,$D$7:$D$256,W190,$H$7:$H$256,"P6"))</f>
        <v>0</v>
      </c>
      <c r="Z190" s="1" t="n">
        <f aca="false">X190+Y190</f>
        <v>0</v>
      </c>
      <c r="AA190" s="1" t="n">
        <f aca="false">IF(Z190&gt;0,Z190+(201-184)/10^6,0)</f>
        <v>0</v>
      </c>
      <c r="AB190" s="1"/>
      <c r="AC190" s="1"/>
      <c r="AD190" s="1"/>
      <c r="AE190" s="1"/>
      <c r="AF190" s="1"/>
      <c r="AG190" s="1"/>
      <c r="AH190" s="1"/>
    </row>
    <row r="191" customFormat="false" ht="15" hidden="false" customHeight="false" outlineLevel="0" collapsed="false">
      <c r="A191" s="1"/>
      <c r="B191" s="10"/>
      <c r="C191" s="31" t="str">
        <f aca="false">IF(B191="","",TEXT(B191,"ddd"))</f>
        <v/>
      </c>
      <c r="D191" s="11"/>
      <c r="E191" s="8" t="str">
        <f aca="false">IF(D191="","",IFERROR(INDEX(ProjNumbers,MATCH(D191,ProjNames,0)),""))</f>
        <v/>
      </c>
      <c r="F191" s="8" t="str">
        <f aca="false">IF(D191="","",IFERROR(INDEX(ProjCodes,MATCH(D191,ProjNames,0)),""))</f>
        <v/>
      </c>
      <c r="G191" s="32"/>
      <c r="H191" s="11"/>
      <c r="I191" s="33"/>
      <c r="J191" s="8" t="str">
        <f aca="false">IF(COUNTA(B191,D191,G191,H191,I191)=0,"",IF(B191="","Enter date",IF(OR(B191&lt;$AC$2,B191&gt;$AC$3),"Date not in November",IF(D191="","Pick project",IF(ISNA(MATCH(D191,ProjNames,0)),"Project not in list",IF(G191="","Add task description",IF(H191="","Pick NTIME or P6",IF(N(I191)&lt;=0,"Enter hours",IF(AND(AllowOT&lt;&gt;"Yes",SUMIF($B$7:$B$256,B191,$I$7:$I$256)&gt;INDEX($O$58:$O$87,DAY(B191))),"Day over "&amp;INDEX($O$58:$O$87,DAY(B191))&amp;" h","✓")))))))))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tr">
        <f aca="false">IF(Projects!B189="","",Projects!B189)</f>
        <v/>
      </c>
      <c r="X191" s="1" t="n">
        <f aca="false">IF(W191="",0,SUMIFS($I$7:$I$256,$D$7:$D$256,W191,$H$7:$H$256,"NTIME"))</f>
        <v>0</v>
      </c>
      <c r="Y191" s="1" t="n">
        <f aca="false">IF(W191="",0,SUMIFS($I$7:$I$256,$D$7:$D$256,W191,$H$7:$H$256,"P6"))</f>
        <v>0</v>
      </c>
      <c r="Z191" s="1" t="n">
        <f aca="false">X191+Y191</f>
        <v>0</v>
      </c>
      <c r="AA191" s="1" t="n">
        <f aca="false">IF(Z191&gt;0,Z191+(201-185)/10^6,0)</f>
        <v>0</v>
      </c>
      <c r="AB191" s="1"/>
      <c r="AC191" s="1"/>
      <c r="AD191" s="1"/>
      <c r="AE191" s="1"/>
      <c r="AF191" s="1"/>
      <c r="AG191" s="1"/>
      <c r="AH191" s="1"/>
    </row>
    <row r="192" customFormat="false" ht="15" hidden="false" customHeight="false" outlineLevel="0" collapsed="false">
      <c r="A192" s="1"/>
      <c r="B192" s="10"/>
      <c r="C192" s="31" t="str">
        <f aca="false">IF(B192="","",TEXT(B192,"ddd"))</f>
        <v/>
      </c>
      <c r="D192" s="11"/>
      <c r="E192" s="8" t="str">
        <f aca="false">IF(D192="","",IFERROR(INDEX(ProjNumbers,MATCH(D192,ProjNames,0)),""))</f>
        <v/>
      </c>
      <c r="F192" s="8" t="str">
        <f aca="false">IF(D192="","",IFERROR(INDEX(ProjCodes,MATCH(D192,ProjNames,0)),""))</f>
        <v/>
      </c>
      <c r="G192" s="32"/>
      <c r="H192" s="11"/>
      <c r="I192" s="33"/>
      <c r="J192" s="8" t="str">
        <f aca="false">IF(COUNTA(B192,D192,G192,H192,I192)=0,"",IF(B192="","Enter date",IF(OR(B192&lt;$AC$2,B192&gt;$AC$3),"Date not in November",IF(D192="","Pick project",IF(ISNA(MATCH(D192,ProjNames,0)),"Project not in list",IF(G192="","Add task description",IF(H192="","Pick NTIME or P6",IF(N(I192)&lt;=0,"Enter hours",IF(AND(AllowOT&lt;&gt;"Yes",SUMIF($B$7:$B$256,B192,$I$7:$I$256)&gt;INDEX($O$58:$O$87,DAY(B192))),"Day over "&amp;INDEX($O$58:$O$87,DAY(B192))&amp;" h","✓")))))))))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tr">
        <f aca="false">IF(Projects!B190="","",Projects!B190)</f>
        <v/>
      </c>
      <c r="X192" s="1" t="n">
        <f aca="false">IF(W192="",0,SUMIFS($I$7:$I$256,$D$7:$D$256,W192,$H$7:$H$256,"NTIME"))</f>
        <v>0</v>
      </c>
      <c r="Y192" s="1" t="n">
        <f aca="false">IF(W192="",0,SUMIFS($I$7:$I$256,$D$7:$D$256,W192,$H$7:$H$256,"P6"))</f>
        <v>0</v>
      </c>
      <c r="Z192" s="1" t="n">
        <f aca="false">X192+Y192</f>
        <v>0</v>
      </c>
      <c r="AA192" s="1" t="n">
        <f aca="false">IF(Z192&gt;0,Z192+(201-186)/10^6,0)</f>
        <v>0</v>
      </c>
      <c r="AB192" s="1"/>
      <c r="AC192" s="1"/>
      <c r="AD192" s="1"/>
      <c r="AE192" s="1"/>
      <c r="AF192" s="1"/>
      <c r="AG192" s="1"/>
      <c r="AH192" s="1"/>
    </row>
    <row r="193" customFormat="false" ht="15" hidden="false" customHeight="false" outlineLevel="0" collapsed="false">
      <c r="A193" s="1"/>
      <c r="B193" s="10"/>
      <c r="C193" s="31" t="str">
        <f aca="false">IF(B193="","",TEXT(B193,"ddd"))</f>
        <v/>
      </c>
      <c r="D193" s="11"/>
      <c r="E193" s="8" t="str">
        <f aca="false">IF(D193="","",IFERROR(INDEX(ProjNumbers,MATCH(D193,ProjNames,0)),""))</f>
        <v/>
      </c>
      <c r="F193" s="8" t="str">
        <f aca="false">IF(D193="","",IFERROR(INDEX(ProjCodes,MATCH(D193,ProjNames,0)),""))</f>
        <v/>
      </c>
      <c r="G193" s="32"/>
      <c r="H193" s="11"/>
      <c r="I193" s="33"/>
      <c r="J193" s="8" t="str">
        <f aca="false">IF(COUNTA(B193,D193,G193,H193,I193)=0,"",IF(B193="","Enter date",IF(OR(B193&lt;$AC$2,B193&gt;$AC$3),"Date not in November",IF(D193="","Pick project",IF(ISNA(MATCH(D193,ProjNames,0)),"Project not in list",IF(G193="","Add task description",IF(H193="","Pick NTIME or P6",IF(N(I193)&lt;=0,"Enter hours",IF(AND(AllowOT&lt;&gt;"Yes",SUMIF($B$7:$B$256,B193,$I$7:$I$256)&gt;INDEX($O$58:$O$87,DAY(B193))),"Day over "&amp;INDEX($O$58:$O$87,DAY(B193))&amp;" h","✓")))))))))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tr">
        <f aca="false">IF(Projects!B191="","",Projects!B191)</f>
        <v/>
      </c>
      <c r="X193" s="1" t="n">
        <f aca="false">IF(W193="",0,SUMIFS($I$7:$I$256,$D$7:$D$256,W193,$H$7:$H$256,"NTIME"))</f>
        <v>0</v>
      </c>
      <c r="Y193" s="1" t="n">
        <f aca="false">IF(W193="",0,SUMIFS($I$7:$I$256,$D$7:$D$256,W193,$H$7:$H$256,"P6"))</f>
        <v>0</v>
      </c>
      <c r="Z193" s="1" t="n">
        <f aca="false">X193+Y193</f>
        <v>0</v>
      </c>
      <c r="AA193" s="1" t="n">
        <f aca="false">IF(Z193&gt;0,Z193+(201-187)/10^6,0)</f>
        <v>0</v>
      </c>
      <c r="AB193" s="1"/>
      <c r="AC193" s="1"/>
      <c r="AD193" s="1"/>
      <c r="AE193" s="1"/>
      <c r="AF193" s="1"/>
      <c r="AG193" s="1"/>
      <c r="AH193" s="1"/>
    </row>
    <row r="194" customFormat="false" ht="15" hidden="false" customHeight="false" outlineLevel="0" collapsed="false">
      <c r="A194" s="1"/>
      <c r="B194" s="10"/>
      <c r="C194" s="31" t="str">
        <f aca="false">IF(B194="","",TEXT(B194,"ddd"))</f>
        <v/>
      </c>
      <c r="D194" s="11"/>
      <c r="E194" s="8" t="str">
        <f aca="false">IF(D194="","",IFERROR(INDEX(ProjNumbers,MATCH(D194,ProjNames,0)),""))</f>
        <v/>
      </c>
      <c r="F194" s="8" t="str">
        <f aca="false">IF(D194="","",IFERROR(INDEX(ProjCodes,MATCH(D194,ProjNames,0)),""))</f>
        <v/>
      </c>
      <c r="G194" s="32"/>
      <c r="H194" s="11"/>
      <c r="I194" s="33"/>
      <c r="J194" s="8" t="str">
        <f aca="false">IF(COUNTA(B194,D194,G194,H194,I194)=0,"",IF(B194="","Enter date",IF(OR(B194&lt;$AC$2,B194&gt;$AC$3),"Date not in November",IF(D194="","Pick project",IF(ISNA(MATCH(D194,ProjNames,0)),"Project not in list",IF(G194="","Add task description",IF(H194="","Pick NTIME or P6",IF(N(I194)&lt;=0,"Enter hours",IF(AND(AllowOT&lt;&gt;"Yes",SUMIF($B$7:$B$256,B194,$I$7:$I$256)&gt;INDEX($O$58:$O$87,DAY(B194))),"Day over "&amp;INDEX($O$58:$O$87,DAY(B194))&amp;" h","✓")))))))))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tr">
        <f aca="false">IF(Projects!B192="","",Projects!B192)</f>
        <v/>
      </c>
      <c r="X194" s="1" t="n">
        <f aca="false">IF(W194="",0,SUMIFS($I$7:$I$256,$D$7:$D$256,W194,$H$7:$H$256,"NTIME"))</f>
        <v>0</v>
      </c>
      <c r="Y194" s="1" t="n">
        <f aca="false">IF(W194="",0,SUMIFS($I$7:$I$256,$D$7:$D$256,W194,$H$7:$H$256,"P6"))</f>
        <v>0</v>
      </c>
      <c r="Z194" s="1" t="n">
        <f aca="false">X194+Y194</f>
        <v>0</v>
      </c>
      <c r="AA194" s="1" t="n">
        <f aca="false">IF(Z194&gt;0,Z194+(201-188)/10^6,0)</f>
        <v>0</v>
      </c>
      <c r="AB194" s="1"/>
      <c r="AC194" s="1"/>
      <c r="AD194" s="1"/>
      <c r="AE194" s="1"/>
      <c r="AF194" s="1"/>
      <c r="AG194" s="1"/>
      <c r="AH194" s="1"/>
    </row>
    <row r="195" customFormat="false" ht="15" hidden="false" customHeight="false" outlineLevel="0" collapsed="false">
      <c r="A195" s="1"/>
      <c r="B195" s="10"/>
      <c r="C195" s="31" t="str">
        <f aca="false">IF(B195="","",TEXT(B195,"ddd"))</f>
        <v/>
      </c>
      <c r="D195" s="11"/>
      <c r="E195" s="8" t="str">
        <f aca="false">IF(D195="","",IFERROR(INDEX(ProjNumbers,MATCH(D195,ProjNames,0)),""))</f>
        <v/>
      </c>
      <c r="F195" s="8" t="str">
        <f aca="false">IF(D195="","",IFERROR(INDEX(ProjCodes,MATCH(D195,ProjNames,0)),""))</f>
        <v/>
      </c>
      <c r="G195" s="32"/>
      <c r="H195" s="11"/>
      <c r="I195" s="33"/>
      <c r="J195" s="8" t="str">
        <f aca="false">IF(COUNTA(B195,D195,G195,H195,I195)=0,"",IF(B195="","Enter date",IF(OR(B195&lt;$AC$2,B195&gt;$AC$3),"Date not in November",IF(D195="","Pick project",IF(ISNA(MATCH(D195,ProjNames,0)),"Project not in list",IF(G195="","Add task description",IF(H195="","Pick NTIME or P6",IF(N(I195)&lt;=0,"Enter hours",IF(AND(AllowOT&lt;&gt;"Yes",SUMIF($B$7:$B$256,B195,$I$7:$I$256)&gt;INDEX($O$58:$O$87,DAY(B195))),"Day over "&amp;INDEX($O$58:$O$87,DAY(B195))&amp;" h","✓")))))))))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tr">
        <f aca="false">IF(Projects!B193="","",Projects!B193)</f>
        <v/>
      </c>
      <c r="X195" s="1" t="n">
        <f aca="false">IF(W195="",0,SUMIFS($I$7:$I$256,$D$7:$D$256,W195,$H$7:$H$256,"NTIME"))</f>
        <v>0</v>
      </c>
      <c r="Y195" s="1" t="n">
        <f aca="false">IF(W195="",0,SUMIFS($I$7:$I$256,$D$7:$D$256,W195,$H$7:$H$256,"P6"))</f>
        <v>0</v>
      </c>
      <c r="Z195" s="1" t="n">
        <f aca="false">X195+Y195</f>
        <v>0</v>
      </c>
      <c r="AA195" s="1" t="n">
        <f aca="false">IF(Z195&gt;0,Z195+(201-189)/10^6,0)</f>
        <v>0</v>
      </c>
      <c r="AB195" s="1"/>
      <c r="AC195" s="1"/>
      <c r="AD195" s="1"/>
      <c r="AE195" s="1"/>
      <c r="AF195" s="1"/>
      <c r="AG195" s="1"/>
      <c r="AH195" s="1"/>
    </row>
    <row r="196" customFormat="false" ht="15" hidden="false" customHeight="false" outlineLevel="0" collapsed="false">
      <c r="A196" s="1"/>
      <c r="B196" s="10"/>
      <c r="C196" s="31" t="str">
        <f aca="false">IF(B196="","",TEXT(B196,"ddd"))</f>
        <v/>
      </c>
      <c r="D196" s="11"/>
      <c r="E196" s="8" t="str">
        <f aca="false">IF(D196="","",IFERROR(INDEX(ProjNumbers,MATCH(D196,ProjNames,0)),""))</f>
        <v/>
      </c>
      <c r="F196" s="8" t="str">
        <f aca="false">IF(D196="","",IFERROR(INDEX(ProjCodes,MATCH(D196,ProjNames,0)),""))</f>
        <v/>
      </c>
      <c r="G196" s="32"/>
      <c r="H196" s="11"/>
      <c r="I196" s="33"/>
      <c r="J196" s="8" t="str">
        <f aca="false">IF(COUNTA(B196,D196,G196,H196,I196)=0,"",IF(B196="","Enter date",IF(OR(B196&lt;$AC$2,B196&gt;$AC$3),"Date not in November",IF(D196="","Pick project",IF(ISNA(MATCH(D196,ProjNames,0)),"Project not in list",IF(G196="","Add task description",IF(H196="","Pick NTIME or P6",IF(N(I196)&lt;=0,"Enter hours",IF(AND(AllowOT&lt;&gt;"Yes",SUMIF($B$7:$B$256,B196,$I$7:$I$256)&gt;INDEX($O$58:$O$87,DAY(B196))),"Day over "&amp;INDEX($O$58:$O$87,DAY(B196))&amp;" h","✓")))))))))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tr">
        <f aca="false">IF(Projects!B194="","",Projects!B194)</f>
        <v/>
      </c>
      <c r="X196" s="1" t="n">
        <f aca="false">IF(W196="",0,SUMIFS($I$7:$I$256,$D$7:$D$256,W196,$H$7:$H$256,"NTIME"))</f>
        <v>0</v>
      </c>
      <c r="Y196" s="1" t="n">
        <f aca="false">IF(W196="",0,SUMIFS($I$7:$I$256,$D$7:$D$256,W196,$H$7:$H$256,"P6"))</f>
        <v>0</v>
      </c>
      <c r="Z196" s="1" t="n">
        <f aca="false">X196+Y196</f>
        <v>0</v>
      </c>
      <c r="AA196" s="1" t="n">
        <f aca="false">IF(Z196&gt;0,Z196+(201-190)/10^6,0)</f>
        <v>0</v>
      </c>
      <c r="AB196" s="1"/>
      <c r="AC196" s="1"/>
      <c r="AD196" s="1"/>
      <c r="AE196" s="1"/>
      <c r="AF196" s="1"/>
      <c r="AG196" s="1"/>
      <c r="AH196" s="1"/>
    </row>
    <row r="197" customFormat="false" ht="15" hidden="false" customHeight="false" outlineLevel="0" collapsed="false">
      <c r="A197" s="1"/>
      <c r="B197" s="10"/>
      <c r="C197" s="31" t="str">
        <f aca="false">IF(B197="","",TEXT(B197,"ddd"))</f>
        <v/>
      </c>
      <c r="D197" s="11"/>
      <c r="E197" s="8" t="str">
        <f aca="false">IF(D197="","",IFERROR(INDEX(ProjNumbers,MATCH(D197,ProjNames,0)),""))</f>
        <v/>
      </c>
      <c r="F197" s="8" t="str">
        <f aca="false">IF(D197="","",IFERROR(INDEX(ProjCodes,MATCH(D197,ProjNames,0)),""))</f>
        <v/>
      </c>
      <c r="G197" s="32"/>
      <c r="H197" s="11"/>
      <c r="I197" s="33"/>
      <c r="J197" s="8" t="str">
        <f aca="false">IF(COUNTA(B197,D197,G197,H197,I197)=0,"",IF(B197="","Enter date",IF(OR(B197&lt;$AC$2,B197&gt;$AC$3),"Date not in November",IF(D197="","Pick project",IF(ISNA(MATCH(D197,ProjNames,0)),"Project not in list",IF(G197="","Add task description",IF(H197="","Pick NTIME or P6",IF(N(I197)&lt;=0,"Enter hours",IF(AND(AllowOT&lt;&gt;"Yes",SUMIF($B$7:$B$256,B197,$I$7:$I$256)&gt;INDEX($O$58:$O$87,DAY(B197))),"Day over "&amp;INDEX($O$58:$O$87,DAY(B197))&amp;" h","✓")))))))))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tr">
        <f aca="false">IF(Projects!B195="","",Projects!B195)</f>
        <v/>
      </c>
      <c r="X197" s="1" t="n">
        <f aca="false">IF(W197="",0,SUMIFS($I$7:$I$256,$D$7:$D$256,W197,$H$7:$H$256,"NTIME"))</f>
        <v>0</v>
      </c>
      <c r="Y197" s="1" t="n">
        <f aca="false">IF(W197="",0,SUMIFS($I$7:$I$256,$D$7:$D$256,W197,$H$7:$H$256,"P6"))</f>
        <v>0</v>
      </c>
      <c r="Z197" s="1" t="n">
        <f aca="false">X197+Y197</f>
        <v>0</v>
      </c>
      <c r="AA197" s="1" t="n">
        <f aca="false">IF(Z197&gt;0,Z197+(201-191)/10^6,0)</f>
        <v>0</v>
      </c>
      <c r="AB197" s="1"/>
      <c r="AC197" s="1"/>
      <c r="AD197" s="1"/>
      <c r="AE197" s="1"/>
      <c r="AF197" s="1"/>
      <c r="AG197" s="1"/>
      <c r="AH197" s="1"/>
    </row>
    <row r="198" customFormat="false" ht="15" hidden="false" customHeight="false" outlineLevel="0" collapsed="false">
      <c r="A198" s="1"/>
      <c r="B198" s="10"/>
      <c r="C198" s="31" t="str">
        <f aca="false">IF(B198="","",TEXT(B198,"ddd"))</f>
        <v/>
      </c>
      <c r="D198" s="11"/>
      <c r="E198" s="8" t="str">
        <f aca="false">IF(D198="","",IFERROR(INDEX(ProjNumbers,MATCH(D198,ProjNames,0)),""))</f>
        <v/>
      </c>
      <c r="F198" s="8" t="str">
        <f aca="false">IF(D198="","",IFERROR(INDEX(ProjCodes,MATCH(D198,ProjNames,0)),""))</f>
        <v/>
      </c>
      <c r="G198" s="32"/>
      <c r="H198" s="11"/>
      <c r="I198" s="33"/>
      <c r="J198" s="8" t="str">
        <f aca="false">IF(COUNTA(B198,D198,G198,H198,I198)=0,"",IF(B198="","Enter date",IF(OR(B198&lt;$AC$2,B198&gt;$AC$3),"Date not in November",IF(D198="","Pick project",IF(ISNA(MATCH(D198,ProjNames,0)),"Project not in list",IF(G198="","Add task description",IF(H198="","Pick NTIME or P6",IF(N(I198)&lt;=0,"Enter hours",IF(AND(AllowOT&lt;&gt;"Yes",SUMIF($B$7:$B$256,B198,$I$7:$I$256)&gt;INDEX($O$58:$O$87,DAY(B198))),"Day over "&amp;INDEX($O$58:$O$87,DAY(B198))&amp;" h","✓")))))))))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tr">
        <f aca="false">IF(Projects!B196="","",Projects!B196)</f>
        <v/>
      </c>
      <c r="X198" s="1" t="n">
        <f aca="false">IF(W198="",0,SUMIFS($I$7:$I$256,$D$7:$D$256,W198,$H$7:$H$256,"NTIME"))</f>
        <v>0</v>
      </c>
      <c r="Y198" s="1" t="n">
        <f aca="false">IF(W198="",0,SUMIFS($I$7:$I$256,$D$7:$D$256,W198,$H$7:$H$256,"P6"))</f>
        <v>0</v>
      </c>
      <c r="Z198" s="1" t="n">
        <f aca="false">X198+Y198</f>
        <v>0</v>
      </c>
      <c r="AA198" s="1" t="n">
        <f aca="false">IF(Z198&gt;0,Z198+(201-192)/10^6,0)</f>
        <v>0</v>
      </c>
      <c r="AB198" s="1"/>
      <c r="AC198" s="1"/>
      <c r="AD198" s="1"/>
      <c r="AE198" s="1"/>
      <c r="AF198" s="1"/>
      <c r="AG198" s="1"/>
      <c r="AH198" s="1"/>
    </row>
    <row r="199" customFormat="false" ht="15" hidden="false" customHeight="false" outlineLevel="0" collapsed="false">
      <c r="A199" s="1"/>
      <c r="B199" s="10"/>
      <c r="C199" s="31" t="str">
        <f aca="false">IF(B199="","",TEXT(B199,"ddd"))</f>
        <v/>
      </c>
      <c r="D199" s="11"/>
      <c r="E199" s="8" t="str">
        <f aca="false">IF(D199="","",IFERROR(INDEX(ProjNumbers,MATCH(D199,ProjNames,0)),""))</f>
        <v/>
      </c>
      <c r="F199" s="8" t="str">
        <f aca="false">IF(D199="","",IFERROR(INDEX(ProjCodes,MATCH(D199,ProjNames,0)),""))</f>
        <v/>
      </c>
      <c r="G199" s="32"/>
      <c r="H199" s="11"/>
      <c r="I199" s="33"/>
      <c r="J199" s="8" t="str">
        <f aca="false">IF(COUNTA(B199,D199,G199,H199,I199)=0,"",IF(B199="","Enter date",IF(OR(B199&lt;$AC$2,B199&gt;$AC$3),"Date not in November",IF(D199="","Pick project",IF(ISNA(MATCH(D199,ProjNames,0)),"Project not in list",IF(G199="","Add task description",IF(H199="","Pick NTIME or P6",IF(N(I199)&lt;=0,"Enter hours",IF(AND(AllowOT&lt;&gt;"Yes",SUMIF($B$7:$B$256,B199,$I$7:$I$256)&gt;INDEX($O$58:$O$87,DAY(B199))),"Day over "&amp;INDEX($O$58:$O$87,DAY(B199))&amp;" h","✓")))))))))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tr">
        <f aca="false">IF(Projects!B197="","",Projects!B197)</f>
        <v/>
      </c>
      <c r="X199" s="1" t="n">
        <f aca="false">IF(W199="",0,SUMIFS($I$7:$I$256,$D$7:$D$256,W199,$H$7:$H$256,"NTIME"))</f>
        <v>0</v>
      </c>
      <c r="Y199" s="1" t="n">
        <f aca="false">IF(W199="",0,SUMIFS($I$7:$I$256,$D$7:$D$256,W199,$H$7:$H$256,"P6"))</f>
        <v>0</v>
      </c>
      <c r="Z199" s="1" t="n">
        <f aca="false">X199+Y199</f>
        <v>0</v>
      </c>
      <c r="AA199" s="1" t="n">
        <f aca="false">IF(Z199&gt;0,Z199+(201-193)/10^6,0)</f>
        <v>0</v>
      </c>
      <c r="AB199" s="1"/>
      <c r="AC199" s="1"/>
      <c r="AD199" s="1"/>
      <c r="AE199" s="1"/>
      <c r="AF199" s="1"/>
      <c r="AG199" s="1"/>
      <c r="AH199" s="1"/>
    </row>
    <row r="200" customFormat="false" ht="15" hidden="false" customHeight="false" outlineLevel="0" collapsed="false">
      <c r="A200" s="1"/>
      <c r="B200" s="10"/>
      <c r="C200" s="31" t="str">
        <f aca="false">IF(B200="","",TEXT(B200,"ddd"))</f>
        <v/>
      </c>
      <c r="D200" s="11"/>
      <c r="E200" s="8" t="str">
        <f aca="false">IF(D200="","",IFERROR(INDEX(ProjNumbers,MATCH(D200,ProjNames,0)),""))</f>
        <v/>
      </c>
      <c r="F200" s="8" t="str">
        <f aca="false">IF(D200="","",IFERROR(INDEX(ProjCodes,MATCH(D200,ProjNames,0)),""))</f>
        <v/>
      </c>
      <c r="G200" s="32"/>
      <c r="H200" s="11"/>
      <c r="I200" s="33"/>
      <c r="J200" s="8" t="str">
        <f aca="false">IF(COUNTA(B200,D200,G200,H200,I200)=0,"",IF(B200="","Enter date",IF(OR(B200&lt;$AC$2,B200&gt;$AC$3),"Date not in November",IF(D200="","Pick project",IF(ISNA(MATCH(D200,ProjNames,0)),"Project not in list",IF(G200="","Add task description",IF(H200="","Pick NTIME or P6",IF(N(I200)&lt;=0,"Enter hours",IF(AND(AllowOT&lt;&gt;"Yes",SUMIF($B$7:$B$256,B200,$I$7:$I$256)&gt;INDEX($O$58:$O$87,DAY(B200))),"Day over "&amp;INDEX($O$58:$O$87,DAY(B200))&amp;" h","✓")))))))))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tr">
        <f aca="false">IF(Projects!B198="","",Projects!B198)</f>
        <v/>
      </c>
      <c r="X200" s="1" t="n">
        <f aca="false">IF(W200="",0,SUMIFS($I$7:$I$256,$D$7:$D$256,W200,$H$7:$H$256,"NTIME"))</f>
        <v>0</v>
      </c>
      <c r="Y200" s="1" t="n">
        <f aca="false">IF(W200="",0,SUMIFS($I$7:$I$256,$D$7:$D$256,W200,$H$7:$H$256,"P6"))</f>
        <v>0</v>
      </c>
      <c r="Z200" s="1" t="n">
        <f aca="false">X200+Y200</f>
        <v>0</v>
      </c>
      <c r="AA200" s="1" t="n">
        <f aca="false">IF(Z200&gt;0,Z200+(201-194)/10^6,0)</f>
        <v>0</v>
      </c>
      <c r="AB200" s="1"/>
      <c r="AC200" s="1"/>
      <c r="AD200" s="1"/>
      <c r="AE200" s="1"/>
      <c r="AF200" s="1"/>
      <c r="AG200" s="1"/>
      <c r="AH200" s="1"/>
    </row>
    <row r="201" customFormat="false" ht="15" hidden="false" customHeight="false" outlineLevel="0" collapsed="false">
      <c r="A201" s="1"/>
      <c r="B201" s="10"/>
      <c r="C201" s="31" t="str">
        <f aca="false">IF(B201="","",TEXT(B201,"ddd"))</f>
        <v/>
      </c>
      <c r="D201" s="11"/>
      <c r="E201" s="8" t="str">
        <f aca="false">IF(D201="","",IFERROR(INDEX(ProjNumbers,MATCH(D201,ProjNames,0)),""))</f>
        <v/>
      </c>
      <c r="F201" s="8" t="str">
        <f aca="false">IF(D201="","",IFERROR(INDEX(ProjCodes,MATCH(D201,ProjNames,0)),""))</f>
        <v/>
      </c>
      <c r="G201" s="32"/>
      <c r="H201" s="11"/>
      <c r="I201" s="33"/>
      <c r="J201" s="8" t="str">
        <f aca="false">IF(COUNTA(B201,D201,G201,H201,I201)=0,"",IF(B201="","Enter date",IF(OR(B201&lt;$AC$2,B201&gt;$AC$3),"Date not in November",IF(D201="","Pick project",IF(ISNA(MATCH(D201,ProjNames,0)),"Project not in list",IF(G201="","Add task description",IF(H201="","Pick NTIME or P6",IF(N(I201)&lt;=0,"Enter hours",IF(AND(AllowOT&lt;&gt;"Yes",SUMIF($B$7:$B$256,B201,$I$7:$I$256)&gt;INDEX($O$58:$O$87,DAY(B201))),"Day over "&amp;INDEX($O$58:$O$87,DAY(B201))&amp;" h","✓")))))))))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tr">
        <f aca="false">IF(Projects!B199="","",Projects!B199)</f>
        <v/>
      </c>
      <c r="X201" s="1" t="n">
        <f aca="false">IF(W201="",0,SUMIFS($I$7:$I$256,$D$7:$D$256,W201,$H$7:$H$256,"NTIME"))</f>
        <v>0</v>
      </c>
      <c r="Y201" s="1" t="n">
        <f aca="false">IF(W201="",0,SUMIFS($I$7:$I$256,$D$7:$D$256,W201,$H$7:$H$256,"P6"))</f>
        <v>0</v>
      </c>
      <c r="Z201" s="1" t="n">
        <f aca="false">X201+Y201</f>
        <v>0</v>
      </c>
      <c r="AA201" s="1" t="n">
        <f aca="false">IF(Z201&gt;0,Z201+(201-195)/10^6,0)</f>
        <v>0</v>
      </c>
      <c r="AB201" s="1"/>
      <c r="AC201" s="1"/>
      <c r="AD201" s="1"/>
      <c r="AE201" s="1"/>
      <c r="AF201" s="1"/>
      <c r="AG201" s="1"/>
      <c r="AH201" s="1"/>
    </row>
    <row r="202" customFormat="false" ht="15" hidden="false" customHeight="false" outlineLevel="0" collapsed="false">
      <c r="A202" s="1"/>
      <c r="B202" s="10"/>
      <c r="C202" s="31" t="str">
        <f aca="false">IF(B202="","",TEXT(B202,"ddd"))</f>
        <v/>
      </c>
      <c r="D202" s="11"/>
      <c r="E202" s="8" t="str">
        <f aca="false">IF(D202="","",IFERROR(INDEX(ProjNumbers,MATCH(D202,ProjNames,0)),""))</f>
        <v/>
      </c>
      <c r="F202" s="8" t="str">
        <f aca="false">IF(D202="","",IFERROR(INDEX(ProjCodes,MATCH(D202,ProjNames,0)),""))</f>
        <v/>
      </c>
      <c r="G202" s="32"/>
      <c r="H202" s="11"/>
      <c r="I202" s="33"/>
      <c r="J202" s="8" t="str">
        <f aca="false">IF(COUNTA(B202,D202,G202,H202,I202)=0,"",IF(B202="","Enter date",IF(OR(B202&lt;$AC$2,B202&gt;$AC$3),"Date not in November",IF(D202="","Pick project",IF(ISNA(MATCH(D202,ProjNames,0)),"Project not in list",IF(G202="","Add task description",IF(H202="","Pick NTIME or P6",IF(N(I202)&lt;=0,"Enter hours",IF(AND(AllowOT&lt;&gt;"Yes",SUMIF($B$7:$B$256,B202,$I$7:$I$256)&gt;INDEX($O$58:$O$87,DAY(B202))),"Day over "&amp;INDEX($O$58:$O$87,DAY(B202))&amp;" h","✓")))))))))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tr">
        <f aca="false">IF(Projects!B200="","",Projects!B200)</f>
        <v/>
      </c>
      <c r="X202" s="1" t="n">
        <f aca="false">IF(W202="",0,SUMIFS($I$7:$I$256,$D$7:$D$256,W202,$H$7:$H$256,"NTIME"))</f>
        <v>0</v>
      </c>
      <c r="Y202" s="1" t="n">
        <f aca="false">IF(W202="",0,SUMIFS($I$7:$I$256,$D$7:$D$256,W202,$H$7:$H$256,"P6"))</f>
        <v>0</v>
      </c>
      <c r="Z202" s="1" t="n">
        <f aca="false">X202+Y202</f>
        <v>0</v>
      </c>
      <c r="AA202" s="1" t="n">
        <f aca="false">IF(Z202&gt;0,Z202+(201-196)/10^6,0)</f>
        <v>0</v>
      </c>
      <c r="AB202" s="1"/>
      <c r="AC202" s="1"/>
      <c r="AD202" s="1"/>
      <c r="AE202" s="1"/>
      <c r="AF202" s="1"/>
      <c r="AG202" s="1"/>
      <c r="AH202" s="1"/>
    </row>
    <row r="203" customFormat="false" ht="15" hidden="false" customHeight="false" outlineLevel="0" collapsed="false">
      <c r="A203" s="1"/>
      <c r="B203" s="10"/>
      <c r="C203" s="31" t="str">
        <f aca="false">IF(B203="","",TEXT(B203,"ddd"))</f>
        <v/>
      </c>
      <c r="D203" s="11"/>
      <c r="E203" s="8" t="str">
        <f aca="false">IF(D203="","",IFERROR(INDEX(ProjNumbers,MATCH(D203,ProjNames,0)),""))</f>
        <v/>
      </c>
      <c r="F203" s="8" t="str">
        <f aca="false">IF(D203="","",IFERROR(INDEX(ProjCodes,MATCH(D203,ProjNames,0)),""))</f>
        <v/>
      </c>
      <c r="G203" s="32"/>
      <c r="H203" s="11"/>
      <c r="I203" s="33"/>
      <c r="J203" s="8" t="str">
        <f aca="false">IF(COUNTA(B203,D203,G203,H203,I203)=0,"",IF(B203="","Enter date",IF(OR(B203&lt;$AC$2,B203&gt;$AC$3),"Date not in November",IF(D203="","Pick project",IF(ISNA(MATCH(D203,ProjNames,0)),"Project not in list",IF(G203="","Add task description",IF(H203="","Pick NTIME or P6",IF(N(I203)&lt;=0,"Enter hours",IF(AND(AllowOT&lt;&gt;"Yes",SUMIF($B$7:$B$256,B203,$I$7:$I$256)&gt;INDEX($O$58:$O$87,DAY(B203))),"Day over "&amp;INDEX($O$58:$O$87,DAY(B203))&amp;" h","✓")))))))))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tr">
        <f aca="false">IF(Projects!B201="","",Projects!B201)</f>
        <v/>
      </c>
      <c r="X203" s="1" t="n">
        <f aca="false">IF(W203="",0,SUMIFS($I$7:$I$256,$D$7:$D$256,W203,$H$7:$H$256,"NTIME"))</f>
        <v>0</v>
      </c>
      <c r="Y203" s="1" t="n">
        <f aca="false">IF(W203="",0,SUMIFS($I$7:$I$256,$D$7:$D$256,W203,$H$7:$H$256,"P6"))</f>
        <v>0</v>
      </c>
      <c r="Z203" s="1" t="n">
        <f aca="false">X203+Y203</f>
        <v>0</v>
      </c>
      <c r="AA203" s="1" t="n">
        <f aca="false">IF(Z203&gt;0,Z203+(201-197)/10^6,0)</f>
        <v>0</v>
      </c>
      <c r="AB203" s="1"/>
      <c r="AC203" s="1"/>
      <c r="AD203" s="1"/>
      <c r="AE203" s="1"/>
      <c r="AF203" s="1"/>
      <c r="AG203" s="1"/>
      <c r="AH203" s="1"/>
    </row>
    <row r="204" customFormat="false" ht="15" hidden="false" customHeight="false" outlineLevel="0" collapsed="false">
      <c r="A204" s="1"/>
      <c r="B204" s="10"/>
      <c r="C204" s="31" t="str">
        <f aca="false">IF(B204="","",TEXT(B204,"ddd"))</f>
        <v/>
      </c>
      <c r="D204" s="11"/>
      <c r="E204" s="8" t="str">
        <f aca="false">IF(D204="","",IFERROR(INDEX(ProjNumbers,MATCH(D204,ProjNames,0)),""))</f>
        <v/>
      </c>
      <c r="F204" s="8" t="str">
        <f aca="false">IF(D204="","",IFERROR(INDEX(ProjCodes,MATCH(D204,ProjNames,0)),""))</f>
        <v/>
      </c>
      <c r="G204" s="32"/>
      <c r="H204" s="11"/>
      <c r="I204" s="33"/>
      <c r="J204" s="8" t="str">
        <f aca="false">IF(COUNTA(B204,D204,G204,H204,I204)=0,"",IF(B204="","Enter date",IF(OR(B204&lt;$AC$2,B204&gt;$AC$3),"Date not in November",IF(D204="","Pick project",IF(ISNA(MATCH(D204,ProjNames,0)),"Project not in list",IF(G204="","Add task description",IF(H204="","Pick NTIME or P6",IF(N(I204)&lt;=0,"Enter hours",IF(AND(AllowOT&lt;&gt;"Yes",SUMIF($B$7:$B$256,B204,$I$7:$I$256)&gt;INDEX($O$58:$O$87,DAY(B204))),"Day over "&amp;INDEX($O$58:$O$87,DAY(B204))&amp;" h","✓")))))))))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tr">
        <f aca="false">IF(Projects!B202="","",Projects!B202)</f>
        <v/>
      </c>
      <c r="X204" s="1" t="n">
        <f aca="false">IF(W204="",0,SUMIFS($I$7:$I$256,$D$7:$D$256,W204,$H$7:$H$256,"NTIME"))</f>
        <v>0</v>
      </c>
      <c r="Y204" s="1" t="n">
        <f aca="false">IF(W204="",0,SUMIFS($I$7:$I$256,$D$7:$D$256,W204,$H$7:$H$256,"P6"))</f>
        <v>0</v>
      </c>
      <c r="Z204" s="1" t="n">
        <f aca="false">X204+Y204</f>
        <v>0</v>
      </c>
      <c r="AA204" s="1" t="n">
        <f aca="false">IF(Z204&gt;0,Z204+(201-198)/10^6,0)</f>
        <v>0</v>
      </c>
      <c r="AB204" s="1"/>
      <c r="AC204" s="1"/>
      <c r="AD204" s="1"/>
      <c r="AE204" s="1"/>
      <c r="AF204" s="1"/>
      <c r="AG204" s="1"/>
      <c r="AH204" s="1"/>
    </row>
    <row r="205" customFormat="false" ht="15" hidden="false" customHeight="false" outlineLevel="0" collapsed="false">
      <c r="A205" s="1"/>
      <c r="B205" s="10"/>
      <c r="C205" s="31" t="str">
        <f aca="false">IF(B205="","",TEXT(B205,"ddd"))</f>
        <v/>
      </c>
      <c r="D205" s="11"/>
      <c r="E205" s="8" t="str">
        <f aca="false">IF(D205="","",IFERROR(INDEX(ProjNumbers,MATCH(D205,ProjNames,0)),""))</f>
        <v/>
      </c>
      <c r="F205" s="8" t="str">
        <f aca="false">IF(D205="","",IFERROR(INDEX(ProjCodes,MATCH(D205,ProjNames,0)),""))</f>
        <v/>
      </c>
      <c r="G205" s="32"/>
      <c r="H205" s="11"/>
      <c r="I205" s="33"/>
      <c r="J205" s="8" t="str">
        <f aca="false">IF(COUNTA(B205,D205,G205,H205,I205)=0,"",IF(B205="","Enter date",IF(OR(B205&lt;$AC$2,B205&gt;$AC$3),"Date not in November",IF(D205="","Pick project",IF(ISNA(MATCH(D205,ProjNames,0)),"Project not in list",IF(G205="","Add task description",IF(H205="","Pick NTIME or P6",IF(N(I205)&lt;=0,"Enter hours",IF(AND(AllowOT&lt;&gt;"Yes",SUMIF($B$7:$B$256,B205,$I$7:$I$256)&gt;INDEX($O$58:$O$87,DAY(B205))),"Day over "&amp;INDEX($O$58:$O$87,DAY(B205))&amp;" h","✓")))))))))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tr">
        <f aca="false">IF(Projects!B203="","",Projects!B203)</f>
        <v/>
      </c>
      <c r="X205" s="1" t="n">
        <f aca="false">IF(W205="",0,SUMIFS($I$7:$I$256,$D$7:$D$256,W205,$H$7:$H$256,"NTIME"))</f>
        <v>0</v>
      </c>
      <c r="Y205" s="1" t="n">
        <f aca="false">IF(W205="",0,SUMIFS($I$7:$I$256,$D$7:$D$256,W205,$H$7:$H$256,"P6"))</f>
        <v>0</v>
      </c>
      <c r="Z205" s="1" t="n">
        <f aca="false">X205+Y205</f>
        <v>0</v>
      </c>
      <c r="AA205" s="1" t="n">
        <f aca="false">IF(Z205&gt;0,Z205+(201-199)/10^6,0)</f>
        <v>0</v>
      </c>
      <c r="AB205" s="1"/>
      <c r="AC205" s="1"/>
      <c r="AD205" s="1"/>
      <c r="AE205" s="1"/>
      <c r="AF205" s="1"/>
      <c r="AG205" s="1"/>
      <c r="AH205" s="1"/>
    </row>
    <row r="206" customFormat="false" ht="15" hidden="false" customHeight="false" outlineLevel="0" collapsed="false">
      <c r="A206" s="1"/>
      <c r="B206" s="10"/>
      <c r="C206" s="31" t="str">
        <f aca="false">IF(B206="","",TEXT(B206,"ddd"))</f>
        <v/>
      </c>
      <c r="D206" s="11"/>
      <c r="E206" s="8" t="str">
        <f aca="false">IF(D206="","",IFERROR(INDEX(ProjNumbers,MATCH(D206,ProjNames,0)),""))</f>
        <v/>
      </c>
      <c r="F206" s="8" t="str">
        <f aca="false">IF(D206="","",IFERROR(INDEX(ProjCodes,MATCH(D206,ProjNames,0)),""))</f>
        <v/>
      </c>
      <c r="G206" s="32"/>
      <c r="H206" s="11"/>
      <c r="I206" s="33"/>
      <c r="J206" s="8" t="str">
        <f aca="false">IF(COUNTA(B206,D206,G206,H206,I206)=0,"",IF(B206="","Enter date",IF(OR(B206&lt;$AC$2,B206&gt;$AC$3),"Date not in November",IF(D206="","Pick project",IF(ISNA(MATCH(D206,ProjNames,0)),"Project not in list",IF(G206="","Add task description",IF(H206="","Pick NTIME or P6",IF(N(I206)&lt;=0,"Enter hours",IF(AND(AllowOT&lt;&gt;"Yes",SUMIF($B$7:$B$256,B206,$I$7:$I$256)&gt;INDEX($O$58:$O$87,DAY(B206))),"Day over "&amp;INDEX($O$58:$O$87,DAY(B206))&amp;" h","✓")))))))))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tr">
        <f aca="false">IF(Projects!B204="","",Projects!B204)</f>
        <v/>
      </c>
      <c r="X206" s="1" t="n">
        <f aca="false">IF(W206="",0,SUMIFS($I$7:$I$256,$D$7:$D$256,W206,$H$7:$H$256,"NTIME"))</f>
        <v>0</v>
      </c>
      <c r="Y206" s="1" t="n">
        <f aca="false">IF(W206="",0,SUMIFS($I$7:$I$256,$D$7:$D$256,W206,$H$7:$H$256,"P6"))</f>
        <v>0</v>
      </c>
      <c r="Z206" s="1" t="n">
        <f aca="false">X206+Y206</f>
        <v>0</v>
      </c>
      <c r="AA206" s="1" t="n">
        <f aca="false">IF(Z206&gt;0,Z206+(201-200)/10^6,0)</f>
        <v>0</v>
      </c>
      <c r="AB206" s="1"/>
      <c r="AC206" s="1"/>
      <c r="AD206" s="1"/>
      <c r="AE206" s="1"/>
      <c r="AF206" s="1"/>
      <c r="AG206" s="1"/>
      <c r="AH206" s="1"/>
    </row>
    <row r="207" customFormat="false" ht="15" hidden="false" customHeight="false" outlineLevel="0" collapsed="false">
      <c r="A207" s="1"/>
      <c r="B207" s="10"/>
      <c r="C207" s="31" t="str">
        <f aca="false">IF(B207="","",TEXT(B207,"ddd"))</f>
        <v/>
      </c>
      <c r="D207" s="11"/>
      <c r="E207" s="8" t="str">
        <f aca="false">IF(D207="","",IFERROR(INDEX(ProjNumbers,MATCH(D207,ProjNames,0)),""))</f>
        <v/>
      </c>
      <c r="F207" s="8" t="str">
        <f aca="false">IF(D207="","",IFERROR(INDEX(ProjCodes,MATCH(D207,ProjNames,0)),""))</f>
        <v/>
      </c>
      <c r="G207" s="32"/>
      <c r="H207" s="11"/>
      <c r="I207" s="33"/>
      <c r="J207" s="8" t="str">
        <f aca="false">IF(COUNTA(B207,D207,G207,H207,I207)=0,"",IF(B207="","Enter date",IF(OR(B207&lt;$AC$2,B207&gt;$AC$3),"Date not in November",IF(D207="","Pick project",IF(ISNA(MATCH(D207,ProjNames,0)),"Project not in list",IF(G207="","Add task description",IF(H207="","Pick NTIME or P6",IF(N(I207)&lt;=0,"Enter hours",IF(AND(AllowOT&lt;&gt;"Yes",SUMIF($B$7:$B$256,B207,$I$7:$I$256)&gt;INDEX($O$58:$O$87,DAY(B207))),"Day over "&amp;INDEX($O$58:$O$87,DAY(B207))&amp;" h","✓")))))))))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5" hidden="false" customHeight="false" outlineLevel="0" collapsed="false">
      <c r="A208" s="1"/>
      <c r="B208" s="10"/>
      <c r="C208" s="31" t="str">
        <f aca="false">IF(B208="","",TEXT(B208,"ddd"))</f>
        <v/>
      </c>
      <c r="D208" s="11"/>
      <c r="E208" s="8" t="str">
        <f aca="false">IF(D208="","",IFERROR(INDEX(ProjNumbers,MATCH(D208,ProjNames,0)),""))</f>
        <v/>
      </c>
      <c r="F208" s="8" t="str">
        <f aca="false">IF(D208="","",IFERROR(INDEX(ProjCodes,MATCH(D208,ProjNames,0)),""))</f>
        <v/>
      </c>
      <c r="G208" s="32"/>
      <c r="H208" s="11"/>
      <c r="I208" s="33"/>
      <c r="J208" s="8" t="str">
        <f aca="false">IF(COUNTA(B208,D208,G208,H208,I208)=0,"",IF(B208="","Enter date",IF(OR(B208&lt;$AC$2,B208&gt;$AC$3),"Date not in November",IF(D208="","Pick project",IF(ISNA(MATCH(D208,ProjNames,0)),"Project not in list",IF(G208="","Add task description",IF(H208="","Pick NTIME or P6",IF(N(I208)&lt;=0,"Enter hours",IF(AND(AllowOT&lt;&gt;"Yes",SUMIF($B$7:$B$256,B208,$I$7:$I$256)&gt;INDEX($O$58:$O$87,DAY(B208))),"Day over "&amp;INDEX($O$58:$O$87,DAY(B208))&amp;" h","✓")))))))))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5" hidden="false" customHeight="false" outlineLevel="0" collapsed="false">
      <c r="A209" s="1"/>
      <c r="B209" s="10"/>
      <c r="C209" s="31" t="str">
        <f aca="false">IF(B209="","",TEXT(B209,"ddd"))</f>
        <v/>
      </c>
      <c r="D209" s="11"/>
      <c r="E209" s="8" t="str">
        <f aca="false">IF(D209="","",IFERROR(INDEX(ProjNumbers,MATCH(D209,ProjNames,0)),""))</f>
        <v/>
      </c>
      <c r="F209" s="8" t="str">
        <f aca="false">IF(D209="","",IFERROR(INDEX(ProjCodes,MATCH(D209,ProjNames,0)),""))</f>
        <v/>
      </c>
      <c r="G209" s="32"/>
      <c r="H209" s="11"/>
      <c r="I209" s="33"/>
      <c r="J209" s="8" t="str">
        <f aca="false">IF(COUNTA(B209,D209,G209,H209,I209)=0,"",IF(B209="","Enter date",IF(OR(B209&lt;$AC$2,B209&gt;$AC$3),"Date not in November",IF(D209="","Pick project",IF(ISNA(MATCH(D209,ProjNames,0)),"Project not in list",IF(G209="","Add task description",IF(H209="","Pick NTIME or P6",IF(N(I209)&lt;=0,"Enter hours",IF(AND(AllowOT&lt;&gt;"Yes",SUMIF($B$7:$B$256,B209,$I$7:$I$256)&gt;INDEX($O$58:$O$87,DAY(B209))),"Day over "&amp;INDEX($O$58:$O$87,DAY(B209))&amp;" h","✓")))))))))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5" hidden="false" customHeight="false" outlineLevel="0" collapsed="false">
      <c r="A210" s="1"/>
      <c r="B210" s="10"/>
      <c r="C210" s="31" t="str">
        <f aca="false">IF(B210="","",TEXT(B210,"ddd"))</f>
        <v/>
      </c>
      <c r="D210" s="11"/>
      <c r="E210" s="8" t="str">
        <f aca="false">IF(D210="","",IFERROR(INDEX(ProjNumbers,MATCH(D210,ProjNames,0)),""))</f>
        <v/>
      </c>
      <c r="F210" s="8" t="str">
        <f aca="false">IF(D210="","",IFERROR(INDEX(ProjCodes,MATCH(D210,ProjNames,0)),""))</f>
        <v/>
      </c>
      <c r="G210" s="32"/>
      <c r="H210" s="11"/>
      <c r="I210" s="33"/>
      <c r="J210" s="8" t="str">
        <f aca="false">IF(COUNTA(B210,D210,G210,H210,I210)=0,"",IF(B210="","Enter date",IF(OR(B210&lt;$AC$2,B210&gt;$AC$3),"Date not in November",IF(D210="","Pick project",IF(ISNA(MATCH(D210,ProjNames,0)),"Project not in list",IF(G210="","Add task description",IF(H210="","Pick NTIME or P6",IF(N(I210)&lt;=0,"Enter hours",IF(AND(AllowOT&lt;&gt;"Yes",SUMIF($B$7:$B$256,B210,$I$7:$I$256)&gt;INDEX($O$58:$O$87,DAY(B210))),"Day over "&amp;INDEX($O$58:$O$87,DAY(B210))&amp;" h","✓")))))))))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5" hidden="false" customHeight="false" outlineLevel="0" collapsed="false">
      <c r="A211" s="1"/>
      <c r="B211" s="10"/>
      <c r="C211" s="31" t="str">
        <f aca="false">IF(B211="","",TEXT(B211,"ddd"))</f>
        <v/>
      </c>
      <c r="D211" s="11"/>
      <c r="E211" s="8" t="str">
        <f aca="false">IF(D211="","",IFERROR(INDEX(ProjNumbers,MATCH(D211,ProjNames,0)),""))</f>
        <v/>
      </c>
      <c r="F211" s="8" t="str">
        <f aca="false">IF(D211="","",IFERROR(INDEX(ProjCodes,MATCH(D211,ProjNames,0)),""))</f>
        <v/>
      </c>
      <c r="G211" s="32"/>
      <c r="H211" s="11"/>
      <c r="I211" s="33"/>
      <c r="J211" s="8" t="str">
        <f aca="false">IF(COUNTA(B211,D211,G211,H211,I211)=0,"",IF(B211="","Enter date",IF(OR(B211&lt;$AC$2,B211&gt;$AC$3),"Date not in November",IF(D211="","Pick project",IF(ISNA(MATCH(D211,ProjNames,0)),"Project not in list",IF(G211="","Add task description",IF(H211="","Pick NTIME or P6",IF(N(I211)&lt;=0,"Enter hours",IF(AND(AllowOT&lt;&gt;"Yes",SUMIF($B$7:$B$256,B211,$I$7:$I$256)&gt;INDEX($O$58:$O$87,DAY(B211))),"Day over "&amp;INDEX($O$58:$O$87,DAY(B211))&amp;" h","✓")))))))))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5" hidden="false" customHeight="false" outlineLevel="0" collapsed="false">
      <c r="A212" s="1"/>
      <c r="B212" s="10"/>
      <c r="C212" s="31" t="str">
        <f aca="false">IF(B212="","",TEXT(B212,"ddd"))</f>
        <v/>
      </c>
      <c r="D212" s="11"/>
      <c r="E212" s="8" t="str">
        <f aca="false">IF(D212="","",IFERROR(INDEX(ProjNumbers,MATCH(D212,ProjNames,0)),""))</f>
        <v/>
      </c>
      <c r="F212" s="8" t="str">
        <f aca="false">IF(D212="","",IFERROR(INDEX(ProjCodes,MATCH(D212,ProjNames,0)),""))</f>
        <v/>
      </c>
      <c r="G212" s="32"/>
      <c r="H212" s="11"/>
      <c r="I212" s="33"/>
      <c r="J212" s="8" t="str">
        <f aca="false">IF(COUNTA(B212,D212,G212,H212,I212)=0,"",IF(B212="","Enter date",IF(OR(B212&lt;$AC$2,B212&gt;$AC$3),"Date not in November",IF(D212="","Pick project",IF(ISNA(MATCH(D212,ProjNames,0)),"Project not in list",IF(G212="","Add task description",IF(H212="","Pick NTIME or P6",IF(N(I212)&lt;=0,"Enter hours",IF(AND(AllowOT&lt;&gt;"Yes",SUMIF($B$7:$B$256,B212,$I$7:$I$256)&gt;INDEX($O$58:$O$87,DAY(B212))),"Day over "&amp;INDEX($O$58:$O$87,DAY(B212))&amp;" h","✓")))))))))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5" hidden="false" customHeight="false" outlineLevel="0" collapsed="false">
      <c r="A213" s="1"/>
      <c r="B213" s="10"/>
      <c r="C213" s="31" t="str">
        <f aca="false">IF(B213="","",TEXT(B213,"ddd"))</f>
        <v/>
      </c>
      <c r="D213" s="11"/>
      <c r="E213" s="8" t="str">
        <f aca="false">IF(D213="","",IFERROR(INDEX(ProjNumbers,MATCH(D213,ProjNames,0)),""))</f>
        <v/>
      </c>
      <c r="F213" s="8" t="str">
        <f aca="false">IF(D213="","",IFERROR(INDEX(ProjCodes,MATCH(D213,ProjNames,0)),""))</f>
        <v/>
      </c>
      <c r="G213" s="32"/>
      <c r="H213" s="11"/>
      <c r="I213" s="33"/>
      <c r="J213" s="8" t="str">
        <f aca="false">IF(COUNTA(B213,D213,G213,H213,I213)=0,"",IF(B213="","Enter date",IF(OR(B213&lt;$AC$2,B213&gt;$AC$3),"Date not in November",IF(D213="","Pick project",IF(ISNA(MATCH(D213,ProjNames,0)),"Project not in list",IF(G213="","Add task description",IF(H213="","Pick NTIME or P6",IF(N(I213)&lt;=0,"Enter hours",IF(AND(AllowOT&lt;&gt;"Yes",SUMIF($B$7:$B$256,B213,$I$7:$I$256)&gt;INDEX($O$58:$O$87,DAY(B213))),"Day over "&amp;INDEX($O$58:$O$87,DAY(B213))&amp;" h","✓")))))))))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5" hidden="false" customHeight="false" outlineLevel="0" collapsed="false">
      <c r="A214" s="1"/>
      <c r="B214" s="10"/>
      <c r="C214" s="31" t="str">
        <f aca="false">IF(B214="","",TEXT(B214,"ddd"))</f>
        <v/>
      </c>
      <c r="D214" s="11"/>
      <c r="E214" s="8" t="str">
        <f aca="false">IF(D214="","",IFERROR(INDEX(ProjNumbers,MATCH(D214,ProjNames,0)),""))</f>
        <v/>
      </c>
      <c r="F214" s="8" t="str">
        <f aca="false">IF(D214="","",IFERROR(INDEX(ProjCodes,MATCH(D214,ProjNames,0)),""))</f>
        <v/>
      </c>
      <c r="G214" s="32"/>
      <c r="H214" s="11"/>
      <c r="I214" s="33"/>
      <c r="J214" s="8" t="str">
        <f aca="false">IF(COUNTA(B214,D214,G214,H214,I214)=0,"",IF(B214="","Enter date",IF(OR(B214&lt;$AC$2,B214&gt;$AC$3),"Date not in November",IF(D214="","Pick project",IF(ISNA(MATCH(D214,ProjNames,0)),"Project not in list",IF(G214="","Add task description",IF(H214="","Pick NTIME or P6",IF(N(I214)&lt;=0,"Enter hours",IF(AND(AllowOT&lt;&gt;"Yes",SUMIF($B$7:$B$256,B214,$I$7:$I$256)&gt;INDEX($O$58:$O$87,DAY(B214))),"Day over "&amp;INDEX($O$58:$O$87,DAY(B214))&amp;" h","✓")))))))))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5" hidden="false" customHeight="false" outlineLevel="0" collapsed="false">
      <c r="A215" s="1"/>
      <c r="B215" s="10"/>
      <c r="C215" s="31" t="str">
        <f aca="false">IF(B215="","",TEXT(B215,"ddd"))</f>
        <v/>
      </c>
      <c r="D215" s="11"/>
      <c r="E215" s="8" t="str">
        <f aca="false">IF(D215="","",IFERROR(INDEX(ProjNumbers,MATCH(D215,ProjNames,0)),""))</f>
        <v/>
      </c>
      <c r="F215" s="8" t="str">
        <f aca="false">IF(D215="","",IFERROR(INDEX(ProjCodes,MATCH(D215,ProjNames,0)),""))</f>
        <v/>
      </c>
      <c r="G215" s="32"/>
      <c r="H215" s="11"/>
      <c r="I215" s="33"/>
      <c r="J215" s="8" t="str">
        <f aca="false">IF(COUNTA(B215,D215,G215,H215,I215)=0,"",IF(B215="","Enter date",IF(OR(B215&lt;$AC$2,B215&gt;$AC$3),"Date not in November",IF(D215="","Pick project",IF(ISNA(MATCH(D215,ProjNames,0)),"Project not in list",IF(G215="","Add task description",IF(H215="","Pick NTIME or P6",IF(N(I215)&lt;=0,"Enter hours",IF(AND(AllowOT&lt;&gt;"Yes",SUMIF($B$7:$B$256,B215,$I$7:$I$256)&gt;INDEX($O$58:$O$87,DAY(B215))),"Day over "&amp;INDEX($O$58:$O$87,DAY(B215))&amp;" h","✓")))))))))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5" hidden="false" customHeight="false" outlineLevel="0" collapsed="false">
      <c r="A216" s="1"/>
      <c r="B216" s="10"/>
      <c r="C216" s="31" t="str">
        <f aca="false">IF(B216="","",TEXT(B216,"ddd"))</f>
        <v/>
      </c>
      <c r="D216" s="11"/>
      <c r="E216" s="8" t="str">
        <f aca="false">IF(D216="","",IFERROR(INDEX(ProjNumbers,MATCH(D216,ProjNames,0)),""))</f>
        <v/>
      </c>
      <c r="F216" s="8" t="str">
        <f aca="false">IF(D216="","",IFERROR(INDEX(ProjCodes,MATCH(D216,ProjNames,0)),""))</f>
        <v/>
      </c>
      <c r="G216" s="32"/>
      <c r="H216" s="11"/>
      <c r="I216" s="33"/>
      <c r="J216" s="8" t="str">
        <f aca="false">IF(COUNTA(B216,D216,G216,H216,I216)=0,"",IF(B216="","Enter date",IF(OR(B216&lt;$AC$2,B216&gt;$AC$3),"Date not in November",IF(D216="","Pick project",IF(ISNA(MATCH(D216,ProjNames,0)),"Project not in list",IF(G216="","Add task description",IF(H216="","Pick NTIME or P6",IF(N(I216)&lt;=0,"Enter hours",IF(AND(AllowOT&lt;&gt;"Yes",SUMIF($B$7:$B$256,B216,$I$7:$I$256)&gt;INDEX($O$58:$O$87,DAY(B216))),"Day over "&amp;INDEX($O$58:$O$87,DAY(B216))&amp;" h","✓")))))))))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5" hidden="false" customHeight="false" outlineLevel="0" collapsed="false">
      <c r="A217" s="1"/>
      <c r="B217" s="10"/>
      <c r="C217" s="31" t="str">
        <f aca="false">IF(B217="","",TEXT(B217,"ddd"))</f>
        <v/>
      </c>
      <c r="D217" s="11"/>
      <c r="E217" s="8" t="str">
        <f aca="false">IF(D217="","",IFERROR(INDEX(ProjNumbers,MATCH(D217,ProjNames,0)),""))</f>
        <v/>
      </c>
      <c r="F217" s="8" t="str">
        <f aca="false">IF(D217="","",IFERROR(INDEX(ProjCodes,MATCH(D217,ProjNames,0)),""))</f>
        <v/>
      </c>
      <c r="G217" s="32"/>
      <c r="H217" s="11"/>
      <c r="I217" s="33"/>
      <c r="J217" s="8" t="str">
        <f aca="false">IF(COUNTA(B217,D217,G217,H217,I217)=0,"",IF(B217="","Enter date",IF(OR(B217&lt;$AC$2,B217&gt;$AC$3),"Date not in November",IF(D217="","Pick project",IF(ISNA(MATCH(D217,ProjNames,0)),"Project not in list",IF(G217="","Add task description",IF(H217="","Pick NTIME or P6",IF(N(I217)&lt;=0,"Enter hours",IF(AND(AllowOT&lt;&gt;"Yes",SUMIF($B$7:$B$256,B217,$I$7:$I$256)&gt;INDEX($O$58:$O$87,DAY(B217))),"Day over "&amp;INDEX($O$58:$O$87,DAY(B217))&amp;" h","✓")))))))))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5" hidden="false" customHeight="false" outlineLevel="0" collapsed="false">
      <c r="A218" s="1"/>
      <c r="B218" s="10"/>
      <c r="C218" s="31" t="str">
        <f aca="false">IF(B218="","",TEXT(B218,"ddd"))</f>
        <v/>
      </c>
      <c r="D218" s="11"/>
      <c r="E218" s="8" t="str">
        <f aca="false">IF(D218="","",IFERROR(INDEX(ProjNumbers,MATCH(D218,ProjNames,0)),""))</f>
        <v/>
      </c>
      <c r="F218" s="8" t="str">
        <f aca="false">IF(D218="","",IFERROR(INDEX(ProjCodes,MATCH(D218,ProjNames,0)),""))</f>
        <v/>
      </c>
      <c r="G218" s="32"/>
      <c r="H218" s="11"/>
      <c r="I218" s="33"/>
      <c r="J218" s="8" t="str">
        <f aca="false">IF(COUNTA(B218,D218,G218,H218,I218)=0,"",IF(B218="","Enter date",IF(OR(B218&lt;$AC$2,B218&gt;$AC$3),"Date not in November",IF(D218="","Pick project",IF(ISNA(MATCH(D218,ProjNames,0)),"Project not in list",IF(G218="","Add task description",IF(H218="","Pick NTIME or P6",IF(N(I218)&lt;=0,"Enter hours",IF(AND(AllowOT&lt;&gt;"Yes",SUMIF($B$7:$B$256,B218,$I$7:$I$256)&gt;INDEX($O$58:$O$87,DAY(B218))),"Day over "&amp;INDEX($O$58:$O$87,DAY(B218))&amp;" h","✓")))))))))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5" hidden="false" customHeight="false" outlineLevel="0" collapsed="false">
      <c r="A219" s="1"/>
      <c r="B219" s="10"/>
      <c r="C219" s="31" t="str">
        <f aca="false">IF(B219="","",TEXT(B219,"ddd"))</f>
        <v/>
      </c>
      <c r="D219" s="11"/>
      <c r="E219" s="8" t="str">
        <f aca="false">IF(D219="","",IFERROR(INDEX(ProjNumbers,MATCH(D219,ProjNames,0)),""))</f>
        <v/>
      </c>
      <c r="F219" s="8" t="str">
        <f aca="false">IF(D219="","",IFERROR(INDEX(ProjCodes,MATCH(D219,ProjNames,0)),""))</f>
        <v/>
      </c>
      <c r="G219" s="32"/>
      <c r="H219" s="11"/>
      <c r="I219" s="33"/>
      <c r="J219" s="8" t="str">
        <f aca="false">IF(COUNTA(B219,D219,G219,H219,I219)=0,"",IF(B219="","Enter date",IF(OR(B219&lt;$AC$2,B219&gt;$AC$3),"Date not in November",IF(D219="","Pick project",IF(ISNA(MATCH(D219,ProjNames,0)),"Project not in list",IF(G219="","Add task description",IF(H219="","Pick NTIME or P6",IF(N(I219)&lt;=0,"Enter hours",IF(AND(AllowOT&lt;&gt;"Yes",SUMIF($B$7:$B$256,B219,$I$7:$I$256)&gt;INDEX($O$58:$O$87,DAY(B219))),"Day over "&amp;INDEX($O$58:$O$87,DAY(B219))&amp;" h","✓")))))))))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5" hidden="false" customHeight="false" outlineLevel="0" collapsed="false">
      <c r="A220" s="1"/>
      <c r="B220" s="10"/>
      <c r="C220" s="31" t="str">
        <f aca="false">IF(B220="","",TEXT(B220,"ddd"))</f>
        <v/>
      </c>
      <c r="D220" s="11"/>
      <c r="E220" s="8" t="str">
        <f aca="false">IF(D220="","",IFERROR(INDEX(ProjNumbers,MATCH(D220,ProjNames,0)),""))</f>
        <v/>
      </c>
      <c r="F220" s="8" t="str">
        <f aca="false">IF(D220="","",IFERROR(INDEX(ProjCodes,MATCH(D220,ProjNames,0)),""))</f>
        <v/>
      </c>
      <c r="G220" s="32"/>
      <c r="H220" s="11"/>
      <c r="I220" s="33"/>
      <c r="J220" s="8" t="str">
        <f aca="false">IF(COUNTA(B220,D220,G220,H220,I220)=0,"",IF(B220="","Enter date",IF(OR(B220&lt;$AC$2,B220&gt;$AC$3),"Date not in November",IF(D220="","Pick project",IF(ISNA(MATCH(D220,ProjNames,0)),"Project not in list",IF(G220="","Add task description",IF(H220="","Pick NTIME or P6",IF(N(I220)&lt;=0,"Enter hours",IF(AND(AllowOT&lt;&gt;"Yes",SUMIF($B$7:$B$256,B220,$I$7:$I$256)&gt;INDEX($O$58:$O$87,DAY(B220))),"Day over "&amp;INDEX($O$58:$O$87,DAY(B220))&amp;" h","✓")))))))))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5" hidden="false" customHeight="false" outlineLevel="0" collapsed="false">
      <c r="A221" s="1"/>
      <c r="B221" s="10"/>
      <c r="C221" s="31" t="str">
        <f aca="false">IF(B221="","",TEXT(B221,"ddd"))</f>
        <v/>
      </c>
      <c r="D221" s="11"/>
      <c r="E221" s="8" t="str">
        <f aca="false">IF(D221="","",IFERROR(INDEX(ProjNumbers,MATCH(D221,ProjNames,0)),""))</f>
        <v/>
      </c>
      <c r="F221" s="8" t="str">
        <f aca="false">IF(D221="","",IFERROR(INDEX(ProjCodes,MATCH(D221,ProjNames,0)),""))</f>
        <v/>
      </c>
      <c r="G221" s="32"/>
      <c r="H221" s="11"/>
      <c r="I221" s="33"/>
      <c r="J221" s="8" t="str">
        <f aca="false">IF(COUNTA(B221,D221,G221,H221,I221)=0,"",IF(B221="","Enter date",IF(OR(B221&lt;$AC$2,B221&gt;$AC$3),"Date not in November",IF(D221="","Pick project",IF(ISNA(MATCH(D221,ProjNames,0)),"Project not in list",IF(G221="","Add task description",IF(H221="","Pick NTIME or P6",IF(N(I221)&lt;=0,"Enter hours",IF(AND(AllowOT&lt;&gt;"Yes",SUMIF($B$7:$B$256,B221,$I$7:$I$256)&gt;INDEX($O$58:$O$87,DAY(B221))),"Day over "&amp;INDEX($O$58:$O$87,DAY(B221))&amp;" h","✓")))))))))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5" hidden="false" customHeight="false" outlineLevel="0" collapsed="false">
      <c r="A222" s="1"/>
      <c r="B222" s="10"/>
      <c r="C222" s="31" t="str">
        <f aca="false">IF(B222="","",TEXT(B222,"ddd"))</f>
        <v/>
      </c>
      <c r="D222" s="11"/>
      <c r="E222" s="8" t="str">
        <f aca="false">IF(D222="","",IFERROR(INDEX(ProjNumbers,MATCH(D222,ProjNames,0)),""))</f>
        <v/>
      </c>
      <c r="F222" s="8" t="str">
        <f aca="false">IF(D222="","",IFERROR(INDEX(ProjCodes,MATCH(D222,ProjNames,0)),""))</f>
        <v/>
      </c>
      <c r="G222" s="32"/>
      <c r="H222" s="11"/>
      <c r="I222" s="33"/>
      <c r="J222" s="8" t="str">
        <f aca="false">IF(COUNTA(B222,D222,G222,H222,I222)=0,"",IF(B222="","Enter date",IF(OR(B222&lt;$AC$2,B222&gt;$AC$3),"Date not in November",IF(D222="","Pick project",IF(ISNA(MATCH(D222,ProjNames,0)),"Project not in list",IF(G222="","Add task description",IF(H222="","Pick NTIME or P6",IF(N(I222)&lt;=0,"Enter hours",IF(AND(AllowOT&lt;&gt;"Yes",SUMIF($B$7:$B$256,B222,$I$7:$I$256)&gt;INDEX($O$58:$O$87,DAY(B222))),"Day over "&amp;INDEX($O$58:$O$87,DAY(B222))&amp;" h","✓")))))))))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5" hidden="false" customHeight="false" outlineLevel="0" collapsed="false">
      <c r="A223" s="1"/>
      <c r="B223" s="10"/>
      <c r="C223" s="31" t="str">
        <f aca="false">IF(B223="","",TEXT(B223,"ddd"))</f>
        <v/>
      </c>
      <c r="D223" s="11"/>
      <c r="E223" s="8" t="str">
        <f aca="false">IF(D223="","",IFERROR(INDEX(ProjNumbers,MATCH(D223,ProjNames,0)),""))</f>
        <v/>
      </c>
      <c r="F223" s="8" t="str">
        <f aca="false">IF(D223="","",IFERROR(INDEX(ProjCodes,MATCH(D223,ProjNames,0)),""))</f>
        <v/>
      </c>
      <c r="G223" s="32"/>
      <c r="H223" s="11"/>
      <c r="I223" s="33"/>
      <c r="J223" s="8" t="str">
        <f aca="false">IF(COUNTA(B223,D223,G223,H223,I223)=0,"",IF(B223="","Enter date",IF(OR(B223&lt;$AC$2,B223&gt;$AC$3),"Date not in November",IF(D223="","Pick project",IF(ISNA(MATCH(D223,ProjNames,0)),"Project not in list",IF(G223="","Add task description",IF(H223="","Pick NTIME or P6",IF(N(I223)&lt;=0,"Enter hours",IF(AND(AllowOT&lt;&gt;"Yes",SUMIF($B$7:$B$256,B223,$I$7:$I$256)&gt;INDEX($O$58:$O$87,DAY(B223))),"Day over "&amp;INDEX($O$58:$O$87,DAY(B223))&amp;" h","✓")))))))))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5" hidden="false" customHeight="false" outlineLevel="0" collapsed="false">
      <c r="A224" s="1"/>
      <c r="B224" s="10"/>
      <c r="C224" s="31" t="str">
        <f aca="false">IF(B224="","",TEXT(B224,"ddd"))</f>
        <v/>
      </c>
      <c r="D224" s="11"/>
      <c r="E224" s="8" t="str">
        <f aca="false">IF(D224="","",IFERROR(INDEX(ProjNumbers,MATCH(D224,ProjNames,0)),""))</f>
        <v/>
      </c>
      <c r="F224" s="8" t="str">
        <f aca="false">IF(D224="","",IFERROR(INDEX(ProjCodes,MATCH(D224,ProjNames,0)),""))</f>
        <v/>
      </c>
      <c r="G224" s="32"/>
      <c r="H224" s="11"/>
      <c r="I224" s="33"/>
      <c r="J224" s="8" t="str">
        <f aca="false">IF(COUNTA(B224,D224,G224,H224,I224)=0,"",IF(B224="","Enter date",IF(OR(B224&lt;$AC$2,B224&gt;$AC$3),"Date not in November",IF(D224="","Pick project",IF(ISNA(MATCH(D224,ProjNames,0)),"Project not in list",IF(G224="","Add task description",IF(H224="","Pick NTIME or P6",IF(N(I224)&lt;=0,"Enter hours",IF(AND(AllowOT&lt;&gt;"Yes",SUMIF($B$7:$B$256,B224,$I$7:$I$256)&gt;INDEX($O$58:$O$87,DAY(B224))),"Day over "&amp;INDEX($O$58:$O$87,DAY(B224))&amp;" h","✓")))))))))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5" hidden="false" customHeight="false" outlineLevel="0" collapsed="false">
      <c r="A225" s="1"/>
      <c r="B225" s="10"/>
      <c r="C225" s="31" t="str">
        <f aca="false">IF(B225="","",TEXT(B225,"ddd"))</f>
        <v/>
      </c>
      <c r="D225" s="11"/>
      <c r="E225" s="8" t="str">
        <f aca="false">IF(D225="","",IFERROR(INDEX(ProjNumbers,MATCH(D225,ProjNames,0)),""))</f>
        <v/>
      </c>
      <c r="F225" s="8" t="str">
        <f aca="false">IF(D225="","",IFERROR(INDEX(ProjCodes,MATCH(D225,ProjNames,0)),""))</f>
        <v/>
      </c>
      <c r="G225" s="32"/>
      <c r="H225" s="11"/>
      <c r="I225" s="33"/>
      <c r="J225" s="8" t="str">
        <f aca="false">IF(COUNTA(B225,D225,G225,H225,I225)=0,"",IF(B225="","Enter date",IF(OR(B225&lt;$AC$2,B225&gt;$AC$3),"Date not in November",IF(D225="","Pick project",IF(ISNA(MATCH(D225,ProjNames,0)),"Project not in list",IF(G225="","Add task description",IF(H225="","Pick NTIME or P6",IF(N(I225)&lt;=0,"Enter hours",IF(AND(AllowOT&lt;&gt;"Yes",SUMIF($B$7:$B$256,B225,$I$7:$I$256)&gt;INDEX($O$58:$O$87,DAY(B225))),"Day over "&amp;INDEX($O$58:$O$87,DAY(B225))&amp;" h","✓")))))))))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5" hidden="false" customHeight="false" outlineLevel="0" collapsed="false">
      <c r="A226" s="1"/>
      <c r="B226" s="10"/>
      <c r="C226" s="31" t="str">
        <f aca="false">IF(B226="","",TEXT(B226,"ddd"))</f>
        <v/>
      </c>
      <c r="D226" s="11"/>
      <c r="E226" s="8" t="str">
        <f aca="false">IF(D226="","",IFERROR(INDEX(ProjNumbers,MATCH(D226,ProjNames,0)),""))</f>
        <v/>
      </c>
      <c r="F226" s="8" t="str">
        <f aca="false">IF(D226="","",IFERROR(INDEX(ProjCodes,MATCH(D226,ProjNames,0)),""))</f>
        <v/>
      </c>
      <c r="G226" s="32"/>
      <c r="H226" s="11"/>
      <c r="I226" s="33"/>
      <c r="J226" s="8" t="str">
        <f aca="false">IF(COUNTA(B226,D226,G226,H226,I226)=0,"",IF(B226="","Enter date",IF(OR(B226&lt;$AC$2,B226&gt;$AC$3),"Date not in November",IF(D226="","Pick project",IF(ISNA(MATCH(D226,ProjNames,0)),"Project not in list",IF(G226="","Add task description",IF(H226="","Pick NTIME or P6",IF(N(I226)&lt;=0,"Enter hours",IF(AND(AllowOT&lt;&gt;"Yes",SUMIF($B$7:$B$256,B226,$I$7:$I$256)&gt;INDEX($O$58:$O$87,DAY(B226))),"Day over "&amp;INDEX($O$58:$O$87,DAY(B226))&amp;" h","✓")))))))))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5" hidden="false" customHeight="false" outlineLevel="0" collapsed="false">
      <c r="A227" s="1"/>
      <c r="B227" s="10"/>
      <c r="C227" s="31" t="str">
        <f aca="false">IF(B227="","",TEXT(B227,"ddd"))</f>
        <v/>
      </c>
      <c r="D227" s="11"/>
      <c r="E227" s="8" t="str">
        <f aca="false">IF(D227="","",IFERROR(INDEX(ProjNumbers,MATCH(D227,ProjNames,0)),""))</f>
        <v/>
      </c>
      <c r="F227" s="8" t="str">
        <f aca="false">IF(D227="","",IFERROR(INDEX(ProjCodes,MATCH(D227,ProjNames,0)),""))</f>
        <v/>
      </c>
      <c r="G227" s="32"/>
      <c r="H227" s="11"/>
      <c r="I227" s="33"/>
      <c r="J227" s="8" t="str">
        <f aca="false">IF(COUNTA(B227,D227,G227,H227,I227)=0,"",IF(B227="","Enter date",IF(OR(B227&lt;$AC$2,B227&gt;$AC$3),"Date not in November",IF(D227="","Pick project",IF(ISNA(MATCH(D227,ProjNames,0)),"Project not in list",IF(G227="","Add task description",IF(H227="","Pick NTIME or P6",IF(N(I227)&lt;=0,"Enter hours",IF(AND(AllowOT&lt;&gt;"Yes",SUMIF($B$7:$B$256,B227,$I$7:$I$256)&gt;INDEX($O$58:$O$87,DAY(B227))),"Day over "&amp;INDEX($O$58:$O$87,DAY(B227))&amp;" h","✓")))))))))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5" hidden="false" customHeight="false" outlineLevel="0" collapsed="false">
      <c r="A228" s="1"/>
      <c r="B228" s="10"/>
      <c r="C228" s="31" t="str">
        <f aca="false">IF(B228="","",TEXT(B228,"ddd"))</f>
        <v/>
      </c>
      <c r="D228" s="11"/>
      <c r="E228" s="8" t="str">
        <f aca="false">IF(D228="","",IFERROR(INDEX(ProjNumbers,MATCH(D228,ProjNames,0)),""))</f>
        <v/>
      </c>
      <c r="F228" s="8" t="str">
        <f aca="false">IF(D228="","",IFERROR(INDEX(ProjCodes,MATCH(D228,ProjNames,0)),""))</f>
        <v/>
      </c>
      <c r="G228" s="32"/>
      <c r="H228" s="11"/>
      <c r="I228" s="33"/>
      <c r="J228" s="8" t="str">
        <f aca="false">IF(COUNTA(B228,D228,G228,H228,I228)=0,"",IF(B228="","Enter date",IF(OR(B228&lt;$AC$2,B228&gt;$AC$3),"Date not in November",IF(D228="","Pick project",IF(ISNA(MATCH(D228,ProjNames,0)),"Project not in list",IF(G228="","Add task description",IF(H228="","Pick NTIME or P6",IF(N(I228)&lt;=0,"Enter hours",IF(AND(AllowOT&lt;&gt;"Yes",SUMIF($B$7:$B$256,B228,$I$7:$I$256)&gt;INDEX($O$58:$O$87,DAY(B228))),"Day over "&amp;INDEX($O$58:$O$87,DAY(B228))&amp;" h","✓")))))))))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5" hidden="false" customHeight="false" outlineLevel="0" collapsed="false">
      <c r="A229" s="1"/>
      <c r="B229" s="10"/>
      <c r="C229" s="31" t="str">
        <f aca="false">IF(B229="","",TEXT(B229,"ddd"))</f>
        <v/>
      </c>
      <c r="D229" s="11"/>
      <c r="E229" s="8" t="str">
        <f aca="false">IF(D229="","",IFERROR(INDEX(ProjNumbers,MATCH(D229,ProjNames,0)),""))</f>
        <v/>
      </c>
      <c r="F229" s="8" t="str">
        <f aca="false">IF(D229="","",IFERROR(INDEX(ProjCodes,MATCH(D229,ProjNames,0)),""))</f>
        <v/>
      </c>
      <c r="G229" s="32"/>
      <c r="H229" s="11"/>
      <c r="I229" s="33"/>
      <c r="J229" s="8" t="str">
        <f aca="false">IF(COUNTA(B229,D229,G229,H229,I229)=0,"",IF(B229="","Enter date",IF(OR(B229&lt;$AC$2,B229&gt;$AC$3),"Date not in November",IF(D229="","Pick project",IF(ISNA(MATCH(D229,ProjNames,0)),"Project not in list",IF(G229="","Add task description",IF(H229="","Pick NTIME or P6",IF(N(I229)&lt;=0,"Enter hours",IF(AND(AllowOT&lt;&gt;"Yes",SUMIF($B$7:$B$256,B229,$I$7:$I$256)&gt;INDEX($O$58:$O$87,DAY(B229))),"Day over "&amp;INDEX($O$58:$O$87,DAY(B229))&amp;" h","✓")))))))))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5" hidden="false" customHeight="false" outlineLevel="0" collapsed="false">
      <c r="A230" s="1"/>
      <c r="B230" s="10"/>
      <c r="C230" s="31" t="str">
        <f aca="false">IF(B230="","",TEXT(B230,"ddd"))</f>
        <v/>
      </c>
      <c r="D230" s="11"/>
      <c r="E230" s="8" t="str">
        <f aca="false">IF(D230="","",IFERROR(INDEX(ProjNumbers,MATCH(D230,ProjNames,0)),""))</f>
        <v/>
      </c>
      <c r="F230" s="8" t="str">
        <f aca="false">IF(D230="","",IFERROR(INDEX(ProjCodes,MATCH(D230,ProjNames,0)),""))</f>
        <v/>
      </c>
      <c r="G230" s="32"/>
      <c r="H230" s="11"/>
      <c r="I230" s="33"/>
      <c r="J230" s="8" t="str">
        <f aca="false">IF(COUNTA(B230,D230,G230,H230,I230)=0,"",IF(B230="","Enter date",IF(OR(B230&lt;$AC$2,B230&gt;$AC$3),"Date not in November",IF(D230="","Pick project",IF(ISNA(MATCH(D230,ProjNames,0)),"Project not in list",IF(G230="","Add task description",IF(H230="","Pick NTIME or P6",IF(N(I230)&lt;=0,"Enter hours",IF(AND(AllowOT&lt;&gt;"Yes",SUMIF($B$7:$B$256,B230,$I$7:$I$256)&gt;INDEX($O$58:$O$87,DAY(B230))),"Day over "&amp;INDEX($O$58:$O$87,DAY(B230))&amp;" h","✓")))))))))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5" hidden="false" customHeight="false" outlineLevel="0" collapsed="false">
      <c r="A231" s="1"/>
      <c r="B231" s="10"/>
      <c r="C231" s="31" t="str">
        <f aca="false">IF(B231="","",TEXT(B231,"ddd"))</f>
        <v/>
      </c>
      <c r="D231" s="11"/>
      <c r="E231" s="8" t="str">
        <f aca="false">IF(D231="","",IFERROR(INDEX(ProjNumbers,MATCH(D231,ProjNames,0)),""))</f>
        <v/>
      </c>
      <c r="F231" s="8" t="str">
        <f aca="false">IF(D231="","",IFERROR(INDEX(ProjCodes,MATCH(D231,ProjNames,0)),""))</f>
        <v/>
      </c>
      <c r="G231" s="32"/>
      <c r="H231" s="11"/>
      <c r="I231" s="33"/>
      <c r="J231" s="8" t="str">
        <f aca="false">IF(COUNTA(B231,D231,G231,H231,I231)=0,"",IF(B231="","Enter date",IF(OR(B231&lt;$AC$2,B231&gt;$AC$3),"Date not in November",IF(D231="","Pick project",IF(ISNA(MATCH(D231,ProjNames,0)),"Project not in list",IF(G231="","Add task description",IF(H231="","Pick NTIME or P6",IF(N(I231)&lt;=0,"Enter hours",IF(AND(AllowOT&lt;&gt;"Yes",SUMIF($B$7:$B$256,B231,$I$7:$I$256)&gt;INDEX($O$58:$O$87,DAY(B231))),"Day over "&amp;INDEX($O$58:$O$87,DAY(B231))&amp;" h","✓")))))))))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5" hidden="false" customHeight="false" outlineLevel="0" collapsed="false">
      <c r="A232" s="1"/>
      <c r="B232" s="10"/>
      <c r="C232" s="31" t="str">
        <f aca="false">IF(B232="","",TEXT(B232,"ddd"))</f>
        <v/>
      </c>
      <c r="D232" s="11"/>
      <c r="E232" s="8" t="str">
        <f aca="false">IF(D232="","",IFERROR(INDEX(ProjNumbers,MATCH(D232,ProjNames,0)),""))</f>
        <v/>
      </c>
      <c r="F232" s="8" t="str">
        <f aca="false">IF(D232="","",IFERROR(INDEX(ProjCodes,MATCH(D232,ProjNames,0)),""))</f>
        <v/>
      </c>
      <c r="G232" s="32"/>
      <c r="H232" s="11"/>
      <c r="I232" s="33"/>
      <c r="J232" s="8" t="str">
        <f aca="false">IF(COUNTA(B232,D232,G232,H232,I232)=0,"",IF(B232="","Enter date",IF(OR(B232&lt;$AC$2,B232&gt;$AC$3),"Date not in November",IF(D232="","Pick project",IF(ISNA(MATCH(D232,ProjNames,0)),"Project not in list",IF(G232="","Add task description",IF(H232="","Pick NTIME or P6",IF(N(I232)&lt;=0,"Enter hours",IF(AND(AllowOT&lt;&gt;"Yes",SUMIF($B$7:$B$256,B232,$I$7:$I$256)&gt;INDEX($O$58:$O$87,DAY(B232))),"Day over "&amp;INDEX($O$58:$O$87,DAY(B232))&amp;" h","✓")))))))))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5" hidden="false" customHeight="false" outlineLevel="0" collapsed="false">
      <c r="A233" s="1"/>
      <c r="B233" s="10"/>
      <c r="C233" s="31" t="str">
        <f aca="false">IF(B233="","",TEXT(B233,"ddd"))</f>
        <v/>
      </c>
      <c r="D233" s="11"/>
      <c r="E233" s="8" t="str">
        <f aca="false">IF(D233="","",IFERROR(INDEX(ProjNumbers,MATCH(D233,ProjNames,0)),""))</f>
        <v/>
      </c>
      <c r="F233" s="8" t="str">
        <f aca="false">IF(D233="","",IFERROR(INDEX(ProjCodes,MATCH(D233,ProjNames,0)),""))</f>
        <v/>
      </c>
      <c r="G233" s="32"/>
      <c r="H233" s="11"/>
      <c r="I233" s="33"/>
      <c r="J233" s="8" t="str">
        <f aca="false">IF(COUNTA(B233,D233,G233,H233,I233)=0,"",IF(B233="","Enter date",IF(OR(B233&lt;$AC$2,B233&gt;$AC$3),"Date not in November",IF(D233="","Pick project",IF(ISNA(MATCH(D233,ProjNames,0)),"Project not in list",IF(G233="","Add task description",IF(H233="","Pick NTIME or P6",IF(N(I233)&lt;=0,"Enter hours",IF(AND(AllowOT&lt;&gt;"Yes",SUMIF($B$7:$B$256,B233,$I$7:$I$256)&gt;INDEX($O$58:$O$87,DAY(B233))),"Day over "&amp;INDEX($O$58:$O$87,DAY(B233))&amp;" h","✓")))))))))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5" hidden="false" customHeight="false" outlineLevel="0" collapsed="false">
      <c r="A234" s="1"/>
      <c r="B234" s="10"/>
      <c r="C234" s="31" t="str">
        <f aca="false">IF(B234="","",TEXT(B234,"ddd"))</f>
        <v/>
      </c>
      <c r="D234" s="11"/>
      <c r="E234" s="8" t="str">
        <f aca="false">IF(D234="","",IFERROR(INDEX(ProjNumbers,MATCH(D234,ProjNames,0)),""))</f>
        <v/>
      </c>
      <c r="F234" s="8" t="str">
        <f aca="false">IF(D234="","",IFERROR(INDEX(ProjCodes,MATCH(D234,ProjNames,0)),""))</f>
        <v/>
      </c>
      <c r="G234" s="32"/>
      <c r="H234" s="11"/>
      <c r="I234" s="33"/>
      <c r="J234" s="8" t="str">
        <f aca="false">IF(COUNTA(B234,D234,G234,H234,I234)=0,"",IF(B234="","Enter date",IF(OR(B234&lt;$AC$2,B234&gt;$AC$3),"Date not in November",IF(D234="","Pick project",IF(ISNA(MATCH(D234,ProjNames,0)),"Project not in list",IF(G234="","Add task description",IF(H234="","Pick NTIME or P6",IF(N(I234)&lt;=0,"Enter hours",IF(AND(AllowOT&lt;&gt;"Yes",SUMIF($B$7:$B$256,B234,$I$7:$I$256)&gt;INDEX($O$58:$O$87,DAY(B234))),"Day over "&amp;INDEX($O$58:$O$87,DAY(B234))&amp;" h","✓")))))))))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5" hidden="false" customHeight="false" outlineLevel="0" collapsed="false">
      <c r="A235" s="1"/>
      <c r="B235" s="10"/>
      <c r="C235" s="31" t="str">
        <f aca="false">IF(B235="","",TEXT(B235,"ddd"))</f>
        <v/>
      </c>
      <c r="D235" s="11"/>
      <c r="E235" s="8" t="str">
        <f aca="false">IF(D235="","",IFERROR(INDEX(ProjNumbers,MATCH(D235,ProjNames,0)),""))</f>
        <v/>
      </c>
      <c r="F235" s="8" t="str">
        <f aca="false">IF(D235="","",IFERROR(INDEX(ProjCodes,MATCH(D235,ProjNames,0)),""))</f>
        <v/>
      </c>
      <c r="G235" s="32"/>
      <c r="H235" s="11"/>
      <c r="I235" s="33"/>
      <c r="J235" s="8" t="str">
        <f aca="false">IF(COUNTA(B235,D235,G235,H235,I235)=0,"",IF(B235="","Enter date",IF(OR(B235&lt;$AC$2,B235&gt;$AC$3),"Date not in November",IF(D235="","Pick project",IF(ISNA(MATCH(D235,ProjNames,0)),"Project not in list",IF(G235="","Add task description",IF(H235="","Pick NTIME or P6",IF(N(I235)&lt;=0,"Enter hours",IF(AND(AllowOT&lt;&gt;"Yes",SUMIF($B$7:$B$256,B235,$I$7:$I$256)&gt;INDEX($O$58:$O$87,DAY(B235))),"Day over "&amp;INDEX($O$58:$O$87,DAY(B235))&amp;" h","✓")))))))))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5" hidden="false" customHeight="false" outlineLevel="0" collapsed="false">
      <c r="A236" s="1"/>
      <c r="B236" s="10"/>
      <c r="C236" s="31" t="str">
        <f aca="false">IF(B236="","",TEXT(B236,"ddd"))</f>
        <v/>
      </c>
      <c r="D236" s="11"/>
      <c r="E236" s="8" t="str">
        <f aca="false">IF(D236="","",IFERROR(INDEX(ProjNumbers,MATCH(D236,ProjNames,0)),""))</f>
        <v/>
      </c>
      <c r="F236" s="8" t="str">
        <f aca="false">IF(D236="","",IFERROR(INDEX(ProjCodes,MATCH(D236,ProjNames,0)),""))</f>
        <v/>
      </c>
      <c r="G236" s="32"/>
      <c r="H236" s="11"/>
      <c r="I236" s="33"/>
      <c r="J236" s="8" t="str">
        <f aca="false">IF(COUNTA(B236,D236,G236,H236,I236)=0,"",IF(B236="","Enter date",IF(OR(B236&lt;$AC$2,B236&gt;$AC$3),"Date not in November",IF(D236="","Pick project",IF(ISNA(MATCH(D236,ProjNames,0)),"Project not in list",IF(G236="","Add task description",IF(H236="","Pick NTIME or P6",IF(N(I236)&lt;=0,"Enter hours",IF(AND(AllowOT&lt;&gt;"Yes",SUMIF($B$7:$B$256,B236,$I$7:$I$256)&gt;INDEX($O$58:$O$87,DAY(B236))),"Day over "&amp;INDEX($O$58:$O$87,DAY(B236))&amp;" h","✓")))))))))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5" hidden="false" customHeight="false" outlineLevel="0" collapsed="false">
      <c r="A237" s="1"/>
      <c r="B237" s="10"/>
      <c r="C237" s="31" t="str">
        <f aca="false">IF(B237="","",TEXT(B237,"ddd"))</f>
        <v/>
      </c>
      <c r="D237" s="11"/>
      <c r="E237" s="8" t="str">
        <f aca="false">IF(D237="","",IFERROR(INDEX(ProjNumbers,MATCH(D237,ProjNames,0)),""))</f>
        <v/>
      </c>
      <c r="F237" s="8" t="str">
        <f aca="false">IF(D237="","",IFERROR(INDEX(ProjCodes,MATCH(D237,ProjNames,0)),""))</f>
        <v/>
      </c>
      <c r="G237" s="32"/>
      <c r="H237" s="11"/>
      <c r="I237" s="33"/>
      <c r="J237" s="8" t="str">
        <f aca="false">IF(COUNTA(B237,D237,G237,H237,I237)=0,"",IF(B237="","Enter date",IF(OR(B237&lt;$AC$2,B237&gt;$AC$3),"Date not in November",IF(D237="","Pick project",IF(ISNA(MATCH(D237,ProjNames,0)),"Project not in list",IF(G237="","Add task description",IF(H237="","Pick NTIME or P6",IF(N(I237)&lt;=0,"Enter hours",IF(AND(AllowOT&lt;&gt;"Yes",SUMIF($B$7:$B$256,B237,$I$7:$I$256)&gt;INDEX($O$58:$O$87,DAY(B237))),"Day over "&amp;INDEX($O$58:$O$87,DAY(B237))&amp;" h","✓")))))))))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5" hidden="false" customHeight="false" outlineLevel="0" collapsed="false">
      <c r="A238" s="1"/>
      <c r="B238" s="10"/>
      <c r="C238" s="31" t="str">
        <f aca="false">IF(B238="","",TEXT(B238,"ddd"))</f>
        <v/>
      </c>
      <c r="D238" s="11"/>
      <c r="E238" s="8" t="str">
        <f aca="false">IF(D238="","",IFERROR(INDEX(ProjNumbers,MATCH(D238,ProjNames,0)),""))</f>
        <v/>
      </c>
      <c r="F238" s="8" t="str">
        <f aca="false">IF(D238="","",IFERROR(INDEX(ProjCodes,MATCH(D238,ProjNames,0)),""))</f>
        <v/>
      </c>
      <c r="G238" s="32"/>
      <c r="H238" s="11"/>
      <c r="I238" s="33"/>
      <c r="J238" s="8" t="str">
        <f aca="false">IF(COUNTA(B238,D238,G238,H238,I238)=0,"",IF(B238="","Enter date",IF(OR(B238&lt;$AC$2,B238&gt;$AC$3),"Date not in November",IF(D238="","Pick project",IF(ISNA(MATCH(D238,ProjNames,0)),"Project not in list",IF(G238="","Add task description",IF(H238="","Pick NTIME or P6",IF(N(I238)&lt;=0,"Enter hours",IF(AND(AllowOT&lt;&gt;"Yes",SUMIF($B$7:$B$256,B238,$I$7:$I$256)&gt;INDEX($O$58:$O$87,DAY(B238))),"Day over "&amp;INDEX($O$58:$O$87,DAY(B238))&amp;" h","✓")))))))))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5" hidden="false" customHeight="false" outlineLevel="0" collapsed="false">
      <c r="A239" s="1"/>
      <c r="B239" s="10"/>
      <c r="C239" s="31" t="str">
        <f aca="false">IF(B239="","",TEXT(B239,"ddd"))</f>
        <v/>
      </c>
      <c r="D239" s="11"/>
      <c r="E239" s="8" t="str">
        <f aca="false">IF(D239="","",IFERROR(INDEX(ProjNumbers,MATCH(D239,ProjNames,0)),""))</f>
        <v/>
      </c>
      <c r="F239" s="8" t="str">
        <f aca="false">IF(D239="","",IFERROR(INDEX(ProjCodes,MATCH(D239,ProjNames,0)),""))</f>
        <v/>
      </c>
      <c r="G239" s="32"/>
      <c r="H239" s="11"/>
      <c r="I239" s="33"/>
      <c r="J239" s="8" t="str">
        <f aca="false">IF(COUNTA(B239,D239,G239,H239,I239)=0,"",IF(B239="","Enter date",IF(OR(B239&lt;$AC$2,B239&gt;$AC$3),"Date not in November",IF(D239="","Pick project",IF(ISNA(MATCH(D239,ProjNames,0)),"Project not in list",IF(G239="","Add task description",IF(H239="","Pick NTIME or P6",IF(N(I239)&lt;=0,"Enter hours",IF(AND(AllowOT&lt;&gt;"Yes",SUMIF($B$7:$B$256,B239,$I$7:$I$256)&gt;INDEX($O$58:$O$87,DAY(B239))),"Day over "&amp;INDEX($O$58:$O$87,DAY(B239))&amp;" h","✓")))))))))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5" hidden="false" customHeight="false" outlineLevel="0" collapsed="false">
      <c r="A240" s="1"/>
      <c r="B240" s="10"/>
      <c r="C240" s="31" t="str">
        <f aca="false">IF(B240="","",TEXT(B240,"ddd"))</f>
        <v/>
      </c>
      <c r="D240" s="11"/>
      <c r="E240" s="8" t="str">
        <f aca="false">IF(D240="","",IFERROR(INDEX(ProjNumbers,MATCH(D240,ProjNames,0)),""))</f>
        <v/>
      </c>
      <c r="F240" s="8" t="str">
        <f aca="false">IF(D240="","",IFERROR(INDEX(ProjCodes,MATCH(D240,ProjNames,0)),""))</f>
        <v/>
      </c>
      <c r="G240" s="32"/>
      <c r="H240" s="11"/>
      <c r="I240" s="33"/>
      <c r="J240" s="8" t="str">
        <f aca="false">IF(COUNTA(B240,D240,G240,H240,I240)=0,"",IF(B240="","Enter date",IF(OR(B240&lt;$AC$2,B240&gt;$AC$3),"Date not in November",IF(D240="","Pick project",IF(ISNA(MATCH(D240,ProjNames,0)),"Project not in list",IF(G240="","Add task description",IF(H240="","Pick NTIME or P6",IF(N(I240)&lt;=0,"Enter hours",IF(AND(AllowOT&lt;&gt;"Yes",SUMIF($B$7:$B$256,B240,$I$7:$I$256)&gt;INDEX($O$58:$O$87,DAY(B240))),"Day over "&amp;INDEX($O$58:$O$87,DAY(B240))&amp;" h","✓")))))))))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5" hidden="false" customHeight="false" outlineLevel="0" collapsed="false">
      <c r="A241" s="1"/>
      <c r="B241" s="10"/>
      <c r="C241" s="31" t="str">
        <f aca="false">IF(B241="","",TEXT(B241,"ddd"))</f>
        <v/>
      </c>
      <c r="D241" s="11"/>
      <c r="E241" s="8" t="str">
        <f aca="false">IF(D241="","",IFERROR(INDEX(ProjNumbers,MATCH(D241,ProjNames,0)),""))</f>
        <v/>
      </c>
      <c r="F241" s="8" t="str">
        <f aca="false">IF(D241="","",IFERROR(INDEX(ProjCodes,MATCH(D241,ProjNames,0)),""))</f>
        <v/>
      </c>
      <c r="G241" s="32"/>
      <c r="H241" s="11"/>
      <c r="I241" s="33"/>
      <c r="J241" s="8" t="str">
        <f aca="false">IF(COUNTA(B241,D241,G241,H241,I241)=0,"",IF(B241="","Enter date",IF(OR(B241&lt;$AC$2,B241&gt;$AC$3),"Date not in November",IF(D241="","Pick project",IF(ISNA(MATCH(D241,ProjNames,0)),"Project not in list",IF(G241="","Add task description",IF(H241="","Pick NTIME or P6",IF(N(I241)&lt;=0,"Enter hours",IF(AND(AllowOT&lt;&gt;"Yes",SUMIF($B$7:$B$256,B241,$I$7:$I$256)&gt;INDEX($O$58:$O$87,DAY(B241))),"Day over "&amp;INDEX($O$58:$O$87,DAY(B241))&amp;" h","✓")))))))))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5" hidden="false" customHeight="false" outlineLevel="0" collapsed="false">
      <c r="A242" s="1"/>
      <c r="B242" s="10"/>
      <c r="C242" s="31" t="str">
        <f aca="false">IF(B242="","",TEXT(B242,"ddd"))</f>
        <v/>
      </c>
      <c r="D242" s="11"/>
      <c r="E242" s="8" t="str">
        <f aca="false">IF(D242="","",IFERROR(INDEX(ProjNumbers,MATCH(D242,ProjNames,0)),""))</f>
        <v/>
      </c>
      <c r="F242" s="8" t="str">
        <f aca="false">IF(D242="","",IFERROR(INDEX(ProjCodes,MATCH(D242,ProjNames,0)),""))</f>
        <v/>
      </c>
      <c r="G242" s="32"/>
      <c r="H242" s="11"/>
      <c r="I242" s="33"/>
      <c r="J242" s="8" t="str">
        <f aca="false">IF(COUNTA(B242,D242,G242,H242,I242)=0,"",IF(B242="","Enter date",IF(OR(B242&lt;$AC$2,B242&gt;$AC$3),"Date not in November",IF(D242="","Pick project",IF(ISNA(MATCH(D242,ProjNames,0)),"Project not in list",IF(G242="","Add task description",IF(H242="","Pick NTIME or P6",IF(N(I242)&lt;=0,"Enter hours",IF(AND(AllowOT&lt;&gt;"Yes",SUMIF($B$7:$B$256,B242,$I$7:$I$256)&gt;INDEX($O$58:$O$87,DAY(B242))),"Day over "&amp;INDEX($O$58:$O$87,DAY(B242))&amp;" h","✓")))))))))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5" hidden="false" customHeight="false" outlineLevel="0" collapsed="false">
      <c r="A243" s="1"/>
      <c r="B243" s="10"/>
      <c r="C243" s="31" t="str">
        <f aca="false">IF(B243="","",TEXT(B243,"ddd"))</f>
        <v/>
      </c>
      <c r="D243" s="11"/>
      <c r="E243" s="8" t="str">
        <f aca="false">IF(D243="","",IFERROR(INDEX(ProjNumbers,MATCH(D243,ProjNames,0)),""))</f>
        <v/>
      </c>
      <c r="F243" s="8" t="str">
        <f aca="false">IF(D243="","",IFERROR(INDEX(ProjCodes,MATCH(D243,ProjNames,0)),""))</f>
        <v/>
      </c>
      <c r="G243" s="32"/>
      <c r="H243" s="11"/>
      <c r="I243" s="33"/>
      <c r="J243" s="8" t="str">
        <f aca="false">IF(COUNTA(B243,D243,G243,H243,I243)=0,"",IF(B243="","Enter date",IF(OR(B243&lt;$AC$2,B243&gt;$AC$3),"Date not in November",IF(D243="","Pick project",IF(ISNA(MATCH(D243,ProjNames,0)),"Project not in list",IF(G243="","Add task description",IF(H243="","Pick NTIME or P6",IF(N(I243)&lt;=0,"Enter hours",IF(AND(AllowOT&lt;&gt;"Yes",SUMIF($B$7:$B$256,B243,$I$7:$I$256)&gt;INDEX($O$58:$O$87,DAY(B243))),"Day over "&amp;INDEX($O$58:$O$87,DAY(B243))&amp;" h","✓")))))))))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5" hidden="false" customHeight="false" outlineLevel="0" collapsed="false">
      <c r="A244" s="1"/>
      <c r="B244" s="10"/>
      <c r="C244" s="31" t="str">
        <f aca="false">IF(B244="","",TEXT(B244,"ddd"))</f>
        <v/>
      </c>
      <c r="D244" s="11"/>
      <c r="E244" s="8" t="str">
        <f aca="false">IF(D244="","",IFERROR(INDEX(ProjNumbers,MATCH(D244,ProjNames,0)),""))</f>
        <v/>
      </c>
      <c r="F244" s="8" t="str">
        <f aca="false">IF(D244="","",IFERROR(INDEX(ProjCodes,MATCH(D244,ProjNames,0)),""))</f>
        <v/>
      </c>
      <c r="G244" s="32"/>
      <c r="H244" s="11"/>
      <c r="I244" s="33"/>
      <c r="J244" s="8" t="str">
        <f aca="false">IF(COUNTA(B244,D244,G244,H244,I244)=0,"",IF(B244="","Enter date",IF(OR(B244&lt;$AC$2,B244&gt;$AC$3),"Date not in November",IF(D244="","Pick project",IF(ISNA(MATCH(D244,ProjNames,0)),"Project not in list",IF(G244="","Add task description",IF(H244="","Pick NTIME or P6",IF(N(I244)&lt;=0,"Enter hours",IF(AND(AllowOT&lt;&gt;"Yes",SUMIF($B$7:$B$256,B244,$I$7:$I$256)&gt;INDEX($O$58:$O$87,DAY(B244))),"Day over "&amp;INDEX($O$58:$O$87,DAY(B244))&amp;" h","✓")))))))))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5" hidden="false" customHeight="false" outlineLevel="0" collapsed="false">
      <c r="A245" s="1"/>
      <c r="B245" s="10"/>
      <c r="C245" s="31" t="str">
        <f aca="false">IF(B245="","",TEXT(B245,"ddd"))</f>
        <v/>
      </c>
      <c r="D245" s="11"/>
      <c r="E245" s="8" t="str">
        <f aca="false">IF(D245="","",IFERROR(INDEX(ProjNumbers,MATCH(D245,ProjNames,0)),""))</f>
        <v/>
      </c>
      <c r="F245" s="8" t="str">
        <f aca="false">IF(D245="","",IFERROR(INDEX(ProjCodes,MATCH(D245,ProjNames,0)),""))</f>
        <v/>
      </c>
      <c r="G245" s="32"/>
      <c r="H245" s="11"/>
      <c r="I245" s="33"/>
      <c r="J245" s="8" t="str">
        <f aca="false">IF(COUNTA(B245,D245,G245,H245,I245)=0,"",IF(B245="","Enter date",IF(OR(B245&lt;$AC$2,B245&gt;$AC$3),"Date not in November",IF(D245="","Pick project",IF(ISNA(MATCH(D245,ProjNames,0)),"Project not in list",IF(G245="","Add task description",IF(H245="","Pick NTIME or P6",IF(N(I245)&lt;=0,"Enter hours",IF(AND(AllowOT&lt;&gt;"Yes",SUMIF($B$7:$B$256,B245,$I$7:$I$256)&gt;INDEX($O$58:$O$87,DAY(B245))),"Day over "&amp;INDEX($O$58:$O$87,DAY(B245))&amp;" h","✓")))))))))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5" hidden="false" customHeight="false" outlineLevel="0" collapsed="false">
      <c r="A246" s="1"/>
      <c r="B246" s="10"/>
      <c r="C246" s="31" t="str">
        <f aca="false">IF(B246="","",TEXT(B246,"ddd"))</f>
        <v/>
      </c>
      <c r="D246" s="11"/>
      <c r="E246" s="8" t="str">
        <f aca="false">IF(D246="","",IFERROR(INDEX(ProjNumbers,MATCH(D246,ProjNames,0)),""))</f>
        <v/>
      </c>
      <c r="F246" s="8" t="str">
        <f aca="false">IF(D246="","",IFERROR(INDEX(ProjCodes,MATCH(D246,ProjNames,0)),""))</f>
        <v/>
      </c>
      <c r="G246" s="32"/>
      <c r="H246" s="11"/>
      <c r="I246" s="33"/>
      <c r="J246" s="8" t="str">
        <f aca="false">IF(COUNTA(B246,D246,G246,H246,I246)=0,"",IF(B246="","Enter date",IF(OR(B246&lt;$AC$2,B246&gt;$AC$3),"Date not in November",IF(D246="","Pick project",IF(ISNA(MATCH(D246,ProjNames,0)),"Project not in list",IF(G246="","Add task description",IF(H246="","Pick NTIME or P6",IF(N(I246)&lt;=0,"Enter hours",IF(AND(AllowOT&lt;&gt;"Yes",SUMIF($B$7:$B$256,B246,$I$7:$I$256)&gt;INDEX($O$58:$O$87,DAY(B246))),"Day over "&amp;INDEX($O$58:$O$87,DAY(B246))&amp;" h","✓")))))))))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5" hidden="false" customHeight="false" outlineLevel="0" collapsed="false">
      <c r="A247" s="1"/>
      <c r="B247" s="10"/>
      <c r="C247" s="31" t="str">
        <f aca="false">IF(B247="","",TEXT(B247,"ddd"))</f>
        <v/>
      </c>
      <c r="D247" s="11"/>
      <c r="E247" s="8" t="str">
        <f aca="false">IF(D247="","",IFERROR(INDEX(ProjNumbers,MATCH(D247,ProjNames,0)),""))</f>
        <v/>
      </c>
      <c r="F247" s="8" t="str">
        <f aca="false">IF(D247="","",IFERROR(INDEX(ProjCodes,MATCH(D247,ProjNames,0)),""))</f>
        <v/>
      </c>
      <c r="G247" s="32"/>
      <c r="H247" s="11"/>
      <c r="I247" s="33"/>
      <c r="J247" s="8" t="str">
        <f aca="false">IF(COUNTA(B247,D247,G247,H247,I247)=0,"",IF(B247="","Enter date",IF(OR(B247&lt;$AC$2,B247&gt;$AC$3),"Date not in November",IF(D247="","Pick project",IF(ISNA(MATCH(D247,ProjNames,0)),"Project not in list",IF(G247="","Add task description",IF(H247="","Pick NTIME or P6",IF(N(I247)&lt;=0,"Enter hours",IF(AND(AllowOT&lt;&gt;"Yes",SUMIF($B$7:$B$256,B247,$I$7:$I$256)&gt;INDEX($O$58:$O$87,DAY(B247))),"Day over "&amp;INDEX($O$58:$O$87,DAY(B247))&amp;" h","✓")))))))))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5" hidden="false" customHeight="false" outlineLevel="0" collapsed="false">
      <c r="A248" s="1"/>
      <c r="B248" s="10"/>
      <c r="C248" s="31" t="str">
        <f aca="false">IF(B248="","",TEXT(B248,"ddd"))</f>
        <v/>
      </c>
      <c r="D248" s="11"/>
      <c r="E248" s="8" t="str">
        <f aca="false">IF(D248="","",IFERROR(INDEX(ProjNumbers,MATCH(D248,ProjNames,0)),""))</f>
        <v/>
      </c>
      <c r="F248" s="8" t="str">
        <f aca="false">IF(D248="","",IFERROR(INDEX(ProjCodes,MATCH(D248,ProjNames,0)),""))</f>
        <v/>
      </c>
      <c r="G248" s="32"/>
      <c r="H248" s="11"/>
      <c r="I248" s="33"/>
      <c r="J248" s="8" t="str">
        <f aca="false">IF(COUNTA(B248,D248,G248,H248,I248)=0,"",IF(B248="","Enter date",IF(OR(B248&lt;$AC$2,B248&gt;$AC$3),"Date not in November",IF(D248="","Pick project",IF(ISNA(MATCH(D248,ProjNames,0)),"Project not in list",IF(G248="","Add task description",IF(H248="","Pick NTIME or P6",IF(N(I248)&lt;=0,"Enter hours",IF(AND(AllowOT&lt;&gt;"Yes",SUMIF($B$7:$B$256,B248,$I$7:$I$256)&gt;INDEX($O$58:$O$87,DAY(B248))),"Day over "&amp;INDEX($O$58:$O$87,DAY(B248))&amp;" h","✓")))))))))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5" hidden="false" customHeight="false" outlineLevel="0" collapsed="false">
      <c r="A249" s="1"/>
      <c r="B249" s="10"/>
      <c r="C249" s="31" t="str">
        <f aca="false">IF(B249="","",TEXT(B249,"ddd"))</f>
        <v/>
      </c>
      <c r="D249" s="11"/>
      <c r="E249" s="8" t="str">
        <f aca="false">IF(D249="","",IFERROR(INDEX(ProjNumbers,MATCH(D249,ProjNames,0)),""))</f>
        <v/>
      </c>
      <c r="F249" s="8" t="str">
        <f aca="false">IF(D249="","",IFERROR(INDEX(ProjCodes,MATCH(D249,ProjNames,0)),""))</f>
        <v/>
      </c>
      <c r="G249" s="32"/>
      <c r="H249" s="11"/>
      <c r="I249" s="33"/>
      <c r="J249" s="8" t="str">
        <f aca="false">IF(COUNTA(B249,D249,G249,H249,I249)=0,"",IF(B249="","Enter date",IF(OR(B249&lt;$AC$2,B249&gt;$AC$3),"Date not in November",IF(D249="","Pick project",IF(ISNA(MATCH(D249,ProjNames,0)),"Project not in list",IF(G249="","Add task description",IF(H249="","Pick NTIME or P6",IF(N(I249)&lt;=0,"Enter hours",IF(AND(AllowOT&lt;&gt;"Yes",SUMIF($B$7:$B$256,B249,$I$7:$I$256)&gt;INDEX($O$58:$O$87,DAY(B249))),"Day over "&amp;INDEX($O$58:$O$87,DAY(B249))&amp;" h","✓")))))))))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5" hidden="false" customHeight="false" outlineLevel="0" collapsed="false">
      <c r="A250" s="1"/>
      <c r="B250" s="10"/>
      <c r="C250" s="31" t="str">
        <f aca="false">IF(B250="","",TEXT(B250,"ddd"))</f>
        <v/>
      </c>
      <c r="D250" s="11"/>
      <c r="E250" s="8" t="str">
        <f aca="false">IF(D250="","",IFERROR(INDEX(ProjNumbers,MATCH(D250,ProjNames,0)),""))</f>
        <v/>
      </c>
      <c r="F250" s="8" t="str">
        <f aca="false">IF(D250="","",IFERROR(INDEX(ProjCodes,MATCH(D250,ProjNames,0)),""))</f>
        <v/>
      </c>
      <c r="G250" s="32"/>
      <c r="H250" s="11"/>
      <c r="I250" s="33"/>
      <c r="J250" s="8" t="str">
        <f aca="false">IF(COUNTA(B250,D250,G250,H250,I250)=0,"",IF(B250="","Enter date",IF(OR(B250&lt;$AC$2,B250&gt;$AC$3),"Date not in November",IF(D250="","Pick project",IF(ISNA(MATCH(D250,ProjNames,0)),"Project not in list",IF(G250="","Add task description",IF(H250="","Pick NTIME or P6",IF(N(I250)&lt;=0,"Enter hours",IF(AND(AllowOT&lt;&gt;"Yes",SUMIF($B$7:$B$256,B250,$I$7:$I$256)&gt;INDEX($O$58:$O$87,DAY(B250))),"Day over "&amp;INDEX($O$58:$O$87,DAY(B250))&amp;" h","✓")))))))))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5" hidden="false" customHeight="false" outlineLevel="0" collapsed="false">
      <c r="A251" s="1"/>
      <c r="B251" s="10"/>
      <c r="C251" s="31" t="str">
        <f aca="false">IF(B251="","",TEXT(B251,"ddd"))</f>
        <v/>
      </c>
      <c r="D251" s="11"/>
      <c r="E251" s="8" t="str">
        <f aca="false">IF(D251="","",IFERROR(INDEX(ProjNumbers,MATCH(D251,ProjNames,0)),""))</f>
        <v/>
      </c>
      <c r="F251" s="8" t="str">
        <f aca="false">IF(D251="","",IFERROR(INDEX(ProjCodes,MATCH(D251,ProjNames,0)),""))</f>
        <v/>
      </c>
      <c r="G251" s="32"/>
      <c r="H251" s="11"/>
      <c r="I251" s="33"/>
      <c r="J251" s="8" t="str">
        <f aca="false">IF(COUNTA(B251,D251,G251,H251,I251)=0,"",IF(B251="","Enter date",IF(OR(B251&lt;$AC$2,B251&gt;$AC$3),"Date not in November",IF(D251="","Pick project",IF(ISNA(MATCH(D251,ProjNames,0)),"Project not in list",IF(G251="","Add task description",IF(H251="","Pick NTIME or P6",IF(N(I251)&lt;=0,"Enter hours",IF(AND(AllowOT&lt;&gt;"Yes",SUMIF($B$7:$B$256,B251,$I$7:$I$256)&gt;INDEX($O$58:$O$87,DAY(B251))),"Day over "&amp;INDEX($O$58:$O$87,DAY(B251))&amp;" h","✓")))))))))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5" hidden="false" customHeight="false" outlineLevel="0" collapsed="false">
      <c r="A252" s="1"/>
      <c r="B252" s="10"/>
      <c r="C252" s="31" t="str">
        <f aca="false">IF(B252="","",TEXT(B252,"ddd"))</f>
        <v/>
      </c>
      <c r="D252" s="11"/>
      <c r="E252" s="8" t="str">
        <f aca="false">IF(D252="","",IFERROR(INDEX(ProjNumbers,MATCH(D252,ProjNames,0)),""))</f>
        <v/>
      </c>
      <c r="F252" s="8" t="str">
        <f aca="false">IF(D252="","",IFERROR(INDEX(ProjCodes,MATCH(D252,ProjNames,0)),""))</f>
        <v/>
      </c>
      <c r="G252" s="32"/>
      <c r="H252" s="11"/>
      <c r="I252" s="33"/>
      <c r="J252" s="8" t="str">
        <f aca="false">IF(COUNTA(B252,D252,G252,H252,I252)=0,"",IF(B252="","Enter date",IF(OR(B252&lt;$AC$2,B252&gt;$AC$3),"Date not in November",IF(D252="","Pick project",IF(ISNA(MATCH(D252,ProjNames,0)),"Project not in list",IF(G252="","Add task description",IF(H252="","Pick NTIME or P6",IF(N(I252)&lt;=0,"Enter hours",IF(AND(AllowOT&lt;&gt;"Yes",SUMIF($B$7:$B$256,B252,$I$7:$I$256)&gt;INDEX($O$58:$O$87,DAY(B252))),"Day over "&amp;INDEX($O$58:$O$87,DAY(B252))&amp;" h","✓")))))))))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5" hidden="false" customHeight="false" outlineLevel="0" collapsed="false">
      <c r="A253" s="1"/>
      <c r="B253" s="10"/>
      <c r="C253" s="31" t="str">
        <f aca="false">IF(B253="","",TEXT(B253,"ddd"))</f>
        <v/>
      </c>
      <c r="D253" s="11"/>
      <c r="E253" s="8" t="str">
        <f aca="false">IF(D253="","",IFERROR(INDEX(ProjNumbers,MATCH(D253,ProjNames,0)),""))</f>
        <v/>
      </c>
      <c r="F253" s="8" t="str">
        <f aca="false">IF(D253="","",IFERROR(INDEX(ProjCodes,MATCH(D253,ProjNames,0)),""))</f>
        <v/>
      </c>
      <c r="G253" s="32"/>
      <c r="H253" s="11"/>
      <c r="I253" s="33"/>
      <c r="J253" s="8" t="str">
        <f aca="false">IF(COUNTA(B253,D253,G253,H253,I253)=0,"",IF(B253="","Enter date",IF(OR(B253&lt;$AC$2,B253&gt;$AC$3),"Date not in November",IF(D253="","Pick project",IF(ISNA(MATCH(D253,ProjNames,0)),"Project not in list",IF(G253="","Add task description",IF(H253="","Pick NTIME or P6",IF(N(I253)&lt;=0,"Enter hours",IF(AND(AllowOT&lt;&gt;"Yes",SUMIF($B$7:$B$256,B253,$I$7:$I$256)&gt;INDEX($O$58:$O$87,DAY(B253))),"Day over "&amp;INDEX($O$58:$O$87,DAY(B253))&amp;" h","✓")))))))))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5" hidden="false" customHeight="false" outlineLevel="0" collapsed="false">
      <c r="A254" s="1"/>
      <c r="B254" s="10"/>
      <c r="C254" s="31" t="str">
        <f aca="false">IF(B254="","",TEXT(B254,"ddd"))</f>
        <v/>
      </c>
      <c r="D254" s="11"/>
      <c r="E254" s="8" t="str">
        <f aca="false">IF(D254="","",IFERROR(INDEX(ProjNumbers,MATCH(D254,ProjNames,0)),""))</f>
        <v/>
      </c>
      <c r="F254" s="8" t="str">
        <f aca="false">IF(D254="","",IFERROR(INDEX(ProjCodes,MATCH(D254,ProjNames,0)),""))</f>
        <v/>
      </c>
      <c r="G254" s="32"/>
      <c r="H254" s="11"/>
      <c r="I254" s="33"/>
      <c r="J254" s="8" t="str">
        <f aca="false">IF(COUNTA(B254,D254,G254,H254,I254)=0,"",IF(B254="","Enter date",IF(OR(B254&lt;$AC$2,B254&gt;$AC$3),"Date not in November",IF(D254="","Pick project",IF(ISNA(MATCH(D254,ProjNames,0)),"Project not in list",IF(G254="","Add task description",IF(H254="","Pick NTIME or P6",IF(N(I254)&lt;=0,"Enter hours",IF(AND(AllowOT&lt;&gt;"Yes",SUMIF($B$7:$B$256,B254,$I$7:$I$256)&gt;INDEX($O$58:$O$87,DAY(B254))),"Day over "&amp;INDEX($O$58:$O$87,DAY(B254))&amp;" h","✓")))))))))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5" hidden="false" customHeight="false" outlineLevel="0" collapsed="false">
      <c r="A255" s="1"/>
      <c r="B255" s="10"/>
      <c r="C255" s="31" t="str">
        <f aca="false">IF(B255="","",TEXT(B255,"ddd"))</f>
        <v/>
      </c>
      <c r="D255" s="11"/>
      <c r="E255" s="8" t="str">
        <f aca="false">IF(D255="","",IFERROR(INDEX(ProjNumbers,MATCH(D255,ProjNames,0)),""))</f>
        <v/>
      </c>
      <c r="F255" s="8" t="str">
        <f aca="false">IF(D255="","",IFERROR(INDEX(ProjCodes,MATCH(D255,ProjNames,0)),""))</f>
        <v/>
      </c>
      <c r="G255" s="32"/>
      <c r="H255" s="11"/>
      <c r="I255" s="33"/>
      <c r="J255" s="8" t="str">
        <f aca="false">IF(COUNTA(B255,D255,G255,H255,I255)=0,"",IF(B255="","Enter date",IF(OR(B255&lt;$AC$2,B255&gt;$AC$3),"Date not in November",IF(D255="","Pick project",IF(ISNA(MATCH(D255,ProjNames,0)),"Project not in list",IF(G255="","Add task description",IF(H255="","Pick NTIME or P6",IF(N(I255)&lt;=0,"Enter hours",IF(AND(AllowOT&lt;&gt;"Yes",SUMIF($B$7:$B$256,B255,$I$7:$I$256)&gt;INDEX($O$58:$O$87,DAY(B255))),"Day over "&amp;INDEX($O$58:$O$87,DAY(B255))&amp;" h","✓")))))))))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5" hidden="false" customHeight="false" outlineLevel="0" collapsed="false">
      <c r="A256" s="1"/>
      <c r="B256" s="10"/>
      <c r="C256" s="31" t="str">
        <f aca="false">IF(B256="","",TEXT(B256,"ddd"))</f>
        <v/>
      </c>
      <c r="D256" s="11"/>
      <c r="E256" s="8" t="str">
        <f aca="false">IF(D256="","",IFERROR(INDEX(ProjNumbers,MATCH(D256,ProjNames,0)),""))</f>
        <v/>
      </c>
      <c r="F256" s="8" t="str">
        <f aca="false">IF(D256="","",IFERROR(INDEX(ProjCodes,MATCH(D256,ProjNames,0)),""))</f>
        <v/>
      </c>
      <c r="G256" s="32"/>
      <c r="H256" s="11"/>
      <c r="I256" s="33"/>
      <c r="J256" s="8" t="str">
        <f aca="false">IF(COUNTA(B256,D256,G256,H256,I256)=0,"",IF(B256="","Enter date",IF(OR(B256&lt;$AC$2,B256&gt;$AC$3),"Date not in November",IF(D256="","Pick project",IF(ISNA(MATCH(D256,ProjNames,0)),"Project not in list",IF(G256="","Add task description",IF(H256="","Pick NTIME or P6",IF(N(I256)&lt;=0,"Enter hours",IF(AND(AllowOT&lt;&gt;"Yes",SUMIF($B$7:$B$256,B256,$I$7:$I$256)&gt;INDEX($O$58:$O$87,DAY(B256))),"Day over "&amp;INDEX($O$58:$O$87,DAY(B256))&amp;" h","✓")))))))))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</sheetData>
  <conditionalFormatting sqref="J7:J256">
    <cfRule type="expression" priority="2" aboveAverage="0" equalAverage="0" bottom="0" percent="0" rank="0" text="" dxfId="0">
      <formula>AND(J7&lt;&gt;"",J7&lt;&gt;"✓")</formula>
    </cfRule>
  </conditionalFormatting>
  <conditionalFormatting sqref="H7:H256">
    <cfRule type="expression" priority="3" aboveAverage="0" equalAverage="0" bottom="0" percent="0" rank="0" text="" dxfId="1">
      <formula>H7="NTIME"</formula>
    </cfRule>
    <cfRule type="expression" priority="4" aboveAverage="0" equalAverage="0" bottom="0" percent="0" rank="0" text="" dxfId="2">
      <formula>H7="P6"</formula>
    </cfRule>
  </conditionalFormatting>
  <conditionalFormatting sqref="S5">
    <cfRule type="expression" priority="5" aboveAverage="0" equalAverage="0" bottom="0" percent="0" rank="0" text="" dxfId="3">
      <formula>S5&gt;0</formula>
    </cfRule>
  </conditionalFormatting>
  <conditionalFormatting sqref="L52:R52">
    <cfRule type="expression" priority="6" aboveAverage="0" equalAverage="0" bottom="0" percent="0" rank="0" text="" dxfId="4">
      <formula>$Q$52&gt;0</formula>
    </cfRule>
  </conditionalFormatting>
  <conditionalFormatting sqref="L58:U87">
    <cfRule type="expression" priority="7" aboveAverage="0" equalAverage="0" bottom="0" percent="0" rank="0" text="" dxfId="5">
      <formula>$L58=TODAY()</formula>
    </cfRule>
    <cfRule type="expression" priority="8" aboveAverage="0" equalAverage="0" bottom="0" percent="0" rank="0" text="" dxfId="6">
      <formula>OR($N58="Weekend",$N58="Leave",$N58="Public Holiday")</formula>
    </cfRule>
  </conditionalFormatting>
  <conditionalFormatting sqref="U58:U87">
    <cfRule type="expression" priority="9" aboveAverage="0" equalAverage="0" bottom="0" percent="0" rank="0" text="" dxfId="7">
      <formula>OR(U58="Not logged",LEFT(U58,5)="Over ",LEFT(U58,7)="Entries")</formula>
    </cfRule>
    <cfRule type="expression" priority="10" aboveAverage="0" equalAverage="0" bottom="0" percent="0" rank="0" text="" dxfId="8">
      <formula>LEFT(U58,1)="✓"</formula>
    </cfRule>
  </conditionalFormatting>
  <dataValidations count="7">
    <dataValidation allowBlank="false" error="Hours must be more than 0 and at most 24." errorStyle="stop" operator="between" showDropDown="false" showErrorMessage="true" showInputMessage="false" sqref="I7:I256" type="decimal">
      <formula1>0.01</formula1>
      <formula2>24</formula2>
    </dataValidation>
    <dataValidation allowBlank="false" error="Keep the task description to 200 characters." errorStyle="stop" operator="lessThanOrEqual" showDropDown="false" showErrorMessage="true" showInputMessage="false" sqref="G7:G256" type="textLength">
      <formula1>200</formula1>
      <formula2>0</formula2>
    </dataValidation>
    <dataValidation allowBlank="false" errorStyle="stop" operator="between" showDropDown="false" showErrorMessage="true" showInputMessage="false" sqref="O58:O87" type="decimal">
      <formula1>0</formula1>
      <formula2>24</formula2>
    </dataValidation>
    <dataValidation allowBlank="false" error="Enter a date in November 2026." errorStyle="stop" errorTitle="Date" operator="between" showDropDown="false" showErrorMessage="true" showInputMessage="false" sqref="B7:B256" type="date">
      <formula1>DATE(2026,11,1)</formula1>
      <formula2>DATE(2026,11,30)</formula2>
    </dataValidation>
    <dataValidation allowBlank="false" error="Pick a project from the list. Add new projects on the Projects sheet first." errorStyle="stop" errorTitle="Project" operator="between" showDropDown="false" showErrorMessage="true" showInputMessage="false" sqref="D7:D256" type="list">
      <formula1>ProjNames</formula1>
      <formula2>0</formula2>
    </dataValidation>
    <dataValidation allowBlank="false" errorStyle="stop" operator="between" showDropDown="false" showErrorMessage="true" showInputMessage="false" sqref="H7:H256" type="list">
      <formula1>"NTIME,P6"</formula1>
      <formula2>0</formula2>
    </dataValidation>
    <dataValidation allowBlank="false" errorStyle="stop" operator="between" showDropDown="false" showErrorMessage="true" showInputMessage="false" sqref="N58:N87" type="list">
      <formula1>"Working,Overhead only,Leave,Public Holiday,Weekend"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true"/>
  </sheetPr>
  <dimension ref="A1:AH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9" min="15" style="0" width="12"/>
    <col collapsed="false" customWidth="true" hidden="false" outlineLevel="0" max="20" min="20" style="0" width="10"/>
    <col collapsed="false" customWidth="true" hidden="false" outlineLevel="0" max="21" min="21" style="0" width="24"/>
    <col collapsed="false" customWidth="true" hidden="true" outlineLevel="0" max="34" min="23" style="0" width="13"/>
  </cols>
  <sheetData>
    <row r="1" customFormat="false" ht="22.05" hidden="false" customHeight="false" outlineLevel="0" collapsed="false">
      <c r="A1" s="1"/>
      <c r="B1" s="2" t="s">
        <v>105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75</v>
      </c>
      <c r="AD1" s="1"/>
      <c r="AE1" s="1"/>
      <c r="AF1" s="1"/>
      <c r="AG1" s="1"/>
      <c r="AH1" s="1"/>
    </row>
    <row r="2" customFormat="false" ht="15" hidden="false" customHeight="false" outlineLevel="0" collapsed="false">
      <c r="A2" s="1"/>
      <c r="B2" s="3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30" t="n">
        <v>46357</v>
      </c>
      <c r="AD2" s="1"/>
      <c r="AE2" s="1"/>
      <c r="AF2" s="1"/>
      <c r="AG2" s="1"/>
      <c r="AH2" s="1"/>
    </row>
    <row r="3" customFormat="false" ht="15" hidden="false" customHeight="false" outlineLevel="0" collapsed="false">
      <c r="A3" s="1"/>
      <c r="B3" s="4" t="s">
        <v>77</v>
      </c>
      <c r="C3" s="1"/>
      <c r="D3" s="1"/>
      <c r="E3" s="1"/>
      <c r="F3" s="1"/>
      <c r="G3" s="1"/>
      <c r="H3" s="1"/>
      <c r="I3" s="1"/>
      <c r="J3" s="1"/>
      <c r="K3" s="1"/>
      <c r="L3" s="4" t="s">
        <v>78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30" t="n">
        <v>46387</v>
      </c>
      <c r="AD3" s="1"/>
      <c r="AE3" s="1"/>
      <c r="AF3" s="1"/>
      <c r="AG3" s="1"/>
      <c r="AH3" s="1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3" t="s">
        <v>50</v>
      </c>
      <c r="M4" s="13" t="str">
        <f aca="false">IF(OHSystem="NTIME","NTIME (incl. overhead)","NTIME")</f>
        <v>NTIME</v>
      </c>
      <c r="N4" s="13" t="str">
        <f aca="false">IF(OHSystem="P6","P6 (incl. overhead)","P6")</f>
        <v>P6</v>
      </c>
      <c r="O4" s="13" t="s">
        <v>15</v>
      </c>
      <c r="P4" s="13" t="s">
        <v>24</v>
      </c>
      <c r="Q4" s="13" t="s">
        <v>51</v>
      </c>
      <c r="R4" s="13" t="s">
        <v>52</v>
      </c>
      <c r="S4" s="13" t="s">
        <v>53</v>
      </c>
      <c r="T4" s="1"/>
      <c r="U4" s="1"/>
      <c r="V4" s="1"/>
      <c r="W4" s="1"/>
      <c r="X4" s="1"/>
      <c r="Y4" s="1"/>
      <c r="Z4" s="1"/>
      <c r="AA4" s="1"/>
      <c r="AB4" s="1"/>
      <c r="AC4" s="30" t="n">
        <f aca="false">AC2-MOD(WEEKDAY(AC2,2)-WeekStartNum,7)</f>
        <v>46356</v>
      </c>
      <c r="AD4" s="1"/>
      <c r="AE4" s="1"/>
      <c r="AF4" s="1"/>
      <c r="AG4" s="1"/>
      <c r="AH4" s="1"/>
    </row>
    <row r="5" customFormat="false" ht="30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 t="n">
        <f aca="false">SUM($T$58:$T$88)</f>
        <v>0</v>
      </c>
      <c r="M5" s="15" t="n">
        <f aca="false">SUM($P$58:$P$88)+IF(OHSystem="NTIME",SUM($R$58:$R$88),0)</f>
        <v>0</v>
      </c>
      <c r="N5" s="16" t="n">
        <f aca="false">SUM($Q$58:$Q$88)+IF(OHSystem="P6",SUM($R$58:$R$88),0)</f>
        <v>0</v>
      </c>
      <c r="O5" s="17" t="n">
        <f aca="false">SUM($R$58:$R$88)</f>
        <v>0</v>
      </c>
      <c r="P5" s="14" t="n">
        <f aca="false">SUM($S$58:$S$88)</f>
        <v>0</v>
      </c>
      <c r="Q5" s="18" t="str">
        <f aca="false">IF(L5=0,"-",(SUM($P$58:$P$88)+SUM($Q$58:$Q$88))/L5)</f>
        <v>-</v>
      </c>
      <c r="R5" s="19" t="n">
        <f aca="false">SUMPRODUCT(($N$58:$N$88="Working")*(($P$58:$P$88+$Q$58:$Q$88)&gt;0))+COUNTIF($N$58:$N$88,"Overhead only")</f>
        <v>0</v>
      </c>
      <c r="S5" s="19" t="n">
        <f aca="false">COUNTIF($U$58:$U$88,"Not logged")</f>
        <v>0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5" hidden="false" customHeight="false" outlineLevel="0" collapsed="false">
      <c r="A6" s="1"/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5" hidden="false" customHeight="false" outlineLevel="0" collapsed="false">
      <c r="A7" s="1"/>
      <c r="B7" s="10"/>
      <c r="C7" s="31" t="str">
        <f aca="false">IF(B7="","",TEXT(B7,"ddd"))</f>
        <v/>
      </c>
      <c r="D7" s="11"/>
      <c r="E7" s="8" t="str">
        <f aca="false">IF(D7="","",IFERROR(INDEX(ProjNumbers,MATCH(D7,ProjNames,0)),""))</f>
        <v/>
      </c>
      <c r="F7" s="8" t="str">
        <f aca="false">IF(D7="","",IFERROR(INDEX(ProjCodes,MATCH(D7,ProjNames,0)),""))</f>
        <v/>
      </c>
      <c r="G7" s="32"/>
      <c r="H7" s="11"/>
      <c r="I7" s="33"/>
      <c r="J7" s="8" t="str">
        <f aca="false">IF(COUNTA(B7,D7,G7,H7,I7)=0,"",IF(B7="","Enter date",IF(OR(B7&lt;$AC$2,B7&gt;$AC$3),"Date not in December",IF(D7="","Pick project",IF(ISNA(MATCH(D7,ProjNames,0)),"Project not in list",IF(G7="","Add task description",IF(H7="","Pick NTIME or P6",IF(N(I7)&lt;=0,"Enter hours",IF(AND(AllowOT&lt;&gt;"Yes",SUMIF($B$7:$B$256,B7,$I$7:$I$256)&gt;INDEX($O$58:$O$88,DAY(B7))),"Day over "&amp;INDEX($O$58:$O$88,DAY(B7))&amp;" h","✓")))))))))</f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tr">
        <f aca="false">IF(Projects!B5="","",Projects!B5)</f>
        <v>Project A</v>
      </c>
      <c r="X7" s="1" t="n">
        <f aca="false">IF(W7="",0,SUMIFS($I$7:$I$256,$D$7:$D$256,W7,$H$7:$H$256,"NTIME"))</f>
        <v>0</v>
      </c>
      <c r="Y7" s="1" t="n">
        <f aca="false">IF(W7="",0,SUMIFS($I$7:$I$256,$D$7:$D$256,W7,$H$7:$H$256,"P6"))</f>
        <v>0</v>
      </c>
      <c r="Z7" s="1" t="n">
        <f aca="false">X7+Y7</f>
        <v>0</v>
      </c>
      <c r="AA7" s="1" t="n">
        <f aca="false">IF(Z7&gt;0,Z7+(201-1)/10^6,0)</f>
        <v>0</v>
      </c>
      <c r="AB7" s="1"/>
      <c r="AC7" s="1"/>
      <c r="AD7" s="1"/>
      <c r="AE7" s="1"/>
      <c r="AF7" s="1"/>
      <c r="AG7" s="1"/>
      <c r="AH7" s="1"/>
    </row>
    <row r="8" customFormat="false" ht="15" hidden="false" customHeight="false" outlineLevel="0" collapsed="false">
      <c r="A8" s="1"/>
      <c r="B8" s="10"/>
      <c r="C8" s="31" t="str">
        <f aca="false">IF(B8="","",TEXT(B8,"ddd"))</f>
        <v/>
      </c>
      <c r="D8" s="11"/>
      <c r="E8" s="8" t="str">
        <f aca="false">IF(D8="","",IFERROR(INDEX(ProjNumbers,MATCH(D8,ProjNames,0)),""))</f>
        <v/>
      </c>
      <c r="F8" s="8" t="str">
        <f aca="false">IF(D8="","",IFERROR(INDEX(ProjCodes,MATCH(D8,ProjNames,0)),""))</f>
        <v/>
      </c>
      <c r="G8" s="32"/>
      <c r="H8" s="11"/>
      <c r="I8" s="33"/>
      <c r="J8" s="8" t="str">
        <f aca="false">IF(COUNTA(B8,D8,G8,H8,I8)=0,"",IF(B8="","Enter date",IF(OR(B8&lt;$AC$2,B8&gt;$AC$3),"Date not in December",IF(D8="","Pick project",IF(ISNA(MATCH(D8,ProjNames,0)),"Project not in list",IF(G8="","Add task description",IF(H8="","Pick NTIME or P6",IF(N(I8)&lt;=0,"Enter hours",IF(AND(AllowOT&lt;&gt;"Yes",SUMIF($B$7:$B$256,B8,$I$7:$I$256)&gt;INDEX($O$58:$O$88,DAY(B8))),"Day over "&amp;INDEX($O$58:$O$88,DAY(B8))&amp;" h","✓")))))))))</f>
        <v/>
      </c>
      <c r="K8" s="1"/>
      <c r="L8" s="4" t="s">
        <v>80</v>
      </c>
      <c r="M8" s="1"/>
      <c r="N8" s="1"/>
      <c r="O8" s="1"/>
      <c r="P8" s="1"/>
      <c r="Q8" s="1"/>
      <c r="R8" s="1"/>
      <c r="S8" s="1"/>
      <c r="T8" s="1"/>
      <c r="U8" s="1"/>
      <c r="V8" s="1"/>
      <c r="W8" s="1" t="str">
        <f aca="false">IF(Projects!B6="","",Projects!B6)</f>
        <v/>
      </c>
      <c r="X8" s="1" t="n">
        <f aca="false">IF(W8="",0,SUMIFS($I$7:$I$256,$D$7:$D$256,W8,$H$7:$H$256,"NTIME"))</f>
        <v>0</v>
      </c>
      <c r="Y8" s="1" t="n">
        <f aca="false">IF(W8="",0,SUMIFS($I$7:$I$256,$D$7:$D$256,W8,$H$7:$H$256,"P6"))</f>
        <v>0</v>
      </c>
      <c r="Z8" s="1" t="n">
        <f aca="false">X8+Y8</f>
        <v>0</v>
      </c>
      <c r="AA8" s="1" t="n">
        <f aca="false">IF(Z8&gt;0,Z8+(201-2)/10^6,0)</f>
        <v>0</v>
      </c>
      <c r="AB8" s="1"/>
      <c r="AC8" s="1"/>
      <c r="AD8" s="1"/>
      <c r="AE8" s="1"/>
      <c r="AF8" s="1"/>
      <c r="AG8" s="1"/>
      <c r="AH8" s="1"/>
    </row>
    <row r="9" customFormat="false" ht="15" hidden="false" customHeight="false" outlineLevel="0" collapsed="false">
      <c r="A9" s="1"/>
      <c r="B9" s="10"/>
      <c r="C9" s="31" t="str">
        <f aca="false">IF(B9="","",TEXT(B9,"ddd"))</f>
        <v/>
      </c>
      <c r="D9" s="11"/>
      <c r="E9" s="8" t="str">
        <f aca="false">IF(D9="","",IFERROR(INDEX(ProjNumbers,MATCH(D9,ProjNames,0)),""))</f>
        <v/>
      </c>
      <c r="F9" s="8" t="str">
        <f aca="false">IF(D9="","",IFERROR(INDEX(ProjCodes,MATCH(D9,ProjNames,0)),""))</f>
        <v/>
      </c>
      <c r="G9" s="32"/>
      <c r="H9" s="11"/>
      <c r="I9" s="33"/>
      <c r="J9" s="8" t="str">
        <f aca="false">IF(COUNTA(B9,D9,G9,H9,I9)=0,"",IF(B9="","Enter date",IF(OR(B9&lt;$AC$2,B9&gt;$AC$3),"Date not in December",IF(D9="","Pick project",IF(ISNA(MATCH(D9,ProjNames,0)),"Project not in list",IF(G9="","Add task description",IF(H9="","Pick NTIME or P6",IF(N(I9)&lt;=0,"Enter hours",IF(AND(AllowOT&lt;&gt;"Yes",SUMIF($B$7:$B$256,B9,$I$7:$I$256)&gt;INDEX($O$58:$O$88,DAY(B9))),"Day over "&amp;INDEX($O$58:$O$88,DAY(B9))&amp;" h","✓")))))))))</f>
        <v/>
      </c>
      <c r="K9" s="1"/>
      <c r="L9" s="9" t="s">
        <v>81</v>
      </c>
      <c r="M9" s="9" t="s">
        <v>82</v>
      </c>
      <c r="N9" s="9" t="s">
        <v>83</v>
      </c>
      <c r="O9" s="20" t="s">
        <v>46</v>
      </c>
      <c r="P9" s="21" t="s">
        <v>56</v>
      </c>
      <c r="Q9" s="22" t="s">
        <v>15</v>
      </c>
      <c r="R9" s="9" t="s">
        <v>24</v>
      </c>
      <c r="S9" s="9" t="s">
        <v>57</v>
      </c>
      <c r="T9" s="1"/>
      <c r="U9" s="1"/>
      <c r="V9" s="1"/>
      <c r="W9" s="1" t="str">
        <f aca="false">IF(Projects!B7="","",Projects!B7)</f>
        <v/>
      </c>
      <c r="X9" s="1" t="n">
        <f aca="false">IF(W9="",0,SUMIFS($I$7:$I$256,$D$7:$D$256,W9,$H$7:$H$256,"NTIME"))</f>
        <v>0</v>
      </c>
      <c r="Y9" s="1" t="n">
        <f aca="false">IF(W9="",0,SUMIFS($I$7:$I$256,$D$7:$D$256,W9,$H$7:$H$256,"P6"))</f>
        <v>0</v>
      </c>
      <c r="Z9" s="1" t="n">
        <f aca="false">X9+Y9</f>
        <v>0</v>
      </c>
      <c r="AA9" s="1" t="n">
        <f aca="false">IF(Z9&gt;0,Z9+(201-3)/10^6,0)</f>
        <v>0</v>
      </c>
      <c r="AB9" s="1"/>
      <c r="AC9" s="1"/>
      <c r="AD9" s="1"/>
      <c r="AE9" s="1"/>
      <c r="AF9" s="1" t="s">
        <v>46</v>
      </c>
      <c r="AG9" s="1" t="s">
        <v>56</v>
      </c>
      <c r="AH9" s="1" t="s">
        <v>15</v>
      </c>
    </row>
    <row r="10" customFormat="false" ht="15" hidden="false" customHeight="false" outlineLevel="0" collapsed="false">
      <c r="A10" s="1"/>
      <c r="B10" s="10"/>
      <c r="C10" s="31" t="str">
        <f aca="false">IF(B10="","",TEXT(B10,"ddd"))</f>
        <v/>
      </c>
      <c r="D10" s="11"/>
      <c r="E10" s="8" t="str">
        <f aca="false">IF(D10="","",IFERROR(INDEX(ProjNumbers,MATCH(D10,ProjNames,0)),""))</f>
        <v/>
      </c>
      <c r="F10" s="8" t="str">
        <f aca="false">IF(D10="","",IFERROR(INDEX(ProjCodes,MATCH(D10,ProjNames,0)),""))</f>
        <v/>
      </c>
      <c r="G10" s="32"/>
      <c r="H10" s="11"/>
      <c r="I10" s="33"/>
      <c r="J10" s="8" t="str">
        <f aca="false">IF(COUNTA(B10,D10,G10,H10,I10)=0,"",IF(B10="","Enter date",IF(OR(B10&lt;$AC$2,B10&gt;$AC$3),"Date not in December",IF(D10="","Pick project",IF(ISNA(MATCH(D10,ProjNames,0)),"Project not in list",IF(G10="","Add task description",IF(H10="","Pick NTIME or P6",IF(N(I10)&lt;=0,"Enter hours",IF(AND(AllowOT&lt;&gt;"Yes",SUMIF($B$7:$B$256,B10,$I$7:$I$256)&gt;INDEX($O$58:$O$88,DAY(B10))),"Day over "&amp;INDEX($O$58:$O$88,DAY(B10))&amp;" h","✓")))))))))</f>
        <v/>
      </c>
      <c r="K10" s="1"/>
      <c r="L10" s="24" t="str">
        <f aca="false">"Week 1"&amp;IF(M10="",""," ("&amp;DAY(M10)&amp;"–"&amp;DAY(N10)&amp;")")</f>
        <v>Week 1 (1–6)</v>
      </c>
      <c r="M10" s="34" t="n">
        <f aca="false">IF($AC$4+7*0&gt;$AC$3,"",MAX($AC$2,$AC$4+7*0))</f>
        <v>46357</v>
      </c>
      <c r="N10" s="34" t="n">
        <f aca="false">IF(M10="","",MIN($AC$3,$AC$4+7*1-1))</f>
        <v>46362</v>
      </c>
      <c r="O10" s="24" t="n">
        <f aca="false">IF($M10="","",AF10+IF(OHSystem="NTIME",AH10,0))</f>
        <v>0</v>
      </c>
      <c r="P10" s="24" t="n">
        <f aca="false">IF($M10="","",AG10+IF(OHSystem="P6",AH10,0))</f>
        <v>0</v>
      </c>
      <c r="Q10" s="24" t="n">
        <f aca="false">IF($M10="","",AH10)</f>
        <v>0</v>
      </c>
      <c r="R10" s="24" t="n">
        <f aca="false">IF($M10="","",SUMIFS($S$58:$S$88,$L$58:$L$88,"&gt;="&amp;$M10,$L$58:$L$88,"&lt;="&amp;$N10))</f>
        <v>0</v>
      </c>
      <c r="S10" s="24" t="n">
        <f aca="false">IF($M10="","",SUMIFS($T$58:$T$88,$L$58:$L$88,"&gt;="&amp;$M10,$L$58:$L$88,"&lt;="&amp;$N10))</f>
        <v>0</v>
      </c>
      <c r="T10" s="1"/>
      <c r="U10" s="1"/>
      <c r="V10" s="1"/>
      <c r="W10" s="1" t="str">
        <f aca="false">IF(Projects!B8="","",Projects!B8)</f>
        <v/>
      </c>
      <c r="X10" s="1" t="n">
        <f aca="false">IF(W10="",0,SUMIFS($I$7:$I$256,$D$7:$D$256,W10,$H$7:$H$256,"NTIME"))</f>
        <v>0</v>
      </c>
      <c r="Y10" s="1" t="n">
        <f aca="false">IF(W10="",0,SUMIFS($I$7:$I$256,$D$7:$D$256,W10,$H$7:$H$256,"P6"))</f>
        <v>0</v>
      </c>
      <c r="Z10" s="1" t="n">
        <f aca="false">X10+Y10</f>
        <v>0</v>
      </c>
      <c r="AA10" s="1" t="n">
        <f aca="false">IF(Z10&gt;0,Z10+(201-4)/10^6,0)</f>
        <v>0</v>
      </c>
      <c r="AB10" s="1"/>
      <c r="AC10" s="1"/>
      <c r="AD10" s="1"/>
      <c r="AE10" s="1"/>
      <c r="AF10" s="1" t="n">
        <f aca="false">IF($M10="",0,SUMIFS($P$58:$P$88,$L$58:$L$88,"&gt;="&amp;$M10,$L$58:$L$88,"&lt;="&amp;$N10))</f>
        <v>0</v>
      </c>
      <c r="AG10" s="1" t="n">
        <f aca="false">IF($M10="",0,SUMIFS($Q$58:$Q$88,$L$58:$L$88,"&gt;="&amp;$M10,$L$58:$L$88,"&lt;="&amp;$N10))</f>
        <v>0</v>
      </c>
      <c r="AH10" s="1" t="n">
        <f aca="false">IF($M10="",0,SUMIFS($R$58:$R$88,$L$58:$L$88,"&gt;="&amp;$M10,$L$58:$L$88,"&lt;="&amp;$N10))</f>
        <v>0</v>
      </c>
    </row>
    <row r="11" customFormat="false" ht="15" hidden="false" customHeight="false" outlineLevel="0" collapsed="false">
      <c r="A11" s="1"/>
      <c r="B11" s="10"/>
      <c r="C11" s="31" t="str">
        <f aca="false">IF(B11="","",TEXT(B11,"ddd"))</f>
        <v/>
      </c>
      <c r="D11" s="11"/>
      <c r="E11" s="8" t="str">
        <f aca="false">IF(D11="","",IFERROR(INDEX(ProjNumbers,MATCH(D11,ProjNames,0)),""))</f>
        <v/>
      </c>
      <c r="F11" s="8" t="str">
        <f aca="false">IF(D11="","",IFERROR(INDEX(ProjCodes,MATCH(D11,ProjNames,0)),""))</f>
        <v/>
      </c>
      <c r="G11" s="32"/>
      <c r="H11" s="11"/>
      <c r="I11" s="33"/>
      <c r="J11" s="8" t="str">
        <f aca="false">IF(COUNTA(B11,D11,G11,H11,I11)=0,"",IF(B11="","Enter date",IF(OR(B11&lt;$AC$2,B11&gt;$AC$3),"Date not in December",IF(D11="","Pick project",IF(ISNA(MATCH(D11,ProjNames,0)),"Project not in list",IF(G11="","Add task description",IF(H11="","Pick NTIME or P6",IF(N(I11)&lt;=0,"Enter hours",IF(AND(AllowOT&lt;&gt;"Yes",SUMIF($B$7:$B$256,B11,$I$7:$I$256)&gt;INDEX($O$58:$O$88,DAY(B11))),"Day over "&amp;INDEX($O$58:$O$88,DAY(B11))&amp;" h","✓")))))))))</f>
        <v/>
      </c>
      <c r="K11" s="1"/>
      <c r="L11" s="24" t="str">
        <f aca="false">"Week 2"&amp;IF(M11="",""," ("&amp;DAY(M11)&amp;"–"&amp;DAY(N11)&amp;")")</f>
        <v>Week 2 (7–13)</v>
      </c>
      <c r="M11" s="34" t="n">
        <f aca="false">IF($AC$4+7*1&gt;$AC$3,"",MAX($AC$2,$AC$4+7*1))</f>
        <v>46363</v>
      </c>
      <c r="N11" s="34" t="n">
        <f aca="false">IF(M11="","",MIN($AC$3,$AC$4+7*2-1))</f>
        <v>46369</v>
      </c>
      <c r="O11" s="24" t="n">
        <f aca="false">IF($M11="","",AF11+IF(OHSystem="NTIME",AH11,0))</f>
        <v>0</v>
      </c>
      <c r="P11" s="24" t="n">
        <f aca="false">IF($M11="","",AG11+IF(OHSystem="P6",AH11,0))</f>
        <v>0</v>
      </c>
      <c r="Q11" s="24" t="n">
        <f aca="false">IF($M11="","",AH11)</f>
        <v>0</v>
      </c>
      <c r="R11" s="24" t="n">
        <f aca="false">IF($M11="","",SUMIFS($S$58:$S$88,$L$58:$L$88,"&gt;="&amp;$M11,$L$58:$L$88,"&lt;="&amp;$N11))</f>
        <v>0</v>
      </c>
      <c r="S11" s="24" t="n">
        <f aca="false">IF($M11="","",SUMIFS($T$58:$T$88,$L$58:$L$88,"&gt;="&amp;$M11,$L$58:$L$88,"&lt;="&amp;$N11))</f>
        <v>0</v>
      </c>
      <c r="T11" s="1"/>
      <c r="U11" s="1"/>
      <c r="V11" s="1"/>
      <c r="W11" s="1" t="str">
        <f aca="false">IF(Projects!B9="","",Projects!B9)</f>
        <v/>
      </c>
      <c r="X11" s="1" t="n">
        <f aca="false">IF(W11="",0,SUMIFS($I$7:$I$256,$D$7:$D$256,W11,$H$7:$H$256,"NTIME"))</f>
        <v>0</v>
      </c>
      <c r="Y11" s="1" t="n">
        <f aca="false">IF(W11="",0,SUMIFS($I$7:$I$256,$D$7:$D$256,W11,$H$7:$H$256,"P6"))</f>
        <v>0</v>
      </c>
      <c r="Z11" s="1" t="n">
        <f aca="false">X11+Y11</f>
        <v>0</v>
      </c>
      <c r="AA11" s="1" t="n">
        <f aca="false">IF(Z11&gt;0,Z11+(201-5)/10^6,0)</f>
        <v>0</v>
      </c>
      <c r="AB11" s="1"/>
      <c r="AC11" s="1"/>
      <c r="AD11" s="1"/>
      <c r="AE11" s="1"/>
      <c r="AF11" s="1" t="n">
        <f aca="false">IF($M11="",0,SUMIFS($P$58:$P$88,$L$58:$L$88,"&gt;="&amp;$M11,$L$58:$L$88,"&lt;="&amp;$N11))</f>
        <v>0</v>
      </c>
      <c r="AG11" s="1" t="n">
        <f aca="false">IF($M11="",0,SUMIFS($Q$58:$Q$88,$L$58:$L$88,"&gt;="&amp;$M11,$L$58:$L$88,"&lt;="&amp;$N11))</f>
        <v>0</v>
      </c>
      <c r="AH11" s="1" t="n">
        <f aca="false">IF($M11="",0,SUMIFS($R$58:$R$88,$L$58:$L$88,"&gt;="&amp;$M11,$L$58:$L$88,"&lt;="&amp;$N11))</f>
        <v>0</v>
      </c>
    </row>
    <row r="12" customFormat="false" ht="15" hidden="false" customHeight="false" outlineLevel="0" collapsed="false">
      <c r="A12" s="1"/>
      <c r="B12" s="10"/>
      <c r="C12" s="31" t="str">
        <f aca="false">IF(B12="","",TEXT(B12,"ddd"))</f>
        <v/>
      </c>
      <c r="D12" s="11"/>
      <c r="E12" s="8" t="str">
        <f aca="false">IF(D12="","",IFERROR(INDEX(ProjNumbers,MATCH(D12,ProjNames,0)),""))</f>
        <v/>
      </c>
      <c r="F12" s="8" t="str">
        <f aca="false">IF(D12="","",IFERROR(INDEX(ProjCodes,MATCH(D12,ProjNames,0)),""))</f>
        <v/>
      </c>
      <c r="G12" s="32"/>
      <c r="H12" s="11"/>
      <c r="I12" s="33"/>
      <c r="J12" s="8" t="str">
        <f aca="false">IF(COUNTA(B12,D12,G12,H12,I12)=0,"",IF(B12="","Enter date",IF(OR(B12&lt;$AC$2,B12&gt;$AC$3),"Date not in December",IF(D12="","Pick project",IF(ISNA(MATCH(D12,ProjNames,0)),"Project not in list",IF(G12="","Add task description",IF(H12="","Pick NTIME or P6",IF(N(I12)&lt;=0,"Enter hours",IF(AND(AllowOT&lt;&gt;"Yes",SUMIF($B$7:$B$256,B12,$I$7:$I$256)&gt;INDEX($O$58:$O$88,DAY(B12))),"Day over "&amp;INDEX($O$58:$O$88,DAY(B12))&amp;" h","✓")))))))))</f>
        <v/>
      </c>
      <c r="K12" s="1"/>
      <c r="L12" s="24" t="str">
        <f aca="false">"Week 3"&amp;IF(M12="",""," ("&amp;DAY(M12)&amp;"–"&amp;DAY(N12)&amp;")")</f>
        <v>Week 3 (14–20)</v>
      </c>
      <c r="M12" s="34" t="n">
        <f aca="false">IF($AC$4+7*2&gt;$AC$3,"",MAX($AC$2,$AC$4+7*2))</f>
        <v>46370</v>
      </c>
      <c r="N12" s="34" t="n">
        <f aca="false">IF(M12="","",MIN($AC$3,$AC$4+7*3-1))</f>
        <v>46376</v>
      </c>
      <c r="O12" s="24" t="n">
        <f aca="false">IF($M12="","",AF12+IF(OHSystem="NTIME",AH12,0))</f>
        <v>0</v>
      </c>
      <c r="P12" s="24" t="n">
        <f aca="false">IF($M12="","",AG12+IF(OHSystem="P6",AH12,0))</f>
        <v>0</v>
      </c>
      <c r="Q12" s="24" t="n">
        <f aca="false">IF($M12="","",AH12)</f>
        <v>0</v>
      </c>
      <c r="R12" s="24" t="n">
        <f aca="false">IF($M12="","",SUMIFS($S$58:$S$88,$L$58:$L$88,"&gt;="&amp;$M12,$L$58:$L$88,"&lt;="&amp;$N12))</f>
        <v>0</v>
      </c>
      <c r="S12" s="24" t="n">
        <f aca="false">IF($M12="","",SUMIFS($T$58:$T$88,$L$58:$L$88,"&gt;="&amp;$M12,$L$58:$L$88,"&lt;="&amp;$N12))</f>
        <v>0</v>
      </c>
      <c r="T12" s="1"/>
      <c r="U12" s="1"/>
      <c r="V12" s="1"/>
      <c r="W12" s="1" t="str">
        <f aca="false">IF(Projects!B10="","",Projects!B10)</f>
        <v/>
      </c>
      <c r="X12" s="1" t="n">
        <f aca="false">IF(W12="",0,SUMIFS($I$7:$I$256,$D$7:$D$256,W12,$H$7:$H$256,"NTIME"))</f>
        <v>0</v>
      </c>
      <c r="Y12" s="1" t="n">
        <f aca="false">IF(W12="",0,SUMIFS($I$7:$I$256,$D$7:$D$256,W12,$H$7:$H$256,"P6"))</f>
        <v>0</v>
      </c>
      <c r="Z12" s="1" t="n">
        <f aca="false">X12+Y12</f>
        <v>0</v>
      </c>
      <c r="AA12" s="1" t="n">
        <f aca="false">IF(Z12&gt;0,Z12+(201-6)/10^6,0)</f>
        <v>0</v>
      </c>
      <c r="AB12" s="1"/>
      <c r="AC12" s="1"/>
      <c r="AD12" s="1"/>
      <c r="AE12" s="1"/>
      <c r="AF12" s="1" t="n">
        <f aca="false">IF($M12="",0,SUMIFS($P$58:$P$88,$L$58:$L$88,"&gt;="&amp;$M12,$L$58:$L$88,"&lt;="&amp;$N12))</f>
        <v>0</v>
      </c>
      <c r="AG12" s="1" t="n">
        <f aca="false">IF($M12="",0,SUMIFS($Q$58:$Q$88,$L$58:$L$88,"&gt;="&amp;$M12,$L$58:$L$88,"&lt;="&amp;$N12))</f>
        <v>0</v>
      </c>
      <c r="AH12" s="1" t="n">
        <f aca="false">IF($M12="",0,SUMIFS($R$58:$R$88,$L$58:$L$88,"&gt;="&amp;$M12,$L$58:$L$88,"&lt;="&amp;$N12))</f>
        <v>0</v>
      </c>
    </row>
    <row r="13" customFormat="false" ht="15" hidden="false" customHeight="false" outlineLevel="0" collapsed="false">
      <c r="A13" s="1"/>
      <c r="B13" s="10"/>
      <c r="C13" s="31" t="str">
        <f aca="false">IF(B13="","",TEXT(B13,"ddd"))</f>
        <v/>
      </c>
      <c r="D13" s="11"/>
      <c r="E13" s="8" t="str">
        <f aca="false">IF(D13="","",IFERROR(INDEX(ProjNumbers,MATCH(D13,ProjNames,0)),""))</f>
        <v/>
      </c>
      <c r="F13" s="8" t="str">
        <f aca="false">IF(D13="","",IFERROR(INDEX(ProjCodes,MATCH(D13,ProjNames,0)),""))</f>
        <v/>
      </c>
      <c r="G13" s="32"/>
      <c r="H13" s="11"/>
      <c r="I13" s="33"/>
      <c r="J13" s="8" t="str">
        <f aca="false">IF(COUNTA(B13,D13,G13,H13,I13)=0,"",IF(B13="","Enter date",IF(OR(B13&lt;$AC$2,B13&gt;$AC$3),"Date not in December",IF(D13="","Pick project",IF(ISNA(MATCH(D13,ProjNames,0)),"Project not in list",IF(G13="","Add task description",IF(H13="","Pick NTIME or P6",IF(N(I13)&lt;=0,"Enter hours",IF(AND(AllowOT&lt;&gt;"Yes",SUMIF($B$7:$B$256,B13,$I$7:$I$256)&gt;INDEX($O$58:$O$88,DAY(B13))),"Day over "&amp;INDEX($O$58:$O$88,DAY(B13))&amp;" h","✓")))))))))</f>
        <v/>
      </c>
      <c r="K13" s="1"/>
      <c r="L13" s="24" t="str">
        <f aca="false">"Week 4"&amp;IF(M13="",""," ("&amp;DAY(M13)&amp;"–"&amp;DAY(N13)&amp;")")</f>
        <v>Week 4 (21–27)</v>
      </c>
      <c r="M13" s="34" t="n">
        <f aca="false">IF($AC$4+7*3&gt;$AC$3,"",MAX($AC$2,$AC$4+7*3))</f>
        <v>46377</v>
      </c>
      <c r="N13" s="34" t="n">
        <f aca="false">IF(M13="","",MIN($AC$3,$AC$4+7*4-1))</f>
        <v>46383</v>
      </c>
      <c r="O13" s="24" t="n">
        <f aca="false">IF($M13="","",AF13+IF(OHSystem="NTIME",AH13,0))</f>
        <v>0</v>
      </c>
      <c r="P13" s="24" t="n">
        <f aca="false">IF($M13="","",AG13+IF(OHSystem="P6",AH13,0))</f>
        <v>0</v>
      </c>
      <c r="Q13" s="24" t="n">
        <f aca="false">IF($M13="","",AH13)</f>
        <v>0</v>
      </c>
      <c r="R13" s="24" t="n">
        <f aca="false">IF($M13="","",SUMIFS($S$58:$S$88,$L$58:$L$88,"&gt;="&amp;$M13,$L$58:$L$88,"&lt;="&amp;$N13))</f>
        <v>0</v>
      </c>
      <c r="S13" s="24" t="n">
        <f aca="false">IF($M13="","",SUMIFS($T$58:$T$88,$L$58:$L$88,"&gt;="&amp;$M13,$L$58:$L$88,"&lt;="&amp;$N13))</f>
        <v>0</v>
      </c>
      <c r="T13" s="1"/>
      <c r="U13" s="1"/>
      <c r="V13" s="1"/>
      <c r="W13" s="1" t="str">
        <f aca="false">IF(Projects!B11="","",Projects!B11)</f>
        <v/>
      </c>
      <c r="X13" s="1" t="n">
        <f aca="false">IF(W13="",0,SUMIFS($I$7:$I$256,$D$7:$D$256,W13,$H$7:$H$256,"NTIME"))</f>
        <v>0</v>
      </c>
      <c r="Y13" s="1" t="n">
        <f aca="false">IF(W13="",0,SUMIFS($I$7:$I$256,$D$7:$D$256,W13,$H$7:$H$256,"P6"))</f>
        <v>0</v>
      </c>
      <c r="Z13" s="1" t="n">
        <f aca="false">X13+Y13</f>
        <v>0</v>
      </c>
      <c r="AA13" s="1" t="n">
        <f aca="false">IF(Z13&gt;0,Z13+(201-7)/10^6,0)</f>
        <v>0</v>
      </c>
      <c r="AB13" s="1"/>
      <c r="AC13" s="1"/>
      <c r="AD13" s="1"/>
      <c r="AE13" s="1"/>
      <c r="AF13" s="1" t="n">
        <f aca="false">IF($M13="",0,SUMIFS($P$58:$P$88,$L$58:$L$88,"&gt;="&amp;$M13,$L$58:$L$88,"&lt;="&amp;$N13))</f>
        <v>0</v>
      </c>
      <c r="AG13" s="1" t="n">
        <f aca="false">IF($M13="",0,SUMIFS($Q$58:$Q$88,$L$58:$L$88,"&gt;="&amp;$M13,$L$58:$L$88,"&lt;="&amp;$N13))</f>
        <v>0</v>
      </c>
      <c r="AH13" s="1" t="n">
        <f aca="false">IF($M13="",0,SUMIFS($R$58:$R$88,$L$58:$L$88,"&gt;="&amp;$M13,$L$58:$L$88,"&lt;="&amp;$N13))</f>
        <v>0</v>
      </c>
    </row>
    <row r="14" customFormat="false" ht="15" hidden="false" customHeight="false" outlineLevel="0" collapsed="false">
      <c r="A14" s="1"/>
      <c r="B14" s="10"/>
      <c r="C14" s="31" t="str">
        <f aca="false">IF(B14="","",TEXT(B14,"ddd"))</f>
        <v/>
      </c>
      <c r="D14" s="11"/>
      <c r="E14" s="8" t="str">
        <f aca="false">IF(D14="","",IFERROR(INDEX(ProjNumbers,MATCH(D14,ProjNames,0)),""))</f>
        <v/>
      </c>
      <c r="F14" s="8" t="str">
        <f aca="false">IF(D14="","",IFERROR(INDEX(ProjCodes,MATCH(D14,ProjNames,0)),""))</f>
        <v/>
      </c>
      <c r="G14" s="32"/>
      <c r="H14" s="11"/>
      <c r="I14" s="33"/>
      <c r="J14" s="8" t="str">
        <f aca="false">IF(COUNTA(B14,D14,G14,H14,I14)=0,"",IF(B14="","Enter date",IF(OR(B14&lt;$AC$2,B14&gt;$AC$3),"Date not in December",IF(D14="","Pick project",IF(ISNA(MATCH(D14,ProjNames,0)),"Project not in list",IF(G14="","Add task description",IF(H14="","Pick NTIME or P6",IF(N(I14)&lt;=0,"Enter hours",IF(AND(AllowOT&lt;&gt;"Yes",SUMIF($B$7:$B$256,B14,$I$7:$I$256)&gt;INDEX($O$58:$O$88,DAY(B14))),"Day over "&amp;INDEX($O$58:$O$88,DAY(B14))&amp;" h","✓")))))))))</f>
        <v/>
      </c>
      <c r="K14" s="1"/>
      <c r="L14" s="24" t="str">
        <f aca="false">"Week 5"&amp;IF(M14="",""," ("&amp;DAY(M14)&amp;"–"&amp;DAY(N14)&amp;")")</f>
        <v>Week 5 (28–31)</v>
      </c>
      <c r="M14" s="34" t="n">
        <f aca="false">IF($AC$4+7*4&gt;$AC$3,"",MAX($AC$2,$AC$4+7*4))</f>
        <v>46384</v>
      </c>
      <c r="N14" s="34" t="n">
        <f aca="false">IF(M14="","",MIN($AC$3,$AC$4+7*5-1))</f>
        <v>46387</v>
      </c>
      <c r="O14" s="24" t="n">
        <f aca="false">IF($M14="","",AF14+IF(OHSystem="NTIME",AH14,0))</f>
        <v>0</v>
      </c>
      <c r="P14" s="24" t="n">
        <f aca="false">IF($M14="","",AG14+IF(OHSystem="P6",AH14,0))</f>
        <v>0</v>
      </c>
      <c r="Q14" s="24" t="n">
        <f aca="false">IF($M14="","",AH14)</f>
        <v>0</v>
      </c>
      <c r="R14" s="24" t="n">
        <f aca="false">IF($M14="","",SUMIFS($S$58:$S$88,$L$58:$L$88,"&gt;="&amp;$M14,$L$58:$L$88,"&lt;="&amp;$N14))</f>
        <v>0</v>
      </c>
      <c r="S14" s="24" t="n">
        <f aca="false">IF($M14="","",SUMIFS($T$58:$T$88,$L$58:$L$88,"&gt;="&amp;$M14,$L$58:$L$88,"&lt;="&amp;$N14))</f>
        <v>0</v>
      </c>
      <c r="T14" s="1"/>
      <c r="U14" s="1"/>
      <c r="V14" s="1"/>
      <c r="W14" s="1" t="str">
        <f aca="false">IF(Projects!B12="","",Projects!B12)</f>
        <v/>
      </c>
      <c r="X14" s="1" t="n">
        <f aca="false">IF(W14="",0,SUMIFS($I$7:$I$256,$D$7:$D$256,W14,$H$7:$H$256,"NTIME"))</f>
        <v>0</v>
      </c>
      <c r="Y14" s="1" t="n">
        <f aca="false">IF(W14="",0,SUMIFS($I$7:$I$256,$D$7:$D$256,W14,$H$7:$H$256,"P6"))</f>
        <v>0</v>
      </c>
      <c r="Z14" s="1" t="n">
        <f aca="false">X14+Y14</f>
        <v>0</v>
      </c>
      <c r="AA14" s="1" t="n">
        <f aca="false">IF(Z14&gt;0,Z14+(201-8)/10^6,0)</f>
        <v>0</v>
      </c>
      <c r="AB14" s="1"/>
      <c r="AC14" s="1"/>
      <c r="AD14" s="1"/>
      <c r="AE14" s="1"/>
      <c r="AF14" s="1" t="n">
        <f aca="false">IF($M14="",0,SUMIFS($P$58:$P$88,$L$58:$L$88,"&gt;="&amp;$M14,$L$58:$L$88,"&lt;="&amp;$N14))</f>
        <v>0</v>
      </c>
      <c r="AG14" s="1" t="n">
        <f aca="false">IF($M14="",0,SUMIFS($Q$58:$Q$88,$L$58:$L$88,"&gt;="&amp;$M14,$L$58:$L$88,"&lt;="&amp;$N14))</f>
        <v>0</v>
      </c>
      <c r="AH14" s="1" t="n">
        <f aca="false">IF($M14="",0,SUMIFS($R$58:$R$88,$L$58:$L$88,"&gt;="&amp;$M14,$L$58:$L$88,"&lt;="&amp;$N14))</f>
        <v>0</v>
      </c>
    </row>
    <row r="15" customFormat="false" ht="15" hidden="false" customHeight="false" outlineLevel="0" collapsed="false">
      <c r="A15" s="1"/>
      <c r="B15" s="10"/>
      <c r="C15" s="31" t="str">
        <f aca="false">IF(B15="","",TEXT(B15,"ddd"))</f>
        <v/>
      </c>
      <c r="D15" s="11"/>
      <c r="E15" s="8" t="str">
        <f aca="false">IF(D15="","",IFERROR(INDEX(ProjNumbers,MATCH(D15,ProjNames,0)),""))</f>
        <v/>
      </c>
      <c r="F15" s="8" t="str">
        <f aca="false">IF(D15="","",IFERROR(INDEX(ProjCodes,MATCH(D15,ProjNames,0)),""))</f>
        <v/>
      </c>
      <c r="G15" s="32"/>
      <c r="H15" s="11"/>
      <c r="I15" s="33"/>
      <c r="J15" s="8" t="str">
        <f aca="false">IF(COUNTA(B15,D15,G15,H15,I15)=0,"",IF(B15="","Enter date",IF(OR(B15&lt;$AC$2,B15&gt;$AC$3),"Date not in December",IF(D15="","Pick project",IF(ISNA(MATCH(D15,ProjNames,0)),"Project not in list",IF(G15="","Add task description",IF(H15="","Pick NTIME or P6",IF(N(I15)&lt;=0,"Enter hours",IF(AND(AllowOT&lt;&gt;"Yes",SUMIF($B$7:$B$256,B15,$I$7:$I$256)&gt;INDEX($O$58:$O$88,DAY(B15))),"Day over "&amp;INDEX($O$58:$O$88,DAY(B15))&amp;" h","✓")))))))))</f>
        <v/>
      </c>
      <c r="K15" s="1"/>
      <c r="L15" s="24" t="str">
        <f aca="false">"Week 6"&amp;IF(M15="",""," ("&amp;DAY(M15)&amp;"–"&amp;DAY(N15)&amp;")")</f>
        <v>Week 6</v>
      </c>
      <c r="M15" s="34" t="str">
        <f aca="false">IF($AC$4+7*5&gt;$AC$3,"",MAX($AC$2,$AC$4+7*5))</f>
        <v/>
      </c>
      <c r="N15" s="34" t="str">
        <f aca="false">IF(M15="","",MIN($AC$3,$AC$4+7*6-1))</f>
        <v/>
      </c>
      <c r="O15" s="24" t="str">
        <f aca="false">IF($M15="","",AF15+IF(OHSystem="NTIME",AH15,0))</f>
        <v/>
      </c>
      <c r="P15" s="24" t="str">
        <f aca="false">IF($M15="","",AG15+IF(OHSystem="P6",AH15,0))</f>
        <v/>
      </c>
      <c r="Q15" s="24" t="str">
        <f aca="false">IF($M15="","",AH15)</f>
        <v/>
      </c>
      <c r="R15" s="24" t="str">
        <f aca="false">IF($M15="","",SUMIFS($S$58:$S$88,$L$58:$L$88,"&gt;="&amp;$M15,$L$58:$L$88,"&lt;="&amp;$N15))</f>
        <v/>
      </c>
      <c r="S15" s="24" t="str">
        <f aca="false">IF($M15="","",SUMIFS($T$58:$T$88,$L$58:$L$88,"&gt;="&amp;$M15,$L$58:$L$88,"&lt;="&amp;$N15))</f>
        <v/>
      </c>
      <c r="T15" s="1"/>
      <c r="U15" s="1"/>
      <c r="V15" s="1"/>
      <c r="W15" s="1" t="str">
        <f aca="false">IF(Projects!B13="","",Projects!B13)</f>
        <v/>
      </c>
      <c r="X15" s="1" t="n">
        <f aca="false">IF(W15="",0,SUMIFS($I$7:$I$256,$D$7:$D$256,W15,$H$7:$H$256,"NTIME"))</f>
        <v>0</v>
      </c>
      <c r="Y15" s="1" t="n">
        <f aca="false">IF(W15="",0,SUMIFS($I$7:$I$256,$D$7:$D$256,W15,$H$7:$H$256,"P6"))</f>
        <v>0</v>
      </c>
      <c r="Z15" s="1" t="n">
        <f aca="false">X15+Y15</f>
        <v>0</v>
      </c>
      <c r="AA15" s="1" t="n">
        <f aca="false">IF(Z15&gt;0,Z15+(201-9)/10^6,0)</f>
        <v>0</v>
      </c>
      <c r="AB15" s="1"/>
      <c r="AC15" s="1"/>
      <c r="AD15" s="1"/>
      <c r="AE15" s="1"/>
      <c r="AF15" s="1" t="n">
        <f aca="false">IF($M15="",0,SUMIFS($P$58:$P$88,$L$58:$L$88,"&gt;="&amp;$M15,$L$58:$L$88,"&lt;="&amp;$N15))</f>
        <v>0</v>
      </c>
      <c r="AG15" s="1" t="n">
        <f aca="false">IF($M15="",0,SUMIFS($Q$58:$Q$88,$L$58:$L$88,"&gt;="&amp;$M15,$L$58:$L$88,"&lt;="&amp;$N15))</f>
        <v>0</v>
      </c>
      <c r="AH15" s="1" t="n">
        <f aca="false">IF($M15="",0,SUMIFS($R$58:$R$88,$L$58:$L$88,"&gt;="&amp;$M15,$L$58:$L$88,"&lt;="&amp;$N15))</f>
        <v>0</v>
      </c>
    </row>
    <row r="16" customFormat="false" ht="15" hidden="false" customHeight="false" outlineLevel="0" collapsed="false">
      <c r="A16" s="1"/>
      <c r="B16" s="10"/>
      <c r="C16" s="31" t="str">
        <f aca="false">IF(B16="","",TEXT(B16,"ddd"))</f>
        <v/>
      </c>
      <c r="D16" s="11"/>
      <c r="E16" s="8" t="str">
        <f aca="false">IF(D16="","",IFERROR(INDEX(ProjNumbers,MATCH(D16,ProjNames,0)),""))</f>
        <v/>
      </c>
      <c r="F16" s="8" t="str">
        <f aca="false">IF(D16="","",IFERROR(INDEX(ProjCodes,MATCH(D16,ProjNames,0)),""))</f>
        <v/>
      </c>
      <c r="G16" s="32"/>
      <c r="H16" s="11"/>
      <c r="I16" s="33"/>
      <c r="J16" s="8" t="str">
        <f aca="false">IF(COUNTA(B16,D16,G16,H16,I16)=0,"",IF(B16="","Enter date",IF(OR(B16&lt;$AC$2,B16&gt;$AC$3),"Date not in December",IF(D16="","Pick project",IF(ISNA(MATCH(D16,ProjNames,0)),"Project not in list",IF(G16="","Add task description",IF(H16="","Pick NTIME or P6",IF(N(I16)&lt;=0,"Enter hours",IF(AND(AllowOT&lt;&gt;"Yes",SUMIF($B$7:$B$256,B16,$I$7:$I$256)&gt;INDEX($O$58:$O$88,DAY(B16))),"Day over "&amp;INDEX($O$58:$O$88,DAY(B16))&amp;" h","✓")))))))))</f>
        <v/>
      </c>
      <c r="K16" s="1"/>
      <c r="L16" s="27" t="s">
        <v>84</v>
      </c>
      <c r="M16" s="27"/>
      <c r="N16" s="27"/>
      <c r="O16" s="27" t="n">
        <f aca="false">SUM(O10:O15)</f>
        <v>0</v>
      </c>
      <c r="P16" s="27" t="n">
        <f aca="false">SUM(P10:P15)</f>
        <v>0</v>
      </c>
      <c r="Q16" s="27" t="n">
        <f aca="false">SUM(Q10:Q15)</f>
        <v>0</v>
      </c>
      <c r="R16" s="27" t="n">
        <f aca="false">SUM(R10:R15)</f>
        <v>0</v>
      </c>
      <c r="S16" s="27" t="n">
        <f aca="false">SUM(S10:S15)</f>
        <v>0</v>
      </c>
      <c r="T16" s="1"/>
      <c r="U16" s="1"/>
      <c r="V16" s="1"/>
      <c r="W16" s="1" t="str">
        <f aca="false">IF(Projects!B14="","",Projects!B14)</f>
        <v/>
      </c>
      <c r="X16" s="1" t="n">
        <f aca="false">IF(W16="",0,SUMIFS($I$7:$I$256,$D$7:$D$256,W16,$H$7:$H$256,"NTIME"))</f>
        <v>0</v>
      </c>
      <c r="Y16" s="1" t="n">
        <f aca="false">IF(W16="",0,SUMIFS($I$7:$I$256,$D$7:$D$256,W16,$H$7:$H$256,"P6"))</f>
        <v>0</v>
      </c>
      <c r="Z16" s="1" t="n">
        <f aca="false">X16+Y16</f>
        <v>0</v>
      </c>
      <c r="AA16" s="1" t="n">
        <f aca="false">IF(Z16&gt;0,Z16+(201-10)/10^6,0)</f>
        <v>0</v>
      </c>
      <c r="AB16" s="1"/>
      <c r="AC16" s="1"/>
      <c r="AD16" s="1"/>
      <c r="AE16" s="1"/>
      <c r="AF16" s="1" t="n">
        <f aca="false">SUM(AF10:AF15)</f>
        <v>0</v>
      </c>
      <c r="AG16" s="1" t="n">
        <f aca="false">SUM(AG10:AG15)</f>
        <v>0</v>
      </c>
      <c r="AH16" s="1" t="n">
        <f aca="false">SUM(AH10:AH15)</f>
        <v>0</v>
      </c>
    </row>
    <row r="17" customFormat="false" ht="15" hidden="false" customHeight="false" outlineLevel="0" collapsed="false">
      <c r="A17" s="1"/>
      <c r="B17" s="10"/>
      <c r="C17" s="31" t="str">
        <f aca="false">IF(B17="","",TEXT(B17,"ddd"))</f>
        <v/>
      </c>
      <c r="D17" s="11"/>
      <c r="E17" s="8" t="str">
        <f aca="false">IF(D17="","",IFERROR(INDEX(ProjNumbers,MATCH(D17,ProjNames,0)),""))</f>
        <v/>
      </c>
      <c r="F17" s="8" t="str">
        <f aca="false">IF(D17="","",IFERROR(INDEX(ProjCodes,MATCH(D17,ProjNames,0)),""))</f>
        <v/>
      </c>
      <c r="G17" s="32"/>
      <c r="H17" s="11"/>
      <c r="I17" s="33"/>
      <c r="J17" s="8" t="str">
        <f aca="false">IF(COUNTA(B17,D17,G17,H17,I17)=0,"",IF(B17="","Enter date",IF(OR(B17&lt;$AC$2,B17&gt;$AC$3),"Date not in December",IF(D17="","Pick project",IF(ISNA(MATCH(D17,ProjNames,0)),"Project not in list",IF(G17="","Add task description",IF(H17="","Pick NTIME or P6",IF(N(I17)&lt;=0,"Enter hours",IF(AND(AllowOT&lt;&gt;"Yes",SUMIF($B$7:$B$256,B17,$I$7:$I$256)&gt;INDEX($O$58:$O$88,DAY(B17))),"Day over "&amp;INDEX($O$58:$O$88,DAY(B17))&amp;" h","✓")))))))))</f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tr">
        <f aca="false">IF(Projects!B15="","",Projects!B15)</f>
        <v/>
      </c>
      <c r="X17" s="1" t="n">
        <f aca="false">IF(W17="",0,SUMIFS($I$7:$I$256,$D$7:$D$256,W17,$H$7:$H$256,"NTIME"))</f>
        <v>0</v>
      </c>
      <c r="Y17" s="1" t="n">
        <f aca="false">IF(W17="",0,SUMIFS($I$7:$I$256,$D$7:$D$256,W17,$H$7:$H$256,"P6"))</f>
        <v>0</v>
      </c>
      <c r="Z17" s="1" t="n">
        <f aca="false">X17+Y17</f>
        <v>0</v>
      </c>
      <c r="AA17" s="1" t="n">
        <f aca="false">IF(Z17&gt;0,Z17+(201-11)/10^6,0)</f>
        <v>0</v>
      </c>
      <c r="AB17" s="1"/>
      <c r="AC17" s="1"/>
      <c r="AD17" s="1"/>
      <c r="AE17" s="1"/>
      <c r="AF17" s="1"/>
      <c r="AG17" s="1"/>
      <c r="AH17" s="1"/>
    </row>
    <row r="18" customFormat="false" ht="15" hidden="false" customHeight="false" outlineLevel="0" collapsed="false">
      <c r="A18" s="1"/>
      <c r="B18" s="10"/>
      <c r="C18" s="31" t="str">
        <f aca="false">IF(B18="","",TEXT(B18,"ddd"))</f>
        <v/>
      </c>
      <c r="D18" s="11"/>
      <c r="E18" s="8" t="str">
        <f aca="false">IF(D18="","",IFERROR(INDEX(ProjNumbers,MATCH(D18,ProjNames,0)),""))</f>
        <v/>
      </c>
      <c r="F18" s="8" t="str">
        <f aca="false">IF(D18="","",IFERROR(INDEX(ProjCodes,MATCH(D18,ProjNames,0)),""))</f>
        <v/>
      </c>
      <c r="G18" s="32"/>
      <c r="H18" s="11"/>
      <c r="I18" s="33"/>
      <c r="J18" s="8" t="str">
        <f aca="false">IF(COUNTA(B18,D18,G18,H18,I18)=0,"",IF(B18="","Enter date",IF(OR(B18&lt;$AC$2,B18&gt;$AC$3),"Date not in December",IF(D18="","Pick project",IF(ISNA(MATCH(D18,ProjNames,0)),"Project not in list",IF(G18="","Add task description",IF(H18="","Pick NTIME or P6",IF(N(I18)&lt;=0,"Enter hours",IF(AND(AllowOT&lt;&gt;"Yes",SUMIF($B$7:$B$256,B18,$I$7:$I$256)&gt;INDEX($O$58:$O$88,DAY(B18))),"Day over "&amp;INDEX($O$58:$O$88,DAY(B18))&amp;" h","✓")))))))))</f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tr">
        <f aca="false">IF(Projects!B16="","",Projects!B16)</f>
        <v/>
      </c>
      <c r="X18" s="1" t="n">
        <f aca="false">IF(W18="",0,SUMIFS($I$7:$I$256,$D$7:$D$256,W18,$H$7:$H$256,"NTIME"))</f>
        <v>0</v>
      </c>
      <c r="Y18" s="1" t="n">
        <f aca="false">IF(W18="",0,SUMIFS($I$7:$I$256,$D$7:$D$256,W18,$H$7:$H$256,"P6"))</f>
        <v>0</v>
      </c>
      <c r="Z18" s="1" t="n">
        <f aca="false">X18+Y18</f>
        <v>0</v>
      </c>
      <c r="AA18" s="1" t="n">
        <f aca="false">IF(Z18&gt;0,Z18+(201-12)/10^6,0)</f>
        <v>0</v>
      </c>
      <c r="AB18" s="1"/>
      <c r="AC18" s="1"/>
      <c r="AD18" s="1"/>
      <c r="AE18" s="1"/>
      <c r="AF18" s="1"/>
      <c r="AG18" s="1"/>
      <c r="AH18" s="1"/>
    </row>
    <row r="19" customFormat="false" ht="15" hidden="false" customHeight="false" outlineLevel="0" collapsed="false">
      <c r="A19" s="1"/>
      <c r="B19" s="10"/>
      <c r="C19" s="31" t="str">
        <f aca="false">IF(B19="","",TEXT(B19,"ddd"))</f>
        <v/>
      </c>
      <c r="D19" s="11"/>
      <c r="E19" s="8" t="str">
        <f aca="false">IF(D19="","",IFERROR(INDEX(ProjNumbers,MATCH(D19,ProjNames,0)),""))</f>
        <v/>
      </c>
      <c r="F19" s="8" t="str">
        <f aca="false">IF(D19="","",IFERROR(INDEX(ProjCodes,MATCH(D19,ProjNames,0)),""))</f>
        <v/>
      </c>
      <c r="G19" s="32"/>
      <c r="H19" s="11"/>
      <c r="I19" s="33"/>
      <c r="J19" s="8" t="str">
        <f aca="false">IF(COUNTA(B19,D19,G19,H19,I19)=0,"",IF(B19="","Enter date",IF(OR(B19&lt;$AC$2,B19&gt;$AC$3),"Date not in December",IF(D19="","Pick project",IF(ISNA(MATCH(D19,ProjNames,0)),"Project not in list",IF(G19="","Add task description",IF(H19="","Pick NTIME or P6",IF(N(I19)&lt;=0,"Enter hours",IF(AND(AllowOT&lt;&gt;"Yes",SUMIF($B$7:$B$256,B19,$I$7:$I$256)&gt;INDEX($O$58:$O$88,DAY(B19))),"Day over "&amp;INDEX($O$58:$O$88,DAY(B19))&amp;" h","✓")))))))))</f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tr">
        <f aca="false">IF(Projects!B17="","",Projects!B17)</f>
        <v/>
      </c>
      <c r="X19" s="1" t="n">
        <f aca="false">IF(W19="",0,SUMIFS($I$7:$I$256,$D$7:$D$256,W19,$H$7:$H$256,"NTIME"))</f>
        <v>0</v>
      </c>
      <c r="Y19" s="1" t="n">
        <f aca="false">IF(W19="",0,SUMIFS($I$7:$I$256,$D$7:$D$256,W19,$H$7:$H$256,"P6"))</f>
        <v>0</v>
      </c>
      <c r="Z19" s="1" t="n">
        <f aca="false">X19+Y19</f>
        <v>0</v>
      </c>
      <c r="AA19" s="1" t="n">
        <f aca="false">IF(Z19&gt;0,Z19+(201-13)/10^6,0)</f>
        <v>0</v>
      </c>
      <c r="AB19" s="1"/>
      <c r="AC19" s="1"/>
      <c r="AD19" s="1"/>
      <c r="AE19" s="1"/>
      <c r="AF19" s="1"/>
      <c r="AG19" s="1"/>
      <c r="AH19" s="1"/>
    </row>
    <row r="20" customFormat="false" ht="15" hidden="false" customHeight="false" outlineLevel="0" collapsed="false">
      <c r="A20" s="1"/>
      <c r="B20" s="10"/>
      <c r="C20" s="31" t="str">
        <f aca="false">IF(B20="","",TEXT(B20,"ddd"))</f>
        <v/>
      </c>
      <c r="D20" s="11"/>
      <c r="E20" s="8" t="str">
        <f aca="false">IF(D20="","",IFERROR(INDEX(ProjNumbers,MATCH(D20,ProjNames,0)),""))</f>
        <v/>
      </c>
      <c r="F20" s="8" t="str">
        <f aca="false">IF(D20="","",IFERROR(INDEX(ProjCodes,MATCH(D20,ProjNames,0)),""))</f>
        <v/>
      </c>
      <c r="G20" s="32"/>
      <c r="H20" s="11"/>
      <c r="I20" s="33"/>
      <c r="J20" s="8" t="str">
        <f aca="false">IF(COUNTA(B20,D20,G20,H20,I20)=0,"",IF(B20="","Enter date",IF(OR(B20&lt;$AC$2,B20&gt;$AC$3),"Date not in December",IF(D20="","Pick project",IF(ISNA(MATCH(D20,ProjNames,0)),"Project not in list",IF(G20="","Add task description",IF(H20="","Pick NTIME or P6",IF(N(I20)&lt;=0,"Enter hours",IF(AND(AllowOT&lt;&gt;"Yes",SUMIF($B$7:$B$256,B20,$I$7:$I$256)&gt;INDEX($O$58:$O$88,DAY(B20))),"Day over "&amp;INDEX($O$58:$O$88,DAY(B20))&amp;" h","✓")))))))))</f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tr">
        <f aca="false">IF(Projects!B18="","",Projects!B18)</f>
        <v/>
      </c>
      <c r="X20" s="1" t="n">
        <f aca="false">IF(W20="",0,SUMIFS($I$7:$I$256,$D$7:$D$256,W20,$H$7:$H$256,"NTIME"))</f>
        <v>0</v>
      </c>
      <c r="Y20" s="1" t="n">
        <f aca="false">IF(W20="",0,SUMIFS($I$7:$I$256,$D$7:$D$256,W20,$H$7:$H$256,"P6"))</f>
        <v>0</v>
      </c>
      <c r="Z20" s="1" t="n">
        <f aca="false">X20+Y20</f>
        <v>0</v>
      </c>
      <c r="AA20" s="1" t="n">
        <f aca="false">IF(Z20&gt;0,Z20+(201-14)/10^6,0)</f>
        <v>0</v>
      </c>
      <c r="AB20" s="1"/>
      <c r="AC20" s="1"/>
      <c r="AD20" s="1"/>
      <c r="AE20" s="1"/>
      <c r="AF20" s="1"/>
      <c r="AG20" s="1"/>
      <c r="AH20" s="1"/>
    </row>
    <row r="21" customFormat="false" ht="15" hidden="false" customHeight="false" outlineLevel="0" collapsed="false">
      <c r="A21" s="1"/>
      <c r="B21" s="10"/>
      <c r="C21" s="31" t="str">
        <f aca="false">IF(B21="","",TEXT(B21,"ddd"))</f>
        <v/>
      </c>
      <c r="D21" s="11"/>
      <c r="E21" s="8" t="str">
        <f aca="false">IF(D21="","",IFERROR(INDEX(ProjNumbers,MATCH(D21,ProjNames,0)),""))</f>
        <v/>
      </c>
      <c r="F21" s="8" t="str">
        <f aca="false">IF(D21="","",IFERROR(INDEX(ProjCodes,MATCH(D21,ProjNames,0)),""))</f>
        <v/>
      </c>
      <c r="G21" s="32"/>
      <c r="H21" s="11"/>
      <c r="I21" s="33"/>
      <c r="J21" s="8" t="str">
        <f aca="false">IF(COUNTA(B21,D21,G21,H21,I21)=0,"",IF(B21="","Enter date",IF(OR(B21&lt;$AC$2,B21&gt;$AC$3),"Date not in December",IF(D21="","Pick project",IF(ISNA(MATCH(D21,ProjNames,0)),"Project not in list",IF(G21="","Add task description",IF(H21="","Pick NTIME or P6",IF(N(I21)&lt;=0,"Enter hours",IF(AND(AllowOT&lt;&gt;"Yes",SUMIF($B$7:$B$256,B21,$I$7:$I$256)&gt;INDEX($O$58:$O$88,DAY(B21))),"Day over "&amp;INDEX($O$58:$O$88,DAY(B21))&amp;" h","✓")))))))))</f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tr">
        <f aca="false">IF(Projects!B19="","",Projects!B19)</f>
        <v/>
      </c>
      <c r="X21" s="1" t="n">
        <f aca="false">IF(W21="",0,SUMIFS($I$7:$I$256,$D$7:$D$256,W21,$H$7:$H$256,"NTIME"))</f>
        <v>0</v>
      </c>
      <c r="Y21" s="1" t="n">
        <f aca="false">IF(W21="",0,SUMIFS($I$7:$I$256,$D$7:$D$256,W21,$H$7:$H$256,"P6"))</f>
        <v>0</v>
      </c>
      <c r="Z21" s="1" t="n">
        <f aca="false">X21+Y21</f>
        <v>0</v>
      </c>
      <c r="AA21" s="1" t="n">
        <f aca="false">IF(Z21&gt;0,Z21+(201-15)/10^6,0)</f>
        <v>0</v>
      </c>
      <c r="AB21" s="1"/>
      <c r="AC21" s="1"/>
      <c r="AD21" s="1"/>
      <c r="AE21" s="1"/>
      <c r="AF21" s="1"/>
      <c r="AG21" s="1"/>
      <c r="AH21" s="1"/>
    </row>
    <row r="22" customFormat="false" ht="15" hidden="false" customHeight="false" outlineLevel="0" collapsed="false">
      <c r="A22" s="1"/>
      <c r="B22" s="10"/>
      <c r="C22" s="31" t="str">
        <f aca="false">IF(B22="","",TEXT(B22,"ddd"))</f>
        <v/>
      </c>
      <c r="D22" s="11"/>
      <c r="E22" s="8" t="str">
        <f aca="false">IF(D22="","",IFERROR(INDEX(ProjNumbers,MATCH(D22,ProjNames,0)),""))</f>
        <v/>
      </c>
      <c r="F22" s="8" t="str">
        <f aca="false">IF(D22="","",IFERROR(INDEX(ProjCodes,MATCH(D22,ProjNames,0)),""))</f>
        <v/>
      </c>
      <c r="G22" s="32"/>
      <c r="H22" s="11"/>
      <c r="I22" s="33"/>
      <c r="J22" s="8" t="str">
        <f aca="false">IF(COUNTA(B22,D22,G22,H22,I22)=0,"",IF(B22="","Enter date",IF(OR(B22&lt;$AC$2,B22&gt;$AC$3),"Date not in December",IF(D22="","Pick project",IF(ISNA(MATCH(D22,ProjNames,0)),"Project not in list",IF(G22="","Add task description",IF(H22="","Pick NTIME or P6",IF(N(I22)&lt;=0,"Enter hours",IF(AND(AllowOT&lt;&gt;"Yes",SUMIF($B$7:$B$256,B22,$I$7:$I$256)&gt;INDEX($O$58:$O$88,DAY(B22))),"Day over "&amp;INDEX($O$58:$O$88,DAY(B22))&amp;" h","✓")))))))))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tr">
        <f aca="false">IF(Projects!B20="","",Projects!B20)</f>
        <v/>
      </c>
      <c r="X22" s="1" t="n">
        <f aca="false">IF(W22="",0,SUMIFS($I$7:$I$256,$D$7:$D$256,W22,$H$7:$H$256,"NTIME"))</f>
        <v>0</v>
      </c>
      <c r="Y22" s="1" t="n">
        <f aca="false">IF(W22="",0,SUMIFS($I$7:$I$256,$D$7:$D$256,W22,$H$7:$H$256,"P6"))</f>
        <v>0</v>
      </c>
      <c r="Z22" s="1" t="n">
        <f aca="false">X22+Y22</f>
        <v>0</v>
      </c>
      <c r="AA22" s="1" t="n">
        <f aca="false">IF(Z22&gt;0,Z22+(201-16)/10^6,0)</f>
        <v>0</v>
      </c>
      <c r="AB22" s="1"/>
      <c r="AC22" s="1"/>
      <c r="AD22" s="1"/>
      <c r="AE22" s="1"/>
      <c r="AF22" s="1"/>
      <c r="AG22" s="1"/>
      <c r="AH22" s="1"/>
    </row>
    <row r="23" customFormat="false" ht="15" hidden="false" customHeight="false" outlineLevel="0" collapsed="false">
      <c r="A23" s="1"/>
      <c r="B23" s="10"/>
      <c r="C23" s="31" t="str">
        <f aca="false">IF(B23="","",TEXT(B23,"ddd"))</f>
        <v/>
      </c>
      <c r="D23" s="11"/>
      <c r="E23" s="8" t="str">
        <f aca="false">IF(D23="","",IFERROR(INDEX(ProjNumbers,MATCH(D23,ProjNames,0)),""))</f>
        <v/>
      </c>
      <c r="F23" s="8" t="str">
        <f aca="false">IF(D23="","",IFERROR(INDEX(ProjCodes,MATCH(D23,ProjNames,0)),""))</f>
        <v/>
      </c>
      <c r="G23" s="32"/>
      <c r="H23" s="11"/>
      <c r="I23" s="33"/>
      <c r="J23" s="8" t="str">
        <f aca="false">IF(COUNTA(B23,D23,G23,H23,I23)=0,"",IF(B23="","Enter date",IF(OR(B23&lt;$AC$2,B23&gt;$AC$3),"Date not in December",IF(D23="","Pick project",IF(ISNA(MATCH(D23,ProjNames,0)),"Project not in list",IF(G23="","Add task description",IF(H23="","Pick NTIME or P6",IF(N(I23)&lt;=0,"Enter hours",IF(AND(AllowOT&lt;&gt;"Yes",SUMIF($B$7:$B$256,B23,$I$7:$I$256)&gt;INDEX($O$58:$O$88,DAY(B23))),"Day over "&amp;INDEX($O$58:$O$88,DAY(B23))&amp;" h","✓")))))))))</f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tr">
        <f aca="false">IF(Projects!B21="","",Projects!B21)</f>
        <v/>
      </c>
      <c r="X23" s="1" t="n">
        <f aca="false">IF(W23="",0,SUMIFS($I$7:$I$256,$D$7:$D$256,W23,$H$7:$H$256,"NTIME"))</f>
        <v>0</v>
      </c>
      <c r="Y23" s="1" t="n">
        <f aca="false">IF(W23="",0,SUMIFS($I$7:$I$256,$D$7:$D$256,W23,$H$7:$H$256,"P6"))</f>
        <v>0</v>
      </c>
      <c r="Z23" s="1" t="n">
        <f aca="false">X23+Y23</f>
        <v>0</v>
      </c>
      <c r="AA23" s="1" t="n">
        <f aca="false">IF(Z23&gt;0,Z23+(201-17)/10^6,0)</f>
        <v>0</v>
      </c>
      <c r="AB23" s="1"/>
      <c r="AC23" s="1"/>
      <c r="AD23" s="1"/>
      <c r="AE23" s="1"/>
      <c r="AF23" s="1"/>
      <c r="AG23" s="1"/>
      <c r="AH23" s="1"/>
    </row>
    <row r="24" customFormat="false" ht="15" hidden="false" customHeight="false" outlineLevel="0" collapsed="false">
      <c r="A24" s="1"/>
      <c r="B24" s="10"/>
      <c r="C24" s="31" t="str">
        <f aca="false">IF(B24="","",TEXT(B24,"ddd"))</f>
        <v/>
      </c>
      <c r="D24" s="11"/>
      <c r="E24" s="8" t="str">
        <f aca="false">IF(D24="","",IFERROR(INDEX(ProjNumbers,MATCH(D24,ProjNames,0)),""))</f>
        <v/>
      </c>
      <c r="F24" s="8" t="str">
        <f aca="false">IF(D24="","",IFERROR(INDEX(ProjCodes,MATCH(D24,ProjNames,0)),""))</f>
        <v/>
      </c>
      <c r="G24" s="32"/>
      <c r="H24" s="11"/>
      <c r="I24" s="33"/>
      <c r="J24" s="8" t="str">
        <f aca="false">IF(COUNTA(B24,D24,G24,H24,I24)=0,"",IF(B24="","Enter date",IF(OR(B24&lt;$AC$2,B24&gt;$AC$3),"Date not in December",IF(D24="","Pick project",IF(ISNA(MATCH(D24,ProjNames,0)),"Project not in list",IF(G24="","Add task description",IF(H24="","Pick NTIME or P6",IF(N(I24)&lt;=0,"Enter hours",IF(AND(AllowOT&lt;&gt;"Yes",SUMIF($B$7:$B$256,B24,$I$7:$I$256)&gt;INDEX($O$58:$O$88,DAY(B24))),"Day over "&amp;INDEX($O$58:$O$88,DAY(B24))&amp;" h","✓")))))))))</f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tr">
        <f aca="false">IF(Projects!B22="","",Projects!B22)</f>
        <v/>
      </c>
      <c r="X24" s="1" t="n">
        <f aca="false">IF(W24="",0,SUMIFS($I$7:$I$256,$D$7:$D$256,W24,$H$7:$H$256,"NTIME"))</f>
        <v>0</v>
      </c>
      <c r="Y24" s="1" t="n">
        <f aca="false">IF(W24="",0,SUMIFS($I$7:$I$256,$D$7:$D$256,W24,$H$7:$H$256,"P6"))</f>
        <v>0</v>
      </c>
      <c r="Z24" s="1" t="n">
        <f aca="false">X24+Y24</f>
        <v>0</v>
      </c>
      <c r="AA24" s="1" t="n">
        <f aca="false">IF(Z24&gt;0,Z24+(201-18)/10^6,0)</f>
        <v>0</v>
      </c>
      <c r="AB24" s="1"/>
      <c r="AC24" s="1"/>
      <c r="AD24" s="1"/>
      <c r="AE24" s="1"/>
      <c r="AF24" s="1"/>
      <c r="AG24" s="1"/>
      <c r="AH24" s="1"/>
    </row>
    <row r="25" customFormat="false" ht="15" hidden="false" customHeight="false" outlineLevel="0" collapsed="false">
      <c r="A25" s="1"/>
      <c r="B25" s="10"/>
      <c r="C25" s="31" t="str">
        <f aca="false">IF(B25="","",TEXT(B25,"ddd"))</f>
        <v/>
      </c>
      <c r="D25" s="11"/>
      <c r="E25" s="8" t="str">
        <f aca="false">IF(D25="","",IFERROR(INDEX(ProjNumbers,MATCH(D25,ProjNames,0)),""))</f>
        <v/>
      </c>
      <c r="F25" s="8" t="str">
        <f aca="false">IF(D25="","",IFERROR(INDEX(ProjCodes,MATCH(D25,ProjNames,0)),""))</f>
        <v/>
      </c>
      <c r="G25" s="32"/>
      <c r="H25" s="11"/>
      <c r="I25" s="33"/>
      <c r="J25" s="8" t="str">
        <f aca="false">IF(COUNTA(B25,D25,G25,H25,I25)=0,"",IF(B25="","Enter date",IF(OR(B25&lt;$AC$2,B25&gt;$AC$3),"Date not in December",IF(D25="","Pick project",IF(ISNA(MATCH(D25,ProjNames,0)),"Project not in list",IF(G25="","Add task description",IF(H25="","Pick NTIME or P6",IF(N(I25)&lt;=0,"Enter hours",IF(AND(AllowOT&lt;&gt;"Yes",SUMIF($B$7:$B$256,B25,$I$7:$I$256)&gt;INDEX($O$58:$O$88,DAY(B25))),"Day over "&amp;INDEX($O$58:$O$88,DAY(B25))&amp;" h","✓")))))))))</f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tr">
        <f aca="false">IF(Projects!B23="","",Projects!B23)</f>
        <v/>
      </c>
      <c r="X25" s="1" t="n">
        <f aca="false">IF(W25="",0,SUMIFS($I$7:$I$256,$D$7:$D$256,W25,$H$7:$H$256,"NTIME"))</f>
        <v>0</v>
      </c>
      <c r="Y25" s="1" t="n">
        <f aca="false">IF(W25="",0,SUMIFS($I$7:$I$256,$D$7:$D$256,W25,$H$7:$H$256,"P6"))</f>
        <v>0</v>
      </c>
      <c r="Z25" s="1" t="n">
        <f aca="false">X25+Y25</f>
        <v>0</v>
      </c>
      <c r="AA25" s="1" t="n">
        <f aca="false">IF(Z25&gt;0,Z25+(201-19)/10^6,0)</f>
        <v>0</v>
      </c>
      <c r="AB25" s="1"/>
      <c r="AC25" s="1"/>
      <c r="AD25" s="1"/>
      <c r="AE25" s="1"/>
      <c r="AF25" s="1"/>
      <c r="AG25" s="1"/>
      <c r="AH25" s="1"/>
    </row>
    <row r="26" customFormat="false" ht="15" hidden="false" customHeight="false" outlineLevel="0" collapsed="false">
      <c r="A26" s="1"/>
      <c r="B26" s="10"/>
      <c r="C26" s="31" t="str">
        <f aca="false">IF(B26="","",TEXT(B26,"ddd"))</f>
        <v/>
      </c>
      <c r="D26" s="11"/>
      <c r="E26" s="8" t="str">
        <f aca="false">IF(D26="","",IFERROR(INDEX(ProjNumbers,MATCH(D26,ProjNames,0)),""))</f>
        <v/>
      </c>
      <c r="F26" s="8" t="str">
        <f aca="false">IF(D26="","",IFERROR(INDEX(ProjCodes,MATCH(D26,ProjNames,0)),""))</f>
        <v/>
      </c>
      <c r="G26" s="32"/>
      <c r="H26" s="11"/>
      <c r="I26" s="33"/>
      <c r="J26" s="8" t="str">
        <f aca="false">IF(COUNTA(B26,D26,G26,H26,I26)=0,"",IF(B26="","Enter date",IF(OR(B26&lt;$AC$2,B26&gt;$AC$3),"Date not in December",IF(D26="","Pick project",IF(ISNA(MATCH(D26,ProjNames,0)),"Project not in list",IF(G26="","Add task description",IF(H26="","Pick NTIME or P6",IF(N(I26)&lt;=0,"Enter hours",IF(AND(AllowOT&lt;&gt;"Yes",SUMIF($B$7:$B$256,B26,$I$7:$I$256)&gt;INDEX($O$58:$O$88,DAY(B26))),"Day over "&amp;INDEX($O$58:$O$88,DAY(B26))&amp;" h","✓")))))))))</f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tr">
        <f aca="false">IF(Projects!B24="","",Projects!B24)</f>
        <v/>
      </c>
      <c r="X26" s="1" t="n">
        <f aca="false">IF(W26="",0,SUMIFS($I$7:$I$256,$D$7:$D$256,W26,$H$7:$H$256,"NTIME"))</f>
        <v>0</v>
      </c>
      <c r="Y26" s="1" t="n">
        <f aca="false">IF(W26="",0,SUMIFS($I$7:$I$256,$D$7:$D$256,W26,$H$7:$H$256,"P6"))</f>
        <v>0</v>
      </c>
      <c r="Z26" s="1" t="n">
        <f aca="false">X26+Y26</f>
        <v>0</v>
      </c>
      <c r="AA26" s="1" t="n">
        <f aca="false">IF(Z26&gt;0,Z26+(201-20)/10^6,0)</f>
        <v>0</v>
      </c>
      <c r="AB26" s="1"/>
      <c r="AC26" s="1"/>
      <c r="AD26" s="1"/>
      <c r="AE26" s="1"/>
      <c r="AF26" s="1"/>
      <c r="AG26" s="1"/>
      <c r="AH26" s="1"/>
    </row>
    <row r="27" customFormat="false" ht="15" hidden="false" customHeight="false" outlineLevel="0" collapsed="false">
      <c r="A27" s="1"/>
      <c r="B27" s="10"/>
      <c r="C27" s="31" t="str">
        <f aca="false">IF(B27="","",TEXT(B27,"ddd"))</f>
        <v/>
      </c>
      <c r="D27" s="11"/>
      <c r="E27" s="8" t="str">
        <f aca="false">IF(D27="","",IFERROR(INDEX(ProjNumbers,MATCH(D27,ProjNames,0)),""))</f>
        <v/>
      </c>
      <c r="F27" s="8" t="str">
        <f aca="false">IF(D27="","",IFERROR(INDEX(ProjCodes,MATCH(D27,ProjNames,0)),""))</f>
        <v/>
      </c>
      <c r="G27" s="32"/>
      <c r="H27" s="11"/>
      <c r="I27" s="33"/>
      <c r="J27" s="8" t="str">
        <f aca="false">IF(COUNTA(B27,D27,G27,H27,I27)=0,"",IF(B27="","Enter date",IF(OR(B27&lt;$AC$2,B27&gt;$AC$3),"Date not in December",IF(D27="","Pick project",IF(ISNA(MATCH(D27,ProjNames,0)),"Project not in list",IF(G27="","Add task description",IF(H27="","Pick NTIME or P6",IF(N(I27)&lt;=0,"Enter hours",IF(AND(AllowOT&lt;&gt;"Yes",SUMIF($B$7:$B$256,B27,$I$7:$I$256)&gt;INDEX($O$58:$O$88,DAY(B27))),"Day over "&amp;INDEX($O$58:$O$88,DAY(B27))&amp;" h","✓")))))))))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tr">
        <f aca="false">IF(Projects!B25="","",Projects!B25)</f>
        <v/>
      </c>
      <c r="X27" s="1" t="n">
        <f aca="false">IF(W27="",0,SUMIFS($I$7:$I$256,$D$7:$D$256,W27,$H$7:$H$256,"NTIME"))</f>
        <v>0</v>
      </c>
      <c r="Y27" s="1" t="n">
        <f aca="false">IF(W27="",0,SUMIFS($I$7:$I$256,$D$7:$D$256,W27,$H$7:$H$256,"P6"))</f>
        <v>0</v>
      </c>
      <c r="Z27" s="1" t="n">
        <f aca="false">X27+Y27</f>
        <v>0</v>
      </c>
      <c r="AA27" s="1" t="n">
        <f aca="false">IF(Z27&gt;0,Z27+(201-21)/10^6,0)</f>
        <v>0</v>
      </c>
      <c r="AB27" s="1"/>
      <c r="AC27" s="1"/>
      <c r="AD27" s="1"/>
      <c r="AE27" s="1"/>
      <c r="AF27" s="1"/>
      <c r="AG27" s="1"/>
      <c r="AH27" s="1"/>
    </row>
    <row r="28" customFormat="false" ht="15" hidden="false" customHeight="false" outlineLevel="0" collapsed="false">
      <c r="A28" s="1"/>
      <c r="B28" s="10"/>
      <c r="C28" s="31" t="str">
        <f aca="false">IF(B28="","",TEXT(B28,"ddd"))</f>
        <v/>
      </c>
      <c r="D28" s="11"/>
      <c r="E28" s="8" t="str">
        <f aca="false">IF(D28="","",IFERROR(INDEX(ProjNumbers,MATCH(D28,ProjNames,0)),""))</f>
        <v/>
      </c>
      <c r="F28" s="8" t="str">
        <f aca="false">IF(D28="","",IFERROR(INDEX(ProjCodes,MATCH(D28,ProjNames,0)),""))</f>
        <v/>
      </c>
      <c r="G28" s="32"/>
      <c r="H28" s="11"/>
      <c r="I28" s="33"/>
      <c r="J28" s="8" t="str">
        <f aca="false">IF(COUNTA(B28,D28,G28,H28,I28)=0,"",IF(B28="","Enter date",IF(OR(B28&lt;$AC$2,B28&gt;$AC$3),"Date not in December",IF(D28="","Pick project",IF(ISNA(MATCH(D28,ProjNames,0)),"Project not in list",IF(G28="","Add task description",IF(H28="","Pick NTIME or P6",IF(N(I28)&lt;=0,"Enter hours",IF(AND(AllowOT&lt;&gt;"Yes",SUMIF($B$7:$B$256,B28,$I$7:$I$256)&gt;INDEX($O$58:$O$88,DAY(B28))),"Day over "&amp;INDEX($O$58:$O$88,DAY(B28))&amp;" h","✓")))))))))</f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tr">
        <f aca="false">IF(Projects!B26="","",Projects!B26)</f>
        <v/>
      </c>
      <c r="X28" s="1" t="n">
        <f aca="false">IF(W28="",0,SUMIFS($I$7:$I$256,$D$7:$D$256,W28,$H$7:$H$256,"NTIME"))</f>
        <v>0</v>
      </c>
      <c r="Y28" s="1" t="n">
        <f aca="false">IF(W28="",0,SUMIFS($I$7:$I$256,$D$7:$D$256,W28,$H$7:$H$256,"P6"))</f>
        <v>0</v>
      </c>
      <c r="Z28" s="1" t="n">
        <f aca="false">X28+Y28</f>
        <v>0</v>
      </c>
      <c r="AA28" s="1" t="n">
        <f aca="false">IF(Z28&gt;0,Z28+(201-22)/10^6,0)</f>
        <v>0</v>
      </c>
      <c r="AB28" s="1"/>
      <c r="AC28" s="1"/>
      <c r="AD28" s="1"/>
      <c r="AE28" s="1"/>
      <c r="AF28" s="1"/>
      <c r="AG28" s="1"/>
      <c r="AH28" s="1"/>
    </row>
    <row r="29" customFormat="false" ht="15" hidden="false" customHeight="false" outlineLevel="0" collapsed="false">
      <c r="A29" s="1"/>
      <c r="B29" s="10"/>
      <c r="C29" s="31" t="str">
        <f aca="false">IF(B29="","",TEXT(B29,"ddd"))</f>
        <v/>
      </c>
      <c r="D29" s="11"/>
      <c r="E29" s="8" t="str">
        <f aca="false">IF(D29="","",IFERROR(INDEX(ProjNumbers,MATCH(D29,ProjNames,0)),""))</f>
        <v/>
      </c>
      <c r="F29" s="8" t="str">
        <f aca="false">IF(D29="","",IFERROR(INDEX(ProjCodes,MATCH(D29,ProjNames,0)),""))</f>
        <v/>
      </c>
      <c r="G29" s="32"/>
      <c r="H29" s="11"/>
      <c r="I29" s="33"/>
      <c r="J29" s="8" t="str">
        <f aca="false">IF(COUNTA(B29,D29,G29,H29,I29)=0,"",IF(B29="","Enter date",IF(OR(B29&lt;$AC$2,B29&gt;$AC$3),"Date not in December",IF(D29="","Pick project",IF(ISNA(MATCH(D29,ProjNames,0)),"Project not in list",IF(G29="","Add task description",IF(H29="","Pick NTIME or P6",IF(N(I29)&lt;=0,"Enter hours",IF(AND(AllowOT&lt;&gt;"Yes",SUMIF($B$7:$B$256,B29,$I$7:$I$256)&gt;INDEX($O$58:$O$88,DAY(B29))),"Day over "&amp;INDEX($O$58:$O$88,DAY(B29))&amp;" h","✓")))))))))</f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tr">
        <f aca="false">IF(Projects!B27="","",Projects!B27)</f>
        <v/>
      </c>
      <c r="X29" s="1" t="n">
        <f aca="false">IF(W29="",0,SUMIFS($I$7:$I$256,$D$7:$D$256,W29,$H$7:$H$256,"NTIME"))</f>
        <v>0</v>
      </c>
      <c r="Y29" s="1" t="n">
        <f aca="false">IF(W29="",0,SUMIFS($I$7:$I$256,$D$7:$D$256,W29,$H$7:$H$256,"P6"))</f>
        <v>0</v>
      </c>
      <c r="Z29" s="1" t="n">
        <f aca="false">X29+Y29</f>
        <v>0</v>
      </c>
      <c r="AA29" s="1" t="n">
        <f aca="false">IF(Z29&gt;0,Z29+(201-23)/10^6,0)</f>
        <v>0</v>
      </c>
      <c r="AB29" s="1"/>
      <c r="AC29" s="1"/>
      <c r="AD29" s="1"/>
      <c r="AE29" s="1"/>
      <c r="AF29" s="1"/>
      <c r="AG29" s="1"/>
      <c r="AH29" s="1"/>
    </row>
    <row r="30" customFormat="false" ht="15" hidden="false" customHeight="false" outlineLevel="0" collapsed="false">
      <c r="A30" s="1"/>
      <c r="B30" s="10"/>
      <c r="C30" s="31" t="str">
        <f aca="false">IF(B30="","",TEXT(B30,"ddd"))</f>
        <v/>
      </c>
      <c r="D30" s="11"/>
      <c r="E30" s="8" t="str">
        <f aca="false">IF(D30="","",IFERROR(INDEX(ProjNumbers,MATCH(D30,ProjNames,0)),""))</f>
        <v/>
      </c>
      <c r="F30" s="8" t="str">
        <f aca="false">IF(D30="","",IFERROR(INDEX(ProjCodes,MATCH(D30,ProjNames,0)),""))</f>
        <v/>
      </c>
      <c r="G30" s="32"/>
      <c r="H30" s="11"/>
      <c r="I30" s="33"/>
      <c r="J30" s="8" t="str">
        <f aca="false">IF(COUNTA(B30,D30,G30,H30,I30)=0,"",IF(B30="","Enter date",IF(OR(B30&lt;$AC$2,B30&gt;$AC$3),"Date not in December",IF(D30="","Pick project",IF(ISNA(MATCH(D30,ProjNames,0)),"Project not in list",IF(G30="","Add task description",IF(H30="","Pick NTIME or P6",IF(N(I30)&lt;=0,"Enter hours",IF(AND(AllowOT&lt;&gt;"Yes",SUMIF($B$7:$B$256,B30,$I$7:$I$256)&gt;INDEX($O$58:$O$88,DAY(B30))),"Day over "&amp;INDEX($O$58:$O$88,DAY(B30))&amp;" h","✓")))))))))</f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tr">
        <f aca="false">IF(Projects!B28="","",Projects!B28)</f>
        <v/>
      </c>
      <c r="X30" s="1" t="n">
        <f aca="false">IF(W30="",0,SUMIFS($I$7:$I$256,$D$7:$D$256,W30,$H$7:$H$256,"NTIME"))</f>
        <v>0</v>
      </c>
      <c r="Y30" s="1" t="n">
        <f aca="false">IF(W30="",0,SUMIFS($I$7:$I$256,$D$7:$D$256,W30,$H$7:$H$256,"P6"))</f>
        <v>0</v>
      </c>
      <c r="Z30" s="1" t="n">
        <f aca="false">X30+Y30</f>
        <v>0</v>
      </c>
      <c r="AA30" s="1" t="n">
        <f aca="false">IF(Z30&gt;0,Z30+(201-24)/10^6,0)</f>
        <v>0</v>
      </c>
      <c r="AB30" s="1"/>
      <c r="AC30" s="1"/>
      <c r="AD30" s="1"/>
      <c r="AE30" s="1"/>
      <c r="AF30" s="1"/>
      <c r="AG30" s="1"/>
      <c r="AH30" s="1"/>
    </row>
    <row r="31" customFormat="false" ht="15" hidden="false" customHeight="false" outlineLevel="0" collapsed="false">
      <c r="A31" s="1"/>
      <c r="B31" s="10"/>
      <c r="C31" s="31" t="str">
        <f aca="false">IF(B31="","",TEXT(B31,"ddd"))</f>
        <v/>
      </c>
      <c r="D31" s="11"/>
      <c r="E31" s="8" t="str">
        <f aca="false">IF(D31="","",IFERROR(INDEX(ProjNumbers,MATCH(D31,ProjNames,0)),""))</f>
        <v/>
      </c>
      <c r="F31" s="8" t="str">
        <f aca="false">IF(D31="","",IFERROR(INDEX(ProjCodes,MATCH(D31,ProjNames,0)),""))</f>
        <v/>
      </c>
      <c r="G31" s="32"/>
      <c r="H31" s="11"/>
      <c r="I31" s="33"/>
      <c r="J31" s="8" t="str">
        <f aca="false">IF(COUNTA(B31,D31,G31,H31,I31)=0,"",IF(B31="","Enter date",IF(OR(B31&lt;$AC$2,B31&gt;$AC$3),"Date not in December",IF(D31="","Pick project",IF(ISNA(MATCH(D31,ProjNames,0)),"Project not in list",IF(G31="","Add task description",IF(H31="","Pick NTIME or P6",IF(N(I31)&lt;=0,"Enter hours",IF(AND(AllowOT&lt;&gt;"Yes",SUMIF($B$7:$B$256,B31,$I$7:$I$256)&gt;INDEX($O$58:$O$88,DAY(B31))),"Day over "&amp;INDEX($O$58:$O$88,DAY(B31))&amp;" h","✓")))))))))</f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tr">
        <f aca="false">IF(Projects!B29="","",Projects!B29)</f>
        <v/>
      </c>
      <c r="X31" s="1" t="n">
        <f aca="false">IF(W31="",0,SUMIFS($I$7:$I$256,$D$7:$D$256,W31,$H$7:$H$256,"NTIME"))</f>
        <v>0</v>
      </c>
      <c r="Y31" s="1" t="n">
        <f aca="false">IF(W31="",0,SUMIFS($I$7:$I$256,$D$7:$D$256,W31,$H$7:$H$256,"P6"))</f>
        <v>0</v>
      </c>
      <c r="Z31" s="1" t="n">
        <f aca="false">X31+Y31</f>
        <v>0</v>
      </c>
      <c r="AA31" s="1" t="n">
        <f aca="false">IF(Z31&gt;0,Z31+(201-25)/10^6,0)</f>
        <v>0</v>
      </c>
      <c r="AB31" s="1"/>
      <c r="AC31" s="1"/>
      <c r="AD31" s="1"/>
      <c r="AE31" s="1"/>
      <c r="AF31" s="1"/>
      <c r="AG31" s="1"/>
      <c r="AH31" s="1"/>
    </row>
    <row r="32" customFormat="false" ht="15" hidden="false" customHeight="false" outlineLevel="0" collapsed="false">
      <c r="A32" s="1"/>
      <c r="B32" s="10"/>
      <c r="C32" s="31" t="str">
        <f aca="false">IF(B32="","",TEXT(B32,"ddd"))</f>
        <v/>
      </c>
      <c r="D32" s="11"/>
      <c r="E32" s="8" t="str">
        <f aca="false">IF(D32="","",IFERROR(INDEX(ProjNumbers,MATCH(D32,ProjNames,0)),""))</f>
        <v/>
      </c>
      <c r="F32" s="8" t="str">
        <f aca="false">IF(D32="","",IFERROR(INDEX(ProjCodes,MATCH(D32,ProjNames,0)),""))</f>
        <v/>
      </c>
      <c r="G32" s="32"/>
      <c r="H32" s="11"/>
      <c r="I32" s="33"/>
      <c r="J32" s="8" t="str">
        <f aca="false">IF(COUNTA(B32,D32,G32,H32,I32)=0,"",IF(B32="","Enter date",IF(OR(B32&lt;$AC$2,B32&gt;$AC$3),"Date not in December",IF(D32="","Pick project",IF(ISNA(MATCH(D32,ProjNames,0)),"Project not in list",IF(G32="","Add task description",IF(H32="","Pick NTIME or P6",IF(N(I32)&lt;=0,"Enter hours",IF(AND(AllowOT&lt;&gt;"Yes",SUMIF($B$7:$B$256,B32,$I$7:$I$256)&gt;INDEX($O$58:$O$88,DAY(B32))),"Day over "&amp;INDEX($O$58:$O$88,DAY(B32))&amp;" h","✓")))))))))</f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tr">
        <f aca="false">IF(Projects!B30="","",Projects!B30)</f>
        <v/>
      </c>
      <c r="X32" s="1" t="n">
        <f aca="false">IF(W32="",0,SUMIFS($I$7:$I$256,$D$7:$D$256,W32,$H$7:$H$256,"NTIME"))</f>
        <v>0</v>
      </c>
      <c r="Y32" s="1" t="n">
        <f aca="false">IF(W32="",0,SUMIFS($I$7:$I$256,$D$7:$D$256,W32,$H$7:$H$256,"P6"))</f>
        <v>0</v>
      </c>
      <c r="Z32" s="1" t="n">
        <f aca="false">X32+Y32</f>
        <v>0</v>
      </c>
      <c r="AA32" s="1" t="n">
        <f aca="false">IF(Z32&gt;0,Z32+(201-26)/10^6,0)</f>
        <v>0</v>
      </c>
      <c r="AB32" s="1"/>
      <c r="AC32" s="1"/>
      <c r="AD32" s="1"/>
      <c r="AE32" s="1"/>
      <c r="AF32" s="1"/>
      <c r="AG32" s="1"/>
      <c r="AH32" s="1"/>
    </row>
    <row r="33" customFormat="false" ht="15" hidden="false" customHeight="false" outlineLevel="0" collapsed="false">
      <c r="A33" s="1"/>
      <c r="B33" s="10"/>
      <c r="C33" s="31" t="str">
        <f aca="false">IF(B33="","",TEXT(B33,"ddd"))</f>
        <v/>
      </c>
      <c r="D33" s="11"/>
      <c r="E33" s="8" t="str">
        <f aca="false">IF(D33="","",IFERROR(INDEX(ProjNumbers,MATCH(D33,ProjNames,0)),""))</f>
        <v/>
      </c>
      <c r="F33" s="8" t="str">
        <f aca="false">IF(D33="","",IFERROR(INDEX(ProjCodes,MATCH(D33,ProjNames,0)),""))</f>
        <v/>
      </c>
      <c r="G33" s="32"/>
      <c r="H33" s="11"/>
      <c r="I33" s="33"/>
      <c r="J33" s="8" t="str">
        <f aca="false">IF(COUNTA(B33,D33,G33,H33,I33)=0,"",IF(B33="","Enter date",IF(OR(B33&lt;$AC$2,B33&gt;$AC$3),"Date not in December",IF(D33="","Pick project",IF(ISNA(MATCH(D33,ProjNames,0)),"Project not in list",IF(G33="","Add task description",IF(H33="","Pick NTIME or P6",IF(N(I33)&lt;=0,"Enter hours",IF(AND(AllowOT&lt;&gt;"Yes",SUMIF($B$7:$B$256,B33,$I$7:$I$256)&gt;INDEX($O$58:$O$88,DAY(B33))),"Day over "&amp;INDEX($O$58:$O$88,DAY(B33))&amp;" h","✓")))))))))</f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tr">
        <f aca="false">IF(Projects!B31="","",Projects!B31)</f>
        <v/>
      </c>
      <c r="X33" s="1" t="n">
        <f aca="false">IF(W33="",0,SUMIFS($I$7:$I$256,$D$7:$D$256,W33,$H$7:$H$256,"NTIME"))</f>
        <v>0</v>
      </c>
      <c r="Y33" s="1" t="n">
        <f aca="false">IF(W33="",0,SUMIFS($I$7:$I$256,$D$7:$D$256,W33,$H$7:$H$256,"P6"))</f>
        <v>0</v>
      </c>
      <c r="Z33" s="1" t="n">
        <f aca="false">X33+Y33</f>
        <v>0</v>
      </c>
      <c r="AA33" s="1" t="n">
        <f aca="false">IF(Z33&gt;0,Z33+(201-27)/10^6,0)</f>
        <v>0</v>
      </c>
      <c r="AB33" s="1"/>
      <c r="AC33" s="1"/>
      <c r="AD33" s="1"/>
      <c r="AE33" s="1"/>
      <c r="AF33" s="1"/>
      <c r="AG33" s="1"/>
      <c r="AH33" s="1"/>
    </row>
    <row r="34" customFormat="false" ht="15" hidden="false" customHeight="false" outlineLevel="0" collapsed="false">
      <c r="A34" s="1"/>
      <c r="B34" s="10"/>
      <c r="C34" s="31" t="str">
        <f aca="false">IF(B34="","",TEXT(B34,"ddd"))</f>
        <v/>
      </c>
      <c r="D34" s="11"/>
      <c r="E34" s="8" t="str">
        <f aca="false">IF(D34="","",IFERROR(INDEX(ProjNumbers,MATCH(D34,ProjNames,0)),""))</f>
        <v/>
      </c>
      <c r="F34" s="8" t="str">
        <f aca="false">IF(D34="","",IFERROR(INDEX(ProjCodes,MATCH(D34,ProjNames,0)),""))</f>
        <v/>
      </c>
      <c r="G34" s="32"/>
      <c r="H34" s="11"/>
      <c r="I34" s="33"/>
      <c r="J34" s="8" t="str">
        <f aca="false">IF(COUNTA(B34,D34,G34,H34,I34)=0,"",IF(B34="","Enter date",IF(OR(B34&lt;$AC$2,B34&gt;$AC$3),"Date not in December",IF(D34="","Pick project",IF(ISNA(MATCH(D34,ProjNames,0)),"Project not in list",IF(G34="","Add task description",IF(H34="","Pick NTIME or P6",IF(N(I34)&lt;=0,"Enter hours",IF(AND(AllowOT&lt;&gt;"Yes",SUMIF($B$7:$B$256,B34,$I$7:$I$256)&gt;INDEX($O$58:$O$88,DAY(B34))),"Day over "&amp;INDEX($O$58:$O$88,DAY(B34))&amp;" h","✓")))))))))</f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tr">
        <f aca="false">IF(Projects!B32="","",Projects!B32)</f>
        <v/>
      </c>
      <c r="X34" s="1" t="n">
        <f aca="false">IF(W34="",0,SUMIFS($I$7:$I$256,$D$7:$D$256,W34,$H$7:$H$256,"NTIME"))</f>
        <v>0</v>
      </c>
      <c r="Y34" s="1" t="n">
        <f aca="false">IF(W34="",0,SUMIFS($I$7:$I$256,$D$7:$D$256,W34,$H$7:$H$256,"P6"))</f>
        <v>0</v>
      </c>
      <c r="Z34" s="1" t="n">
        <f aca="false">X34+Y34</f>
        <v>0</v>
      </c>
      <c r="AA34" s="1" t="n">
        <f aca="false">IF(Z34&gt;0,Z34+(201-28)/10^6,0)</f>
        <v>0</v>
      </c>
      <c r="AB34" s="1"/>
      <c r="AC34" s="1"/>
      <c r="AD34" s="1"/>
      <c r="AE34" s="1"/>
      <c r="AF34" s="1"/>
      <c r="AG34" s="1"/>
      <c r="AH34" s="1"/>
    </row>
    <row r="35" customFormat="false" ht="15" hidden="false" customHeight="false" outlineLevel="0" collapsed="false">
      <c r="A35" s="1"/>
      <c r="B35" s="10"/>
      <c r="C35" s="31" t="str">
        <f aca="false">IF(B35="","",TEXT(B35,"ddd"))</f>
        <v/>
      </c>
      <c r="D35" s="11"/>
      <c r="E35" s="8" t="str">
        <f aca="false">IF(D35="","",IFERROR(INDEX(ProjNumbers,MATCH(D35,ProjNames,0)),""))</f>
        <v/>
      </c>
      <c r="F35" s="8" t="str">
        <f aca="false">IF(D35="","",IFERROR(INDEX(ProjCodes,MATCH(D35,ProjNames,0)),""))</f>
        <v/>
      </c>
      <c r="G35" s="32"/>
      <c r="H35" s="11"/>
      <c r="I35" s="33"/>
      <c r="J35" s="8" t="str">
        <f aca="false">IF(COUNTA(B35,D35,G35,H35,I35)=0,"",IF(B35="","Enter date",IF(OR(B35&lt;$AC$2,B35&gt;$AC$3),"Date not in December",IF(D35="","Pick project",IF(ISNA(MATCH(D35,ProjNames,0)),"Project not in list",IF(G35="","Add task description",IF(H35="","Pick NTIME or P6",IF(N(I35)&lt;=0,"Enter hours",IF(AND(AllowOT&lt;&gt;"Yes",SUMIF($B$7:$B$256,B35,$I$7:$I$256)&gt;INDEX($O$58:$O$88,DAY(B35))),"Day over "&amp;INDEX($O$58:$O$88,DAY(B35))&amp;" h","✓")))))))))</f>
        <v/>
      </c>
      <c r="K35" s="1"/>
      <c r="L35" s="4" t="s">
        <v>85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 t="str">
        <f aca="false">IF(Projects!B33="","",Projects!B33)</f>
        <v/>
      </c>
      <c r="X35" s="1" t="n">
        <f aca="false">IF(W35="",0,SUMIFS($I$7:$I$256,$D$7:$D$256,W35,$H$7:$H$256,"NTIME"))</f>
        <v>0</v>
      </c>
      <c r="Y35" s="1" t="n">
        <f aca="false">IF(W35="",0,SUMIFS($I$7:$I$256,$D$7:$D$256,W35,$H$7:$H$256,"P6"))</f>
        <v>0</v>
      </c>
      <c r="Z35" s="1" t="n">
        <f aca="false">X35+Y35</f>
        <v>0</v>
      </c>
      <c r="AA35" s="1" t="n">
        <f aca="false">IF(Z35&gt;0,Z35+(201-29)/10^6,0)</f>
        <v>0</v>
      </c>
      <c r="AB35" s="1"/>
      <c r="AC35" s="1"/>
      <c r="AD35" s="1"/>
      <c r="AE35" s="1"/>
      <c r="AF35" s="1"/>
      <c r="AG35" s="1"/>
      <c r="AH35" s="1"/>
    </row>
    <row r="36" customFormat="false" ht="23.85" hidden="false" customHeight="false" outlineLevel="0" collapsed="false">
      <c r="A36" s="1"/>
      <c r="B36" s="10"/>
      <c r="C36" s="31" t="str">
        <f aca="false">IF(B36="","",TEXT(B36,"ddd"))</f>
        <v/>
      </c>
      <c r="D36" s="11"/>
      <c r="E36" s="8" t="str">
        <f aca="false">IF(D36="","",IFERROR(INDEX(ProjNumbers,MATCH(D36,ProjNames,0)),""))</f>
        <v/>
      </c>
      <c r="F36" s="8" t="str">
        <f aca="false">IF(D36="","",IFERROR(INDEX(ProjCodes,MATCH(D36,ProjNames,0)),""))</f>
        <v/>
      </c>
      <c r="G36" s="32"/>
      <c r="H36" s="11"/>
      <c r="I36" s="33"/>
      <c r="J36" s="8" t="str">
        <f aca="false">IF(COUNTA(B36,D36,G36,H36,I36)=0,"",IF(B36="","Enter date",IF(OR(B36&lt;$AC$2,B36&gt;$AC$3),"Date not in December",IF(D36="","Pick project",IF(ISNA(MATCH(D36,ProjNames,0)),"Project not in list",IF(G36="","Add task description",IF(H36="","Pick NTIME or P6",IF(N(I36)&lt;=0,"Enter hours",IF(AND(AllowOT&lt;&gt;"Yes",SUMIF($B$7:$B$256,B36,$I$7:$I$256)&gt;INDEX($O$58:$O$88,DAY(B36))),"Day over "&amp;INDEX($O$58:$O$88,DAY(B36))&amp;" h","✓")))))))))</f>
        <v/>
      </c>
      <c r="K36" s="1"/>
      <c r="L36" s="9" t="s">
        <v>72</v>
      </c>
      <c r="M36" s="9" t="s">
        <v>36</v>
      </c>
      <c r="N36" s="9" t="s">
        <v>37</v>
      </c>
      <c r="O36" s="20" t="s">
        <v>46</v>
      </c>
      <c r="P36" s="21" t="s">
        <v>56</v>
      </c>
      <c r="Q36" s="9" t="s">
        <v>57</v>
      </c>
      <c r="R36" s="9" t="s">
        <v>86</v>
      </c>
      <c r="S36" s="1"/>
      <c r="T36" s="1"/>
      <c r="U36" s="1"/>
      <c r="V36" s="1"/>
      <c r="W36" s="1" t="str">
        <f aca="false">IF(Projects!B34="","",Projects!B34)</f>
        <v/>
      </c>
      <c r="X36" s="1" t="n">
        <f aca="false">IF(W36="",0,SUMIFS($I$7:$I$256,$D$7:$D$256,W36,$H$7:$H$256,"NTIME"))</f>
        <v>0</v>
      </c>
      <c r="Y36" s="1" t="n">
        <f aca="false">IF(W36="",0,SUMIFS($I$7:$I$256,$D$7:$D$256,W36,$H$7:$H$256,"P6"))</f>
        <v>0</v>
      </c>
      <c r="Z36" s="1" t="n">
        <f aca="false">X36+Y36</f>
        <v>0</v>
      </c>
      <c r="AA36" s="1" t="n">
        <f aca="false">IF(Z36&gt;0,Z36+(201-30)/10^6,0)</f>
        <v>0</v>
      </c>
      <c r="AB36" s="1"/>
      <c r="AC36" s="1"/>
      <c r="AD36" s="1"/>
      <c r="AE36" s="1"/>
      <c r="AF36" s="1"/>
      <c r="AG36" s="1"/>
      <c r="AH36" s="1"/>
    </row>
    <row r="37" customFormat="false" ht="15" hidden="false" customHeight="false" outlineLevel="0" collapsed="false">
      <c r="A37" s="1"/>
      <c r="B37" s="10"/>
      <c r="C37" s="31" t="str">
        <f aca="false">IF(B37="","",TEXT(B37,"ddd"))</f>
        <v/>
      </c>
      <c r="D37" s="11"/>
      <c r="E37" s="8" t="str">
        <f aca="false">IF(D37="","",IFERROR(INDEX(ProjNumbers,MATCH(D37,ProjNames,0)),""))</f>
        <v/>
      </c>
      <c r="F37" s="8" t="str">
        <f aca="false">IF(D37="","",IFERROR(INDEX(ProjCodes,MATCH(D37,ProjNames,0)),""))</f>
        <v/>
      </c>
      <c r="G37" s="32"/>
      <c r="H37" s="11"/>
      <c r="I37" s="33"/>
      <c r="J37" s="8" t="str">
        <f aca="false">IF(COUNTA(B37,D37,G37,H37,I37)=0,"",IF(B37="","Enter date",IF(OR(B37&lt;$AC$2,B37&gt;$AC$3),"Date not in December",IF(D37="","Pick project",IF(ISNA(MATCH(D37,ProjNames,0)),"Project not in list",IF(G37="","Add task description",IF(H37="","Pick NTIME or P6",IF(N(I37)&lt;=0,"Enter hours",IF(AND(AllowOT&lt;&gt;"Yes",SUMIF($B$7:$B$256,B37,$I$7:$I$256)&gt;INDEX($O$58:$O$88,DAY(B37))),"Day over "&amp;INDEX($O$58:$O$88,DAY(B37))&amp;" h","✓")))))))))</f>
        <v/>
      </c>
      <c r="K37" s="1"/>
      <c r="L37" s="24" t="str">
        <f aca="false">IF($AD37=0,"",INDEX($W$7:$W$206,$AD37))</f>
        <v/>
      </c>
      <c r="M37" s="24" t="str">
        <f aca="false">IF($AD37=0,"",INDEX(ProjNumbers,$AD37))</f>
        <v/>
      </c>
      <c r="N37" s="24" t="str">
        <f aca="false">IF($AD37=0,"",INDEX(ProjCodes,$AD37))</f>
        <v/>
      </c>
      <c r="O37" s="24" t="str">
        <f aca="false">IF($AD37=0,"",INDEX($X$7:$X$206,$AD37))</f>
        <v/>
      </c>
      <c r="P37" s="24" t="str">
        <f aca="false">IF($AD37=0,"",INDEX($Y$7:$Y$206,$AD37))</f>
        <v/>
      </c>
      <c r="Q37" s="24" t="str">
        <f aca="false">IF($AD37=0,"",INDEX($Z$7:$Z$206,$AD37))</f>
        <v/>
      </c>
      <c r="R37" s="25" t="str">
        <f aca="false">IF(OR($AD37=0,$L$5=0),"",Q37/$L$5)</f>
        <v/>
      </c>
      <c r="S37" s="1"/>
      <c r="T37" s="1"/>
      <c r="U37" s="1"/>
      <c r="V37" s="1"/>
      <c r="W37" s="1" t="str">
        <f aca="false">IF(Projects!B35="","",Projects!B35)</f>
        <v/>
      </c>
      <c r="X37" s="1" t="n">
        <f aca="false">IF(W37="",0,SUMIFS($I$7:$I$256,$D$7:$D$256,W37,$H$7:$H$256,"NTIME"))</f>
        <v>0</v>
      </c>
      <c r="Y37" s="1" t="n">
        <f aca="false">IF(W37="",0,SUMIFS($I$7:$I$256,$D$7:$D$256,W37,$H$7:$H$256,"P6"))</f>
        <v>0</v>
      </c>
      <c r="Z37" s="1" t="n">
        <f aca="false">X37+Y37</f>
        <v>0</v>
      </c>
      <c r="AA37" s="1" t="n">
        <f aca="false">IF(Z37&gt;0,Z37+(201-31)/10^6,0)</f>
        <v>0</v>
      </c>
      <c r="AB37" s="1"/>
      <c r="AC37" s="1"/>
      <c r="AD37" s="1" t="n">
        <f aca="false">IF(LARGE($AA$7:$AA$206,1)&lt;=0,0,MATCH(LARGE($AA$7:$AA$206,1),$AA$7:$AA$206,0))</f>
        <v>0</v>
      </c>
      <c r="AE37" s="1"/>
      <c r="AF37" s="1"/>
      <c r="AG37" s="1"/>
      <c r="AH37" s="1"/>
    </row>
    <row r="38" customFormat="false" ht="15" hidden="false" customHeight="false" outlineLevel="0" collapsed="false">
      <c r="A38" s="1"/>
      <c r="B38" s="10"/>
      <c r="C38" s="31" t="str">
        <f aca="false">IF(B38="","",TEXT(B38,"ddd"))</f>
        <v/>
      </c>
      <c r="D38" s="11"/>
      <c r="E38" s="8" t="str">
        <f aca="false">IF(D38="","",IFERROR(INDEX(ProjNumbers,MATCH(D38,ProjNames,0)),""))</f>
        <v/>
      </c>
      <c r="F38" s="8" t="str">
        <f aca="false">IF(D38="","",IFERROR(INDEX(ProjCodes,MATCH(D38,ProjNames,0)),""))</f>
        <v/>
      </c>
      <c r="G38" s="32"/>
      <c r="H38" s="11"/>
      <c r="I38" s="33"/>
      <c r="J38" s="8" t="str">
        <f aca="false">IF(COUNTA(B38,D38,G38,H38,I38)=0,"",IF(B38="","Enter date",IF(OR(B38&lt;$AC$2,B38&gt;$AC$3),"Date not in December",IF(D38="","Pick project",IF(ISNA(MATCH(D38,ProjNames,0)),"Project not in list",IF(G38="","Add task description",IF(H38="","Pick NTIME or P6",IF(N(I38)&lt;=0,"Enter hours",IF(AND(AllowOT&lt;&gt;"Yes",SUMIF($B$7:$B$256,B38,$I$7:$I$256)&gt;INDEX($O$58:$O$88,DAY(B38))),"Day over "&amp;INDEX($O$58:$O$88,DAY(B38))&amp;" h","✓")))))))))</f>
        <v/>
      </c>
      <c r="K38" s="1"/>
      <c r="L38" s="24" t="str">
        <f aca="false">IF($AD38=0,"",INDEX($W$7:$W$206,$AD38))</f>
        <v/>
      </c>
      <c r="M38" s="24" t="str">
        <f aca="false">IF($AD38=0,"",INDEX(ProjNumbers,$AD38))</f>
        <v/>
      </c>
      <c r="N38" s="24" t="str">
        <f aca="false">IF($AD38=0,"",INDEX(ProjCodes,$AD38))</f>
        <v/>
      </c>
      <c r="O38" s="24" t="str">
        <f aca="false">IF($AD38=0,"",INDEX($X$7:$X$206,$AD38))</f>
        <v/>
      </c>
      <c r="P38" s="24" t="str">
        <f aca="false">IF($AD38=0,"",INDEX($Y$7:$Y$206,$AD38))</f>
        <v/>
      </c>
      <c r="Q38" s="24" t="str">
        <f aca="false">IF($AD38=0,"",INDEX($Z$7:$Z$206,$AD38))</f>
        <v/>
      </c>
      <c r="R38" s="25" t="str">
        <f aca="false">IF(OR($AD38=0,$L$5=0),"",Q38/$L$5)</f>
        <v/>
      </c>
      <c r="S38" s="1"/>
      <c r="T38" s="1"/>
      <c r="U38" s="1"/>
      <c r="V38" s="1"/>
      <c r="W38" s="1" t="str">
        <f aca="false">IF(Projects!B36="","",Projects!B36)</f>
        <v/>
      </c>
      <c r="X38" s="1" t="n">
        <f aca="false">IF(W38="",0,SUMIFS($I$7:$I$256,$D$7:$D$256,W38,$H$7:$H$256,"NTIME"))</f>
        <v>0</v>
      </c>
      <c r="Y38" s="1" t="n">
        <f aca="false">IF(W38="",0,SUMIFS($I$7:$I$256,$D$7:$D$256,W38,$H$7:$H$256,"P6"))</f>
        <v>0</v>
      </c>
      <c r="Z38" s="1" t="n">
        <f aca="false">X38+Y38</f>
        <v>0</v>
      </c>
      <c r="AA38" s="1" t="n">
        <f aca="false">IF(Z38&gt;0,Z38+(201-32)/10^6,0)</f>
        <v>0</v>
      </c>
      <c r="AB38" s="1"/>
      <c r="AC38" s="1"/>
      <c r="AD38" s="1" t="n">
        <f aca="false">IF(LARGE($AA$7:$AA$206,2)&lt;=0,0,MATCH(LARGE($AA$7:$AA$206,2),$AA$7:$AA$206,0))</f>
        <v>0</v>
      </c>
      <c r="AE38" s="1"/>
      <c r="AF38" s="1"/>
      <c r="AG38" s="1"/>
      <c r="AH38" s="1"/>
    </row>
    <row r="39" customFormat="false" ht="15" hidden="false" customHeight="false" outlineLevel="0" collapsed="false">
      <c r="A39" s="1"/>
      <c r="B39" s="10"/>
      <c r="C39" s="31" t="str">
        <f aca="false">IF(B39="","",TEXT(B39,"ddd"))</f>
        <v/>
      </c>
      <c r="D39" s="11"/>
      <c r="E39" s="8" t="str">
        <f aca="false">IF(D39="","",IFERROR(INDEX(ProjNumbers,MATCH(D39,ProjNames,0)),""))</f>
        <v/>
      </c>
      <c r="F39" s="8" t="str">
        <f aca="false">IF(D39="","",IFERROR(INDEX(ProjCodes,MATCH(D39,ProjNames,0)),""))</f>
        <v/>
      </c>
      <c r="G39" s="32"/>
      <c r="H39" s="11"/>
      <c r="I39" s="33"/>
      <c r="J39" s="8" t="str">
        <f aca="false">IF(COUNTA(B39,D39,G39,H39,I39)=0,"",IF(B39="","Enter date",IF(OR(B39&lt;$AC$2,B39&gt;$AC$3),"Date not in December",IF(D39="","Pick project",IF(ISNA(MATCH(D39,ProjNames,0)),"Project not in list",IF(G39="","Add task description",IF(H39="","Pick NTIME or P6",IF(N(I39)&lt;=0,"Enter hours",IF(AND(AllowOT&lt;&gt;"Yes",SUMIF($B$7:$B$256,B39,$I$7:$I$256)&gt;INDEX($O$58:$O$88,DAY(B39))),"Day over "&amp;INDEX($O$58:$O$88,DAY(B39))&amp;" h","✓")))))))))</f>
        <v/>
      </c>
      <c r="K39" s="1"/>
      <c r="L39" s="24" t="str">
        <f aca="false">IF($AD39=0,"",INDEX($W$7:$W$206,$AD39))</f>
        <v/>
      </c>
      <c r="M39" s="24" t="str">
        <f aca="false">IF($AD39=0,"",INDEX(ProjNumbers,$AD39))</f>
        <v/>
      </c>
      <c r="N39" s="24" t="str">
        <f aca="false">IF($AD39=0,"",INDEX(ProjCodes,$AD39))</f>
        <v/>
      </c>
      <c r="O39" s="24" t="str">
        <f aca="false">IF($AD39=0,"",INDEX($X$7:$X$206,$AD39))</f>
        <v/>
      </c>
      <c r="P39" s="24" t="str">
        <f aca="false">IF($AD39=0,"",INDEX($Y$7:$Y$206,$AD39))</f>
        <v/>
      </c>
      <c r="Q39" s="24" t="str">
        <f aca="false">IF($AD39=0,"",INDEX($Z$7:$Z$206,$AD39))</f>
        <v/>
      </c>
      <c r="R39" s="25" t="str">
        <f aca="false">IF(OR($AD39=0,$L$5=0),"",Q39/$L$5)</f>
        <v/>
      </c>
      <c r="S39" s="1"/>
      <c r="T39" s="1"/>
      <c r="U39" s="1"/>
      <c r="V39" s="1"/>
      <c r="W39" s="1" t="str">
        <f aca="false">IF(Projects!B37="","",Projects!B37)</f>
        <v/>
      </c>
      <c r="X39" s="1" t="n">
        <f aca="false">IF(W39="",0,SUMIFS($I$7:$I$256,$D$7:$D$256,W39,$H$7:$H$256,"NTIME"))</f>
        <v>0</v>
      </c>
      <c r="Y39" s="1" t="n">
        <f aca="false">IF(W39="",0,SUMIFS($I$7:$I$256,$D$7:$D$256,W39,$H$7:$H$256,"P6"))</f>
        <v>0</v>
      </c>
      <c r="Z39" s="1" t="n">
        <f aca="false">X39+Y39</f>
        <v>0</v>
      </c>
      <c r="AA39" s="1" t="n">
        <f aca="false">IF(Z39&gt;0,Z39+(201-33)/10^6,0)</f>
        <v>0</v>
      </c>
      <c r="AB39" s="1"/>
      <c r="AC39" s="1"/>
      <c r="AD39" s="1" t="n">
        <f aca="false">IF(LARGE($AA$7:$AA$206,3)&lt;=0,0,MATCH(LARGE($AA$7:$AA$206,3),$AA$7:$AA$206,0))</f>
        <v>0</v>
      </c>
      <c r="AE39" s="1"/>
      <c r="AF39" s="1"/>
      <c r="AG39" s="1"/>
      <c r="AH39" s="1"/>
    </row>
    <row r="40" customFormat="false" ht="15" hidden="false" customHeight="false" outlineLevel="0" collapsed="false">
      <c r="A40" s="1"/>
      <c r="B40" s="10"/>
      <c r="C40" s="31" t="str">
        <f aca="false">IF(B40="","",TEXT(B40,"ddd"))</f>
        <v/>
      </c>
      <c r="D40" s="11"/>
      <c r="E40" s="8" t="str">
        <f aca="false">IF(D40="","",IFERROR(INDEX(ProjNumbers,MATCH(D40,ProjNames,0)),""))</f>
        <v/>
      </c>
      <c r="F40" s="8" t="str">
        <f aca="false">IF(D40="","",IFERROR(INDEX(ProjCodes,MATCH(D40,ProjNames,0)),""))</f>
        <v/>
      </c>
      <c r="G40" s="32"/>
      <c r="H40" s="11"/>
      <c r="I40" s="33"/>
      <c r="J40" s="8" t="str">
        <f aca="false">IF(COUNTA(B40,D40,G40,H40,I40)=0,"",IF(B40="","Enter date",IF(OR(B40&lt;$AC$2,B40&gt;$AC$3),"Date not in December",IF(D40="","Pick project",IF(ISNA(MATCH(D40,ProjNames,0)),"Project not in list",IF(G40="","Add task description",IF(H40="","Pick NTIME or P6",IF(N(I40)&lt;=0,"Enter hours",IF(AND(AllowOT&lt;&gt;"Yes",SUMIF($B$7:$B$256,B40,$I$7:$I$256)&gt;INDEX($O$58:$O$88,DAY(B40))),"Day over "&amp;INDEX($O$58:$O$88,DAY(B40))&amp;" h","✓")))))))))</f>
        <v/>
      </c>
      <c r="K40" s="1"/>
      <c r="L40" s="24" t="str">
        <f aca="false">IF($AD40=0,"",INDEX($W$7:$W$206,$AD40))</f>
        <v/>
      </c>
      <c r="M40" s="24" t="str">
        <f aca="false">IF($AD40=0,"",INDEX(ProjNumbers,$AD40))</f>
        <v/>
      </c>
      <c r="N40" s="24" t="str">
        <f aca="false">IF($AD40=0,"",INDEX(ProjCodes,$AD40))</f>
        <v/>
      </c>
      <c r="O40" s="24" t="str">
        <f aca="false">IF($AD40=0,"",INDEX($X$7:$X$206,$AD40))</f>
        <v/>
      </c>
      <c r="P40" s="24" t="str">
        <f aca="false">IF($AD40=0,"",INDEX($Y$7:$Y$206,$AD40))</f>
        <v/>
      </c>
      <c r="Q40" s="24" t="str">
        <f aca="false">IF($AD40=0,"",INDEX($Z$7:$Z$206,$AD40))</f>
        <v/>
      </c>
      <c r="R40" s="25" t="str">
        <f aca="false">IF(OR($AD40=0,$L$5=0),"",Q40/$L$5)</f>
        <v/>
      </c>
      <c r="S40" s="1"/>
      <c r="T40" s="1"/>
      <c r="U40" s="1"/>
      <c r="V40" s="1"/>
      <c r="W40" s="1" t="str">
        <f aca="false">IF(Projects!B38="","",Projects!B38)</f>
        <v/>
      </c>
      <c r="X40" s="1" t="n">
        <f aca="false">IF(W40="",0,SUMIFS($I$7:$I$256,$D$7:$D$256,W40,$H$7:$H$256,"NTIME"))</f>
        <v>0</v>
      </c>
      <c r="Y40" s="1" t="n">
        <f aca="false">IF(W40="",0,SUMIFS($I$7:$I$256,$D$7:$D$256,W40,$H$7:$H$256,"P6"))</f>
        <v>0</v>
      </c>
      <c r="Z40" s="1" t="n">
        <f aca="false">X40+Y40</f>
        <v>0</v>
      </c>
      <c r="AA40" s="1" t="n">
        <f aca="false">IF(Z40&gt;0,Z40+(201-34)/10^6,0)</f>
        <v>0</v>
      </c>
      <c r="AB40" s="1"/>
      <c r="AC40" s="1"/>
      <c r="AD40" s="1" t="n">
        <f aca="false">IF(LARGE($AA$7:$AA$206,4)&lt;=0,0,MATCH(LARGE($AA$7:$AA$206,4),$AA$7:$AA$206,0))</f>
        <v>0</v>
      </c>
      <c r="AE40" s="1"/>
      <c r="AF40" s="1"/>
      <c r="AG40" s="1"/>
      <c r="AH40" s="1"/>
    </row>
    <row r="41" customFormat="false" ht="15" hidden="false" customHeight="false" outlineLevel="0" collapsed="false">
      <c r="A41" s="1"/>
      <c r="B41" s="10"/>
      <c r="C41" s="31" t="str">
        <f aca="false">IF(B41="","",TEXT(B41,"ddd"))</f>
        <v/>
      </c>
      <c r="D41" s="11"/>
      <c r="E41" s="8" t="str">
        <f aca="false">IF(D41="","",IFERROR(INDEX(ProjNumbers,MATCH(D41,ProjNames,0)),""))</f>
        <v/>
      </c>
      <c r="F41" s="8" t="str">
        <f aca="false">IF(D41="","",IFERROR(INDEX(ProjCodes,MATCH(D41,ProjNames,0)),""))</f>
        <v/>
      </c>
      <c r="G41" s="32"/>
      <c r="H41" s="11"/>
      <c r="I41" s="33"/>
      <c r="J41" s="8" t="str">
        <f aca="false">IF(COUNTA(B41,D41,G41,H41,I41)=0,"",IF(B41="","Enter date",IF(OR(B41&lt;$AC$2,B41&gt;$AC$3),"Date not in December",IF(D41="","Pick project",IF(ISNA(MATCH(D41,ProjNames,0)),"Project not in list",IF(G41="","Add task description",IF(H41="","Pick NTIME or P6",IF(N(I41)&lt;=0,"Enter hours",IF(AND(AllowOT&lt;&gt;"Yes",SUMIF($B$7:$B$256,B41,$I$7:$I$256)&gt;INDEX($O$58:$O$88,DAY(B41))),"Day over "&amp;INDEX($O$58:$O$88,DAY(B41))&amp;" h","✓")))))))))</f>
        <v/>
      </c>
      <c r="K41" s="1"/>
      <c r="L41" s="24" t="str">
        <f aca="false">IF($AD41=0,"",INDEX($W$7:$W$206,$AD41))</f>
        <v/>
      </c>
      <c r="M41" s="24" t="str">
        <f aca="false">IF($AD41=0,"",INDEX(ProjNumbers,$AD41))</f>
        <v/>
      </c>
      <c r="N41" s="24" t="str">
        <f aca="false">IF($AD41=0,"",INDEX(ProjCodes,$AD41))</f>
        <v/>
      </c>
      <c r="O41" s="24" t="str">
        <f aca="false">IF($AD41=0,"",INDEX($X$7:$X$206,$AD41))</f>
        <v/>
      </c>
      <c r="P41" s="24" t="str">
        <f aca="false">IF($AD41=0,"",INDEX($Y$7:$Y$206,$AD41))</f>
        <v/>
      </c>
      <c r="Q41" s="24" t="str">
        <f aca="false">IF($AD41=0,"",INDEX($Z$7:$Z$206,$AD41))</f>
        <v/>
      </c>
      <c r="R41" s="25" t="str">
        <f aca="false">IF(OR($AD41=0,$L$5=0),"",Q41/$L$5)</f>
        <v/>
      </c>
      <c r="S41" s="1"/>
      <c r="T41" s="1"/>
      <c r="U41" s="1"/>
      <c r="V41" s="1"/>
      <c r="W41" s="1" t="str">
        <f aca="false">IF(Projects!B39="","",Projects!B39)</f>
        <v/>
      </c>
      <c r="X41" s="1" t="n">
        <f aca="false">IF(W41="",0,SUMIFS($I$7:$I$256,$D$7:$D$256,W41,$H$7:$H$256,"NTIME"))</f>
        <v>0</v>
      </c>
      <c r="Y41" s="1" t="n">
        <f aca="false">IF(W41="",0,SUMIFS($I$7:$I$256,$D$7:$D$256,W41,$H$7:$H$256,"P6"))</f>
        <v>0</v>
      </c>
      <c r="Z41" s="1" t="n">
        <f aca="false">X41+Y41</f>
        <v>0</v>
      </c>
      <c r="AA41" s="1" t="n">
        <f aca="false">IF(Z41&gt;0,Z41+(201-35)/10^6,0)</f>
        <v>0</v>
      </c>
      <c r="AB41" s="1"/>
      <c r="AC41" s="1"/>
      <c r="AD41" s="1" t="n">
        <f aca="false">IF(LARGE($AA$7:$AA$206,5)&lt;=0,0,MATCH(LARGE($AA$7:$AA$206,5),$AA$7:$AA$206,0))</f>
        <v>0</v>
      </c>
      <c r="AE41" s="1"/>
      <c r="AF41" s="1"/>
      <c r="AG41" s="1"/>
      <c r="AH41" s="1"/>
    </row>
    <row r="42" customFormat="false" ht="15" hidden="false" customHeight="false" outlineLevel="0" collapsed="false">
      <c r="A42" s="1"/>
      <c r="B42" s="10"/>
      <c r="C42" s="31" t="str">
        <f aca="false">IF(B42="","",TEXT(B42,"ddd"))</f>
        <v/>
      </c>
      <c r="D42" s="11"/>
      <c r="E42" s="8" t="str">
        <f aca="false">IF(D42="","",IFERROR(INDEX(ProjNumbers,MATCH(D42,ProjNames,0)),""))</f>
        <v/>
      </c>
      <c r="F42" s="8" t="str">
        <f aca="false">IF(D42="","",IFERROR(INDEX(ProjCodes,MATCH(D42,ProjNames,0)),""))</f>
        <v/>
      </c>
      <c r="G42" s="32"/>
      <c r="H42" s="11"/>
      <c r="I42" s="33"/>
      <c r="J42" s="8" t="str">
        <f aca="false">IF(COUNTA(B42,D42,G42,H42,I42)=0,"",IF(B42="","Enter date",IF(OR(B42&lt;$AC$2,B42&gt;$AC$3),"Date not in December",IF(D42="","Pick project",IF(ISNA(MATCH(D42,ProjNames,0)),"Project not in list",IF(G42="","Add task description",IF(H42="","Pick NTIME or P6",IF(N(I42)&lt;=0,"Enter hours",IF(AND(AllowOT&lt;&gt;"Yes",SUMIF($B$7:$B$256,B42,$I$7:$I$256)&gt;INDEX($O$58:$O$88,DAY(B42))),"Day over "&amp;INDEX($O$58:$O$88,DAY(B42))&amp;" h","✓")))))))))</f>
        <v/>
      </c>
      <c r="K42" s="1"/>
      <c r="L42" s="24" t="str">
        <f aca="false">IF($AD42=0,"",INDEX($W$7:$W$206,$AD42))</f>
        <v/>
      </c>
      <c r="M42" s="24" t="str">
        <f aca="false">IF($AD42=0,"",INDEX(ProjNumbers,$AD42))</f>
        <v/>
      </c>
      <c r="N42" s="24" t="str">
        <f aca="false">IF($AD42=0,"",INDEX(ProjCodes,$AD42))</f>
        <v/>
      </c>
      <c r="O42" s="24" t="str">
        <f aca="false">IF($AD42=0,"",INDEX($X$7:$X$206,$AD42))</f>
        <v/>
      </c>
      <c r="P42" s="24" t="str">
        <f aca="false">IF($AD42=0,"",INDEX($Y$7:$Y$206,$AD42))</f>
        <v/>
      </c>
      <c r="Q42" s="24" t="str">
        <f aca="false">IF($AD42=0,"",INDEX($Z$7:$Z$206,$AD42))</f>
        <v/>
      </c>
      <c r="R42" s="25" t="str">
        <f aca="false">IF(OR($AD42=0,$L$5=0),"",Q42/$L$5)</f>
        <v/>
      </c>
      <c r="S42" s="1"/>
      <c r="T42" s="1"/>
      <c r="U42" s="1"/>
      <c r="V42" s="1"/>
      <c r="W42" s="1" t="str">
        <f aca="false">IF(Projects!B40="","",Projects!B40)</f>
        <v/>
      </c>
      <c r="X42" s="1" t="n">
        <f aca="false">IF(W42="",0,SUMIFS($I$7:$I$256,$D$7:$D$256,W42,$H$7:$H$256,"NTIME"))</f>
        <v>0</v>
      </c>
      <c r="Y42" s="1" t="n">
        <f aca="false">IF(W42="",0,SUMIFS($I$7:$I$256,$D$7:$D$256,W42,$H$7:$H$256,"P6"))</f>
        <v>0</v>
      </c>
      <c r="Z42" s="1" t="n">
        <f aca="false">X42+Y42</f>
        <v>0</v>
      </c>
      <c r="AA42" s="1" t="n">
        <f aca="false">IF(Z42&gt;0,Z42+(201-36)/10^6,0)</f>
        <v>0</v>
      </c>
      <c r="AB42" s="1"/>
      <c r="AC42" s="1"/>
      <c r="AD42" s="1" t="n">
        <f aca="false">IF(LARGE($AA$7:$AA$206,6)&lt;=0,0,MATCH(LARGE($AA$7:$AA$206,6),$AA$7:$AA$206,0))</f>
        <v>0</v>
      </c>
      <c r="AE42" s="1"/>
      <c r="AF42" s="1"/>
      <c r="AG42" s="1"/>
      <c r="AH42" s="1"/>
    </row>
    <row r="43" customFormat="false" ht="15" hidden="false" customHeight="false" outlineLevel="0" collapsed="false">
      <c r="A43" s="1"/>
      <c r="B43" s="10"/>
      <c r="C43" s="31" t="str">
        <f aca="false">IF(B43="","",TEXT(B43,"ddd"))</f>
        <v/>
      </c>
      <c r="D43" s="11"/>
      <c r="E43" s="8" t="str">
        <f aca="false">IF(D43="","",IFERROR(INDEX(ProjNumbers,MATCH(D43,ProjNames,0)),""))</f>
        <v/>
      </c>
      <c r="F43" s="8" t="str">
        <f aca="false">IF(D43="","",IFERROR(INDEX(ProjCodes,MATCH(D43,ProjNames,0)),""))</f>
        <v/>
      </c>
      <c r="G43" s="32"/>
      <c r="H43" s="11"/>
      <c r="I43" s="33"/>
      <c r="J43" s="8" t="str">
        <f aca="false">IF(COUNTA(B43,D43,G43,H43,I43)=0,"",IF(B43="","Enter date",IF(OR(B43&lt;$AC$2,B43&gt;$AC$3),"Date not in December",IF(D43="","Pick project",IF(ISNA(MATCH(D43,ProjNames,0)),"Project not in list",IF(G43="","Add task description",IF(H43="","Pick NTIME or P6",IF(N(I43)&lt;=0,"Enter hours",IF(AND(AllowOT&lt;&gt;"Yes",SUMIF($B$7:$B$256,B43,$I$7:$I$256)&gt;INDEX($O$58:$O$88,DAY(B43))),"Day over "&amp;INDEX($O$58:$O$88,DAY(B43))&amp;" h","✓")))))))))</f>
        <v/>
      </c>
      <c r="K43" s="1"/>
      <c r="L43" s="24" t="str">
        <f aca="false">IF($AD43=0,"",INDEX($W$7:$W$206,$AD43))</f>
        <v/>
      </c>
      <c r="M43" s="24" t="str">
        <f aca="false">IF($AD43=0,"",INDEX(ProjNumbers,$AD43))</f>
        <v/>
      </c>
      <c r="N43" s="24" t="str">
        <f aca="false">IF($AD43=0,"",INDEX(ProjCodes,$AD43))</f>
        <v/>
      </c>
      <c r="O43" s="24" t="str">
        <f aca="false">IF($AD43=0,"",INDEX($X$7:$X$206,$AD43))</f>
        <v/>
      </c>
      <c r="P43" s="24" t="str">
        <f aca="false">IF($AD43=0,"",INDEX($Y$7:$Y$206,$AD43))</f>
        <v/>
      </c>
      <c r="Q43" s="24" t="str">
        <f aca="false">IF($AD43=0,"",INDEX($Z$7:$Z$206,$AD43))</f>
        <v/>
      </c>
      <c r="R43" s="25" t="str">
        <f aca="false">IF(OR($AD43=0,$L$5=0),"",Q43/$L$5)</f>
        <v/>
      </c>
      <c r="S43" s="1"/>
      <c r="T43" s="1"/>
      <c r="U43" s="1"/>
      <c r="V43" s="1"/>
      <c r="W43" s="1" t="str">
        <f aca="false">IF(Projects!B41="","",Projects!B41)</f>
        <v/>
      </c>
      <c r="X43" s="1" t="n">
        <f aca="false">IF(W43="",0,SUMIFS($I$7:$I$256,$D$7:$D$256,W43,$H$7:$H$256,"NTIME"))</f>
        <v>0</v>
      </c>
      <c r="Y43" s="1" t="n">
        <f aca="false">IF(W43="",0,SUMIFS($I$7:$I$256,$D$7:$D$256,W43,$H$7:$H$256,"P6"))</f>
        <v>0</v>
      </c>
      <c r="Z43" s="1" t="n">
        <f aca="false">X43+Y43</f>
        <v>0</v>
      </c>
      <c r="AA43" s="1" t="n">
        <f aca="false">IF(Z43&gt;0,Z43+(201-37)/10^6,0)</f>
        <v>0</v>
      </c>
      <c r="AB43" s="1"/>
      <c r="AC43" s="1"/>
      <c r="AD43" s="1" t="n">
        <f aca="false">IF(LARGE($AA$7:$AA$206,7)&lt;=0,0,MATCH(LARGE($AA$7:$AA$206,7),$AA$7:$AA$206,0))</f>
        <v>0</v>
      </c>
      <c r="AE43" s="1"/>
      <c r="AF43" s="1"/>
      <c r="AG43" s="1"/>
      <c r="AH43" s="1"/>
    </row>
    <row r="44" customFormat="false" ht="15" hidden="false" customHeight="false" outlineLevel="0" collapsed="false">
      <c r="A44" s="1"/>
      <c r="B44" s="10"/>
      <c r="C44" s="31" t="str">
        <f aca="false">IF(B44="","",TEXT(B44,"ddd"))</f>
        <v/>
      </c>
      <c r="D44" s="11"/>
      <c r="E44" s="8" t="str">
        <f aca="false">IF(D44="","",IFERROR(INDEX(ProjNumbers,MATCH(D44,ProjNames,0)),""))</f>
        <v/>
      </c>
      <c r="F44" s="8" t="str">
        <f aca="false">IF(D44="","",IFERROR(INDEX(ProjCodes,MATCH(D44,ProjNames,0)),""))</f>
        <v/>
      </c>
      <c r="G44" s="32"/>
      <c r="H44" s="11"/>
      <c r="I44" s="33"/>
      <c r="J44" s="8" t="str">
        <f aca="false">IF(COUNTA(B44,D44,G44,H44,I44)=0,"",IF(B44="","Enter date",IF(OR(B44&lt;$AC$2,B44&gt;$AC$3),"Date not in December",IF(D44="","Pick project",IF(ISNA(MATCH(D44,ProjNames,0)),"Project not in list",IF(G44="","Add task description",IF(H44="","Pick NTIME or P6",IF(N(I44)&lt;=0,"Enter hours",IF(AND(AllowOT&lt;&gt;"Yes",SUMIF($B$7:$B$256,B44,$I$7:$I$256)&gt;INDEX($O$58:$O$88,DAY(B44))),"Day over "&amp;INDEX($O$58:$O$88,DAY(B44))&amp;" h","✓")))))))))</f>
        <v/>
      </c>
      <c r="K44" s="1"/>
      <c r="L44" s="24" t="str">
        <f aca="false">IF($AD44=0,"",INDEX($W$7:$W$206,$AD44))</f>
        <v/>
      </c>
      <c r="M44" s="24" t="str">
        <f aca="false">IF($AD44=0,"",INDEX(ProjNumbers,$AD44))</f>
        <v/>
      </c>
      <c r="N44" s="24" t="str">
        <f aca="false">IF($AD44=0,"",INDEX(ProjCodes,$AD44))</f>
        <v/>
      </c>
      <c r="O44" s="24" t="str">
        <f aca="false">IF($AD44=0,"",INDEX($X$7:$X$206,$AD44))</f>
        <v/>
      </c>
      <c r="P44" s="24" t="str">
        <f aca="false">IF($AD44=0,"",INDEX($Y$7:$Y$206,$AD44))</f>
        <v/>
      </c>
      <c r="Q44" s="24" t="str">
        <f aca="false">IF($AD44=0,"",INDEX($Z$7:$Z$206,$AD44))</f>
        <v/>
      </c>
      <c r="R44" s="25" t="str">
        <f aca="false">IF(OR($AD44=0,$L$5=0),"",Q44/$L$5)</f>
        <v/>
      </c>
      <c r="S44" s="1"/>
      <c r="T44" s="1"/>
      <c r="U44" s="1"/>
      <c r="V44" s="1"/>
      <c r="W44" s="1" t="str">
        <f aca="false">IF(Projects!B42="","",Projects!B42)</f>
        <v/>
      </c>
      <c r="X44" s="1" t="n">
        <f aca="false">IF(W44="",0,SUMIFS($I$7:$I$256,$D$7:$D$256,W44,$H$7:$H$256,"NTIME"))</f>
        <v>0</v>
      </c>
      <c r="Y44" s="1" t="n">
        <f aca="false">IF(W44="",0,SUMIFS($I$7:$I$256,$D$7:$D$256,W44,$H$7:$H$256,"P6"))</f>
        <v>0</v>
      </c>
      <c r="Z44" s="1" t="n">
        <f aca="false">X44+Y44</f>
        <v>0</v>
      </c>
      <c r="AA44" s="1" t="n">
        <f aca="false">IF(Z44&gt;0,Z44+(201-38)/10^6,0)</f>
        <v>0</v>
      </c>
      <c r="AB44" s="1"/>
      <c r="AC44" s="1"/>
      <c r="AD44" s="1" t="n">
        <f aca="false">IF(LARGE($AA$7:$AA$206,8)&lt;=0,0,MATCH(LARGE($AA$7:$AA$206,8),$AA$7:$AA$206,0))</f>
        <v>0</v>
      </c>
      <c r="AE44" s="1"/>
      <c r="AF44" s="1"/>
      <c r="AG44" s="1"/>
      <c r="AH44" s="1"/>
    </row>
    <row r="45" customFormat="false" ht="15" hidden="false" customHeight="false" outlineLevel="0" collapsed="false">
      <c r="A45" s="1"/>
      <c r="B45" s="10"/>
      <c r="C45" s="31" t="str">
        <f aca="false">IF(B45="","",TEXT(B45,"ddd"))</f>
        <v/>
      </c>
      <c r="D45" s="11"/>
      <c r="E45" s="8" t="str">
        <f aca="false">IF(D45="","",IFERROR(INDEX(ProjNumbers,MATCH(D45,ProjNames,0)),""))</f>
        <v/>
      </c>
      <c r="F45" s="8" t="str">
        <f aca="false">IF(D45="","",IFERROR(INDEX(ProjCodes,MATCH(D45,ProjNames,0)),""))</f>
        <v/>
      </c>
      <c r="G45" s="32"/>
      <c r="H45" s="11"/>
      <c r="I45" s="33"/>
      <c r="J45" s="8" t="str">
        <f aca="false">IF(COUNTA(B45,D45,G45,H45,I45)=0,"",IF(B45="","Enter date",IF(OR(B45&lt;$AC$2,B45&gt;$AC$3),"Date not in December",IF(D45="","Pick project",IF(ISNA(MATCH(D45,ProjNames,0)),"Project not in list",IF(G45="","Add task description",IF(H45="","Pick NTIME or P6",IF(N(I45)&lt;=0,"Enter hours",IF(AND(AllowOT&lt;&gt;"Yes",SUMIF($B$7:$B$256,B45,$I$7:$I$256)&gt;INDEX($O$58:$O$88,DAY(B45))),"Day over "&amp;INDEX($O$58:$O$88,DAY(B45))&amp;" h","✓")))))))))</f>
        <v/>
      </c>
      <c r="K45" s="1"/>
      <c r="L45" s="24" t="str">
        <f aca="false">IF($AD45=0,"",INDEX($W$7:$W$206,$AD45))</f>
        <v/>
      </c>
      <c r="M45" s="24" t="str">
        <f aca="false">IF($AD45=0,"",INDEX(ProjNumbers,$AD45))</f>
        <v/>
      </c>
      <c r="N45" s="24" t="str">
        <f aca="false">IF($AD45=0,"",INDEX(ProjCodes,$AD45))</f>
        <v/>
      </c>
      <c r="O45" s="24" t="str">
        <f aca="false">IF($AD45=0,"",INDEX($X$7:$X$206,$AD45))</f>
        <v/>
      </c>
      <c r="P45" s="24" t="str">
        <f aca="false">IF($AD45=0,"",INDEX($Y$7:$Y$206,$AD45))</f>
        <v/>
      </c>
      <c r="Q45" s="24" t="str">
        <f aca="false">IF($AD45=0,"",INDEX($Z$7:$Z$206,$AD45))</f>
        <v/>
      </c>
      <c r="R45" s="25" t="str">
        <f aca="false">IF(OR($AD45=0,$L$5=0),"",Q45/$L$5)</f>
        <v/>
      </c>
      <c r="S45" s="1"/>
      <c r="T45" s="1"/>
      <c r="U45" s="1"/>
      <c r="V45" s="1"/>
      <c r="W45" s="1" t="str">
        <f aca="false">IF(Projects!B43="","",Projects!B43)</f>
        <v/>
      </c>
      <c r="X45" s="1" t="n">
        <f aca="false">IF(W45="",0,SUMIFS($I$7:$I$256,$D$7:$D$256,W45,$H$7:$H$256,"NTIME"))</f>
        <v>0</v>
      </c>
      <c r="Y45" s="1" t="n">
        <f aca="false">IF(W45="",0,SUMIFS($I$7:$I$256,$D$7:$D$256,W45,$H$7:$H$256,"P6"))</f>
        <v>0</v>
      </c>
      <c r="Z45" s="1" t="n">
        <f aca="false">X45+Y45</f>
        <v>0</v>
      </c>
      <c r="AA45" s="1" t="n">
        <f aca="false">IF(Z45&gt;0,Z45+(201-39)/10^6,0)</f>
        <v>0</v>
      </c>
      <c r="AB45" s="1"/>
      <c r="AC45" s="1"/>
      <c r="AD45" s="1" t="n">
        <f aca="false">IF(LARGE($AA$7:$AA$206,9)&lt;=0,0,MATCH(LARGE($AA$7:$AA$206,9),$AA$7:$AA$206,0))</f>
        <v>0</v>
      </c>
      <c r="AE45" s="1"/>
      <c r="AF45" s="1"/>
      <c r="AG45" s="1"/>
      <c r="AH45" s="1"/>
    </row>
    <row r="46" customFormat="false" ht="15" hidden="false" customHeight="false" outlineLevel="0" collapsed="false">
      <c r="A46" s="1"/>
      <c r="B46" s="10"/>
      <c r="C46" s="31" t="str">
        <f aca="false">IF(B46="","",TEXT(B46,"ddd"))</f>
        <v/>
      </c>
      <c r="D46" s="11"/>
      <c r="E46" s="8" t="str">
        <f aca="false">IF(D46="","",IFERROR(INDEX(ProjNumbers,MATCH(D46,ProjNames,0)),""))</f>
        <v/>
      </c>
      <c r="F46" s="8" t="str">
        <f aca="false">IF(D46="","",IFERROR(INDEX(ProjCodes,MATCH(D46,ProjNames,0)),""))</f>
        <v/>
      </c>
      <c r="G46" s="32"/>
      <c r="H46" s="11"/>
      <c r="I46" s="33"/>
      <c r="J46" s="8" t="str">
        <f aca="false">IF(COUNTA(B46,D46,G46,H46,I46)=0,"",IF(B46="","Enter date",IF(OR(B46&lt;$AC$2,B46&gt;$AC$3),"Date not in December",IF(D46="","Pick project",IF(ISNA(MATCH(D46,ProjNames,0)),"Project not in list",IF(G46="","Add task description",IF(H46="","Pick NTIME or P6",IF(N(I46)&lt;=0,"Enter hours",IF(AND(AllowOT&lt;&gt;"Yes",SUMIF($B$7:$B$256,B46,$I$7:$I$256)&gt;INDEX($O$58:$O$88,DAY(B46))),"Day over "&amp;INDEX($O$58:$O$88,DAY(B46))&amp;" h","✓")))))))))</f>
        <v/>
      </c>
      <c r="K46" s="1"/>
      <c r="L46" s="24" t="str">
        <f aca="false">IF($AD46=0,"",INDEX($W$7:$W$206,$AD46))</f>
        <v/>
      </c>
      <c r="M46" s="24" t="str">
        <f aca="false">IF($AD46=0,"",INDEX(ProjNumbers,$AD46))</f>
        <v/>
      </c>
      <c r="N46" s="24" t="str">
        <f aca="false">IF($AD46=0,"",INDEX(ProjCodes,$AD46))</f>
        <v/>
      </c>
      <c r="O46" s="24" t="str">
        <f aca="false">IF($AD46=0,"",INDEX($X$7:$X$206,$AD46))</f>
        <v/>
      </c>
      <c r="P46" s="24" t="str">
        <f aca="false">IF($AD46=0,"",INDEX($Y$7:$Y$206,$AD46))</f>
        <v/>
      </c>
      <c r="Q46" s="24" t="str">
        <f aca="false">IF($AD46=0,"",INDEX($Z$7:$Z$206,$AD46))</f>
        <v/>
      </c>
      <c r="R46" s="25" t="str">
        <f aca="false">IF(OR($AD46=0,$L$5=0),"",Q46/$L$5)</f>
        <v/>
      </c>
      <c r="S46" s="1"/>
      <c r="T46" s="1"/>
      <c r="U46" s="1"/>
      <c r="V46" s="1"/>
      <c r="W46" s="1" t="str">
        <f aca="false">IF(Projects!B44="","",Projects!B44)</f>
        <v/>
      </c>
      <c r="X46" s="1" t="n">
        <f aca="false">IF(W46="",0,SUMIFS($I$7:$I$256,$D$7:$D$256,W46,$H$7:$H$256,"NTIME"))</f>
        <v>0</v>
      </c>
      <c r="Y46" s="1" t="n">
        <f aca="false">IF(W46="",0,SUMIFS($I$7:$I$256,$D$7:$D$256,W46,$H$7:$H$256,"P6"))</f>
        <v>0</v>
      </c>
      <c r="Z46" s="1" t="n">
        <f aca="false">X46+Y46</f>
        <v>0</v>
      </c>
      <c r="AA46" s="1" t="n">
        <f aca="false">IF(Z46&gt;0,Z46+(201-40)/10^6,0)</f>
        <v>0</v>
      </c>
      <c r="AB46" s="1"/>
      <c r="AC46" s="1"/>
      <c r="AD46" s="1" t="n">
        <f aca="false">IF(LARGE($AA$7:$AA$206,10)&lt;=0,0,MATCH(LARGE($AA$7:$AA$206,10),$AA$7:$AA$206,0))</f>
        <v>0</v>
      </c>
      <c r="AE46" s="1"/>
      <c r="AF46" s="1"/>
      <c r="AG46" s="1"/>
      <c r="AH46" s="1"/>
    </row>
    <row r="47" customFormat="false" ht="15" hidden="false" customHeight="false" outlineLevel="0" collapsed="false">
      <c r="A47" s="1"/>
      <c r="B47" s="10"/>
      <c r="C47" s="31" t="str">
        <f aca="false">IF(B47="","",TEXT(B47,"ddd"))</f>
        <v/>
      </c>
      <c r="D47" s="11"/>
      <c r="E47" s="8" t="str">
        <f aca="false">IF(D47="","",IFERROR(INDEX(ProjNumbers,MATCH(D47,ProjNames,0)),""))</f>
        <v/>
      </c>
      <c r="F47" s="8" t="str">
        <f aca="false">IF(D47="","",IFERROR(INDEX(ProjCodes,MATCH(D47,ProjNames,0)),""))</f>
        <v/>
      </c>
      <c r="G47" s="32"/>
      <c r="H47" s="11"/>
      <c r="I47" s="33"/>
      <c r="J47" s="8" t="str">
        <f aca="false">IF(COUNTA(B47,D47,G47,H47,I47)=0,"",IF(B47="","Enter date",IF(OR(B47&lt;$AC$2,B47&gt;$AC$3),"Date not in December",IF(D47="","Pick project",IF(ISNA(MATCH(D47,ProjNames,0)),"Project not in list",IF(G47="","Add task description",IF(H47="","Pick NTIME or P6",IF(N(I47)&lt;=0,"Enter hours",IF(AND(AllowOT&lt;&gt;"Yes",SUMIF($B$7:$B$256,B47,$I$7:$I$256)&gt;INDEX($O$58:$O$88,DAY(B47))),"Day over "&amp;INDEX($O$58:$O$88,DAY(B47))&amp;" h","✓")))))))))</f>
        <v/>
      </c>
      <c r="K47" s="1"/>
      <c r="L47" s="24" t="str">
        <f aca="false">IF($AD47=0,"",INDEX($W$7:$W$206,$AD47))</f>
        <v/>
      </c>
      <c r="M47" s="24" t="str">
        <f aca="false">IF($AD47=0,"",INDEX(ProjNumbers,$AD47))</f>
        <v/>
      </c>
      <c r="N47" s="24" t="str">
        <f aca="false">IF($AD47=0,"",INDEX(ProjCodes,$AD47))</f>
        <v/>
      </c>
      <c r="O47" s="24" t="str">
        <f aca="false">IF($AD47=0,"",INDEX($X$7:$X$206,$AD47))</f>
        <v/>
      </c>
      <c r="P47" s="24" t="str">
        <f aca="false">IF($AD47=0,"",INDEX($Y$7:$Y$206,$AD47))</f>
        <v/>
      </c>
      <c r="Q47" s="24" t="str">
        <f aca="false">IF($AD47=0,"",INDEX($Z$7:$Z$206,$AD47))</f>
        <v/>
      </c>
      <c r="R47" s="25" t="str">
        <f aca="false">IF(OR($AD47=0,$L$5=0),"",Q47/$L$5)</f>
        <v/>
      </c>
      <c r="S47" s="1"/>
      <c r="T47" s="1"/>
      <c r="U47" s="1"/>
      <c r="V47" s="1"/>
      <c r="W47" s="1" t="str">
        <f aca="false">IF(Projects!B45="","",Projects!B45)</f>
        <v/>
      </c>
      <c r="X47" s="1" t="n">
        <f aca="false">IF(W47="",0,SUMIFS($I$7:$I$256,$D$7:$D$256,W47,$H$7:$H$256,"NTIME"))</f>
        <v>0</v>
      </c>
      <c r="Y47" s="1" t="n">
        <f aca="false">IF(W47="",0,SUMIFS($I$7:$I$256,$D$7:$D$256,W47,$H$7:$H$256,"P6"))</f>
        <v>0</v>
      </c>
      <c r="Z47" s="1" t="n">
        <f aca="false">X47+Y47</f>
        <v>0</v>
      </c>
      <c r="AA47" s="1" t="n">
        <f aca="false">IF(Z47&gt;0,Z47+(201-41)/10^6,0)</f>
        <v>0</v>
      </c>
      <c r="AB47" s="1"/>
      <c r="AC47" s="1"/>
      <c r="AD47" s="1" t="n">
        <f aca="false">IF(LARGE($AA$7:$AA$206,11)&lt;=0,0,MATCH(LARGE($AA$7:$AA$206,11),$AA$7:$AA$206,0))</f>
        <v>0</v>
      </c>
      <c r="AE47" s="1"/>
      <c r="AF47" s="1"/>
      <c r="AG47" s="1"/>
      <c r="AH47" s="1"/>
    </row>
    <row r="48" customFormat="false" ht="15" hidden="false" customHeight="false" outlineLevel="0" collapsed="false">
      <c r="A48" s="1"/>
      <c r="B48" s="10"/>
      <c r="C48" s="31" t="str">
        <f aca="false">IF(B48="","",TEXT(B48,"ddd"))</f>
        <v/>
      </c>
      <c r="D48" s="11"/>
      <c r="E48" s="8" t="str">
        <f aca="false">IF(D48="","",IFERROR(INDEX(ProjNumbers,MATCH(D48,ProjNames,0)),""))</f>
        <v/>
      </c>
      <c r="F48" s="8" t="str">
        <f aca="false">IF(D48="","",IFERROR(INDEX(ProjCodes,MATCH(D48,ProjNames,0)),""))</f>
        <v/>
      </c>
      <c r="G48" s="32"/>
      <c r="H48" s="11"/>
      <c r="I48" s="33"/>
      <c r="J48" s="8" t="str">
        <f aca="false">IF(COUNTA(B48,D48,G48,H48,I48)=0,"",IF(B48="","Enter date",IF(OR(B48&lt;$AC$2,B48&gt;$AC$3),"Date not in December",IF(D48="","Pick project",IF(ISNA(MATCH(D48,ProjNames,0)),"Project not in list",IF(G48="","Add task description",IF(H48="","Pick NTIME or P6",IF(N(I48)&lt;=0,"Enter hours",IF(AND(AllowOT&lt;&gt;"Yes",SUMIF($B$7:$B$256,B48,$I$7:$I$256)&gt;INDEX($O$58:$O$88,DAY(B48))),"Day over "&amp;INDEX($O$58:$O$88,DAY(B48))&amp;" h","✓")))))))))</f>
        <v/>
      </c>
      <c r="K48" s="1"/>
      <c r="L48" s="24" t="str">
        <f aca="false">IF($AD48=0,"",INDEX($W$7:$W$206,$AD48))</f>
        <v/>
      </c>
      <c r="M48" s="24" t="str">
        <f aca="false">IF($AD48=0,"",INDEX(ProjNumbers,$AD48))</f>
        <v/>
      </c>
      <c r="N48" s="24" t="str">
        <f aca="false">IF($AD48=0,"",INDEX(ProjCodes,$AD48))</f>
        <v/>
      </c>
      <c r="O48" s="24" t="str">
        <f aca="false">IF($AD48=0,"",INDEX($X$7:$X$206,$AD48))</f>
        <v/>
      </c>
      <c r="P48" s="24" t="str">
        <f aca="false">IF($AD48=0,"",INDEX($Y$7:$Y$206,$AD48))</f>
        <v/>
      </c>
      <c r="Q48" s="24" t="str">
        <f aca="false">IF($AD48=0,"",INDEX($Z$7:$Z$206,$AD48))</f>
        <v/>
      </c>
      <c r="R48" s="25" t="str">
        <f aca="false">IF(OR($AD48=0,$L$5=0),"",Q48/$L$5)</f>
        <v/>
      </c>
      <c r="S48" s="1"/>
      <c r="T48" s="1"/>
      <c r="U48" s="1"/>
      <c r="V48" s="1"/>
      <c r="W48" s="1" t="str">
        <f aca="false">IF(Projects!B46="","",Projects!B46)</f>
        <v/>
      </c>
      <c r="X48" s="1" t="n">
        <f aca="false">IF(W48="",0,SUMIFS($I$7:$I$256,$D$7:$D$256,W48,$H$7:$H$256,"NTIME"))</f>
        <v>0</v>
      </c>
      <c r="Y48" s="1" t="n">
        <f aca="false">IF(W48="",0,SUMIFS($I$7:$I$256,$D$7:$D$256,W48,$H$7:$H$256,"P6"))</f>
        <v>0</v>
      </c>
      <c r="Z48" s="1" t="n">
        <f aca="false">X48+Y48</f>
        <v>0</v>
      </c>
      <c r="AA48" s="1" t="n">
        <f aca="false">IF(Z48&gt;0,Z48+(201-42)/10^6,0)</f>
        <v>0</v>
      </c>
      <c r="AB48" s="1"/>
      <c r="AC48" s="1"/>
      <c r="AD48" s="1" t="n">
        <f aca="false">IF(LARGE($AA$7:$AA$206,12)&lt;=0,0,MATCH(LARGE($AA$7:$AA$206,12),$AA$7:$AA$206,0))</f>
        <v>0</v>
      </c>
      <c r="AE48" s="1"/>
      <c r="AF48" s="1"/>
      <c r="AG48" s="1"/>
      <c r="AH48" s="1"/>
    </row>
    <row r="49" customFormat="false" ht="15" hidden="false" customHeight="false" outlineLevel="0" collapsed="false">
      <c r="A49" s="1"/>
      <c r="B49" s="10"/>
      <c r="C49" s="31" t="str">
        <f aca="false">IF(B49="","",TEXT(B49,"ddd"))</f>
        <v/>
      </c>
      <c r="D49" s="11"/>
      <c r="E49" s="8" t="str">
        <f aca="false">IF(D49="","",IFERROR(INDEX(ProjNumbers,MATCH(D49,ProjNames,0)),""))</f>
        <v/>
      </c>
      <c r="F49" s="8" t="str">
        <f aca="false">IF(D49="","",IFERROR(INDEX(ProjCodes,MATCH(D49,ProjNames,0)),""))</f>
        <v/>
      </c>
      <c r="G49" s="32"/>
      <c r="H49" s="11"/>
      <c r="I49" s="33"/>
      <c r="J49" s="8" t="str">
        <f aca="false">IF(COUNTA(B49,D49,G49,H49,I49)=0,"",IF(B49="","Enter date",IF(OR(B49&lt;$AC$2,B49&gt;$AC$3),"Date not in December",IF(D49="","Pick project",IF(ISNA(MATCH(D49,ProjNames,0)),"Project not in list",IF(G49="","Add task description",IF(H49="","Pick NTIME or P6",IF(N(I49)&lt;=0,"Enter hours",IF(AND(AllowOT&lt;&gt;"Yes",SUMIF($B$7:$B$256,B49,$I$7:$I$256)&gt;INDEX($O$58:$O$88,DAY(B49))),"Day over "&amp;INDEX($O$58:$O$88,DAY(B49))&amp;" h","✓")))))))))</f>
        <v/>
      </c>
      <c r="K49" s="1"/>
      <c r="L49" s="24" t="str">
        <f aca="false">IF($AD49=0,"",INDEX($W$7:$W$206,$AD49))</f>
        <v/>
      </c>
      <c r="M49" s="24" t="str">
        <f aca="false">IF($AD49=0,"",INDEX(ProjNumbers,$AD49))</f>
        <v/>
      </c>
      <c r="N49" s="24" t="str">
        <f aca="false">IF($AD49=0,"",INDEX(ProjCodes,$AD49))</f>
        <v/>
      </c>
      <c r="O49" s="24" t="str">
        <f aca="false">IF($AD49=0,"",INDEX($X$7:$X$206,$AD49))</f>
        <v/>
      </c>
      <c r="P49" s="24" t="str">
        <f aca="false">IF($AD49=0,"",INDEX($Y$7:$Y$206,$AD49))</f>
        <v/>
      </c>
      <c r="Q49" s="24" t="str">
        <f aca="false">IF($AD49=0,"",INDEX($Z$7:$Z$206,$AD49))</f>
        <v/>
      </c>
      <c r="R49" s="25" t="str">
        <f aca="false">IF(OR($AD49=0,$L$5=0),"",Q49/$L$5)</f>
        <v/>
      </c>
      <c r="S49" s="1"/>
      <c r="T49" s="1"/>
      <c r="U49" s="1"/>
      <c r="V49" s="1"/>
      <c r="W49" s="1" t="str">
        <f aca="false">IF(Projects!B47="","",Projects!B47)</f>
        <v/>
      </c>
      <c r="X49" s="1" t="n">
        <f aca="false">IF(W49="",0,SUMIFS($I$7:$I$256,$D$7:$D$256,W49,$H$7:$H$256,"NTIME"))</f>
        <v>0</v>
      </c>
      <c r="Y49" s="1" t="n">
        <f aca="false">IF(W49="",0,SUMIFS($I$7:$I$256,$D$7:$D$256,W49,$H$7:$H$256,"P6"))</f>
        <v>0</v>
      </c>
      <c r="Z49" s="1" t="n">
        <f aca="false">X49+Y49</f>
        <v>0</v>
      </c>
      <c r="AA49" s="1" t="n">
        <f aca="false">IF(Z49&gt;0,Z49+(201-43)/10^6,0)</f>
        <v>0</v>
      </c>
      <c r="AB49" s="1"/>
      <c r="AC49" s="1"/>
      <c r="AD49" s="1" t="n">
        <f aca="false">IF(LARGE($AA$7:$AA$206,13)&lt;=0,0,MATCH(LARGE($AA$7:$AA$206,13),$AA$7:$AA$206,0))</f>
        <v>0</v>
      </c>
      <c r="AE49" s="1"/>
      <c r="AF49" s="1"/>
      <c r="AG49" s="1"/>
      <c r="AH49" s="1"/>
    </row>
    <row r="50" customFormat="false" ht="15" hidden="false" customHeight="false" outlineLevel="0" collapsed="false">
      <c r="A50" s="1"/>
      <c r="B50" s="10"/>
      <c r="C50" s="31" t="str">
        <f aca="false">IF(B50="","",TEXT(B50,"ddd"))</f>
        <v/>
      </c>
      <c r="D50" s="11"/>
      <c r="E50" s="8" t="str">
        <f aca="false">IF(D50="","",IFERROR(INDEX(ProjNumbers,MATCH(D50,ProjNames,0)),""))</f>
        <v/>
      </c>
      <c r="F50" s="8" t="str">
        <f aca="false">IF(D50="","",IFERROR(INDEX(ProjCodes,MATCH(D50,ProjNames,0)),""))</f>
        <v/>
      </c>
      <c r="G50" s="32"/>
      <c r="H50" s="11"/>
      <c r="I50" s="33"/>
      <c r="J50" s="8" t="str">
        <f aca="false">IF(COUNTA(B50,D50,G50,H50,I50)=0,"",IF(B50="","Enter date",IF(OR(B50&lt;$AC$2,B50&gt;$AC$3),"Date not in December",IF(D50="","Pick project",IF(ISNA(MATCH(D50,ProjNames,0)),"Project not in list",IF(G50="","Add task description",IF(H50="","Pick NTIME or P6",IF(N(I50)&lt;=0,"Enter hours",IF(AND(AllowOT&lt;&gt;"Yes",SUMIF($B$7:$B$256,B50,$I$7:$I$256)&gt;INDEX($O$58:$O$88,DAY(B50))),"Day over "&amp;INDEX($O$58:$O$88,DAY(B50))&amp;" h","✓")))))))))</f>
        <v/>
      </c>
      <c r="K50" s="1"/>
      <c r="L50" s="24" t="str">
        <f aca="false">IF($AD50=0,"",INDEX($W$7:$W$206,$AD50))</f>
        <v/>
      </c>
      <c r="M50" s="24" t="str">
        <f aca="false">IF($AD50=0,"",INDEX(ProjNumbers,$AD50))</f>
        <v/>
      </c>
      <c r="N50" s="24" t="str">
        <f aca="false">IF($AD50=0,"",INDEX(ProjCodes,$AD50))</f>
        <v/>
      </c>
      <c r="O50" s="24" t="str">
        <f aca="false">IF($AD50=0,"",INDEX($X$7:$X$206,$AD50))</f>
        <v/>
      </c>
      <c r="P50" s="24" t="str">
        <f aca="false">IF($AD50=0,"",INDEX($Y$7:$Y$206,$AD50))</f>
        <v/>
      </c>
      <c r="Q50" s="24" t="str">
        <f aca="false">IF($AD50=0,"",INDEX($Z$7:$Z$206,$AD50))</f>
        <v/>
      </c>
      <c r="R50" s="25" t="str">
        <f aca="false">IF(OR($AD50=0,$L$5=0),"",Q50/$L$5)</f>
        <v/>
      </c>
      <c r="S50" s="1"/>
      <c r="T50" s="1"/>
      <c r="U50" s="1"/>
      <c r="V50" s="1"/>
      <c r="W50" s="1" t="str">
        <f aca="false">IF(Projects!B48="","",Projects!B48)</f>
        <v/>
      </c>
      <c r="X50" s="1" t="n">
        <f aca="false">IF(W50="",0,SUMIFS($I$7:$I$256,$D$7:$D$256,W50,$H$7:$H$256,"NTIME"))</f>
        <v>0</v>
      </c>
      <c r="Y50" s="1" t="n">
        <f aca="false">IF(W50="",0,SUMIFS($I$7:$I$256,$D$7:$D$256,W50,$H$7:$H$256,"P6"))</f>
        <v>0</v>
      </c>
      <c r="Z50" s="1" t="n">
        <f aca="false">X50+Y50</f>
        <v>0</v>
      </c>
      <c r="AA50" s="1" t="n">
        <f aca="false">IF(Z50&gt;0,Z50+(201-44)/10^6,0)</f>
        <v>0</v>
      </c>
      <c r="AB50" s="1"/>
      <c r="AC50" s="1"/>
      <c r="AD50" s="1" t="n">
        <f aca="false">IF(LARGE($AA$7:$AA$206,14)&lt;=0,0,MATCH(LARGE($AA$7:$AA$206,14),$AA$7:$AA$206,0))</f>
        <v>0</v>
      </c>
      <c r="AE50" s="1"/>
      <c r="AF50" s="1"/>
      <c r="AG50" s="1"/>
      <c r="AH50" s="1"/>
    </row>
    <row r="51" customFormat="false" ht="15" hidden="false" customHeight="false" outlineLevel="0" collapsed="false">
      <c r="A51" s="1"/>
      <c r="B51" s="10"/>
      <c r="C51" s="31" t="str">
        <f aca="false">IF(B51="","",TEXT(B51,"ddd"))</f>
        <v/>
      </c>
      <c r="D51" s="11"/>
      <c r="E51" s="8" t="str">
        <f aca="false">IF(D51="","",IFERROR(INDEX(ProjNumbers,MATCH(D51,ProjNames,0)),""))</f>
        <v/>
      </c>
      <c r="F51" s="8" t="str">
        <f aca="false">IF(D51="","",IFERROR(INDEX(ProjCodes,MATCH(D51,ProjNames,0)),""))</f>
        <v/>
      </c>
      <c r="G51" s="32"/>
      <c r="H51" s="11"/>
      <c r="I51" s="33"/>
      <c r="J51" s="8" t="str">
        <f aca="false">IF(COUNTA(B51,D51,G51,H51,I51)=0,"",IF(B51="","Enter date",IF(OR(B51&lt;$AC$2,B51&gt;$AC$3),"Date not in December",IF(D51="","Pick project",IF(ISNA(MATCH(D51,ProjNames,0)),"Project not in list",IF(G51="","Add task description",IF(H51="","Pick NTIME or P6",IF(N(I51)&lt;=0,"Enter hours",IF(AND(AllowOT&lt;&gt;"Yes",SUMIF($B$7:$B$256,B51,$I$7:$I$256)&gt;INDEX($O$58:$O$88,DAY(B51))),"Day over "&amp;INDEX($O$58:$O$88,DAY(B51))&amp;" h","✓")))))))))</f>
        <v/>
      </c>
      <c r="K51" s="1"/>
      <c r="L51" s="24" t="str">
        <f aca="false">IF($AD51=0,"",INDEX($W$7:$W$206,$AD51))</f>
        <v/>
      </c>
      <c r="M51" s="24" t="str">
        <f aca="false">IF($AD51=0,"",INDEX(ProjNumbers,$AD51))</f>
        <v/>
      </c>
      <c r="N51" s="24" t="str">
        <f aca="false">IF($AD51=0,"",INDEX(ProjCodes,$AD51))</f>
        <v/>
      </c>
      <c r="O51" s="24" t="str">
        <f aca="false">IF($AD51=0,"",INDEX($X$7:$X$206,$AD51))</f>
        <v/>
      </c>
      <c r="P51" s="24" t="str">
        <f aca="false">IF($AD51=0,"",INDEX($Y$7:$Y$206,$AD51))</f>
        <v/>
      </c>
      <c r="Q51" s="24" t="str">
        <f aca="false">IF($AD51=0,"",INDEX($Z$7:$Z$206,$AD51))</f>
        <v/>
      </c>
      <c r="R51" s="25" t="str">
        <f aca="false">IF(OR($AD51=0,$L$5=0),"",Q51/$L$5)</f>
        <v/>
      </c>
      <c r="S51" s="1"/>
      <c r="T51" s="1"/>
      <c r="U51" s="1"/>
      <c r="V51" s="1"/>
      <c r="W51" s="1" t="str">
        <f aca="false">IF(Projects!B49="","",Projects!B49)</f>
        <v/>
      </c>
      <c r="X51" s="1" t="n">
        <f aca="false">IF(W51="",0,SUMIFS($I$7:$I$256,$D$7:$D$256,W51,$H$7:$H$256,"NTIME"))</f>
        <v>0</v>
      </c>
      <c r="Y51" s="1" t="n">
        <f aca="false">IF(W51="",0,SUMIFS($I$7:$I$256,$D$7:$D$256,W51,$H$7:$H$256,"P6"))</f>
        <v>0</v>
      </c>
      <c r="Z51" s="1" t="n">
        <f aca="false">X51+Y51</f>
        <v>0</v>
      </c>
      <c r="AA51" s="1" t="n">
        <f aca="false">IF(Z51&gt;0,Z51+(201-45)/10^6,0)</f>
        <v>0</v>
      </c>
      <c r="AB51" s="1"/>
      <c r="AC51" s="1"/>
      <c r="AD51" s="1" t="n">
        <f aca="false">IF(LARGE($AA$7:$AA$206,15)&lt;=0,0,MATCH(LARGE($AA$7:$AA$206,15),$AA$7:$AA$206,0))</f>
        <v>0</v>
      </c>
      <c r="AE51" s="1"/>
      <c r="AF51" s="1"/>
      <c r="AG51" s="1"/>
      <c r="AH51" s="1"/>
    </row>
    <row r="52" customFormat="false" ht="15" hidden="false" customHeight="false" outlineLevel="0" collapsed="false">
      <c r="A52" s="1"/>
      <c r="B52" s="10"/>
      <c r="C52" s="31" t="str">
        <f aca="false">IF(B52="","",TEXT(B52,"ddd"))</f>
        <v/>
      </c>
      <c r="D52" s="11"/>
      <c r="E52" s="8" t="str">
        <f aca="false">IF(D52="","",IFERROR(INDEX(ProjNumbers,MATCH(D52,ProjNames,0)),""))</f>
        <v/>
      </c>
      <c r="F52" s="8" t="str">
        <f aca="false">IF(D52="","",IFERROR(INDEX(ProjCodes,MATCH(D52,ProjNames,0)),""))</f>
        <v/>
      </c>
      <c r="G52" s="32"/>
      <c r="H52" s="11"/>
      <c r="I52" s="33"/>
      <c r="J52" s="8" t="str">
        <f aca="false">IF(COUNTA(B52,D52,G52,H52,I52)=0,"",IF(B52="","Enter date",IF(OR(B52&lt;$AC$2,B52&gt;$AC$3),"Date not in December",IF(D52="","Pick project",IF(ISNA(MATCH(D52,ProjNames,0)),"Project not in list",IF(G52="","Add task description",IF(H52="","Pick NTIME or P6",IF(N(I52)&lt;=0,"Enter hours",IF(AND(AllowOT&lt;&gt;"Yes",SUMIF($B$7:$B$256,B52,$I$7:$I$256)&gt;INDEX($O$58:$O$88,DAY(B52))),"Day over "&amp;INDEX($O$58:$O$88,DAY(B52))&amp;" h","✓")))))))))</f>
        <v/>
      </c>
      <c r="K52" s="1"/>
      <c r="L52" s="24" t="s">
        <v>87</v>
      </c>
      <c r="M52" s="24"/>
      <c r="N52" s="24"/>
      <c r="O52" s="24" t="n">
        <f aca="false">SUM($P$58:$P$88)-SUM($X$7:$X$206)</f>
        <v>0</v>
      </c>
      <c r="P52" s="24" t="n">
        <f aca="false">SUM($Q$58:$Q$88)-SUM($Y$7:$Y$206)</f>
        <v>0</v>
      </c>
      <c r="Q52" s="24" t="n">
        <f aca="false">O52+P52</f>
        <v>0</v>
      </c>
      <c r="R52" s="25" t="str">
        <f aca="false">IF($L$5=0,"",Q52/$L$5)</f>
        <v/>
      </c>
      <c r="S52" s="1"/>
      <c r="T52" s="1"/>
      <c r="U52" s="1"/>
      <c r="V52" s="1"/>
      <c r="W52" s="1" t="str">
        <f aca="false">IF(Projects!B50="","",Projects!B50)</f>
        <v/>
      </c>
      <c r="X52" s="1" t="n">
        <f aca="false">IF(W52="",0,SUMIFS($I$7:$I$256,$D$7:$D$256,W52,$H$7:$H$256,"NTIME"))</f>
        <v>0</v>
      </c>
      <c r="Y52" s="1" t="n">
        <f aca="false">IF(W52="",0,SUMIFS($I$7:$I$256,$D$7:$D$256,W52,$H$7:$H$256,"P6"))</f>
        <v>0</v>
      </c>
      <c r="Z52" s="1" t="n">
        <f aca="false">X52+Y52</f>
        <v>0</v>
      </c>
      <c r="AA52" s="1" t="n">
        <f aca="false">IF(Z52&gt;0,Z52+(201-46)/10^6,0)</f>
        <v>0</v>
      </c>
      <c r="AB52" s="1"/>
      <c r="AC52" s="1"/>
      <c r="AD52" s="1"/>
      <c r="AE52" s="1"/>
      <c r="AF52" s="1"/>
      <c r="AG52" s="1"/>
      <c r="AH52" s="1"/>
    </row>
    <row r="53" customFormat="false" ht="15" hidden="false" customHeight="false" outlineLevel="0" collapsed="false">
      <c r="A53" s="1"/>
      <c r="B53" s="10"/>
      <c r="C53" s="31" t="str">
        <f aca="false">IF(B53="","",TEXT(B53,"ddd"))</f>
        <v/>
      </c>
      <c r="D53" s="11"/>
      <c r="E53" s="8" t="str">
        <f aca="false">IF(D53="","",IFERROR(INDEX(ProjNumbers,MATCH(D53,ProjNames,0)),""))</f>
        <v/>
      </c>
      <c r="F53" s="8" t="str">
        <f aca="false">IF(D53="","",IFERROR(INDEX(ProjCodes,MATCH(D53,ProjNames,0)),""))</f>
        <v/>
      </c>
      <c r="G53" s="32"/>
      <c r="H53" s="11"/>
      <c r="I53" s="33"/>
      <c r="J53" s="8" t="str">
        <f aca="false">IF(COUNTA(B53,D53,G53,H53,I53)=0,"",IF(B53="","Enter date",IF(OR(B53&lt;$AC$2,B53&gt;$AC$3),"Date not in December",IF(D53="","Pick project",IF(ISNA(MATCH(D53,ProjNames,0)),"Project not in list",IF(G53="","Add task description",IF(H53="","Pick NTIME or P6",IF(N(I53)&lt;=0,"Enter hours",IF(AND(AllowOT&lt;&gt;"Yes",SUMIF($B$7:$B$256,B53,$I$7:$I$256)&gt;INDEX($O$58:$O$88,DAY(B53))),"Day over "&amp;INDEX($O$58:$O$88,DAY(B53))&amp;" h","✓")))))))))</f>
        <v/>
      </c>
      <c r="K53" s="1"/>
      <c r="L53" s="24" t="s">
        <v>15</v>
      </c>
      <c r="M53" s="24" t="s">
        <v>88</v>
      </c>
      <c r="N53" s="24"/>
      <c r="O53" s="24" t="str">
        <f aca="false">IF(OHSystem="NTIME",O5,"")</f>
        <v/>
      </c>
      <c r="P53" s="24" t="str">
        <f aca="false">IF(OHSystem="P6",O5,"")</f>
        <v/>
      </c>
      <c r="Q53" s="24" t="n">
        <f aca="false">O5</f>
        <v>0</v>
      </c>
      <c r="R53" s="25" t="str">
        <f aca="false">IF($L$5=0,"",Q53/$L$5)</f>
        <v/>
      </c>
      <c r="S53" s="1"/>
      <c r="T53" s="1"/>
      <c r="U53" s="1"/>
      <c r="V53" s="1"/>
      <c r="W53" s="1" t="str">
        <f aca="false">IF(Projects!B51="","",Projects!B51)</f>
        <v/>
      </c>
      <c r="X53" s="1" t="n">
        <f aca="false">IF(W53="",0,SUMIFS($I$7:$I$256,$D$7:$D$256,W53,$H$7:$H$256,"NTIME"))</f>
        <v>0</v>
      </c>
      <c r="Y53" s="1" t="n">
        <f aca="false">IF(W53="",0,SUMIFS($I$7:$I$256,$D$7:$D$256,W53,$H$7:$H$256,"P6"))</f>
        <v>0</v>
      </c>
      <c r="Z53" s="1" t="n">
        <f aca="false">X53+Y53</f>
        <v>0</v>
      </c>
      <c r="AA53" s="1" t="n">
        <f aca="false">IF(Z53&gt;0,Z53+(201-47)/10^6,0)</f>
        <v>0</v>
      </c>
      <c r="AB53" s="1"/>
      <c r="AC53" s="1"/>
      <c r="AD53" s="1"/>
      <c r="AE53" s="1"/>
      <c r="AF53" s="1"/>
      <c r="AG53" s="1"/>
      <c r="AH53" s="1"/>
    </row>
    <row r="54" customFormat="false" ht="15" hidden="false" customHeight="false" outlineLevel="0" collapsed="false">
      <c r="A54" s="1"/>
      <c r="B54" s="10"/>
      <c r="C54" s="31" t="str">
        <f aca="false">IF(B54="","",TEXT(B54,"ddd"))</f>
        <v/>
      </c>
      <c r="D54" s="11"/>
      <c r="E54" s="8" t="str">
        <f aca="false">IF(D54="","",IFERROR(INDEX(ProjNumbers,MATCH(D54,ProjNames,0)),""))</f>
        <v/>
      </c>
      <c r="F54" s="8" t="str">
        <f aca="false">IF(D54="","",IFERROR(INDEX(ProjCodes,MATCH(D54,ProjNames,0)),""))</f>
        <v/>
      </c>
      <c r="G54" s="32"/>
      <c r="H54" s="11"/>
      <c r="I54" s="33"/>
      <c r="J54" s="8" t="str">
        <f aca="false">IF(COUNTA(B54,D54,G54,H54,I54)=0,"",IF(B54="","Enter date",IF(OR(B54&lt;$AC$2,B54&gt;$AC$3),"Date not in December",IF(D54="","Pick project",IF(ISNA(MATCH(D54,ProjNames,0)),"Project not in list",IF(G54="","Add task description",IF(H54="","Pick NTIME or P6",IF(N(I54)&lt;=0,"Enter hours",IF(AND(AllowOT&lt;&gt;"Yes",SUMIF($B$7:$B$256,B54,$I$7:$I$256)&gt;INDEX($O$58:$O$88,DAY(B54))),"Day over "&amp;INDEX($O$58:$O$88,DAY(B54))&amp;" h","✓")))))))))</f>
        <v/>
      </c>
      <c r="K54" s="1"/>
      <c r="L54" s="27" t="s">
        <v>57</v>
      </c>
      <c r="M54" s="27"/>
      <c r="N54" s="27"/>
      <c r="O54" s="27" t="n">
        <f aca="false">M5</f>
        <v>0</v>
      </c>
      <c r="P54" s="27" t="n">
        <f aca="false">N5</f>
        <v>0</v>
      </c>
      <c r="Q54" s="27" t="n">
        <f aca="false">L5</f>
        <v>0</v>
      </c>
      <c r="R54" s="27"/>
      <c r="S54" s="1"/>
      <c r="T54" s="1"/>
      <c r="U54" s="1"/>
      <c r="V54" s="1"/>
      <c r="W54" s="1" t="str">
        <f aca="false">IF(Projects!B52="","",Projects!B52)</f>
        <v/>
      </c>
      <c r="X54" s="1" t="n">
        <f aca="false">IF(W54="",0,SUMIFS($I$7:$I$256,$D$7:$D$256,W54,$H$7:$H$256,"NTIME"))</f>
        <v>0</v>
      </c>
      <c r="Y54" s="1" t="n">
        <f aca="false">IF(W54="",0,SUMIFS($I$7:$I$256,$D$7:$D$256,W54,$H$7:$H$256,"P6"))</f>
        <v>0</v>
      </c>
      <c r="Z54" s="1" t="n">
        <f aca="false">X54+Y54</f>
        <v>0</v>
      </c>
      <c r="AA54" s="1" t="n">
        <f aca="false">IF(Z54&gt;0,Z54+(201-48)/10^6,0)</f>
        <v>0</v>
      </c>
      <c r="AB54" s="1"/>
      <c r="AC54" s="1"/>
      <c r="AD54" s="1"/>
      <c r="AE54" s="1"/>
      <c r="AF54" s="1"/>
      <c r="AG54" s="1"/>
      <c r="AH54" s="1"/>
    </row>
    <row r="55" customFormat="false" ht="15" hidden="false" customHeight="false" outlineLevel="0" collapsed="false">
      <c r="A55" s="1"/>
      <c r="B55" s="10"/>
      <c r="C55" s="31" t="str">
        <f aca="false">IF(B55="","",TEXT(B55,"ddd"))</f>
        <v/>
      </c>
      <c r="D55" s="11"/>
      <c r="E55" s="8" t="str">
        <f aca="false">IF(D55="","",IFERROR(INDEX(ProjNumbers,MATCH(D55,ProjNames,0)),""))</f>
        <v/>
      </c>
      <c r="F55" s="8" t="str">
        <f aca="false">IF(D55="","",IFERROR(INDEX(ProjCodes,MATCH(D55,ProjNames,0)),""))</f>
        <v/>
      </c>
      <c r="G55" s="32"/>
      <c r="H55" s="11"/>
      <c r="I55" s="33"/>
      <c r="J55" s="8" t="str">
        <f aca="false">IF(COUNTA(B55,D55,G55,H55,I55)=0,"",IF(B55="","Enter date",IF(OR(B55&lt;$AC$2,B55&gt;$AC$3),"Date not in December",IF(D55="","Pick project",IF(ISNA(MATCH(D55,ProjNames,0)),"Project not in list",IF(G55="","Add task description",IF(H55="","Pick NTIME or P6",IF(N(I55)&lt;=0,"Enter hours",IF(AND(AllowOT&lt;&gt;"Yes",SUMIF($B$7:$B$256,B55,$I$7:$I$256)&gt;INDEX($O$58:$O$88,DAY(B55))),"Day over "&amp;INDEX($O$58:$O$88,DAY(B55))&amp;" h","✓")))))))))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tr">
        <f aca="false">IF(Projects!B53="","",Projects!B53)</f>
        <v/>
      </c>
      <c r="X55" s="1" t="n">
        <f aca="false">IF(W55="",0,SUMIFS($I$7:$I$256,$D$7:$D$256,W55,$H$7:$H$256,"NTIME"))</f>
        <v>0</v>
      </c>
      <c r="Y55" s="1" t="n">
        <f aca="false">IF(W55="",0,SUMIFS($I$7:$I$256,$D$7:$D$256,W55,$H$7:$H$256,"P6"))</f>
        <v>0</v>
      </c>
      <c r="Z55" s="1" t="n">
        <f aca="false">X55+Y55</f>
        <v>0</v>
      </c>
      <c r="AA55" s="1" t="n">
        <f aca="false">IF(Z55&gt;0,Z55+(201-49)/10^6,0)</f>
        <v>0</v>
      </c>
      <c r="AB55" s="1"/>
      <c r="AC55" s="1"/>
      <c r="AD55" s="1"/>
      <c r="AE55" s="1"/>
      <c r="AF55" s="1"/>
      <c r="AG55" s="1"/>
      <c r="AH55" s="1"/>
    </row>
    <row r="56" customFormat="false" ht="15" hidden="false" customHeight="false" outlineLevel="0" collapsed="false">
      <c r="A56" s="1"/>
      <c r="B56" s="10"/>
      <c r="C56" s="31" t="str">
        <f aca="false">IF(B56="","",TEXT(B56,"ddd"))</f>
        <v/>
      </c>
      <c r="D56" s="11"/>
      <c r="E56" s="8" t="str">
        <f aca="false">IF(D56="","",IFERROR(INDEX(ProjNumbers,MATCH(D56,ProjNames,0)),""))</f>
        <v/>
      </c>
      <c r="F56" s="8" t="str">
        <f aca="false">IF(D56="","",IFERROR(INDEX(ProjCodes,MATCH(D56,ProjNames,0)),""))</f>
        <v/>
      </c>
      <c r="G56" s="32"/>
      <c r="H56" s="11"/>
      <c r="I56" s="33"/>
      <c r="J56" s="8" t="str">
        <f aca="false">IF(COUNTA(B56,D56,G56,H56,I56)=0,"",IF(B56="","Enter date",IF(OR(B56&lt;$AC$2,B56&gt;$AC$3),"Date not in December",IF(D56="","Pick project",IF(ISNA(MATCH(D56,ProjNames,0)),"Project not in list",IF(G56="","Add task description",IF(H56="","Pick NTIME or P6",IF(N(I56)&lt;=0,"Enter hours",IF(AND(AllowOT&lt;&gt;"Yes",SUMIF($B$7:$B$256,B56,$I$7:$I$256)&gt;INDEX($O$58:$O$88,DAY(B56))),"Day over "&amp;INDEX($O$58:$O$88,DAY(B56))&amp;" h","✓")))))))))</f>
        <v/>
      </c>
      <c r="K56" s="1"/>
      <c r="L56" s="4" t="s">
        <v>89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 t="str">
        <f aca="false">IF(Projects!B54="","",Projects!B54)</f>
        <v/>
      </c>
      <c r="X56" s="1" t="n">
        <f aca="false">IF(W56="",0,SUMIFS($I$7:$I$256,$D$7:$D$256,W56,$H$7:$H$256,"NTIME"))</f>
        <v>0</v>
      </c>
      <c r="Y56" s="1" t="n">
        <f aca="false">IF(W56="",0,SUMIFS($I$7:$I$256,$D$7:$D$256,W56,$H$7:$H$256,"P6"))</f>
        <v>0</v>
      </c>
      <c r="Z56" s="1" t="n">
        <f aca="false">X56+Y56</f>
        <v>0</v>
      </c>
      <c r="AA56" s="1" t="n">
        <f aca="false">IF(Z56&gt;0,Z56+(201-50)/10^6,0)</f>
        <v>0</v>
      </c>
      <c r="AB56" s="1"/>
      <c r="AC56" s="1"/>
      <c r="AD56" s="1"/>
      <c r="AE56" s="1"/>
      <c r="AF56" s="1"/>
      <c r="AG56" s="1"/>
      <c r="AH56" s="1"/>
    </row>
    <row r="57" customFormat="false" ht="15" hidden="false" customHeight="false" outlineLevel="0" collapsed="false">
      <c r="A57" s="1"/>
      <c r="B57" s="10"/>
      <c r="C57" s="31" t="str">
        <f aca="false">IF(B57="","",TEXT(B57,"ddd"))</f>
        <v/>
      </c>
      <c r="D57" s="11"/>
      <c r="E57" s="8" t="str">
        <f aca="false">IF(D57="","",IFERROR(INDEX(ProjNumbers,MATCH(D57,ProjNames,0)),""))</f>
        <v/>
      </c>
      <c r="F57" s="8" t="str">
        <f aca="false">IF(D57="","",IFERROR(INDEX(ProjCodes,MATCH(D57,ProjNames,0)),""))</f>
        <v/>
      </c>
      <c r="G57" s="32"/>
      <c r="H57" s="11"/>
      <c r="I57" s="33"/>
      <c r="J57" s="8" t="str">
        <f aca="false">IF(COUNTA(B57,D57,G57,H57,I57)=0,"",IF(B57="","Enter date",IF(OR(B57&lt;$AC$2,B57&gt;$AC$3),"Date not in December",IF(D57="","Pick project",IF(ISNA(MATCH(D57,ProjNames,0)),"Project not in list",IF(G57="","Add task description",IF(H57="","Pick NTIME or P6",IF(N(I57)&lt;=0,"Enter hours",IF(AND(AllowOT&lt;&gt;"Yes",SUMIF($B$7:$B$256,B57,$I$7:$I$256)&gt;INDEX($O$58:$O$88,DAY(B57))),"Day over "&amp;INDEX($O$58:$O$88,DAY(B57))&amp;" h","✓")))))))))</f>
        <v/>
      </c>
      <c r="K57" s="1"/>
      <c r="L57" s="9" t="s">
        <v>33</v>
      </c>
      <c r="M57" s="9" t="s">
        <v>34</v>
      </c>
      <c r="N57" s="9" t="s">
        <v>90</v>
      </c>
      <c r="O57" s="9" t="s">
        <v>91</v>
      </c>
      <c r="P57" s="20" t="s">
        <v>46</v>
      </c>
      <c r="Q57" s="21" t="s">
        <v>56</v>
      </c>
      <c r="R57" s="22" t="s">
        <v>15</v>
      </c>
      <c r="S57" s="9" t="s">
        <v>24</v>
      </c>
      <c r="T57" s="9" t="s">
        <v>57</v>
      </c>
      <c r="U57" s="9" t="s">
        <v>92</v>
      </c>
      <c r="V57" s="1"/>
      <c r="W57" s="1" t="str">
        <f aca="false">IF(Projects!B55="","",Projects!B55)</f>
        <v/>
      </c>
      <c r="X57" s="1" t="n">
        <f aca="false">IF(W57="",0,SUMIFS($I$7:$I$256,$D$7:$D$256,W57,$H$7:$H$256,"NTIME"))</f>
        <v>0</v>
      </c>
      <c r="Y57" s="1" t="n">
        <f aca="false">IF(W57="",0,SUMIFS($I$7:$I$256,$D$7:$D$256,W57,$H$7:$H$256,"P6"))</f>
        <v>0</v>
      </c>
      <c r="Z57" s="1" t="n">
        <f aca="false">X57+Y57</f>
        <v>0</v>
      </c>
      <c r="AA57" s="1" t="n">
        <f aca="false">IF(Z57&gt;0,Z57+(201-51)/10^6,0)</f>
        <v>0</v>
      </c>
      <c r="AB57" s="1"/>
      <c r="AC57" s="1"/>
      <c r="AD57" s="1"/>
      <c r="AE57" s="1"/>
      <c r="AF57" s="1"/>
      <c r="AG57" s="1"/>
      <c r="AH57" s="1"/>
    </row>
    <row r="58" customFormat="false" ht="15" hidden="false" customHeight="false" outlineLevel="0" collapsed="false">
      <c r="A58" s="1"/>
      <c r="B58" s="10"/>
      <c r="C58" s="31" t="str">
        <f aca="false">IF(B58="","",TEXT(B58,"ddd"))</f>
        <v/>
      </c>
      <c r="D58" s="11"/>
      <c r="E58" s="8" t="str">
        <f aca="false">IF(D58="","",IFERROR(INDEX(ProjNumbers,MATCH(D58,ProjNames,0)),""))</f>
        <v/>
      </c>
      <c r="F58" s="8" t="str">
        <f aca="false">IF(D58="","",IFERROR(INDEX(ProjCodes,MATCH(D58,ProjNames,0)),""))</f>
        <v/>
      </c>
      <c r="G58" s="32"/>
      <c r="H58" s="11"/>
      <c r="I58" s="33"/>
      <c r="J58" s="8" t="str">
        <f aca="false">IF(COUNTA(B58,D58,G58,H58,I58)=0,"",IF(B58="","Enter date",IF(OR(B58&lt;$AC$2,B58&gt;$AC$3),"Date not in December",IF(D58="","Pick project",IF(ISNA(MATCH(D58,ProjNames,0)),"Project not in list",IF(G58="","Add task description",IF(H58="","Pick NTIME or P6",IF(N(I58)&lt;=0,"Enter hours",IF(AND(AllowOT&lt;&gt;"Yes",SUMIF($B$7:$B$256,B58,$I$7:$I$256)&gt;INDEX($O$58:$O$88,DAY(B58))),"Day over "&amp;INDEX($O$58:$O$88,DAY(B58))&amp;" h","✓")))))))))</f>
        <v/>
      </c>
      <c r="K58" s="1"/>
      <c r="L58" s="35" t="n">
        <v>46357</v>
      </c>
      <c r="M58" s="36" t="str">
        <f aca="false">TEXT(L58,"ddd")</f>
        <v>Tue</v>
      </c>
      <c r="N58" s="37" t="s">
        <v>93</v>
      </c>
      <c r="O58" s="37" t="n">
        <f aca="false">AvailHours</f>
        <v>8</v>
      </c>
      <c r="P58" s="24" t="n">
        <f aca="false">SUMIFS($I$7:$I$256,$B$7:$B$256,L58,$H$7:$H$256,"NTIME")</f>
        <v>0</v>
      </c>
      <c r="Q58" s="24" t="n">
        <f aca="false">SUMIFS($I$7:$I$256,$B$7:$B$256,L58,$H$7:$H$256,"P6")</f>
        <v>0</v>
      </c>
      <c r="R58" s="24" t="n">
        <f aca="false">IF(N58="Overhead only",O58,IF(AND(N58="Working",P58+Q58&gt;0),MAX(0,O58-P58-Q58),0))</f>
        <v>0</v>
      </c>
      <c r="S58" s="24" t="n">
        <f aca="false">IF(OR(N58="Working",N58="Overhead only"),MAX(0,P58+Q58-O58),0)</f>
        <v>0</v>
      </c>
      <c r="T58" s="24" t="n">
        <f aca="false">P58+Q58+R58</f>
        <v>0</v>
      </c>
      <c r="U58" s="24" t="str">
        <f aca="true">IF(N58="Working",IF(P58+Q58=0,IF(L58&lt;=TODAY(),"Not logged",""),IF(P58+Q58&gt;O58,IF(AllowOT="Yes","Overtime","Over "&amp;O58&amp;" h!"),"✓")),IF(N58="Overhead only","✓ Overhead day",IF(P58+Q58&gt;0,"Entries on "&amp;LOWER(N58)&amp;" day",N58)))</f>
        <v/>
      </c>
      <c r="V58" s="1"/>
      <c r="W58" s="1" t="str">
        <f aca="false">IF(Projects!B56="","",Projects!B56)</f>
        <v/>
      </c>
      <c r="X58" s="1" t="n">
        <f aca="false">IF(W58="",0,SUMIFS($I$7:$I$256,$D$7:$D$256,W58,$H$7:$H$256,"NTIME"))</f>
        <v>0</v>
      </c>
      <c r="Y58" s="1" t="n">
        <f aca="false">IF(W58="",0,SUMIFS($I$7:$I$256,$D$7:$D$256,W58,$H$7:$H$256,"P6"))</f>
        <v>0</v>
      </c>
      <c r="Z58" s="1" t="n">
        <f aca="false">X58+Y58</f>
        <v>0</v>
      </c>
      <c r="AA58" s="1" t="n">
        <f aca="false">IF(Z58&gt;0,Z58+(201-52)/10^6,0)</f>
        <v>0</v>
      </c>
      <c r="AB58" s="1"/>
      <c r="AC58" s="1"/>
      <c r="AD58" s="1"/>
      <c r="AE58" s="1"/>
      <c r="AF58" s="1"/>
      <c r="AG58" s="1"/>
      <c r="AH58" s="1"/>
    </row>
    <row r="59" customFormat="false" ht="15" hidden="false" customHeight="false" outlineLevel="0" collapsed="false">
      <c r="A59" s="1"/>
      <c r="B59" s="10"/>
      <c r="C59" s="31" t="str">
        <f aca="false">IF(B59="","",TEXT(B59,"ddd"))</f>
        <v/>
      </c>
      <c r="D59" s="11"/>
      <c r="E59" s="8" t="str">
        <f aca="false">IF(D59="","",IFERROR(INDEX(ProjNumbers,MATCH(D59,ProjNames,0)),""))</f>
        <v/>
      </c>
      <c r="F59" s="8" t="str">
        <f aca="false">IF(D59="","",IFERROR(INDEX(ProjCodes,MATCH(D59,ProjNames,0)),""))</f>
        <v/>
      </c>
      <c r="G59" s="32"/>
      <c r="H59" s="11"/>
      <c r="I59" s="33"/>
      <c r="J59" s="8" t="str">
        <f aca="false">IF(COUNTA(B59,D59,G59,H59,I59)=0,"",IF(B59="","Enter date",IF(OR(B59&lt;$AC$2,B59&gt;$AC$3),"Date not in December",IF(D59="","Pick project",IF(ISNA(MATCH(D59,ProjNames,0)),"Project not in list",IF(G59="","Add task description",IF(H59="","Pick NTIME or P6",IF(N(I59)&lt;=0,"Enter hours",IF(AND(AllowOT&lt;&gt;"Yes",SUMIF($B$7:$B$256,B59,$I$7:$I$256)&gt;INDEX($O$58:$O$88,DAY(B59))),"Day over "&amp;INDEX($O$58:$O$88,DAY(B59))&amp;" h","✓")))))))))</f>
        <v/>
      </c>
      <c r="K59" s="1"/>
      <c r="L59" s="35" t="n">
        <v>46358</v>
      </c>
      <c r="M59" s="36" t="str">
        <f aca="false">TEXT(L59,"ddd")</f>
        <v>Wed</v>
      </c>
      <c r="N59" s="37" t="s">
        <v>93</v>
      </c>
      <c r="O59" s="37" t="n">
        <f aca="false">AvailHours</f>
        <v>8</v>
      </c>
      <c r="P59" s="24" t="n">
        <f aca="false">SUMIFS($I$7:$I$256,$B$7:$B$256,L59,$H$7:$H$256,"NTIME")</f>
        <v>0</v>
      </c>
      <c r="Q59" s="24" t="n">
        <f aca="false">SUMIFS($I$7:$I$256,$B$7:$B$256,L59,$H$7:$H$256,"P6")</f>
        <v>0</v>
      </c>
      <c r="R59" s="24" t="n">
        <f aca="false">IF(N59="Overhead only",O59,IF(AND(N59="Working",P59+Q59&gt;0),MAX(0,O59-P59-Q59),0))</f>
        <v>0</v>
      </c>
      <c r="S59" s="24" t="n">
        <f aca="false">IF(OR(N59="Working",N59="Overhead only"),MAX(0,P59+Q59-O59),0)</f>
        <v>0</v>
      </c>
      <c r="T59" s="24" t="n">
        <f aca="false">P59+Q59+R59</f>
        <v>0</v>
      </c>
      <c r="U59" s="24" t="str">
        <f aca="true">IF(N59="Working",IF(P59+Q59=0,IF(L59&lt;=TODAY(),"Not logged",""),IF(P59+Q59&gt;O59,IF(AllowOT="Yes","Overtime","Over "&amp;O59&amp;" h!"),"✓")),IF(N59="Overhead only","✓ Overhead day",IF(P59+Q59&gt;0,"Entries on "&amp;LOWER(N59)&amp;" day",N59)))</f>
        <v/>
      </c>
      <c r="V59" s="1"/>
      <c r="W59" s="1" t="str">
        <f aca="false">IF(Projects!B57="","",Projects!B57)</f>
        <v/>
      </c>
      <c r="X59" s="1" t="n">
        <f aca="false">IF(W59="",0,SUMIFS($I$7:$I$256,$D$7:$D$256,W59,$H$7:$H$256,"NTIME"))</f>
        <v>0</v>
      </c>
      <c r="Y59" s="1" t="n">
        <f aca="false">IF(W59="",0,SUMIFS($I$7:$I$256,$D$7:$D$256,W59,$H$7:$H$256,"P6"))</f>
        <v>0</v>
      </c>
      <c r="Z59" s="1" t="n">
        <f aca="false">X59+Y59</f>
        <v>0</v>
      </c>
      <c r="AA59" s="1" t="n">
        <f aca="false">IF(Z59&gt;0,Z59+(201-53)/10^6,0)</f>
        <v>0</v>
      </c>
      <c r="AB59" s="1"/>
      <c r="AC59" s="1"/>
      <c r="AD59" s="1"/>
      <c r="AE59" s="1"/>
      <c r="AF59" s="1"/>
      <c r="AG59" s="1"/>
      <c r="AH59" s="1"/>
    </row>
    <row r="60" customFormat="false" ht="15" hidden="false" customHeight="false" outlineLevel="0" collapsed="false">
      <c r="A60" s="1"/>
      <c r="B60" s="10"/>
      <c r="C60" s="31" t="str">
        <f aca="false">IF(B60="","",TEXT(B60,"ddd"))</f>
        <v/>
      </c>
      <c r="D60" s="11"/>
      <c r="E60" s="8" t="str">
        <f aca="false">IF(D60="","",IFERROR(INDEX(ProjNumbers,MATCH(D60,ProjNames,0)),""))</f>
        <v/>
      </c>
      <c r="F60" s="8" t="str">
        <f aca="false">IF(D60="","",IFERROR(INDEX(ProjCodes,MATCH(D60,ProjNames,0)),""))</f>
        <v/>
      </c>
      <c r="G60" s="32"/>
      <c r="H60" s="11"/>
      <c r="I60" s="33"/>
      <c r="J60" s="8" t="str">
        <f aca="false">IF(COUNTA(B60,D60,G60,H60,I60)=0,"",IF(B60="","Enter date",IF(OR(B60&lt;$AC$2,B60&gt;$AC$3),"Date not in December",IF(D60="","Pick project",IF(ISNA(MATCH(D60,ProjNames,0)),"Project not in list",IF(G60="","Add task description",IF(H60="","Pick NTIME or P6",IF(N(I60)&lt;=0,"Enter hours",IF(AND(AllowOT&lt;&gt;"Yes",SUMIF($B$7:$B$256,B60,$I$7:$I$256)&gt;INDEX($O$58:$O$88,DAY(B60))),"Day over "&amp;INDEX($O$58:$O$88,DAY(B60))&amp;" h","✓")))))))))</f>
        <v/>
      </c>
      <c r="K60" s="1"/>
      <c r="L60" s="35" t="n">
        <v>46359</v>
      </c>
      <c r="M60" s="36" t="str">
        <f aca="false">TEXT(L60,"ddd")</f>
        <v>Thu</v>
      </c>
      <c r="N60" s="37" t="s">
        <v>93</v>
      </c>
      <c r="O60" s="37" t="n">
        <f aca="false">AvailHours</f>
        <v>8</v>
      </c>
      <c r="P60" s="24" t="n">
        <f aca="false">SUMIFS($I$7:$I$256,$B$7:$B$256,L60,$H$7:$H$256,"NTIME")</f>
        <v>0</v>
      </c>
      <c r="Q60" s="24" t="n">
        <f aca="false">SUMIFS($I$7:$I$256,$B$7:$B$256,L60,$H$7:$H$256,"P6")</f>
        <v>0</v>
      </c>
      <c r="R60" s="24" t="n">
        <f aca="false">IF(N60="Overhead only",O60,IF(AND(N60="Working",P60+Q60&gt;0),MAX(0,O60-P60-Q60),0))</f>
        <v>0</v>
      </c>
      <c r="S60" s="24" t="n">
        <f aca="false">IF(OR(N60="Working",N60="Overhead only"),MAX(0,P60+Q60-O60),0)</f>
        <v>0</v>
      </c>
      <c r="T60" s="24" t="n">
        <f aca="false">P60+Q60+R60</f>
        <v>0</v>
      </c>
      <c r="U60" s="24" t="str">
        <f aca="true">IF(N60="Working",IF(P60+Q60=0,IF(L60&lt;=TODAY(),"Not logged",""),IF(P60+Q60&gt;O60,IF(AllowOT="Yes","Overtime","Over "&amp;O60&amp;" h!"),"✓")),IF(N60="Overhead only","✓ Overhead day",IF(P60+Q60&gt;0,"Entries on "&amp;LOWER(N60)&amp;" day",N60)))</f>
        <v/>
      </c>
      <c r="V60" s="1"/>
      <c r="W60" s="1" t="str">
        <f aca="false">IF(Projects!B58="","",Projects!B58)</f>
        <v/>
      </c>
      <c r="X60" s="1" t="n">
        <f aca="false">IF(W60="",0,SUMIFS($I$7:$I$256,$D$7:$D$256,W60,$H$7:$H$256,"NTIME"))</f>
        <v>0</v>
      </c>
      <c r="Y60" s="1" t="n">
        <f aca="false">IF(W60="",0,SUMIFS($I$7:$I$256,$D$7:$D$256,W60,$H$7:$H$256,"P6"))</f>
        <v>0</v>
      </c>
      <c r="Z60" s="1" t="n">
        <f aca="false">X60+Y60</f>
        <v>0</v>
      </c>
      <c r="AA60" s="1" t="n">
        <f aca="false">IF(Z60&gt;0,Z60+(201-54)/10^6,0)</f>
        <v>0</v>
      </c>
      <c r="AB60" s="1"/>
      <c r="AC60" s="1"/>
      <c r="AD60" s="1"/>
      <c r="AE60" s="1"/>
      <c r="AF60" s="1"/>
      <c r="AG60" s="1"/>
      <c r="AH60" s="1"/>
    </row>
    <row r="61" customFormat="false" ht="15" hidden="false" customHeight="false" outlineLevel="0" collapsed="false">
      <c r="A61" s="1"/>
      <c r="B61" s="10"/>
      <c r="C61" s="31" t="str">
        <f aca="false">IF(B61="","",TEXT(B61,"ddd"))</f>
        <v/>
      </c>
      <c r="D61" s="11"/>
      <c r="E61" s="8" t="str">
        <f aca="false">IF(D61="","",IFERROR(INDEX(ProjNumbers,MATCH(D61,ProjNames,0)),""))</f>
        <v/>
      </c>
      <c r="F61" s="8" t="str">
        <f aca="false">IF(D61="","",IFERROR(INDEX(ProjCodes,MATCH(D61,ProjNames,0)),""))</f>
        <v/>
      </c>
      <c r="G61" s="32"/>
      <c r="H61" s="11"/>
      <c r="I61" s="33"/>
      <c r="J61" s="8" t="str">
        <f aca="false">IF(COUNTA(B61,D61,G61,H61,I61)=0,"",IF(B61="","Enter date",IF(OR(B61&lt;$AC$2,B61&gt;$AC$3),"Date not in December",IF(D61="","Pick project",IF(ISNA(MATCH(D61,ProjNames,0)),"Project not in list",IF(G61="","Add task description",IF(H61="","Pick NTIME or P6",IF(N(I61)&lt;=0,"Enter hours",IF(AND(AllowOT&lt;&gt;"Yes",SUMIF($B$7:$B$256,B61,$I$7:$I$256)&gt;INDEX($O$58:$O$88,DAY(B61))),"Day over "&amp;INDEX($O$58:$O$88,DAY(B61))&amp;" h","✓")))))))))</f>
        <v/>
      </c>
      <c r="K61" s="1"/>
      <c r="L61" s="35" t="n">
        <v>46360</v>
      </c>
      <c r="M61" s="36" t="str">
        <f aca="false">TEXT(L61,"ddd")</f>
        <v>Fri</v>
      </c>
      <c r="N61" s="37" t="s">
        <v>93</v>
      </c>
      <c r="O61" s="37" t="n">
        <f aca="false">AvailHours</f>
        <v>8</v>
      </c>
      <c r="P61" s="24" t="n">
        <f aca="false">SUMIFS($I$7:$I$256,$B$7:$B$256,L61,$H$7:$H$256,"NTIME")</f>
        <v>0</v>
      </c>
      <c r="Q61" s="24" t="n">
        <f aca="false">SUMIFS($I$7:$I$256,$B$7:$B$256,L61,$H$7:$H$256,"P6")</f>
        <v>0</v>
      </c>
      <c r="R61" s="24" t="n">
        <f aca="false">IF(N61="Overhead only",O61,IF(AND(N61="Working",P61+Q61&gt;0),MAX(0,O61-P61-Q61),0))</f>
        <v>0</v>
      </c>
      <c r="S61" s="24" t="n">
        <f aca="false">IF(OR(N61="Working",N61="Overhead only"),MAX(0,P61+Q61-O61),0)</f>
        <v>0</v>
      </c>
      <c r="T61" s="24" t="n">
        <f aca="false">P61+Q61+R61</f>
        <v>0</v>
      </c>
      <c r="U61" s="24" t="str">
        <f aca="true">IF(N61="Working",IF(P61+Q61=0,IF(L61&lt;=TODAY(),"Not logged",""),IF(P61+Q61&gt;O61,IF(AllowOT="Yes","Overtime","Over "&amp;O61&amp;" h!"),"✓")),IF(N61="Overhead only","✓ Overhead day",IF(P61+Q61&gt;0,"Entries on "&amp;LOWER(N61)&amp;" day",N61)))</f>
        <v/>
      </c>
      <c r="V61" s="1"/>
      <c r="W61" s="1" t="str">
        <f aca="false">IF(Projects!B59="","",Projects!B59)</f>
        <v/>
      </c>
      <c r="X61" s="1" t="n">
        <f aca="false">IF(W61="",0,SUMIFS($I$7:$I$256,$D$7:$D$256,W61,$H$7:$H$256,"NTIME"))</f>
        <v>0</v>
      </c>
      <c r="Y61" s="1" t="n">
        <f aca="false">IF(W61="",0,SUMIFS($I$7:$I$256,$D$7:$D$256,W61,$H$7:$H$256,"P6"))</f>
        <v>0</v>
      </c>
      <c r="Z61" s="1" t="n">
        <f aca="false">X61+Y61</f>
        <v>0</v>
      </c>
      <c r="AA61" s="1" t="n">
        <f aca="false">IF(Z61&gt;0,Z61+(201-55)/10^6,0)</f>
        <v>0</v>
      </c>
      <c r="AB61" s="1"/>
      <c r="AC61" s="1"/>
      <c r="AD61" s="1"/>
      <c r="AE61" s="1"/>
      <c r="AF61" s="1"/>
      <c r="AG61" s="1"/>
      <c r="AH61" s="1"/>
    </row>
    <row r="62" customFormat="false" ht="15" hidden="false" customHeight="false" outlineLevel="0" collapsed="false">
      <c r="A62" s="1"/>
      <c r="B62" s="10"/>
      <c r="C62" s="31" t="str">
        <f aca="false">IF(B62="","",TEXT(B62,"ddd"))</f>
        <v/>
      </c>
      <c r="D62" s="11"/>
      <c r="E62" s="8" t="str">
        <f aca="false">IF(D62="","",IFERROR(INDEX(ProjNumbers,MATCH(D62,ProjNames,0)),""))</f>
        <v/>
      </c>
      <c r="F62" s="8" t="str">
        <f aca="false">IF(D62="","",IFERROR(INDEX(ProjCodes,MATCH(D62,ProjNames,0)),""))</f>
        <v/>
      </c>
      <c r="G62" s="32"/>
      <c r="H62" s="11"/>
      <c r="I62" s="33"/>
      <c r="J62" s="8" t="str">
        <f aca="false">IF(COUNTA(B62,D62,G62,H62,I62)=0,"",IF(B62="","Enter date",IF(OR(B62&lt;$AC$2,B62&gt;$AC$3),"Date not in December",IF(D62="","Pick project",IF(ISNA(MATCH(D62,ProjNames,0)),"Project not in list",IF(G62="","Add task description",IF(H62="","Pick NTIME or P6",IF(N(I62)&lt;=0,"Enter hours",IF(AND(AllowOT&lt;&gt;"Yes",SUMIF($B$7:$B$256,B62,$I$7:$I$256)&gt;INDEX($O$58:$O$88,DAY(B62))),"Day over "&amp;INDEX($O$58:$O$88,DAY(B62))&amp;" h","✓")))))))))</f>
        <v/>
      </c>
      <c r="K62" s="1"/>
      <c r="L62" s="35" t="n">
        <v>46361</v>
      </c>
      <c r="M62" s="36" t="str">
        <f aca="false">TEXT(L62,"ddd")</f>
        <v>Sat</v>
      </c>
      <c r="N62" s="37" t="s">
        <v>94</v>
      </c>
      <c r="O62" s="37" t="n">
        <f aca="false">AvailHours</f>
        <v>8</v>
      </c>
      <c r="P62" s="24" t="n">
        <f aca="false">SUMIFS($I$7:$I$256,$B$7:$B$256,L62,$H$7:$H$256,"NTIME")</f>
        <v>0</v>
      </c>
      <c r="Q62" s="24" t="n">
        <f aca="false">SUMIFS($I$7:$I$256,$B$7:$B$256,L62,$H$7:$H$256,"P6")</f>
        <v>0</v>
      </c>
      <c r="R62" s="24" t="n">
        <f aca="false">IF(N62="Overhead only",O62,IF(AND(N62="Working",P62+Q62&gt;0),MAX(0,O62-P62-Q62),0))</f>
        <v>0</v>
      </c>
      <c r="S62" s="24" t="n">
        <f aca="false">IF(OR(N62="Working",N62="Overhead only"),MAX(0,P62+Q62-O62),0)</f>
        <v>0</v>
      </c>
      <c r="T62" s="24" t="n">
        <f aca="false">P62+Q62+R62</f>
        <v>0</v>
      </c>
      <c r="U62" s="24" t="str">
        <f aca="true">IF(N62="Working",IF(P62+Q62=0,IF(L62&lt;=TODAY(),"Not logged",""),IF(P62+Q62&gt;O62,IF(AllowOT="Yes","Overtime","Over "&amp;O62&amp;" h!"),"✓")),IF(N62="Overhead only","✓ Overhead day",IF(P62+Q62&gt;0,"Entries on "&amp;LOWER(N62)&amp;" day",N62)))</f>
        <v>Weekend</v>
      </c>
      <c r="V62" s="1"/>
      <c r="W62" s="1" t="str">
        <f aca="false">IF(Projects!B60="","",Projects!B60)</f>
        <v/>
      </c>
      <c r="X62" s="1" t="n">
        <f aca="false">IF(W62="",0,SUMIFS($I$7:$I$256,$D$7:$D$256,W62,$H$7:$H$256,"NTIME"))</f>
        <v>0</v>
      </c>
      <c r="Y62" s="1" t="n">
        <f aca="false">IF(W62="",0,SUMIFS($I$7:$I$256,$D$7:$D$256,W62,$H$7:$H$256,"P6"))</f>
        <v>0</v>
      </c>
      <c r="Z62" s="1" t="n">
        <f aca="false">X62+Y62</f>
        <v>0</v>
      </c>
      <c r="AA62" s="1" t="n">
        <f aca="false">IF(Z62&gt;0,Z62+(201-56)/10^6,0)</f>
        <v>0</v>
      </c>
      <c r="AB62" s="1"/>
      <c r="AC62" s="1"/>
      <c r="AD62" s="1"/>
      <c r="AE62" s="1"/>
      <c r="AF62" s="1"/>
      <c r="AG62" s="1"/>
      <c r="AH62" s="1"/>
    </row>
    <row r="63" customFormat="false" ht="15" hidden="false" customHeight="false" outlineLevel="0" collapsed="false">
      <c r="A63" s="1"/>
      <c r="B63" s="10"/>
      <c r="C63" s="31" t="str">
        <f aca="false">IF(B63="","",TEXT(B63,"ddd"))</f>
        <v/>
      </c>
      <c r="D63" s="11"/>
      <c r="E63" s="8" t="str">
        <f aca="false">IF(D63="","",IFERROR(INDEX(ProjNumbers,MATCH(D63,ProjNames,0)),""))</f>
        <v/>
      </c>
      <c r="F63" s="8" t="str">
        <f aca="false">IF(D63="","",IFERROR(INDEX(ProjCodes,MATCH(D63,ProjNames,0)),""))</f>
        <v/>
      </c>
      <c r="G63" s="32"/>
      <c r="H63" s="11"/>
      <c r="I63" s="33"/>
      <c r="J63" s="8" t="str">
        <f aca="false">IF(COUNTA(B63,D63,G63,H63,I63)=0,"",IF(B63="","Enter date",IF(OR(B63&lt;$AC$2,B63&gt;$AC$3),"Date not in December",IF(D63="","Pick project",IF(ISNA(MATCH(D63,ProjNames,0)),"Project not in list",IF(G63="","Add task description",IF(H63="","Pick NTIME or P6",IF(N(I63)&lt;=0,"Enter hours",IF(AND(AllowOT&lt;&gt;"Yes",SUMIF($B$7:$B$256,B63,$I$7:$I$256)&gt;INDEX($O$58:$O$88,DAY(B63))),"Day over "&amp;INDEX($O$58:$O$88,DAY(B63))&amp;" h","✓")))))))))</f>
        <v/>
      </c>
      <c r="K63" s="1"/>
      <c r="L63" s="35" t="n">
        <v>46362</v>
      </c>
      <c r="M63" s="36" t="str">
        <f aca="false">TEXT(L63,"ddd")</f>
        <v>Sun</v>
      </c>
      <c r="N63" s="37" t="s">
        <v>94</v>
      </c>
      <c r="O63" s="37" t="n">
        <f aca="false">AvailHours</f>
        <v>8</v>
      </c>
      <c r="P63" s="24" t="n">
        <f aca="false">SUMIFS($I$7:$I$256,$B$7:$B$256,L63,$H$7:$H$256,"NTIME")</f>
        <v>0</v>
      </c>
      <c r="Q63" s="24" t="n">
        <f aca="false">SUMIFS($I$7:$I$256,$B$7:$B$256,L63,$H$7:$H$256,"P6")</f>
        <v>0</v>
      </c>
      <c r="R63" s="24" t="n">
        <f aca="false">IF(N63="Overhead only",O63,IF(AND(N63="Working",P63+Q63&gt;0),MAX(0,O63-P63-Q63),0))</f>
        <v>0</v>
      </c>
      <c r="S63" s="24" t="n">
        <f aca="false">IF(OR(N63="Working",N63="Overhead only"),MAX(0,P63+Q63-O63),0)</f>
        <v>0</v>
      </c>
      <c r="T63" s="24" t="n">
        <f aca="false">P63+Q63+R63</f>
        <v>0</v>
      </c>
      <c r="U63" s="24" t="str">
        <f aca="true">IF(N63="Working",IF(P63+Q63=0,IF(L63&lt;=TODAY(),"Not logged",""),IF(P63+Q63&gt;O63,IF(AllowOT="Yes","Overtime","Over "&amp;O63&amp;" h!"),"✓")),IF(N63="Overhead only","✓ Overhead day",IF(P63+Q63&gt;0,"Entries on "&amp;LOWER(N63)&amp;" day",N63)))</f>
        <v>Weekend</v>
      </c>
      <c r="V63" s="1"/>
      <c r="W63" s="1" t="str">
        <f aca="false">IF(Projects!B61="","",Projects!B61)</f>
        <v/>
      </c>
      <c r="X63" s="1" t="n">
        <f aca="false">IF(W63="",0,SUMIFS($I$7:$I$256,$D$7:$D$256,W63,$H$7:$H$256,"NTIME"))</f>
        <v>0</v>
      </c>
      <c r="Y63" s="1" t="n">
        <f aca="false">IF(W63="",0,SUMIFS($I$7:$I$256,$D$7:$D$256,W63,$H$7:$H$256,"P6"))</f>
        <v>0</v>
      </c>
      <c r="Z63" s="1" t="n">
        <f aca="false">X63+Y63</f>
        <v>0</v>
      </c>
      <c r="AA63" s="1" t="n">
        <f aca="false">IF(Z63&gt;0,Z63+(201-57)/10^6,0)</f>
        <v>0</v>
      </c>
      <c r="AB63" s="1"/>
      <c r="AC63" s="1"/>
      <c r="AD63" s="1"/>
      <c r="AE63" s="1"/>
      <c r="AF63" s="1"/>
      <c r="AG63" s="1"/>
      <c r="AH63" s="1"/>
    </row>
    <row r="64" customFormat="false" ht="15" hidden="false" customHeight="false" outlineLevel="0" collapsed="false">
      <c r="A64" s="1"/>
      <c r="B64" s="10"/>
      <c r="C64" s="31" t="str">
        <f aca="false">IF(B64="","",TEXT(B64,"ddd"))</f>
        <v/>
      </c>
      <c r="D64" s="11"/>
      <c r="E64" s="8" t="str">
        <f aca="false">IF(D64="","",IFERROR(INDEX(ProjNumbers,MATCH(D64,ProjNames,0)),""))</f>
        <v/>
      </c>
      <c r="F64" s="8" t="str">
        <f aca="false">IF(D64="","",IFERROR(INDEX(ProjCodes,MATCH(D64,ProjNames,0)),""))</f>
        <v/>
      </c>
      <c r="G64" s="32"/>
      <c r="H64" s="11"/>
      <c r="I64" s="33"/>
      <c r="J64" s="8" t="str">
        <f aca="false">IF(COUNTA(B64,D64,G64,H64,I64)=0,"",IF(B64="","Enter date",IF(OR(B64&lt;$AC$2,B64&gt;$AC$3),"Date not in December",IF(D64="","Pick project",IF(ISNA(MATCH(D64,ProjNames,0)),"Project not in list",IF(G64="","Add task description",IF(H64="","Pick NTIME or P6",IF(N(I64)&lt;=0,"Enter hours",IF(AND(AllowOT&lt;&gt;"Yes",SUMIF($B$7:$B$256,B64,$I$7:$I$256)&gt;INDEX($O$58:$O$88,DAY(B64))),"Day over "&amp;INDEX($O$58:$O$88,DAY(B64))&amp;" h","✓")))))))))</f>
        <v/>
      </c>
      <c r="K64" s="1"/>
      <c r="L64" s="35" t="n">
        <v>46363</v>
      </c>
      <c r="M64" s="36" t="str">
        <f aca="false">TEXT(L64,"ddd")</f>
        <v>Mon</v>
      </c>
      <c r="N64" s="37" t="s">
        <v>93</v>
      </c>
      <c r="O64" s="37" t="n">
        <f aca="false">AvailHours</f>
        <v>8</v>
      </c>
      <c r="P64" s="24" t="n">
        <f aca="false">SUMIFS($I$7:$I$256,$B$7:$B$256,L64,$H$7:$H$256,"NTIME")</f>
        <v>0</v>
      </c>
      <c r="Q64" s="24" t="n">
        <f aca="false">SUMIFS($I$7:$I$256,$B$7:$B$256,L64,$H$7:$H$256,"P6")</f>
        <v>0</v>
      </c>
      <c r="R64" s="24" t="n">
        <f aca="false">IF(N64="Overhead only",O64,IF(AND(N64="Working",P64+Q64&gt;0),MAX(0,O64-P64-Q64),0))</f>
        <v>0</v>
      </c>
      <c r="S64" s="24" t="n">
        <f aca="false">IF(OR(N64="Working",N64="Overhead only"),MAX(0,P64+Q64-O64),0)</f>
        <v>0</v>
      </c>
      <c r="T64" s="24" t="n">
        <f aca="false">P64+Q64+R64</f>
        <v>0</v>
      </c>
      <c r="U64" s="24" t="str">
        <f aca="true">IF(N64="Working",IF(P64+Q64=0,IF(L64&lt;=TODAY(),"Not logged",""),IF(P64+Q64&gt;O64,IF(AllowOT="Yes","Overtime","Over "&amp;O64&amp;" h!"),"✓")),IF(N64="Overhead only","✓ Overhead day",IF(P64+Q64&gt;0,"Entries on "&amp;LOWER(N64)&amp;" day",N64)))</f>
        <v/>
      </c>
      <c r="V64" s="1"/>
      <c r="W64" s="1" t="str">
        <f aca="false">IF(Projects!B62="","",Projects!B62)</f>
        <v/>
      </c>
      <c r="X64" s="1" t="n">
        <f aca="false">IF(W64="",0,SUMIFS($I$7:$I$256,$D$7:$D$256,W64,$H$7:$H$256,"NTIME"))</f>
        <v>0</v>
      </c>
      <c r="Y64" s="1" t="n">
        <f aca="false">IF(W64="",0,SUMIFS($I$7:$I$256,$D$7:$D$256,W64,$H$7:$H$256,"P6"))</f>
        <v>0</v>
      </c>
      <c r="Z64" s="1" t="n">
        <f aca="false">X64+Y64</f>
        <v>0</v>
      </c>
      <c r="AA64" s="1" t="n">
        <f aca="false">IF(Z64&gt;0,Z64+(201-58)/10^6,0)</f>
        <v>0</v>
      </c>
      <c r="AB64" s="1"/>
      <c r="AC64" s="1"/>
      <c r="AD64" s="1"/>
      <c r="AE64" s="1"/>
      <c r="AF64" s="1"/>
      <c r="AG64" s="1"/>
      <c r="AH64" s="1"/>
    </row>
    <row r="65" customFormat="false" ht="15" hidden="false" customHeight="false" outlineLevel="0" collapsed="false">
      <c r="A65" s="1"/>
      <c r="B65" s="10"/>
      <c r="C65" s="31" t="str">
        <f aca="false">IF(B65="","",TEXT(B65,"ddd"))</f>
        <v/>
      </c>
      <c r="D65" s="11"/>
      <c r="E65" s="8" t="str">
        <f aca="false">IF(D65="","",IFERROR(INDEX(ProjNumbers,MATCH(D65,ProjNames,0)),""))</f>
        <v/>
      </c>
      <c r="F65" s="8" t="str">
        <f aca="false">IF(D65="","",IFERROR(INDEX(ProjCodes,MATCH(D65,ProjNames,0)),""))</f>
        <v/>
      </c>
      <c r="G65" s="32"/>
      <c r="H65" s="11"/>
      <c r="I65" s="33"/>
      <c r="J65" s="8" t="str">
        <f aca="false">IF(COUNTA(B65,D65,G65,H65,I65)=0,"",IF(B65="","Enter date",IF(OR(B65&lt;$AC$2,B65&gt;$AC$3),"Date not in December",IF(D65="","Pick project",IF(ISNA(MATCH(D65,ProjNames,0)),"Project not in list",IF(G65="","Add task description",IF(H65="","Pick NTIME or P6",IF(N(I65)&lt;=0,"Enter hours",IF(AND(AllowOT&lt;&gt;"Yes",SUMIF($B$7:$B$256,B65,$I$7:$I$256)&gt;INDEX($O$58:$O$88,DAY(B65))),"Day over "&amp;INDEX($O$58:$O$88,DAY(B65))&amp;" h","✓")))))))))</f>
        <v/>
      </c>
      <c r="K65" s="1"/>
      <c r="L65" s="35" t="n">
        <v>46364</v>
      </c>
      <c r="M65" s="36" t="str">
        <f aca="false">TEXT(L65,"ddd")</f>
        <v>Tue</v>
      </c>
      <c r="N65" s="37" t="s">
        <v>93</v>
      </c>
      <c r="O65" s="37" t="n">
        <f aca="false">AvailHours</f>
        <v>8</v>
      </c>
      <c r="P65" s="24" t="n">
        <f aca="false">SUMIFS($I$7:$I$256,$B$7:$B$256,L65,$H$7:$H$256,"NTIME")</f>
        <v>0</v>
      </c>
      <c r="Q65" s="24" t="n">
        <f aca="false">SUMIFS($I$7:$I$256,$B$7:$B$256,L65,$H$7:$H$256,"P6")</f>
        <v>0</v>
      </c>
      <c r="R65" s="24" t="n">
        <f aca="false">IF(N65="Overhead only",O65,IF(AND(N65="Working",P65+Q65&gt;0),MAX(0,O65-P65-Q65),0))</f>
        <v>0</v>
      </c>
      <c r="S65" s="24" t="n">
        <f aca="false">IF(OR(N65="Working",N65="Overhead only"),MAX(0,P65+Q65-O65),0)</f>
        <v>0</v>
      </c>
      <c r="T65" s="24" t="n">
        <f aca="false">P65+Q65+R65</f>
        <v>0</v>
      </c>
      <c r="U65" s="24" t="str">
        <f aca="true">IF(N65="Working",IF(P65+Q65=0,IF(L65&lt;=TODAY(),"Not logged",""),IF(P65+Q65&gt;O65,IF(AllowOT="Yes","Overtime","Over "&amp;O65&amp;" h!"),"✓")),IF(N65="Overhead only","✓ Overhead day",IF(P65+Q65&gt;0,"Entries on "&amp;LOWER(N65)&amp;" day",N65)))</f>
        <v/>
      </c>
      <c r="V65" s="1"/>
      <c r="W65" s="1" t="str">
        <f aca="false">IF(Projects!B63="","",Projects!B63)</f>
        <v/>
      </c>
      <c r="X65" s="1" t="n">
        <f aca="false">IF(W65="",0,SUMIFS($I$7:$I$256,$D$7:$D$256,W65,$H$7:$H$256,"NTIME"))</f>
        <v>0</v>
      </c>
      <c r="Y65" s="1" t="n">
        <f aca="false">IF(W65="",0,SUMIFS($I$7:$I$256,$D$7:$D$256,W65,$H$7:$H$256,"P6"))</f>
        <v>0</v>
      </c>
      <c r="Z65" s="1" t="n">
        <f aca="false">X65+Y65</f>
        <v>0</v>
      </c>
      <c r="AA65" s="1" t="n">
        <f aca="false">IF(Z65&gt;0,Z65+(201-59)/10^6,0)</f>
        <v>0</v>
      </c>
      <c r="AB65" s="1"/>
      <c r="AC65" s="1"/>
      <c r="AD65" s="1"/>
      <c r="AE65" s="1"/>
      <c r="AF65" s="1"/>
      <c r="AG65" s="1"/>
      <c r="AH65" s="1"/>
    </row>
    <row r="66" customFormat="false" ht="15" hidden="false" customHeight="false" outlineLevel="0" collapsed="false">
      <c r="A66" s="1"/>
      <c r="B66" s="10"/>
      <c r="C66" s="31" t="str">
        <f aca="false">IF(B66="","",TEXT(B66,"ddd"))</f>
        <v/>
      </c>
      <c r="D66" s="11"/>
      <c r="E66" s="8" t="str">
        <f aca="false">IF(D66="","",IFERROR(INDEX(ProjNumbers,MATCH(D66,ProjNames,0)),""))</f>
        <v/>
      </c>
      <c r="F66" s="8" t="str">
        <f aca="false">IF(D66="","",IFERROR(INDEX(ProjCodes,MATCH(D66,ProjNames,0)),""))</f>
        <v/>
      </c>
      <c r="G66" s="32"/>
      <c r="H66" s="11"/>
      <c r="I66" s="33"/>
      <c r="J66" s="8" t="str">
        <f aca="false">IF(COUNTA(B66,D66,G66,H66,I66)=0,"",IF(B66="","Enter date",IF(OR(B66&lt;$AC$2,B66&gt;$AC$3),"Date not in December",IF(D66="","Pick project",IF(ISNA(MATCH(D66,ProjNames,0)),"Project not in list",IF(G66="","Add task description",IF(H66="","Pick NTIME or P6",IF(N(I66)&lt;=0,"Enter hours",IF(AND(AllowOT&lt;&gt;"Yes",SUMIF($B$7:$B$256,B66,$I$7:$I$256)&gt;INDEX($O$58:$O$88,DAY(B66))),"Day over "&amp;INDEX($O$58:$O$88,DAY(B66))&amp;" h","✓")))))))))</f>
        <v/>
      </c>
      <c r="K66" s="1"/>
      <c r="L66" s="35" t="n">
        <v>46365</v>
      </c>
      <c r="M66" s="36" t="str">
        <f aca="false">TEXT(L66,"ddd")</f>
        <v>Wed</v>
      </c>
      <c r="N66" s="37" t="s">
        <v>93</v>
      </c>
      <c r="O66" s="37" t="n">
        <f aca="false">AvailHours</f>
        <v>8</v>
      </c>
      <c r="P66" s="24" t="n">
        <f aca="false">SUMIFS($I$7:$I$256,$B$7:$B$256,L66,$H$7:$H$256,"NTIME")</f>
        <v>0</v>
      </c>
      <c r="Q66" s="24" t="n">
        <f aca="false">SUMIFS($I$7:$I$256,$B$7:$B$256,L66,$H$7:$H$256,"P6")</f>
        <v>0</v>
      </c>
      <c r="R66" s="24" t="n">
        <f aca="false">IF(N66="Overhead only",O66,IF(AND(N66="Working",P66+Q66&gt;0),MAX(0,O66-P66-Q66),0))</f>
        <v>0</v>
      </c>
      <c r="S66" s="24" t="n">
        <f aca="false">IF(OR(N66="Working",N66="Overhead only"),MAX(0,P66+Q66-O66),0)</f>
        <v>0</v>
      </c>
      <c r="T66" s="24" t="n">
        <f aca="false">P66+Q66+R66</f>
        <v>0</v>
      </c>
      <c r="U66" s="24" t="str">
        <f aca="true">IF(N66="Working",IF(P66+Q66=0,IF(L66&lt;=TODAY(),"Not logged",""),IF(P66+Q66&gt;O66,IF(AllowOT="Yes","Overtime","Over "&amp;O66&amp;" h!"),"✓")),IF(N66="Overhead only","✓ Overhead day",IF(P66+Q66&gt;0,"Entries on "&amp;LOWER(N66)&amp;" day",N66)))</f>
        <v/>
      </c>
      <c r="V66" s="1"/>
      <c r="W66" s="1" t="str">
        <f aca="false">IF(Projects!B64="","",Projects!B64)</f>
        <v/>
      </c>
      <c r="X66" s="1" t="n">
        <f aca="false">IF(W66="",0,SUMIFS($I$7:$I$256,$D$7:$D$256,W66,$H$7:$H$256,"NTIME"))</f>
        <v>0</v>
      </c>
      <c r="Y66" s="1" t="n">
        <f aca="false">IF(W66="",0,SUMIFS($I$7:$I$256,$D$7:$D$256,W66,$H$7:$H$256,"P6"))</f>
        <v>0</v>
      </c>
      <c r="Z66" s="1" t="n">
        <f aca="false">X66+Y66</f>
        <v>0</v>
      </c>
      <c r="AA66" s="1" t="n">
        <f aca="false">IF(Z66&gt;0,Z66+(201-60)/10^6,0)</f>
        <v>0</v>
      </c>
      <c r="AB66" s="1"/>
      <c r="AC66" s="1"/>
      <c r="AD66" s="1"/>
      <c r="AE66" s="1"/>
      <c r="AF66" s="1"/>
      <c r="AG66" s="1"/>
      <c r="AH66" s="1"/>
    </row>
    <row r="67" customFormat="false" ht="15" hidden="false" customHeight="false" outlineLevel="0" collapsed="false">
      <c r="A67" s="1"/>
      <c r="B67" s="10"/>
      <c r="C67" s="31" t="str">
        <f aca="false">IF(B67="","",TEXT(B67,"ddd"))</f>
        <v/>
      </c>
      <c r="D67" s="11"/>
      <c r="E67" s="8" t="str">
        <f aca="false">IF(D67="","",IFERROR(INDEX(ProjNumbers,MATCH(D67,ProjNames,0)),""))</f>
        <v/>
      </c>
      <c r="F67" s="8" t="str">
        <f aca="false">IF(D67="","",IFERROR(INDEX(ProjCodes,MATCH(D67,ProjNames,0)),""))</f>
        <v/>
      </c>
      <c r="G67" s="32"/>
      <c r="H67" s="11"/>
      <c r="I67" s="33"/>
      <c r="J67" s="8" t="str">
        <f aca="false">IF(COUNTA(B67,D67,G67,H67,I67)=0,"",IF(B67="","Enter date",IF(OR(B67&lt;$AC$2,B67&gt;$AC$3),"Date not in December",IF(D67="","Pick project",IF(ISNA(MATCH(D67,ProjNames,0)),"Project not in list",IF(G67="","Add task description",IF(H67="","Pick NTIME or P6",IF(N(I67)&lt;=0,"Enter hours",IF(AND(AllowOT&lt;&gt;"Yes",SUMIF($B$7:$B$256,B67,$I$7:$I$256)&gt;INDEX($O$58:$O$88,DAY(B67))),"Day over "&amp;INDEX($O$58:$O$88,DAY(B67))&amp;" h","✓")))))))))</f>
        <v/>
      </c>
      <c r="K67" s="1"/>
      <c r="L67" s="35" t="n">
        <v>46366</v>
      </c>
      <c r="M67" s="36" t="str">
        <f aca="false">TEXT(L67,"ddd")</f>
        <v>Thu</v>
      </c>
      <c r="N67" s="37" t="s">
        <v>93</v>
      </c>
      <c r="O67" s="37" t="n">
        <f aca="false">AvailHours</f>
        <v>8</v>
      </c>
      <c r="P67" s="24" t="n">
        <f aca="false">SUMIFS($I$7:$I$256,$B$7:$B$256,L67,$H$7:$H$256,"NTIME")</f>
        <v>0</v>
      </c>
      <c r="Q67" s="24" t="n">
        <f aca="false">SUMIFS($I$7:$I$256,$B$7:$B$256,L67,$H$7:$H$256,"P6")</f>
        <v>0</v>
      </c>
      <c r="R67" s="24" t="n">
        <f aca="false">IF(N67="Overhead only",O67,IF(AND(N67="Working",P67+Q67&gt;0),MAX(0,O67-P67-Q67),0))</f>
        <v>0</v>
      </c>
      <c r="S67" s="24" t="n">
        <f aca="false">IF(OR(N67="Working",N67="Overhead only"),MAX(0,P67+Q67-O67),0)</f>
        <v>0</v>
      </c>
      <c r="T67" s="24" t="n">
        <f aca="false">P67+Q67+R67</f>
        <v>0</v>
      </c>
      <c r="U67" s="24" t="str">
        <f aca="true">IF(N67="Working",IF(P67+Q67=0,IF(L67&lt;=TODAY(),"Not logged",""),IF(P67+Q67&gt;O67,IF(AllowOT="Yes","Overtime","Over "&amp;O67&amp;" h!"),"✓")),IF(N67="Overhead only","✓ Overhead day",IF(P67+Q67&gt;0,"Entries on "&amp;LOWER(N67)&amp;" day",N67)))</f>
        <v/>
      </c>
      <c r="V67" s="1"/>
      <c r="W67" s="1" t="str">
        <f aca="false">IF(Projects!B65="","",Projects!B65)</f>
        <v/>
      </c>
      <c r="X67" s="1" t="n">
        <f aca="false">IF(W67="",0,SUMIFS($I$7:$I$256,$D$7:$D$256,W67,$H$7:$H$256,"NTIME"))</f>
        <v>0</v>
      </c>
      <c r="Y67" s="1" t="n">
        <f aca="false">IF(W67="",0,SUMIFS($I$7:$I$256,$D$7:$D$256,W67,$H$7:$H$256,"P6"))</f>
        <v>0</v>
      </c>
      <c r="Z67" s="1" t="n">
        <f aca="false">X67+Y67</f>
        <v>0</v>
      </c>
      <c r="AA67" s="1" t="n">
        <f aca="false">IF(Z67&gt;0,Z67+(201-61)/10^6,0)</f>
        <v>0</v>
      </c>
      <c r="AB67" s="1"/>
      <c r="AC67" s="1"/>
      <c r="AD67" s="1"/>
      <c r="AE67" s="1"/>
      <c r="AF67" s="1"/>
      <c r="AG67" s="1"/>
      <c r="AH67" s="1"/>
    </row>
    <row r="68" customFormat="false" ht="15" hidden="false" customHeight="false" outlineLevel="0" collapsed="false">
      <c r="A68" s="1"/>
      <c r="B68" s="10"/>
      <c r="C68" s="31" t="str">
        <f aca="false">IF(B68="","",TEXT(B68,"ddd"))</f>
        <v/>
      </c>
      <c r="D68" s="11"/>
      <c r="E68" s="8" t="str">
        <f aca="false">IF(D68="","",IFERROR(INDEX(ProjNumbers,MATCH(D68,ProjNames,0)),""))</f>
        <v/>
      </c>
      <c r="F68" s="8" t="str">
        <f aca="false">IF(D68="","",IFERROR(INDEX(ProjCodes,MATCH(D68,ProjNames,0)),""))</f>
        <v/>
      </c>
      <c r="G68" s="32"/>
      <c r="H68" s="11"/>
      <c r="I68" s="33"/>
      <c r="J68" s="8" t="str">
        <f aca="false">IF(COUNTA(B68,D68,G68,H68,I68)=0,"",IF(B68="","Enter date",IF(OR(B68&lt;$AC$2,B68&gt;$AC$3),"Date not in December",IF(D68="","Pick project",IF(ISNA(MATCH(D68,ProjNames,0)),"Project not in list",IF(G68="","Add task description",IF(H68="","Pick NTIME or P6",IF(N(I68)&lt;=0,"Enter hours",IF(AND(AllowOT&lt;&gt;"Yes",SUMIF($B$7:$B$256,B68,$I$7:$I$256)&gt;INDEX($O$58:$O$88,DAY(B68))),"Day over "&amp;INDEX($O$58:$O$88,DAY(B68))&amp;" h","✓")))))))))</f>
        <v/>
      </c>
      <c r="K68" s="1"/>
      <c r="L68" s="35" t="n">
        <v>46367</v>
      </c>
      <c r="M68" s="36" t="str">
        <f aca="false">TEXT(L68,"ddd")</f>
        <v>Fri</v>
      </c>
      <c r="N68" s="37" t="s">
        <v>93</v>
      </c>
      <c r="O68" s="37" t="n">
        <f aca="false">AvailHours</f>
        <v>8</v>
      </c>
      <c r="P68" s="24" t="n">
        <f aca="false">SUMIFS($I$7:$I$256,$B$7:$B$256,L68,$H$7:$H$256,"NTIME")</f>
        <v>0</v>
      </c>
      <c r="Q68" s="24" t="n">
        <f aca="false">SUMIFS($I$7:$I$256,$B$7:$B$256,L68,$H$7:$H$256,"P6")</f>
        <v>0</v>
      </c>
      <c r="R68" s="24" t="n">
        <f aca="false">IF(N68="Overhead only",O68,IF(AND(N68="Working",P68+Q68&gt;0),MAX(0,O68-P68-Q68),0))</f>
        <v>0</v>
      </c>
      <c r="S68" s="24" t="n">
        <f aca="false">IF(OR(N68="Working",N68="Overhead only"),MAX(0,P68+Q68-O68),0)</f>
        <v>0</v>
      </c>
      <c r="T68" s="24" t="n">
        <f aca="false">P68+Q68+R68</f>
        <v>0</v>
      </c>
      <c r="U68" s="24" t="str">
        <f aca="true">IF(N68="Working",IF(P68+Q68=0,IF(L68&lt;=TODAY(),"Not logged",""),IF(P68+Q68&gt;O68,IF(AllowOT="Yes","Overtime","Over "&amp;O68&amp;" h!"),"✓")),IF(N68="Overhead only","✓ Overhead day",IF(P68+Q68&gt;0,"Entries on "&amp;LOWER(N68)&amp;" day",N68)))</f>
        <v/>
      </c>
      <c r="V68" s="1"/>
      <c r="W68" s="1" t="str">
        <f aca="false">IF(Projects!B66="","",Projects!B66)</f>
        <v/>
      </c>
      <c r="X68" s="1" t="n">
        <f aca="false">IF(W68="",0,SUMIFS($I$7:$I$256,$D$7:$D$256,W68,$H$7:$H$256,"NTIME"))</f>
        <v>0</v>
      </c>
      <c r="Y68" s="1" t="n">
        <f aca="false">IF(W68="",0,SUMIFS($I$7:$I$256,$D$7:$D$256,W68,$H$7:$H$256,"P6"))</f>
        <v>0</v>
      </c>
      <c r="Z68" s="1" t="n">
        <f aca="false">X68+Y68</f>
        <v>0</v>
      </c>
      <c r="AA68" s="1" t="n">
        <f aca="false">IF(Z68&gt;0,Z68+(201-62)/10^6,0)</f>
        <v>0</v>
      </c>
      <c r="AB68" s="1"/>
      <c r="AC68" s="1"/>
      <c r="AD68" s="1"/>
      <c r="AE68" s="1"/>
      <c r="AF68" s="1"/>
      <c r="AG68" s="1"/>
      <c r="AH68" s="1"/>
    </row>
    <row r="69" customFormat="false" ht="15" hidden="false" customHeight="false" outlineLevel="0" collapsed="false">
      <c r="A69" s="1"/>
      <c r="B69" s="10"/>
      <c r="C69" s="31" t="str">
        <f aca="false">IF(B69="","",TEXT(B69,"ddd"))</f>
        <v/>
      </c>
      <c r="D69" s="11"/>
      <c r="E69" s="8" t="str">
        <f aca="false">IF(D69="","",IFERROR(INDEX(ProjNumbers,MATCH(D69,ProjNames,0)),""))</f>
        <v/>
      </c>
      <c r="F69" s="8" t="str">
        <f aca="false">IF(D69="","",IFERROR(INDEX(ProjCodes,MATCH(D69,ProjNames,0)),""))</f>
        <v/>
      </c>
      <c r="G69" s="32"/>
      <c r="H69" s="11"/>
      <c r="I69" s="33"/>
      <c r="J69" s="8" t="str">
        <f aca="false">IF(COUNTA(B69,D69,G69,H69,I69)=0,"",IF(B69="","Enter date",IF(OR(B69&lt;$AC$2,B69&gt;$AC$3),"Date not in December",IF(D69="","Pick project",IF(ISNA(MATCH(D69,ProjNames,0)),"Project not in list",IF(G69="","Add task description",IF(H69="","Pick NTIME or P6",IF(N(I69)&lt;=0,"Enter hours",IF(AND(AllowOT&lt;&gt;"Yes",SUMIF($B$7:$B$256,B69,$I$7:$I$256)&gt;INDEX($O$58:$O$88,DAY(B69))),"Day over "&amp;INDEX($O$58:$O$88,DAY(B69))&amp;" h","✓")))))))))</f>
        <v/>
      </c>
      <c r="K69" s="1"/>
      <c r="L69" s="35" t="n">
        <v>46368</v>
      </c>
      <c r="M69" s="36" t="str">
        <f aca="false">TEXT(L69,"ddd")</f>
        <v>Sat</v>
      </c>
      <c r="N69" s="37" t="s">
        <v>94</v>
      </c>
      <c r="O69" s="37" t="n">
        <f aca="false">AvailHours</f>
        <v>8</v>
      </c>
      <c r="P69" s="24" t="n">
        <f aca="false">SUMIFS($I$7:$I$256,$B$7:$B$256,L69,$H$7:$H$256,"NTIME")</f>
        <v>0</v>
      </c>
      <c r="Q69" s="24" t="n">
        <f aca="false">SUMIFS($I$7:$I$256,$B$7:$B$256,L69,$H$7:$H$256,"P6")</f>
        <v>0</v>
      </c>
      <c r="R69" s="24" t="n">
        <f aca="false">IF(N69="Overhead only",O69,IF(AND(N69="Working",P69+Q69&gt;0),MAX(0,O69-P69-Q69),0))</f>
        <v>0</v>
      </c>
      <c r="S69" s="24" t="n">
        <f aca="false">IF(OR(N69="Working",N69="Overhead only"),MAX(0,P69+Q69-O69),0)</f>
        <v>0</v>
      </c>
      <c r="T69" s="24" t="n">
        <f aca="false">P69+Q69+R69</f>
        <v>0</v>
      </c>
      <c r="U69" s="24" t="str">
        <f aca="true">IF(N69="Working",IF(P69+Q69=0,IF(L69&lt;=TODAY(),"Not logged",""),IF(P69+Q69&gt;O69,IF(AllowOT="Yes","Overtime","Over "&amp;O69&amp;" h!"),"✓")),IF(N69="Overhead only","✓ Overhead day",IF(P69+Q69&gt;0,"Entries on "&amp;LOWER(N69)&amp;" day",N69)))</f>
        <v>Weekend</v>
      </c>
      <c r="V69" s="1"/>
      <c r="W69" s="1" t="str">
        <f aca="false">IF(Projects!B67="","",Projects!B67)</f>
        <v/>
      </c>
      <c r="X69" s="1" t="n">
        <f aca="false">IF(W69="",0,SUMIFS($I$7:$I$256,$D$7:$D$256,W69,$H$7:$H$256,"NTIME"))</f>
        <v>0</v>
      </c>
      <c r="Y69" s="1" t="n">
        <f aca="false">IF(W69="",0,SUMIFS($I$7:$I$256,$D$7:$D$256,W69,$H$7:$H$256,"P6"))</f>
        <v>0</v>
      </c>
      <c r="Z69" s="1" t="n">
        <f aca="false">X69+Y69</f>
        <v>0</v>
      </c>
      <c r="AA69" s="1" t="n">
        <f aca="false">IF(Z69&gt;0,Z69+(201-63)/10^6,0)</f>
        <v>0</v>
      </c>
      <c r="AB69" s="1"/>
      <c r="AC69" s="1"/>
      <c r="AD69" s="1"/>
      <c r="AE69" s="1"/>
      <c r="AF69" s="1"/>
      <c r="AG69" s="1"/>
      <c r="AH69" s="1"/>
    </row>
    <row r="70" customFormat="false" ht="15" hidden="false" customHeight="false" outlineLevel="0" collapsed="false">
      <c r="A70" s="1"/>
      <c r="B70" s="10"/>
      <c r="C70" s="31" t="str">
        <f aca="false">IF(B70="","",TEXT(B70,"ddd"))</f>
        <v/>
      </c>
      <c r="D70" s="11"/>
      <c r="E70" s="8" t="str">
        <f aca="false">IF(D70="","",IFERROR(INDEX(ProjNumbers,MATCH(D70,ProjNames,0)),""))</f>
        <v/>
      </c>
      <c r="F70" s="8" t="str">
        <f aca="false">IF(D70="","",IFERROR(INDEX(ProjCodes,MATCH(D70,ProjNames,0)),""))</f>
        <v/>
      </c>
      <c r="G70" s="32"/>
      <c r="H70" s="11"/>
      <c r="I70" s="33"/>
      <c r="J70" s="8" t="str">
        <f aca="false">IF(COUNTA(B70,D70,G70,H70,I70)=0,"",IF(B70="","Enter date",IF(OR(B70&lt;$AC$2,B70&gt;$AC$3),"Date not in December",IF(D70="","Pick project",IF(ISNA(MATCH(D70,ProjNames,0)),"Project not in list",IF(G70="","Add task description",IF(H70="","Pick NTIME or P6",IF(N(I70)&lt;=0,"Enter hours",IF(AND(AllowOT&lt;&gt;"Yes",SUMIF($B$7:$B$256,B70,$I$7:$I$256)&gt;INDEX($O$58:$O$88,DAY(B70))),"Day over "&amp;INDEX($O$58:$O$88,DAY(B70))&amp;" h","✓")))))))))</f>
        <v/>
      </c>
      <c r="K70" s="1"/>
      <c r="L70" s="35" t="n">
        <v>46369</v>
      </c>
      <c r="M70" s="36" t="str">
        <f aca="false">TEXT(L70,"ddd")</f>
        <v>Sun</v>
      </c>
      <c r="N70" s="37" t="s">
        <v>94</v>
      </c>
      <c r="O70" s="37" t="n">
        <f aca="false">AvailHours</f>
        <v>8</v>
      </c>
      <c r="P70" s="24" t="n">
        <f aca="false">SUMIFS($I$7:$I$256,$B$7:$B$256,L70,$H$7:$H$256,"NTIME")</f>
        <v>0</v>
      </c>
      <c r="Q70" s="24" t="n">
        <f aca="false">SUMIFS($I$7:$I$256,$B$7:$B$256,L70,$H$7:$H$256,"P6")</f>
        <v>0</v>
      </c>
      <c r="R70" s="24" t="n">
        <f aca="false">IF(N70="Overhead only",O70,IF(AND(N70="Working",P70+Q70&gt;0),MAX(0,O70-P70-Q70),0))</f>
        <v>0</v>
      </c>
      <c r="S70" s="24" t="n">
        <f aca="false">IF(OR(N70="Working",N70="Overhead only"),MAX(0,P70+Q70-O70),0)</f>
        <v>0</v>
      </c>
      <c r="T70" s="24" t="n">
        <f aca="false">P70+Q70+R70</f>
        <v>0</v>
      </c>
      <c r="U70" s="24" t="str">
        <f aca="true">IF(N70="Working",IF(P70+Q70=0,IF(L70&lt;=TODAY(),"Not logged",""),IF(P70+Q70&gt;O70,IF(AllowOT="Yes","Overtime","Over "&amp;O70&amp;" h!"),"✓")),IF(N70="Overhead only","✓ Overhead day",IF(P70+Q70&gt;0,"Entries on "&amp;LOWER(N70)&amp;" day",N70)))</f>
        <v>Weekend</v>
      </c>
      <c r="V70" s="1"/>
      <c r="W70" s="1" t="str">
        <f aca="false">IF(Projects!B68="","",Projects!B68)</f>
        <v/>
      </c>
      <c r="X70" s="1" t="n">
        <f aca="false">IF(W70="",0,SUMIFS($I$7:$I$256,$D$7:$D$256,W70,$H$7:$H$256,"NTIME"))</f>
        <v>0</v>
      </c>
      <c r="Y70" s="1" t="n">
        <f aca="false">IF(W70="",0,SUMIFS($I$7:$I$256,$D$7:$D$256,W70,$H$7:$H$256,"P6"))</f>
        <v>0</v>
      </c>
      <c r="Z70" s="1" t="n">
        <f aca="false">X70+Y70</f>
        <v>0</v>
      </c>
      <c r="AA70" s="1" t="n">
        <f aca="false">IF(Z70&gt;0,Z70+(201-64)/10^6,0)</f>
        <v>0</v>
      </c>
      <c r="AB70" s="1"/>
      <c r="AC70" s="1"/>
      <c r="AD70" s="1"/>
      <c r="AE70" s="1"/>
      <c r="AF70" s="1"/>
      <c r="AG70" s="1"/>
      <c r="AH70" s="1"/>
    </row>
    <row r="71" customFormat="false" ht="15" hidden="false" customHeight="false" outlineLevel="0" collapsed="false">
      <c r="A71" s="1"/>
      <c r="B71" s="10"/>
      <c r="C71" s="31" t="str">
        <f aca="false">IF(B71="","",TEXT(B71,"ddd"))</f>
        <v/>
      </c>
      <c r="D71" s="11"/>
      <c r="E71" s="8" t="str">
        <f aca="false">IF(D71="","",IFERROR(INDEX(ProjNumbers,MATCH(D71,ProjNames,0)),""))</f>
        <v/>
      </c>
      <c r="F71" s="8" t="str">
        <f aca="false">IF(D71="","",IFERROR(INDEX(ProjCodes,MATCH(D71,ProjNames,0)),""))</f>
        <v/>
      </c>
      <c r="G71" s="32"/>
      <c r="H71" s="11"/>
      <c r="I71" s="33"/>
      <c r="J71" s="8" t="str">
        <f aca="false">IF(COUNTA(B71,D71,G71,H71,I71)=0,"",IF(B71="","Enter date",IF(OR(B71&lt;$AC$2,B71&gt;$AC$3),"Date not in December",IF(D71="","Pick project",IF(ISNA(MATCH(D71,ProjNames,0)),"Project not in list",IF(G71="","Add task description",IF(H71="","Pick NTIME or P6",IF(N(I71)&lt;=0,"Enter hours",IF(AND(AllowOT&lt;&gt;"Yes",SUMIF($B$7:$B$256,B71,$I$7:$I$256)&gt;INDEX($O$58:$O$88,DAY(B71))),"Day over "&amp;INDEX($O$58:$O$88,DAY(B71))&amp;" h","✓")))))))))</f>
        <v/>
      </c>
      <c r="K71" s="1"/>
      <c r="L71" s="35" t="n">
        <v>46370</v>
      </c>
      <c r="M71" s="36" t="str">
        <f aca="false">TEXT(L71,"ddd")</f>
        <v>Mon</v>
      </c>
      <c r="N71" s="37" t="s">
        <v>93</v>
      </c>
      <c r="O71" s="37" t="n">
        <f aca="false">AvailHours</f>
        <v>8</v>
      </c>
      <c r="P71" s="24" t="n">
        <f aca="false">SUMIFS($I$7:$I$256,$B$7:$B$256,L71,$H$7:$H$256,"NTIME")</f>
        <v>0</v>
      </c>
      <c r="Q71" s="24" t="n">
        <f aca="false">SUMIFS($I$7:$I$256,$B$7:$B$256,L71,$H$7:$H$256,"P6")</f>
        <v>0</v>
      </c>
      <c r="R71" s="24" t="n">
        <f aca="false">IF(N71="Overhead only",O71,IF(AND(N71="Working",P71+Q71&gt;0),MAX(0,O71-P71-Q71),0))</f>
        <v>0</v>
      </c>
      <c r="S71" s="24" t="n">
        <f aca="false">IF(OR(N71="Working",N71="Overhead only"),MAX(0,P71+Q71-O71),0)</f>
        <v>0</v>
      </c>
      <c r="T71" s="24" t="n">
        <f aca="false">P71+Q71+R71</f>
        <v>0</v>
      </c>
      <c r="U71" s="24" t="str">
        <f aca="true">IF(N71="Working",IF(P71+Q71=0,IF(L71&lt;=TODAY(),"Not logged",""),IF(P71+Q71&gt;O71,IF(AllowOT="Yes","Overtime","Over "&amp;O71&amp;" h!"),"✓")),IF(N71="Overhead only","✓ Overhead day",IF(P71+Q71&gt;0,"Entries on "&amp;LOWER(N71)&amp;" day",N71)))</f>
        <v/>
      </c>
      <c r="V71" s="1"/>
      <c r="W71" s="1" t="str">
        <f aca="false">IF(Projects!B69="","",Projects!B69)</f>
        <v/>
      </c>
      <c r="X71" s="1" t="n">
        <f aca="false">IF(W71="",0,SUMIFS($I$7:$I$256,$D$7:$D$256,W71,$H$7:$H$256,"NTIME"))</f>
        <v>0</v>
      </c>
      <c r="Y71" s="1" t="n">
        <f aca="false">IF(W71="",0,SUMIFS($I$7:$I$256,$D$7:$D$256,W71,$H$7:$H$256,"P6"))</f>
        <v>0</v>
      </c>
      <c r="Z71" s="1" t="n">
        <f aca="false">X71+Y71</f>
        <v>0</v>
      </c>
      <c r="AA71" s="1" t="n">
        <f aca="false">IF(Z71&gt;0,Z71+(201-65)/10^6,0)</f>
        <v>0</v>
      </c>
      <c r="AB71" s="1"/>
      <c r="AC71" s="1"/>
      <c r="AD71" s="1"/>
      <c r="AE71" s="1"/>
      <c r="AF71" s="1"/>
      <c r="AG71" s="1"/>
      <c r="AH71" s="1"/>
    </row>
    <row r="72" customFormat="false" ht="15" hidden="false" customHeight="false" outlineLevel="0" collapsed="false">
      <c r="A72" s="1"/>
      <c r="B72" s="10"/>
      <c r="C72" s="31" t="str">
        <f aca="false">IF(B72="","",TEXT(B72,"ddd"))</f>
        <v/>
      </c>
      <c r="D72" s="11"/>
      <c r="E72" s="8" t="str">
        <f aca="false">IF(D72="","",IFERROR(INDEX(ProjNumbers,MATCH(D72,ProjNames,0)),""))</f>
        <v/>
      </c>
      <c r="F72" s="8" t="str">
        <f aca="false">IF(D72="","",IFERROR(INDEX(ProjCodes,MATCH(D72,ProjNames,0)),""))</f>
        <v/>
      </c>
      <c r="G72" s="32"/>
      <c r="H72" s="11"/>
      <c r="I72" s="33"/>
      <c r="J72" s="8" t="str">
        <f aca="false">IF(COUNTA(B72,D72,G72,H72,I72)=0,"",IF(B72="","Enter date",IF(OR(B72&lt;$AC$2,B72&gt;$AC$3),"Date not in December",IF(D72="","Pick project",IF(ISNA(MATCH(D72,ProjNames,0)),"Project not in list",IF(G72="","Add task description",IF(H72="","Pick NTIME or P6",IF(N(I72)&lt;=0,"Enter hours",IF(AND(AllowOT&lt;&gt;"Yes",SUMIF($B$7:$B$256,B72,$I$7:$I$256)&gt;INDEX($O$58:$O$88,DAY(B72))),"Day over "&amp;INDEX($O$58:$O$88,DAY(B72))&amp;" h","✓")))))))))</f>
        <v/>
      </c>
      <c r="K72" s="1"/>
      <c r="L72" s="35" t="n">
        <v>46371</v>
      </c>
      <c r="M72" s="36" t="str">
        <f aca="false">TEXT(L72,"ddd")</f>
        <v>Tue</v>
      </c>
      <c r="N72" s="37" t="s">
        <v>93</v>
      </c>
      <c r="O72" s="37" t="n">
        <f aca="false">AvailHours</f>
        <v>8</v>
      </c>
      <c r="P72" s="24" t="n">
        <f aca="false">SUMIFS($I$7:$I$256,$B$7:$B$256,L72,$H$7:$H$256,"NTIME")</f>
        <v>0</v>
      </c>
      <c r="Q72" s="24" t="n">
        <f aca="false">SUMIFS($I$7:$I$256,$B$7:$B$256,L72,$H$7:$H$256,"P6")</f>
        <v>0</v>
      </c>
      <c r="R72" s="24" t="n">
        <f aca="false">IF(N72="Overhead only",O72,IF(AND(N72="Working",P72+Q72&gt;0),MAX(0,O72-P72-Q72),0))</f>
        <v>0</v>
      </c>
      <c r="S72" s="24" t="n">
        <f aca="false">IF(OR(N72="Working",N72="Overhead only"),MAX(0,P72+Q72-O72),0)</f>
        <v>0</v>
      </c>
      <c r="T72" s="24" t="n">
        <f aca="false">P72+Q72+R72</f>
        <v>0</v>
      </c>
      <c r="U72" s="24" t="str">
        <f aca="true">IF(N72="Working",IF(P72+Q72=0,IF(L72&lt;=TODAY(),"Not logged",""),IF(P72+Q72&gt;O72,IF(AllowOT="Yes","Overtime","Over "&amp;O72&amp;" h!"),"✓")),IF(N72="Overhead only","✓ Overhead day",IF(P72+Q72&gt;0,"Entries on "&amp;LOWER(N72)&amp;" day",N72)))</f>
        <v/>
      </c>
      <c r="V72" s="1"/>
      <c r="W72" s="1" t="str">
        <f aca="false">IF(Projects!B70="","",Projects!B70)</f>
        <v/>
      </c>
      <c r="X72" s="1" t="n">
        <f aca="false">IF(W72="",0,SUMIFS($I$7:$I$256,$D$7:$D$256,W72,$H$7:$H$256,"NTIME"))</f>
        <v>0</v>
      </c>
      <c r="Y72" s="1" t="n">
        <f aca="false">IF(W72="",0,SUMIFS($I$7:$I$256,$D$7:$D$256,W72,$H$7:$H$256,"P6"))</f>
        <v>0</v>
      </c>
      <c r="Z72" s="1" t="n">
        <f aca="false">X72+Y72</f>
        <v>0</v>
      </c>
      <c r="AA72" s="1" t="n">
        <f aca="false">IF(Z72&gt;0,Z72+(201-66)/10^6,0)</f>
        <v>0</v>
      </c>
      <c r="AB72" s="1"/>
      <c r="AC72" s="1"/>
      <c r="AD72" s="1"/>
      <c r="AE72" s="1"/>
      <c r="AF72" s="1"/>
      <c r="AG72" s="1"/>
      <c r="AH72" s="1"/>
    </row>
    <row r="73" customFormat="false" ht="15" hidden="false" customHeight="false" outlineLevel="0" collapsed="false">
      <c r="A73" s="1"/>
      <c r="B73" s="10"/>
      <c r="C73" s="31" t="str">
        <f aca="false">IF(B73="","",TEXT(B73,"ddd"))</f>
        <v/>
      </c>
      <c r="D73" s="11"/>
      <c r="E73" s="8" t="str">
        <f aca="false">IF(D73="","",IFERROR(INDEX(ProjNumbers,MATCH(D73,ProjNames,0)),""))</f>
        <v/>
      </c>
      <c r="F73" s="8" t="str">
        <f aca="false">IF(D73="","",IFERROR(INDEX(ProjCodes,MATCH(D73,ProjNames,0)),""))</f>
        <v/>
      </c>
      <c r="G73" s="32"/>
      <c r="H73" s="11"/>
      <c r="I73" s="33"/>
      <c r="J73" s="8" t="str">
        <f aca="false">IF(COUNTA(B73,D73,G73,H73,I73)=0,"",IF(B73="","Enter date",IF(OR(B73&lt;$AC$2,B73&gt;$AC$3),"Date not in December",IF(D73="","Pick project",IF(ISNA(MATCH(D73,ProjNames,0)),"Project not in list",IF(G73="","Add task description",IF(H73="","Pick NTIME or P6",IF(N(I73)&lt;=0,"Enter hours",IF(AND(AllowOT&lt;&gt;"Yes",SUMIF($B$7:$B$256,B73,$I$7:$I$256)&gt;INDEX($O$58:$O$88,DAY(B73))),"Day over "&amp;INDEX($O$58:$O$88,DAY(B73))&amp;" h","✓")))))))))</f>
        <v/>
      </c>
      <c r="K73" s="1"/>
      <c r="L73" s="35" t="n">
        <v>46372</v>
      </c>
      <c r="M73" s="36" t="str">
        <f aca="false">TEXT(L73,"ddd")</f>
        <v>Wed</v>
      </c>
      <c r="N73" s="37" t="s">
        <v>93</v>
      </c>
      <c r="O73" s="37" t="n">
        <f aca="false">AvailHours</f>
        <v>8</v>
      </c>
      <c r="P73" s="24" t="n">
        <f aca="false">SUMIFS($I$7:$I$256,$B$7:$B$256,L73,$H$7:$H$256,"NTIME")</f>
        <v>0</v>
      </c>
      <c r="Q73" s="24" t="n">
        <f aca="false">SUMIFS($I$7:$I$256,$B$7:$B$256,L73,$H$7:$H$256,"P6")</f>
        <v>0</v>
      </c>
      <c r="R73" s="24" t="n">
        <f aca="false">IF(N73="Overhead only",O73,IF(AND(N73="Working",P73+Q73&gt;0),MAX(0,O73-P73-Q73),0))</f>
        <v>0</v>
      </c>
      <c r="S73" s="24" t="n">
        <f aca="false">IF(OR(N73="Working",N73="Overhead only"),MAX(0,P73+Q73-O73),0)</f>
        <v>0</v>
      </c>
      <c r="T73" s="24" t="n">
        <f aca="false">P73+Q73+R73</f>
        <v>0</v>
      </c>
      <c r="U73" s="24" t="str">
        <f aca="true">IF(N73="Working",IF(P73+Q73=0,IF(L73&lt;=TODAY(),"Not logged",""),IF(P73+Q73&gt;O73,IF(AllowOT="Yes","Overtime","Over "&amp;O73&amp;" h!"),"✓")),IF(N73="Overhead only","✓ Overhead day",IF(P73+Q73&gt;0,"Entries on "&amp;LOWER(N73)&amp;" day",N73)))</f>
        <v/>
      </c>
      <c r="V73" s="1"/>
      <c r="W73" s="1" t="str">
        <f aca="false">IF(Projects!B71="","",Projects!B71)</f>
        <v/>
      </c>
      <c r="X73" s="1" t="n">
        <f aca="false">IF(W73="",0,SUMIFS($I$7:$I$256,$D$7:$D$256,W73,$H$7:$H$256,"NTIME"))</f>
        <v>0</v>
      </c>
      <c r="Y73" s="1" t="n">
        <f aca="false">IF(W73="",0,SUMIFS($I$7:$I$256,$D$7:$D$256,W73,$H$7:$H$256,"P6"))</f>
        <v>0</v>
      </c>
      <c r="Z73" s="1" t="n">
        <f aca="false">X73+Y73</f>
        <v>0</v>
      </c>
      <c r="AA73" s="1" t="n">
        <f aca="false">IF(Z73&gt;0,Z73+(201-67)/10^6,0)</f>
        <v>0</v>
      </c>
      <c r="AB73" s="1"/>
      <c r="AC73" s="1"/>
      <c r="AD73" s="1"/>
      <c r="AE73" s="1"/>
      <c r="AF73" s="1"/>
      <c r="AG73" s="1"/>
      <c r="AH73" s="1"/>
    </row>
    <row r="74" customFormat="false" ht="15" hidden="false" customHeight="false" outlineLevel="0" collapsed="false">
      <c r="A74" s="1"/>
      <c r="B74" s="10"/>
      <c r="C74" s="31" t="str">
        <f aca="false">IF(B74="","",TEXT(B74,"ddd"))</f>
        <v/>
      </c>
      <c r="D74" s="11"/>
      <c r="E74" s="8" t="str">
        <f aca="false">IF(D74="","",IFERROR(INDEX(ProjNumbers,MATCH(D74,ProjNames,0)),""))</f>
        <v/>
      </c>
      <c r="F74" s="8" t="str">
        <f aca="false">IF(D74="","",IFERROR(INDEX(ProjCodes,MATCH(D74,ProjNames,0)),""))</f>
        <v/>
      </c>
      <c r="G74" s="32"/>
      <c r="H74" s="11"/>
      <c r="I74" s="33"/>
      <c r="J74" s="8" t="str">
        <f aca="false">IF(COUNTA(B74,D74,G74,H74,I74)=0,"",IF(B74="","Enter date",IF(OR(B74&lt;$AC$2,B74&gt;$AC$3),"Date not in December",IF(D74="","Pick project",IF(ISNA(MATCH(D74,ProjNames,0)),"Project not in list",IF(G74="","Add task description",IF(H74="","Pick NTIME or P6",IF(N(I74)&lt;=0,"Enter hours",IF(AND(AllowOT&lt;&gt;"Yes",SUMIF($B$7:$B$256,B74,$I$7:$I$256)&gt;INDEX($O$58:$O$88,DAY(B74))),"Day over "&amp;INDEX($O$58:$O$88,DAY(B74))&amp;" h","✓")))))))))</f>
        <v/>
      </c>
      <c r="K74" s="1"/>
      <c r="L74" s="35" t="n">
        <v>46373</v>
      </c>
      <c r="M74" s="36" t="str">
        <f aca="false">TEXT(L74,"ddd")</f>
        <v>Thu</v>
      </c>
      <c r="N74" s="37" t="s">
        <v>93</v>
      </c>
      <c r="O74" s="37" t="n">
        <f aca="false">AvailHours</f>
        <v>8</v>
      </c>
      <c r="P74" s="24" t="n">
        <f aca="false">SUMIFS($I$7:$I$256,$B$7:$B$256,L74,$H$7:$H$256,"NTIME")</f>
        <v>0</v>
      </c>
      <c r="Q74" s="24" t="n">
        <f aca="false">SUMIFS($I$7:$I$256,$B$7:$B$256,L74,$H$7:$H$256,"P6")</f>
        <v>0</v>
      </c>
      <c r="R74" s="24" t="n">
        <f aca="false">IF(N74="Overhead only",O74,IF(AND(N74="Working",P74+Q74&gt;0),MAX(0,O74-P74-Q74),0))</f>
        <v>0</v>
      </c>
      <c r="S74" s="24" t="n">
        <f aca="false">IF(OR(N74="Working",N74="Overhead only"),MAX(0,P74+Q74-O74),0)</f>
        <v>0</v>
      </c>
      <c r="T74" s="24" t="n">
        <f aca="false">P74+Q74+R74</f>
        <v>0</v>
      </c>
      <c r="U74" s="24" t="str">
        <f aca="true">IF(N74="Working",IF(P74+Q74=0,IF(L74&lt;=TODAY(),"Not logged",""),IF(P74+Q74&gt;O74,IF(AllowOT="Yes","Overtime","Over "&amp;O74&amp;" h!"),"✓")),IF(N74="Overhead only","✓ Overhead day",IF(P74+Q74&gt;0,"Entries on "&amp;LOWER(N74)&amp;" day",N74)))</f>
        <v/>
      </c>
      <c r="V74" s="1"/>
      <c r="W74" s="1" t="str">
        <f aca="false">IF(Projects!B72="","",Projects!B72)</f>
        <v/>
      </c>
      <c r="X74" s="1" t="n">
        <f aca="false">IF(W74="",0,SUMIFS($I$7:$I$256,$D$7:$D$256,W74,$H$7:$H$256,"NTIME"))</f>
        <v>0</v>
      </c>
      <c r="Y74" s="1" t="n">
        <f aca="false">IF(W74="",0,SUMIFS($I$7:$I$256,$D$7:$D$256,W74,$H$7:$H$256,"P6"))</f>
        <v>0</v>
      </c>
      <c r="Z74" s="1" t="n">
        <f aca="false">X74+Y74</f>
        <v>0</v>
      </c>
      <c r="AA74" s="1" t="n">
        <f aca="false">IF(Z74&gt;0,Z74+(201-68)/10^6,0)</f>
        <v>0</v>
      </c>
      <c r="AB74" s="1"/>
      <c r="AC74" s="1"/>
      <c r="AD74" s="1"/>
      <c r="AE74" s="1"/>
      <c r="AF74" s="1"/>
      <c r="AG74" s="1"/>
      <c r="AH74" s="1"/>
    </row>
    <row r="75" customFormat="false" ht="15" hidden="false" customHeight="false" outlineLevel="0" collapsed="false">
      <c r="A75" s="1"/>
      <c r="B75" s="10"/>
      <c r="C75" s="31" t="str">
        <f aca="false">IF(B75="","",TEXT(B75,"ddd"))</f>
        <v/>
      </c>
      <c r="D75" s="11"/>
      <c r="E75" s="8" t="str">
        <f aca="false">IF(D75="","",IFERROR(INDEX(ProjNumbers,MATCH(D75,ProjNames,0)),""))</f>
        <v/>
      </c>
      <c r="F75" s="8" t="str">
        <f aca="false">IF(D75="","",IFERROR(INDEX(ProjCodes,MATCH(D75,ProjNames,0)),""))</f>
        <v/>
      </c>
      <c r="G75" s="32"/>
      <c r="H75" s="11"/>
      <c r="I75" s="33"/>
      <c r="J75" s="8" t="str">
        <f aca="false">IF(COUNTA(B75,D75,G75,H75,I75)=0,"",IF(B75="","Enter date",IF(OR(B75&lt;$AC$2,B75&gt;$AC$3),"Date not in December",IF(D75="","Pick project",IF(ISNA(MATCH(D75,ProjNames,0)),"Project not in list",IF(G75="","Add task description",IF(H75="","Pick NTIME or P6",IF(N(I75)&lt;=0,"Enter hours",IF(AND(AllowOT&lt;&gt;"Yes",SUMIF($B$7:$B$256,B75,$I$7:$I$256)&gt;INDEX($O$58:$O$88,DAY(B75))),"Day over "&amp;INDEX($O$58:$O$88,DAY(B75))&amp;" h","✓")))))))))</f>
        <v/>
      </c>
      <c r="K75" s="1"/>
      <c r="L75" s="35" t="n">
        <v>46374</v>
      </c>
      <c r="M75" s="36" t="str">
        <f aca="false">TEXT(L75,"ddd")</f>
        <v>Fri</v>
      </c>
      <c r="N75" s="37" t="s">
        <v>93</v>
      </c>
      <c r="O75" s="37" t="n">
        <f aca="false">AvailHours</f>
        <v>8</v>
      </c>
      <c r="P75" s="24" t="n">
        <f aca="false">SUMIFS($I$7:$I$256,$B$7:$B$256,L75,$H$7:$H$256,"NTIME")</f>
        <v>0</v>
      </c>
      <c r="Q75" s="24" t="n">
        <f aca="false">SUMIFS($I$7:$I$256,$B$7:$B$256,L75,$H$7:$H$256,"P6")</f>
        <v>0</v>
      </c>
      <c r="R75" s="24" t="n">
        <f aca="false">IF(N75="Overhead only",O75,IF(AND(N75="Working",P75+Q75&gt;0),MAX(0,O75-P75-Q75),0))</f>
        <v>0</v>
      </c>
      <c r="S75" s="24" t="n">
        <f aca="false">IF(OR(N75="Working",N75="Overhead only"),MAX(0,P75+Q75-O75),0)</f>
        <v>0</v>
      </c>
      <c r="T75" s="24" t="n">
        <f aca="false">P75+Q75+R75</f>
        <v>0</v>
      </c>
      <c r="U75" s="24" t="str">
        <f aca="true">IF(N75="Working",IF(P75+Q75=0,IF(L75&lt;=TODAY(),"Not logged",""),IF(P75+Q75&gt;O75,IF(AllowOT="Yes","Overtime","Over "&amp;O75&amp;" h!"),"✓")),IF(N75="Overhead only","✓ Overhead day",IF(P75+Q75&gt;0,"Entries on "&amp;LOWER(N75)&amp;" day",N75)))</f>
        <v/>
      </c>
      <c r="V75" s="1"/>
      <c r="W75" s="1" t="str">
        <f aca="false">IF(Projects!B73="","",Projects!B73)</f>
        <v/>
      </c>
      <c r="X75" s="1" t="n">
        <f aca="false">IF(W75="",0,SUMIFS($I$7:$I$256,$D$7:$D$256,W75,$H$7:$H$256,"NTIME"))</f>
        <v>0</v>
      </c>
      <c r="Y75" s="1" t="n">
        <f aca="false">IF(W75="",0,SUMIFS($I$7:$I$256,$D$7:$D$256,W75,$H$7:$H$256,"P6"))</f>
        <v>0</v>
      </c>
      <c r="Z75" s="1" t="n">
        <f aca="false">X75+Y75</f>
        <v>0</v>
      </c>
      <c r="AA75" s="1" t="n">
        <f aca="false">IF(Z75&gt;0,Z75+(201-69)/10^6,0)</f>
        <v>0</v>
      </c>
      <c r="AB75" s="1"/>
      <c r="AC75" s="1"/>
      <c r="AD75" s="1"/>
      <c r="AE75" s="1"/>
      <c r="AF75" s="1"/>
      <c r="AG75" s="1"/>
      <c r="AH75" s="1"/>
    </row>
    <row r="76" customFormat="false" ht="15" hidden="false" customHeight="false" outlineLevel="0" collapsed="false">
      <c r="A76" s="1"/>
      <c r="B76" s="10"/>
      <c r="C76" s="31" t="str">
        <f aca="false">IF(B76="","",TEXT(B76,"ddd"))</f>
        <v/>
      </c>
      <c r="D76" s="11"/>
      <c r="E76" s="8" t="str">
        <f aca="false">IF(D76="","",IFERROR(INDEX(ProjNumbers,MATCH(D76,ProjNames,0)),""))</f>
        <v/>
      </c>
      <c r="F76" s="8" t="str">
        <f aca="false">IF(D76="","",IFERROR(INDEX(ProjCodes,MATCH(D76,ProjNames,0)),""))</f>
        <v/>
      </c>
      <c r="G76" s="32"/>
      <c r="H76" s="11"/>
      <c r="I76" s="33"/>
      <c r="J76" s="8" t="str">
        <f aca="false">IF(COUNTA(B76,D76,G76,H76,I76)=0,"",IF(B76="","Enter date",IF(OR(B76&lt;$AC$2,B76&gt;$AC$3),"Date not in December",IF(D76="","Pick project",IF(ISNA(MATCH(D76,ProjNames,0)),"Project not in list",IF(G76="","Add task description",IF(H76="","Pick NTIME or P6",IF(N(I76)&lt;=0,"Enter hours",IF(AND(AllowOT&lt;&gt;"Yes",SUMIF($B$7:$B$256,B76,$I$7:$I$256)&gt;INDEX($O$58:$O$88,DAY(B76))),"Day over "&amp;INDEX($O$58:$O$88,DAY(B76))&amp;" h","✓")))))))))</f>
        <v/>
      </c>
      <c r="K76" s="1"/>
      <c r="L76" s="35" t="n">
        <v>46375</v>
      </c>
      <c r="M76" s="36" t="str">
        <f aca="false">TEXT(L76,"ddd")</f>
        <v>Sat</v>
      </c>
      <c r="N76" s="37" t="s">
        <v>94</v>
      </c>
      <c r="O76" s="37" t="n">
        <f aca="false">AvailHours</f>
        <v>8</v>
      </c>
      <c r="P76" s="24" t="n">
        <f aca="false">SUMIFS($I$7:$I$256,$B$7:$B$256,L76,$H$7:$H$256,"NTIME")</f>
        <v>0</v>
      </c>
      <c r="Q76" s="24" t="n">
        <f aca="false">SUMIFS($I$7:$I$256,$B$7:$B$256,L76,$H$7:$H$256,"P6")</f>
        <v>0</v>
      </c>
      <c r="R76" s="24" t="n">
        <f aca="false">IF(N76="Overhead only",O76,IF(AND(N76="Working",P76+Q76&gt;0),MAX(0,O76-P76-Q76),0))</f>
        <v>0</v>
      </c>
      <c r="S76" s="24" t="n">
        <f aca="false">IF(OR(N76="Working",N76="Overhead only"),MAX(0,P76+Q76-O76),0)</f>
        <v>0</v>
      </c>
      <c r="T76" s="24" t="n">
        <f aca="false">P76+Q76+R76</f>
        <v>0</v>
      </c>
      <c r="U76" s="24" t="str">
        <f aca="true">IF(N76="Working",IF(P76+Q76=0,IF(L76&lt;=TODAY(),"Not logged",""),IF(P76+Q76&gt;O76,IF(AllowOT="Yes","Overtime","Over "&amp;O76&amp;" h!"),"✓")),IF(N76="Overhead only","✓ Overhead day",IF(P76+Q76&gt;0,"Entries on "&amp;LOWER(N76)&amp;" day",N76)))</f>
        <v>Weekend</v>
      </c>
      <c r="V76" s="1"/>
      <c r="W76" s="1" t="str">
        <f aca="false">IF(Projects!B74="","",Projects!B74)</f>
        <v/>
      </c>
      <c r="X76" s="1" t="n">
        <f aca="false">IF(W76="",0,SUMIFS($I$7:$I$256,$D$7:$D$256,W76,$H$7:$H$256,"NTIME"))</f>
        <v>0</v>
      </c>
      <c r="Y76" s="1" t="n">
        <f aca="false">IF(W76="",0,SUMIFS($I$7:$I$256,$D$7:$D$256,W76,$H$7:$H$256,"P6"))</f>
        <v>0</v>
      </c>
      <c r="Z76" s="1" t="n">
        <f aca="false">X76+Y76</f>
        <v>0</v>
      </c>
      <c r="AA76" s="1" t="n">
        <f aca="false">IF(Z76&gt;0,Z76+(201-70)/10^6,0)</f>
        <v>0</v>
      </c>
      <c r="AB76" s="1"/>
      <c r="AC76" s="1"/>
      <c r="AD76" s="1"/>
      <c r="AE76" s="1"/>
      <c r="AF76" s="1"/>
      <c r="AG76" s="1"/>
      <c r="AH76" s="1"/>
    </row>
    <row r="77" customFormat="false" ht="15" hidden="false" customHeight="false" outlineLevel="0" collapsed="false">
      <c r="A77" s="1"/>
      <c r="B77" s="10"/>
      <c r="C77" s="31" t="str">
        <f aca="false">IF(B77="","",TEXT(B77,"ddd"))</f>
        <v/>
      </c>
      <c r="D77" s="11"/>
      <c r="E77" s="8" t="str">
        <f aca="false">IF(D77="","",IFERROR(INDEX(ProjNumbers,MATCH(D77,ProjNames,0)),""))</f>
        <v/>
      </c>
      <c r="F77" s="8" t="str">
        <f aca="false">IF(D77="","",IFERROR(INDEX(ProjCodes,MATCH(D77,ProjNames,0)),""))</f>
        <v/>
      </c>
      <c r="G77" s="32"/>
      <c r="H77" s="11"/>
      <c r="I77" s="33"/>
      <c r="J77" s="8" t="str">
        <f aca="false">IF(COUNTA(B77,D77,G77,H77,I77)=0,"",IF(B77="","Enter date",IF(OR(B77&lt;$AC$2,B77&gt;$AC$3),"Date not in December",IF(D77="","Pick project",IF(ISNA(MATCH(D77,ProjNames,0)),"Project not in list",IF(G77="","Add task description",IF(H77="","Pick NTIME or P6",IF(N(I77)&lt;=0,"Enter hours",IF(AND(AllowOT&lt;&gt;"Yes",SUMIF($B$7:$B$256,B77,$I$7:$I$256)&gt;INDEX($O$58:$O$88,DAY(B77))),"Day over "&amp;INDEX($O$58:$O$88,DAY(B77))&amp;" h","✓")))))))))</f>
        <v/>
      </c>
      <c r="K77" s="1"/>
      <c r="L77" s="35" t="n">
        <v>46376</v>
      </c>
      <c r="M77" s="36" t="str">
        <f aca="false">TEXT(L77,"ddd")</f>
        <v>Sun</v>
      </c>
      <c r="N77" s="37" t="s">
        <v>94</v>
      </c>
      <c r="O77" s="37" t="n">
        <f aca="false">AvailHours</f>
        <v>8</v>
      </c>
      <c r="P77" s="24" t="n">
        <f aca="false">SUMIFS($I$7:$I$256,$B$7:$B$256,L77,$H$7:$H$256,"NTIME")</f>
        <v>0</v>
      </c>
      <c r="Q77" s="24" t="n">
        <f aca="false">SUMIFS($I$7:$I$256,$B$7:$B$256,L77,$H$7:$H$256,"P6")</f>
        <v>0</v>
      </c>
      <c r="R77" s="24" t="n">
        <f aca="false">IF(N77="Overhead only",O77,IF(AND(N77="Working",P77+Q77&gt;0),MAX(0,O77-P77-Q77),0))</f>
        <v>0</v>
      </c>
      <c r="S77" s="24" t="n">
        <f aca="false">IF(OR(N77="Working",N77="Overhead only"),MAX(0,P77+Q77-O77),0)</f>
        <v>0</v>
      </c>
      <c r="T77" s="24" t="n">
        <f aca="false">P77+Q77+R77</f>
        <v>0</v>
      </c>
      <c r="U77" s="24" t="str">
        <f aca="true">IF(N77="Working",IF(P77+Q77=0,IF(L77&lt;=TODAY(),"Not logged",""),IF(P77+Q77&gt;O77,IF(AllowOT="Yes","Overtime","Over "&amp;O77&amp;" h!"),"✓")),IF(N77="Overhead only","✓ Overhead day",IF(P77+Q77&gt;0,"Entries on "&amp;LOWER(N77)&amp;" day",N77)))</f>
        <v>Weekend</v>
      </c>
      <c r="V77" s="1"/>
      <c r="W77" s="1" t="str">
        <f aca="false">IF(Projects!B75="","",Projects!B75)</f>
        <v/>
      </c>
      <c r="X77" s="1" t="n">
        <f aca="false">IF(W77="",0,SUMIFS($I$7:$I$256,$D$7:$D$256,W77,$H$7:$H$256,"NTIME"))</f>
        <v>0</v>
      </c>
      <c r="Y77" s="1" t="n">
        <f aca="false">IF(W77="",0,SUMIFS($I$7:$I$256,$D$7:$D$256,W77,$H$7:$H$256,"P6"))</f>
        <v>0</v>
      </c>
      <c r="Z77" s="1" t="n">
        <f aca="false">X77+Y77</f>
        <v>0</v>
      </c>
      <c r="AA77" s="1" t="n">
        <f aca="false">IF(Z77&gt;0,Z77+(201-71)/10^6,0)</f>
        <v>0</v>
      </c>
      <c r="AB77" s="1"/>
      <c r="AC77" s="1"/>
      <c r="AD77" s="1"/>
      <c r="AE77" s="1"/>
      <c r="AF77" s="1"/>
      <c r="AG77" s="1"/>
      <c r="AH77" s="1"/>
    </row>
    <row r="78" customFormat="false" ht="15" hidden="false" customHeight="false" outlineLevel="0" collapsed="false">
      <c r="A78" s="1"/>
      <c r="B78" s="10"/>
      <c r="C78" s="31" t="str">
        <f aca="false">IF(B78="","",TEXT(B78,"ddd"))</f>
        <v/>
      </c>
      <c r="D78" s="11"/>
      <c r="E78" s="8" t="str">
        <f aca="false">IF(D78="","",IFERROR(INDEX(ProjNumbers,MATCH(D78,ProjNames,0)),""))</f>
        <v/>
      </c>
      <c r="F78" s="8" t="str">
        <f aca="false">IF(D78="","",IFERROR(INDEX(ProjCodes,MATCH(D78,ProjNames,0)),""))</f>
        <v/>
      </c>
      <c r="G78" s="32"/>
      <c r="H78" s="11"/>
      <c r="I78" s="33"/>
      <c r="J78" s="8" t="str">
        <f aca="false">IF(COUNTA(B78,D78,G78,H78,I78)=0,"",IF(B78="","Enter date",IF(OR(B78&lt;$AC$2,B78&gt;$AC$3),"Date not in December",IF(D78="","Pick project",IF(ISNA(MATCH(D78,ProjNames,0)),"Project not in list",IF(G78="","Add task description",IF(H78="","Pick NTIME or P6",IF(N(I78)&lt;=0,"Enter hours",IF(AND(AllowOT&lt;&gt;"Yes",SUMIF($B$7:$B$256,B78,$I$7:$I$256)&gt;INDEX($O$58:$O$88,DAY(B78))),"Day over "&amp;INDEX($O$58:$O$88,DAY(B78))&amp;" h","✓")))))))))</f>
        <v/>
      </c>
      <c r="K78" s="1"/>
      <c r="L78" s="35" t="n">
        <v>46377</v>
      </c>
      <c r="M78" s="36" t="str">
        <f aca="false">TEXT(L78,"ddd")</f>
        <v>Mon</v>
      </c>
      <c r="N78" s="37" t="s">
        <v>93</v>
      </c>
      <c r="O78" s="37" t="n">
        <f aca="false">AvailHours</f>
        <v>8</v>
      </c>
      <c r="P78" s="24" t="n">
        <f aca="false">SUMIFS($I$7:$I$256,$B$7:$B$256,L78,$H$7:$H$256,"NTIME")</f>
        <v>0</v>
      </c>
      <c r="Q78" s="24" t="n">
        <f aca="false">SUMIFS($I$7:$I$256,$B$7:$B$256,L78,$H$7:$H$256,"P6")</f>
        <v>0</v>
      </c>
      <c r="R78" s="24" t="n">
        <f aca="false">IF(N78="Overhead only",O78,IF(AND(N78="Working",P78+Q78&gt;0),MAX(0,O78-P78-Q78),0))</f>
        <v>0</v>
      </c>
      <c r="S78" s="24" t="n">
        <f aca="false">IF(OR(N78="Working",N78="Overhead only"),MAX(0,P78+Q78-O78),0)</f>
        <v>0</v>
      </c>
      <c r="T78" s="24" t="n">
        <f aca="false">P78+Q78+R78</f>
        <v>0</v>
      </c>
      <c r="U78" s="24" t="str">
        <f aca="true">IF(N78="Working",IF(P78+Q78=0,IF(L78&lt;=TODAY(),"Not logged",""),IF(P78+Q78&gt;O78,IF(AllowOT="Yes","Overtime","Over "&amp;O78&amp;" h!"),"✓")),IF(N78="Overhead only","✓ Overhead day",IF(P78+Q78&gt;0,"Entries on "&amp;LOWER(N78)&amp;" day",N78)))</f>
        <v/>
      </c>
      <c r="V78" s="1"/>
      <c r="W78" s="1" t="str">
        <f aca="false">IF(Projects!B76="","",Projects!B76)</f>
        <v/>
      </c>
      <c r="X78" s="1" t="n">
        <f aca="false">IF(W78="",0,SUMIFS($I$7:$I$256,$D$7:$D$256,W78,$H$7:$H$256,"NTIME"))</f>
        <v>0</v>
      </c>
      <c r="Y78" s="1" t="n">
        <f aca="false">IF(W78="",0,SUMIFS($I$7:$I$256,$D$7:$D$256,W78,$H$7:$H$256,"P6"))</f>
        <v>0</v>
      </c>
      <c r="Z78" s="1" t="n">
        <f aca="false">X78+Y78</f>
        <v>0</v>
      </c>
      <c r="AA78" s="1" t="n">
        <f aca="false">IF(Z78&gt;0,Z78+(201-72)/10^6,0)</f>
        <v>0</v>
      </c>
      <c r="AB78" s="1"/>
      <c r="AC78" s="1"/>
      <c r="AD78" s="1"/>
      <c r="AE78" s="1"/>
      <c r="AF78" s="1"/>
      <c r="AG78" s="1"/>
      <c r="AH78" s="1"/>
    </row>
    <row r="79" customFormat="false" ht="15" hidden="false" customHeight="false" outlineLevel="0" collapsed="false">
      <c r="A79" s="1"/>
      <c r="B79" s="10"/>
      <c r="C79" s="31" t="str">
        <f aca="false">IF(B79="","",TEXT(B79,"ddd"))</f>
        <v/>
      </c>
      <c r="D79" s="11"/>
      <c r="E79" s="8" t="str">
        <f aca="false">IF(D79="","",IFERROR(INDEX(ProjNumbers,MATCH(D79,ProjNames,0)),""))</f>
        <v/>
      </c>
      <c r="F79" s="8" t="str">
        <f aca="false">IF(D79="","",IFERROR(INDEX(ProjCodes,MATCH(D79,ProjNames,0)),""))</f>
        <v/>
      </c>
      <c r="G79" s="32"/>
      <c r="H79" s="11"/>
      <c r="I79" s="33"/>
      <c r="J79" s="8" t="str">
        <f aca="false">IF(COUNTA(B79,D79,G79,H79,I79)=0,"",IF(B79="","Enter date",IF(OR(B79&lt;$AC$2,B79&gt;$AC$3),"Date not in December",IF(D79="","Pick project",IF(ISNA(MATCH(D79,ProjNames,0)),"Project not in list",IF(G79="","Add task description",IF(H79="","Pick NTIME or P6",IF(N(I79)&lt;=0,"Enter hours",IF(AND(AllowOT&lt;&gt;"Yes",SUMIF($B$7:$B$256,B79,$I$7:$I$256)&gt;INDEX($O$58:$O$88,DAY(B79))),"Day over "&amp;INDEX($O$58:$O$88,DAY(B79))&amp;" h","✓")))))))))</f>
        <v/>
      </c>
      <c r="K79" s="1"/>
      <c r="L79" s="35" t="n">
        <v>46378</v>
      </c>
      <c r="M79" s="36" t="str">
        <f aca="false">TEXT(L79,"ddd")</f>
        <v>Tue</v>
      </c>
      <c r="N79" s="37" t="s">
        <v>93</v>
      </c>
      <c r="O79" s="37" t="n">
        <f aca="false">AvailHours</f>
        <v>8</v>
      </c>
      <c r="P79" s="24" t="n">
        <f aca="false">SUMIFS($I$7:$I$256,$B$7:$B$256,L79,$H$7:$H$256,"NTIME")</f>
        <v>0</v>
      </c>
      <c r="Q79" s="24" t="n">
        <f aca="false">SUMIFS($I$7:$I$256,$B$7:$B$256,L79,$H$7:$H$256,"P6")</f>
        <v>0</v>
      </c>
      <c r="R79" s="24" t="n">
        <f aca="false">IF(N79="Overhead only",O79,IF(AND(N79="Working",P79+Q79&gt;0),MAX(0,O79-P79-Q79),0))</f>
        <v>0</v>
      </c>
      <c r="S79" s="24" t="n">
        <f aca="false">IF(OR(N79="Working",N79="Overhead only"),MAX(0,P79+Q79-O79),0)</f>
        <v>0</v>
      </c>
      <c r="T79" s="24" t="n">
        <f aca="false">P79+Q79+R79</f>
        <v>0</v>
      </c>
      <c r="U79" s="24" t="str">
        <f aca="true">IF(N79="Working",IF(P79+Q79=0,IF(L79&lt;=TODAY(),"Not logged",""),IF(P79+Q79&gt;O79,IF(AllowOT="Yes","Overtime","Over "&amp;O79&amp;" h!"),"✓")),IF(N79="Overhead only","✓ Overhead day",IF(P79+Q79&gt;0,"Entries on "&amp;LOWER(N79)&amp;" day",N79)))</f>
        <v/>
      </c>
      <c r="V79" s="1"/>
      <c r="W79" s="1" t="str">
        <f aca="false">IF(Projects!B77="","",Projects!B77)</f>
        <v/>
      </c>
      <c r="X79" s="1" t="n">
        <f aca="false">IF(W79="",0,SUMIFS($I$7:$I$256,$D$7:$D$256,W79,$H$7:$H$256,"NTIME"))</f>
        <v>0</v>
      </c>
      <c r="Y79" s="1" t="n">
        <f aca="false">IF(W79="",0,SUMIFS($I$7:$I$256,$D$7:$D$256,W79,$H$7:$H$256,"P6"))</f>
        <v>0</v>
      </c>
      <c r="Z79" s="1" t="n">
        <f aca="false">X79+Y79</f>
        <v>0</v>
      </c>
      <c r="AA79" s="1" t="n">
        <f aca="false">IF(Z79&gt;0,Z79+(201-73)/10^6,0)</f>
        <v>0</v>
      </c>
      <c r="AB79" s="1"/>
      <c r="AC79" s="1"/>
      <c r="AD79" s="1"/>
      <c r="AE79" s="1"/>
      <c r="AF79" s="1"/>
      <c r="AG79" s="1"/>
      <c r="AH79" s="1"/>
    </row>
    <row r="80" customFormat="false" ht="15" hidden="false" customHeight="false" outlineLevel="0" collapsed="false">
      <c r="A80" s="1"/>
      <c r="B80" s="10"/>
      <c r="C80" s="31" t="str">
        <f aca="false">IF(B80="","",TEXT(B80,"ddd"))</f>
        <v/>
      </c>
      <c r="D80" s="11"/>
      <c r="E80" s="8" t="str">
        <f aca="false">IF(D80="","",IFERROR(INDEX(ProjNumbers,MATCH(D80,ProjNames,0)),""))</f>
        <v/>
      </c>
      <c r="F80" s="8" t="str">
        <f aca="false">IF(D80="","",IFERROR(INDEX(ProjCodes,MATCH(D80,ProjNames,0)),""))</f>
        <v/>
      </c>
      <c r="G80" s="32"/>
      <c r="H80" s="11"/>
      <c r="I80" s="33"/>
      <c r="J80" s="8" t="str">
        <f aca="false">IF(COUNTA(B80,D80,G80,H80,I80)=0,"",IF(B80="","Enter date",IF(OR(B80&lt;$AC$2,B80&gt;$AC$3),"Date not in December",IF(D80="","Pick project",IF(ISNA(MATCH(D80,ProjNames,0)),"Project not in list",IF(G80="","Add task description",IF(H80="","Pick NTIME or P6",IF(N(I80)&lt;=0,"Enter hours",IF(AND(AllowOT&lt;&gt;"Yes",SUMIF($B$7:$B$256,B80,$I$7:$I$256)&gt;INDEX($O$58:$O$88,DAY(B80))),"Day over "&amp;INDEX($O$58:$O$88,DAY(B80))&amp;" h","✓")))))))))</f>
        <v/>
      </c>
      <c r="K80" s="1"/>
      <c r="L80" s="35" t="n">
        <v>46379</v>
      </c>
      <c r="M80" s="36" t="str">
        <f aca="false">TEXT(L80,"ddd")</f>
        <v>Wed</v>
      </c>
      <c r="N80" s="37" t="s">
        <v>93</v>
      </c>
      <c r="O80" s="37" t="n">
        <f aca="false">AvailHours</f>
        <v>8</v>
      </c>
      <c r="P80" s="24" t="n">
        <f aca="false">SUMIFS($I$7:$I$256,$B$7:$B$256,L80,$H$7:$H$256,"NTIME")</f>
        <v>0</v>
      </c>
      <c r="Q80" s="24" t="n">
        <f aca="false">SUMIFS($I$7:$I$256,$B$7:$B$256,L80,$H$7:$H$256,"P6")</f>
        <v>0</v>
      </c>
      <c r="R80" s="24" t="n">
        <f aca="false">IF(N80="Overhead only",O80,IF(AND(N80="Working",P80+Q80&gt;0),MAX(0,O80-P80-Q80),0))</f>
        <v>0</v>
      </c>
      <c r="S80" s="24" t="n">
        <f aca="false">IF(OR(N80="Working",N80="Overhead only"),MAX(0,P80+Q80-O80),0)</f>
        <v>0</v>
      </c>
      <c r="T80" s="24" t="n">
        <f aca="false">P80+Q80+R80</f>
        <v>0</v>
      </c>
      <c r="U80" s="24" t="str">
        <f aca="true">IF(N80="Working",IF(P80+Q80=0,IF(L80&lt;=TODAY(),"Not logged",""),IF(P80+Q80&gt;O80,IF(AllowOT="Yes","Overtime","Over "&amp;O80&amp;" h!"),"✓")),IF(N80="Overhead only","✓ Overhead day",IF(P80+Q80&gt;0,"Entries on "&amp;LOWER(N80)&amp;" day",N80)))</f>
        <v/>
      </c>
      <c r="V80" s="1"/>
      <c r="W80" s="1" t="str">
        <f aca="false">IF(Projects!B78="","",Projects!B78)</f>
        <v/>
      </c>
      <c r="X80" s="1" t="n">
        <f aca="false">IF(W80="",0,SUMIFS($I$7:$I$256,$D$7:$D$256,W80,$H$7:$H$256,"NTIME"))</f>
        <v>0</v>
      </c>
      <c r="Y80" s="1" t="n">
        <f aca="false">IF(W80="",0,SUMIFS($I$7:$I$256,$D$7:$D$256,W80,$H$7:$H$256,"P6"))</f>
        <v>0</v>
      </c>
      <c r="Z80" s="1" t="n">
        <f aca="false">X80+Y80</f>
        <v>0</v>
      </c>
      <c r="AA80" s="1" t="n">
        <f aca="false">IF(Z80&gt;0,Z80+(201-74)/10^6,0)</f>
        <v>0</v>
      </c>
      <c r="AB80" s="1"/>
      <c r="AC80" s="1"/>
      <c r="AD80" s="1"/>
      <c r="AE80" s="1"/>
      <c r="AF80" s="1"/>
      <c r="AG80" s="1"/>
      <c r="AH80" s="1"/>
    </row>
    <row r="81" customFormat="false" ht="15" hidden="false" customHeight="false" outlineLevel="0" collapsed="false">
      <c r="A81" s="1"/>
      <c r="B81" s="10"/>
      <c r="C81" s="31" t="str">
        <f aca="false">IF(B81="","",TEXT(B81,"ddd"))</f>
        <v/>
      </c>
      <c r="D81" s="11"/>
      <c r="E81" s="8" t="str">
        <f aca="false">IF(D81="","",IFERROR(INDEX(ProjNumbers,MATCH(D81,ProjNames,0)),""))</f>
        <v/>
      </c>
      <c r="F81" s="8" t="str">
        <f aca="false">IF(D81="","",IFERROR(INDEX(ProjCodes,MATCH(D81,ProjNames,0)),""))</f>
        <v/>
      </c>
      <c r="G81" s="32"/>
      <c r="H81" s="11"/>
      <c r="I81" s="33"/>
      <c r="J81" s="8" t="str">
        <f aca="false">IF(COUNTA(B81,D81,G81,H81,I81)=0,"",IF(B81="","Enter date",IF(OR(B81&lt;$AC$2,B81&gt;$AC$3),"Date not in December",IF(D81="","Pick project",IF(ISNA(MATCH(D81,ProjNames,0)),"Project not in list",IF(G81="","Add task description",IF(H81="","Pick NTIME or P6",IF(N(I81)&lt;=0,"Enter hours",IF(AND(AllowOT&lt;&gt;"Yes",SUMIF($B$7:$B$256,B81,$I$7:$I$256)&gt;INDEX($O$58:$O$88,DAY(B81))),"Day over "&amp;INDEX($O$58:$O$88,DAY(B81))&amp;" h","✓")))))))))</f>
        <v/>
      </c>
      <c r="K81" s="1"/>
      <c r="L81" s="35" t="n">
        <v>46380</v>
      </c>
      <c r="M81" s="36" t="str">
        <f aca="false">TEXT(L81,"ddd")</f>
        <v>Thu</v>
      </c>
      <c r="N81" s="37" t="s">
        <v>93</v>
      </c>
      <c r="O81" s="37" t="n">
        <f aca="false">AvailHours</f>
        <v>8</v>
      </c>
      <c r="P81" s="24" t="n">
        <f aca="false">SUMIFS($I$7:$I$256,$B$7:$B$256,L81,$H$7:$H$256,"NTIME")</f>
        <v>0</v>
      </c>
      <c r="Q81" s="24" t="n">
        <f aca="false">SUMIFS($I$7:$I$256,$B$7:$B$256,L81,$H$7:$H$256,"P6")</f>
        <v>0</v>
      </c>
      <c r="R81" s="24" t="n">
        <f aca="false">IF(N81="Overhead only",O81,IF(AND(N81="Working",P81+Q81&gt;0),MAX(0,O81-P81-Q81),0))</f>
        <v>0</v>
      </c>
      <c r="S81" s="24" t="n">
        <f aca="false">IF(OR(N81="Working",N81="Overhead only"),MAX(0,P81+Q81-O81),0)</f>
        <v>0</v>
      </c>
      <c r="T81" s="24" t="n">
        <f aca="false">P81+Q81+R81</f>
        <v>0</v>
      </c>
      <c r="U81" s="24" t="str">
        <f aca="true">IF(N81="Working",IF(P81+Q81=0,IF(L81&lt;=TODAY(),"Not logged",""),IF(P81+Q81&gt;O81,IF(AllowOT="Yes","Overtime","Over "&amp;O81&amp;" h!"),"✓")),IF(N81="Overhead only","✓ Overhead day",IF(P81+Q81&gt;0,"Entries on "&amp;LOWER(N81)&amp;" day",N81)))</f>
        <v/>
      </c>
      <c r="V81" s="1"/>
      <c r="W81" s="1" t="str">
        <f aca="false">IF(Projects!B79="","",Projects!B79)</f>
        <v/>
      </c>
      <c r="X81" s="1" t="n">
        <f aca="false">IF(W81="",0,SUMIFS($I$7:$I$256,$D$7:$D$256,W81,$H$7:$H$256,"NTIME"))</f>
        <v>0</v>
      </c>
      <c r="Y81" s="1" t="n">
        <f aca="false">IF(W81="",0,SUMIFS($I$7:$I$256,$D$7:$D$256,W81,$H$7:$H$256,"P6"))</f>
        <v>0</v>
      </c>
      <c r="Z81" s="1" t="n">
        <f aca="false">X81+Y81</f>
        <v>0</v>
      </c>
      <c r="AA81" s="1" t="n">
        <f aca="false">IF(Z81&gt;0,Z81+(201-75)/10^6,0)</f>
        <v>0</v>
      </c>
      <c r="AB81" s="1"/>
      <c r="AC81" s="1"/>
      <c r="AD81" s="1"/>
      <c r="AE81" s="1"/>
      <c r="AF81" s="1"/>
      <c r="AG81" s="1"/>
      <c r="AH81" s="1"/>
    </row>
    <row r="82" customFormat="false" ht="15" hidden="false" customHeight="false" outlineLevel="0" collapsed="false">
      <c r="A82" s="1"/>
      <c r="B82" s="10"/>
      <c r="C82" s="31" t="str">
        <f aca="false">IF(B82="","",TEXT(B82,"ddd"))</f>
        <v/>
      </c>
      <c r="D82" s="11"/>
      <c r="E82" s="8" t="str">
        <f aca="false">IF(D82="","",IFERROR(INDEX(ProjNumbers,MATCH(D82,ProjNames,0)),""))</f>
        <v/>
      </c>
      <c r="F82" s="8" t="str">
        <f aca="false">IF(D82="","",IFERROR(INDEX(ProjCodes,MATCH(D82,ProjNames,0)),""))</f>
        <v/>
      </c>
      <c r="G82" s="32"/>
      <c r="H82" s="11"/>
      <c r="I82" s="33"/>
      <c r="J82" s="8" t="str">
        <f aca="false">IF(COUNTA(B82,D82,G82,H82,I82)=0,"",IF(B82="","Enter date",IF(OR(B82&lt;$AC$2,B82&gt;$AC$3),"Date not in December",IF(D82="","Pick project",IF(ISNA(MATCH(D82,ProjNames,0)),"Project not in list",IF(G82="","Add task description",IF(H82="","Pick NTIME or P6",IF(N(I82)&lt;=0,"Enter hours",IF(AND(AllowOT&lt;&gt;"Yes",SUMIF($B$7:$B$256,B82,$I$7:$I$256)&gt;INDEX($O$58:$O$88,DAY(B82))),"Day over "&amp;INDEX($O$58:$O$88,DAY(B82))&amp;" h","✓")))))))))</f>
        <v/>
      </c>
      <c r="K82" s="1"/>
      <c r="L82" s="35" t="n">
        <v>46381</v>
      </c>
      <c r="M82" s="36" t="str">
        <f aca="false">TEXT(L82,"ddd")</f>
        <v>Fri</v>
      </c>
      <c r="N82" s="37" t="s">
        <v>93</v>
      </c>
      <c r="O82" s="37" t="n">
        <f aca="false">AvailHours</f>
        <v>8</v>
      </c>
      <c r="P82" s="24" t="n">
        <f aca="false">SUMIFS($I$7:$I$256,$B$7:$B$256,L82,$H$7:$H$256,"NTIME")</f>
        <v>0</v>
      </c>
      <c r="Q82" s="24" t="n">
        <f aca="false">SUMIFS($I$7:$I$256,$B$7:$B$256,L82,$H$7:$H$256,"P6")</f>
        <v>0</v>
      </c>
      <c r="R82" s="24" t="n">
        <f aca="false">IF(N82="Overhead only",O82,IF(AND(N82="Working",P82+Q82&gt;0),MAX(0,O82-P82-Q82),0))</f>
        <v>0</v>
      </c>
      <c r="S82" s="24" t="n">
        <f aca="false">IF(OR(N82="Working",N82="Overhead only"),MAX(0,P82+Q82-O82),0)</f>
        <v>0</v>
      </c>
      <c r="T82" s="24" t="n">
        <f aca="false">P82+Q82+R82</f>
        <v>0</v>
      </c>
      <c r="U82" s="24" t="str">
        <f aca="true">IF(N82="Working",IF(P82+Q82=0,IF(L82&lt;=TODAY(),"Not logged",""),IF(P82+Q82&gt;O82,IF(AllowOT="Yes","Overtime","Over "&amp;O82&amp;" h!"),"✓")),IF(N82="Overhead only","✓ Overhead day",IF(P82+Q82&gt;0,"Entries on "&amp;LOWER(N82)&amp;" day",N82)))</f>
        <v/>
      </c>
      <c r="V82" s="1"/>
      <c r="W82" s="1" t="str">
        <f aca="false">IF(Projects!B80="","",Projects!B80)</f>
        <v/>
      </c>
      <c r="X82" s="1" t="n">
        <f aca="false">IF(W82="",0,SUMIFS($I$7:$I$256,$D$7:$D$256,W82,$H$7:$H$256,"NTIME"))</f>
        <v>0</v>
      </c>
      <c r="Y82" s="1" t="n">
        <f aca="false">IF(W82="",0,SUMIFS($I$7:$I$256,$D$7:$D$256,W82,$H$7:$H$256,"P6"))</f>
        <v>0</v>
      </c>
      <c r="Z82" s="1" t="n">
        <f aca="false">X82+Y82</f>
        <v>0</v>
      </c>
      <c r="AA82" s="1" t="n">
        <f aca="false">IF(Z82&gt;0,Z82+(201-76)/10^6,0)</f>
        <v>0</v>
      </c>
      <c r="AB82" s="1"/>
      <c r="AC82" s="1"/>
      <c r="AD82" s="1"/>
      <c r="AE82" s="1"/>
      <c r="AF82" s="1"/>
      <c r="AG82" s="1"/>
      <c r="AH82" s="1"/>
    </row>
    <row r="83" customFormat="false" ht="15" hidden="false" customHeight="false" outlineLevel="0" collapsed="false">
      <c r="A83" s="1"/>
      <c r="B83" s="10"/>
      <c r="C83" s="31" t="str">
        <f aca="false">IF(B83="","",TEXT(B83,"ddd"))</f>
        <v/>
      </c>
      <c r="D83" s="11"/>
      <c r="E83" s="8" t="str">
        <f aca="false">IF(D83="","",IFERROR(INDEX(ProjNumbers,MATCH(D83,ProjNames,0)),""))</f>
        <v/>
      </c>
      <c r="F83" s="8" t="str">
        <f aca="false">IF(D83="","",IFERROR(INDEX(ProjCodes,MATCH(D83,ProjNames,0)),""))</f>
        <v/>
      </c>
      <c r="G83" s="32"/>
      <c r="H83" s="11"/>
      <c r="I83" s="33"/>
      <c r="J83" s="8" t="str">
        <f aca="false">IF(COUNTA(B83,D83,G83,H83,I83)=0,"",IF(B83="","Enter date",IF(OR(B83&lt;$AC$2,B83&gt;$AC$3),"Date not in December",IF(D83="","Pick project",IF(ISNA(MATCH(D83,ProjNames,0)),"Project not in list",IF(G83="","Add task description",IF(H83="","Pick NTIME or P6",IF(N(I83)&lt;=0,"Enter hours",IF(AND(AllowOT&lt;&gt;"Yes",SUMIF($B$7:$B$256,B83,$I$7:$I$256)&gt;INDEX($O$58:$O$88,DAY(B83))),"Day over "&amp;INDEX($O$58:$O$88,DAY(B83))&amp;" h","✓")))))))))</f>
        <v/>
      </c>
      <c r="K83" s="1"/>
      <c r="L83" s="35" t="n">
        <v>46382</v>
      </c>
      <c r="M83" s="36" t="str">
        <f aca="false">TEXT(L83,"ddd")</f>
        <v>Sat</v>
      </c>
      <c r="N83" s="37" t="s">
        <v>94</v>
      </c>
      <c r="O83" s="37" t="n">
        <f aca="false">AvailHours</f>
        <v>8</v>
      </c>
      <c r="P83" s="24" t="n">
        <f aca="false">SUMIFS($I$7:$I$256,$B$7:$B$256,L83,$H$7:$H$256,"NTIME")</f>
        <v>0</v>
      </c>
      <c r="Q83" s="24" t="n">
        <f aca="false">SUMIFS($I$7:$I$256,$B$7:$B$256,L83,$H$7:$H$256,"P6")</f>
        <v>0</v>
      </c>
      <c r="R83" s="24" t="n">
        <f aca="false">IF(N83="Overhead only",O83,IF(AND(N83="Working",P83+Q83&gt;0),MAX(0,O83-P83-Q83),0))</f>
        <v>0</v>
      </c>
      <c r="S83" s="24" t="n">
        <f aca="false">IF(OR(N83="Working",N83="Overhead only"),MAX(0,P83+Q83-O83),0)</f>
        <v>0</v>
      </c>
      <c r="T83" s="24" t="n">
        <f aca="false">P83+Q83+R83</f>
        <v>0</v>
      </c>
      <c r="U83" s="24" t="str">
        <f aca="true">IF(N83="Working",IF(P83+Q83=0,IF(L83&lt;=TODAY(),"Not logged",""),IF(P83+Q83&gt;O83,IF(AllowOT="Yes","Overtime","Over "&amp;O83&amp;" h!"),"✓")),IF(N83="Overhead only","✓ Overhead day",IF(P83+Q83&gt;0,"Entries on "&amp;LOWER(N83)&amp;" day",N83)))</f>
        <v>Weekend</v>
      </c>
      <c r="V83" s="1"/>
      <c r="W83" s="1" t="str">
        <f aca="false">IF(Projects!B81="","",Projects!B81)</f>
        <v/>
      </c>
      <c r="X83" s="1" t="n">
        <f aca="false">IF(W83="",0,SUMIFS($I$7:$I$256,$D$7:$D$256,W83,$H$7:$H$256,"NTIME"))</f>
        <v>0</v>
      </c>
      <c r="Y83" s="1" t="n">
        <f aca="false">IF(W83="",0,SUMIFS($I$7:$I$256,$D$7:$D$256,W83,$H$7:$H$256,"P6"))</f>
        <v>0</v>
      </c>
      <c r="Z83" s="1" t="n">
        <f aca="false">X83+Y83</f>
        <v>0</v>
      </c>
      <c r="AA83" s="1" t="n">
        <f aca="false">IF(Z83&gt;0,Z83+(201-77)/10^6,0)</f>
        <v>0</v>
      </c>
      <c r="AB83" s="1"/>
      <c r="AC83" s="1"/>
      <c r="AD83" s="1"/>
      <c r="AE83" s="1"/>
      <c r="AF83" s="1"/>
      <c r="AG83" s="1"/>
      <c r="AH83" s="1"/>
    </row>
    <row r="84" customFormat="false" ht="15" hidden="false" customHeight="false" outlineLevel="0" collapsed="false">
      <c r="A84" s="1"/>
      <c r="B84" s="10"/>
      <c r="C84" s="31" t="str">
        <f aca="false">IF(B84="","",TEXT(B84,"ddd"))</f>
        <v/>
      </c>
      <c r="D84" s="11"/>
      <c r="E84" s="8" t="str">
        <f aca="false">IF(D84="","",IFERROR(INDEX(ProjNumbers,MATCH(D84,ProjNames,0)),""))</f>
        <v/>
      </c>
      <c r="F84" s="8" t="str">
        <f aca="false">IF(D84="","",IFERROR(INDEX(ProjCodes,MATCH(D84,ProjNames,0)),""))</f>
        <v/>
      </c>
      <c r="G84" s="32"/>
      <c r="H84" s="11"/>
      <c r="I84" s="33"/>
      <c r="J84" s="8" t="str">
        <f aca="false">IF(COUNTA(B84,D84,G84,H84,I84)=0,"",IF(B84="","Enter date",IF(OR(B84&lt;$AC$2,B84&gt;$AC$3),"Date not in December",IF(D84="","Pick project",IF(ISNA(MATCH(D84,ProjNames,0)),"Project not in list",IF(G84="","Add task description",IF(H84="","Pick NTIME or P6",IF(N(I84)&lt;=0,"Enter hours",IF(AND(AllowOT&lt;&gt;"Yes",SUMIF($B$7:$B$256,B84,$I$7:$I$256)&gt;INDEX($O$58:$O$88,DAY(B84))),"Day over "&amp;INDEX($O$58:$O$88,DAY(B84))&amp;" h","✓")))))))))</f>
        <v/>
      </c>
      <c r="K84" s="1"/>
      <c r="L84" s="35" t="n">
        <v>46383</v>
      </c>
      <c r="M84" s="36" t="str">
        <f aca="false">TEXT(L84,"ddd")</f>
        <v>Sun</v>
      </c>
      <c r="N84" s="37" t="s">
        <v>94</v>
      </c>
      <c r="O84" s="37" t="n">
        <f aca="false">AvailHours</f>
        <v>8</v>
      </c>
      <c r="P84" s="24" t="n">
        <f aca="false">SUMIFS($I$7:$I$256,$B$7:$B$256,L84,$H$7:$H$256,"NTIME")</f>
        <v>0</v>
      </c>
      <c r="Q84" s="24" t="n">
        <f aca="false">SUMIFS($I$7:$I$256,$B$7:$B$256,L84,$H$7:$H$256,"P6")</f>
        <v>0</v>
      </c>
      <c r="R84" s="24" t="n">
        <f aca="false">IF(N84="Overhead only",O84,IF(AND(N84="Working",P84+Q84&gt;0),MAX(0,O84-P84-Q84),0))</f>
        <v>0</v>
      </c>
      <c r="S84" s="24" t="n">
        <f aca="false">IF(OR(N84="Working",N84="Overhead only"),MAX(0,P84+Q84-O84),0)</f>
        <v>0</v>
      </c>
      <c r="T84" s="24" t="n">
        <f aca="false">P84+Q84+R84</f>
        <v>0</v>
      </c>
      <c r="U84" s="24" t="str">
        <f aca="true">IF(N84="Working",IF(P84+Q84=0,IF(L84&lt;=TODAY(),"Not logged",""),IF(P84+Q84&gt;O84,IF(AllowOT="Yes","Overtime","Over "&amp;O84&amp;" h!"),"✓")),IF(N84="Overhead only","✓ Overhead day",IF(P84+Q84&gt;0,"Entries on "&amp;LOWER(N84)&amp;" day",N84)))</f>
        <v>Weekend</v>
      </c>
      <c r="V84" s="1"/>
      <c r="W84" s="1" t="str">
        <f aca="false">IF(Projects!B82="","",Projects!B82)</f>
        <v/>
      </c>
      <c r="X84" s="1" t="n">
        <f aca="false">IF(W84="",0,SUMIFS($I$7:$I$256,$D$7:$D$256,W84,$H$7:$H$256,"NTIME"))</f>
        <v>0</v>
      </c>
      <c r="Y84" s="1" t="n">
        <f aca="false">IF(W84="",0,SUMIFS($I$7:$I$256,$D$7:$D$256,W84,$H$7:$H$256,"P6"))</f>
        <v>0</v>
      </c>
      <c r="Z84" s="1" t="n">
        <f aca="false">X84+Y84</f>
        <v>0</v>
      </c>
      <c r="AA84" s="1" t="n">
        <f aca="false">IF(Z84&gt;0,Z84+(201-78)/10^6,0)</f>
        <v>0</v>
      </c>
      <c r="AB84" s="1"/>
      <c r="AC84" s="1"/>
      <c r="AD84" s="1"/>
      <c r="AE84" s="1"/>
      <c r="AF84" s="1"/>
      <c r="AG84" s="1"/>
      <c r="AH84" s="1"/>
    </row>
    <row r="85" customFormat="false" ht="15" hidden="false" customHeight="false" outlineLevel="0" collapsed="false">
      <c r="A85" s="1"/>
      <c r="B85" s="10"/>
      <c r="C85" s="31" t="str">
        <f aca="false">IF(B85="","",TEXT(B85,"ddd"))</f>
        <v/>
      </c>
      <c r="D85" s="11"/>
      <c r="E85" s="8" t="str">
        <f aca="false">IF(D85="","",IFERROR(INDEX(ProjNumbers,MATCH(D85,ProjNames,0)),""))</f>
        <v/>
      </c>
      <c r="F85" s="8" t="str">
        <f aca="false">IF(D85="","",IFERROR(INDEX(ProjCodes,MATCH(D85,ProjNames,0)),""))</f>
        <v/>
      </c>
      <c r="G85" s="32"/>
      <c r="H85" s="11"/>
      <c r="I85" s="33"/>
      <c r="J85" s="8" t="str">
        <f aca="false">IF(COUNTA(B85,D85,G85,H85,I85)=0,"",IF(B85="","Enter date",IF(OR(B85&lt;$AC$2,B85&gt;$AC$3),"Date not in December",IF(D85="","Pick project",IF(ISNA(MATCH(D85,ProjNames,0)),"Project not in list",IF(G85="","Add task description",IF(H85="","Pick NTIME or P6",IF(N(I85)&lt;=0,"Enter hours",IF(AND(AllowOT&lt;&gt;"Yes",SUMIF($B$7:$B$256,B85,$I$7:$I$256)&gt;INDEX($O$58:$O$88,DAY(B85))),"Day over "&amp;INDEX($O$58:$O$88,DAY(B85))&amp;" h","✓")))))))))</f>
        <v/>
      </c>
      <c r="K85" s="1"/>
      <c r="L85" s="35" t="n">
        <v>46384</v>
      </c>
      <c r="M85" s="36" t="str">
        <f aca="false">TEXT(L85,"ddd")</f>
        <v>Mon</v>
      </c>
      <c r="N85" s="37" t="s">
        <v>93</v>
      </c>
      <c r="O85" s="37" t="n">
        <f aca="false">AvailHours</f>
        <v>8</v>
      </c>
      <c r="P85" s="24" t="n">
        <f aca="false">SUMIFS($I$7:$I$256,$B$7:$B$256,L85,$H$7:$H$256,"NTIME")</f>
        <v>0</v>
      </c>
      <c r="Q85" s="24" t="n">
        <f aca="false">SUMIFS($I$7:$I$256,$B$7:$B$256,L85,$H$7:$H$256,"P6")</f>
        <v>0</v>
      </c>
      <c r="R85" s="24" t="n">
        <f aca="false">IF(N85="Overhead only",O85,IF(AND(N85="Working",P85+Q85&gt;0),MAX(0,O85-P85-Q85),0))</f>
        <v>0</v>
      </c>
      <c r="S85" s="24" t="n">
        <f aca="false">IF(OR(N85="Working",N85="Overhead only"),MAX(0,P85+Q85-O85),0)</f>
        <v>0</v>
      </c>
      <c r="T85" s="24" t="n">
        <f aca="false">P85+Q85+R85</f>
        <v>0</v>
      </c>
      <c r="U85" s="24" t="str">
        <f aca="true">IF(N85="Working",IF(P85+Q85=0,IF(L85&lt;=TODAY(),"Not logged",""),IF(P85+Q85&gt;O85,IF(AllowOT="Yes","Overtime","Over "&amp;O85&amp;" h!"),"✓")),IF(N85="Overhead only","✓ Overhead day",IF(P85+Q85&gt;0,"Entries on "&amp;LOWER(N85)&amp;" day",N85)))</f>
        <v/>
      </c>
      <c r="V85" s="1"/>
      <c r="W85" s="1" t="str">
        <f aca="false">IF(Projects!B83="","",Projects!B83)</f>
        <v/>
      </c>
      <c r="X85" s="1" t="n">
        <f aca="false">IF(W85="",0,SUMIFS($I$7:$I$256,$D$7:$D$256,W85,$H$7:$H$256,"NTIME"))</f>
        <v>0</v>
      </c>
      <c r="Y85" s="1" t="n">
        <f aca="false">IF(W85="",0,SUMIFS($I$7:$I$256,$D$7:$D$256,W85,$H$7:$H$256,"P6"))</f>
        <v>0</v>
      </c>
      <c r="Z85" s="1" t="n">
        <f aca="false">X85+Y85</f>
        <v>0</v>
      </c>
      <c r="AA85" s="1" t="n">
        <f aca="false">IF(Z85&gt;0,Z85+(201-79)/10^6,0)</f>
        <v>0</v>
      </c>
      <c r="AB85" s="1"/>
      <c r="AC85" s="1"/>
      <c r="AD85" s="1"/>
      <c r="AE85" s="1"/>
      <c r="AF85" s="1"/>
      <c r="AG85" s="1"/>
      <c r="AH85" s="1"/>
    </row>
    <row r="86" customFormat="false" ht="15" hidden="false" customHeight="false" outlineLevel="0" collapsed="false">
      <c r="A86" s="1"/>
      <c r="B86" s="10"/>
      <c r="C86" s="31" t="str">
        <f aca="false">IF(B86="","",TEXT(B86,"ddd"))</f>
        <v/>
      </c>
      <c r="D86" s="11"/>
      <c r="E86" s="8" t="str">
        <f aca="false">IF(D86="","",IFERROR(INDEX(ProjNumbers,MATCH(D86,ProjNames,0)),""))</f>
        <v/>
      </c>
      <c r="F86" s="8" t="str">
        <f aca="false">IF(D86="","",IFERROR(INDEX(ProjCodes,MATCH(D86,ProjNames,0)),""))</f>
        <v/>
      </c>
      <c r="G86" s="32"/>
      <c r="H86" s="11"/>
      <c r="I86" s="33"/>
      <c r="J86" s="8" t="str">
        <f aca="false">IF(COUNTA(B86,D86,G86,H86,I86)=0,"",IF(B86="","Enter date",IF(OR(B86&lt;$AC$2,B86&gt;$AC$3),"Date not in December",IF(D86="","Pick project",IF(ISNA(MATCH(D86,ProjNames,0)),"Project not in list",IF(G86="","Add task description",IF(H86="","Pick NTIME or P6",IF(N(I86)&lt;=0,"Enter hours",IF(AND(AllowOT&lt;&gt;"Yes",SUMIF($B$7:$B$256,B86,$I$7:$I$256)&gt;INDEX($O$58:$O$88,DAY(B86))),"Day over "&amp;INDEX($O$58:$O$88,DAY(B86))&amp;" h","✓")))))))))</f>
        <v/>
      </c>
      <c r="K86" s="1"/>
      <c r="L86" s="35" t="n">
        <v>46385</v>
      </c>
      <c r="M86" s="36" t="str">
        <f aca="false">TEXT(L86,"ddd")</f>
        <v>Tue</v>
      </c>
      <c r="N86" s="37" t="s">
        <v>93</v>
      </c>
      <c r="O86" s="37" t="n">
        <f aca="false">AvailHours</f>
        <v>8</v>
      </c>
      <c r="P86" s="24" t="n">
        <f aca="false">SUMIFS($I$7:$I$256,$B$7:$B$256,L86,$H$7:$H$256,"NTIME")</f>
        <v>0</v>
      </c>
      <c r="Q86" s="24" t="n">
        <f aca="false">SUMIFS($I$7:$I$256,$B$7:$B$256,L86,$H$7:$H$256,"P6")</f>
        <v>0</v>
      </c>
      <c r="R86" s="24" t="n">
        <f aca="false">IF(N86="Overhead only",O86,IF(AND(N86="Working",P86+Q86&gt;0),MAX(0,O86-P86-Q86),0))</f>
        <v>0</v>
      </c>
      <c r="S86" s="24" t="n">
        <f aca="false">IF(OR(N86="Working",N86="Overhead only"),MAX(0,P86+Q86-O86),0)</f>
        <v>0</v>
      </c>
      <c r="T86" s="24" t="n">
        <f aca="false">P86+Q86+R86</f>
        <v>0</v>
      </c>
      <c r="U86" s="24" t="str">
        <f aca="true">IF(N86="Working",IF(P86+Q86=0,IF(L86&lt;=TODAY(),"Not logged",""),IF(P86+Q86&gt;O86,IF(AllowOT="Yes","Overtime","Over "&amp;O86&amp;" h!"),"✓")),IF(N86="Overhead only","✓ Overhead day",IF(P86+Q86&gt;0,"Entries on "&amp;LOWER(N86)&amp;" day",N86)))</f>
        <v/>
      </c>
      <c r="V86" s="1"/>
      <c r="W86" s="1" t="str">
        <f aca="false">IF(Projects!B84="","",Projects!B84)</f>
        <v/>
      </c>
      <c r="X86" s="1" t="n">
        <f aca="false">IF(W86="",0,SUMIFS($I$7:$I$256,$D$7:$D$256,W86,$H$7:$H$256,"NTIME"))</f>
        <v>0</v>
      </c>
      <c r="Y86" s="1" t="n">
        <f aca="false">IF(W86="",0,SUMIFS($I$7:$I$256,$D$7:$D$256,W86,$H$7:$H$256,"P6"))</f>
        <v>0</v>
      </c>
      <c r="Z86" s="1" t="n">
        <f aca="false">X86+Y86</f>
        <v>0</v>
      </c>
      <c r="AA86" s="1" t="n">
        <f aca="false">IF(Z86&gt;0,Z86+(201-80)/10^6,0)</f>
        <v>0</v>
      </c>
      <c r="AB86" s="1"/>
      <c r="AC86" s="1"/>
      <c r="AD86" s="1"/>
      <c r="AE86" s="1"/>
      <c r="AF86" s="1"/>
      <c r="AG86" s="1"/>
      <c r="AH86" s="1"/>
    </row>
    <row r="87" customFormat="false" ht="15" hidden="false" customHeight="false" outlineLevel="0" collapsed="false">
      <c r="A87" s="1"/>
      <c r="B87" s="10"/>
      <c r="C87" s="31" t="str">
        <f aca="false">IF(B87="","",TEXT(B87,"ddd"))</f>
        <v/>
      </c>
      <c r="D87" s="11"/>
      <c r="E87" s="8" t="str">
        <f aca="false">IF(D87="","",IFERROR(INDEX(ProjNumbers,MATCH(D87,ProjNames,0)),""))</f>
        <v/>
      </c>
      <c r="F87" s="8" t="str">
        <f aca="false">IF(D87="","",IFERROR(INDEX(ProjCodes,MATCH(D87,ProjNames,0)),""))</f>
        <v/>
      </c>
      <c r="G87" s="32"/>
      <c r="H87" s="11"/>
      <c r="I87" s="33"/>
      <c r="J87" s="8" t="str">
        <f aca="false">IF(COUNTA(B87,D87,G87,H87,I87)=0,"",IF(B87="","Enter date",IF(OR(B87&lt;$AC$2,B87&gt;$AC$3),"Date not in December",IF(D87="","Pick project",IF(ISNA(MATCH(D87,ProjNames,0)),"Project not in list",IF(G87="","Add task description",IF(H87="","Pick NTIME or P6",IF(N(I87)&lt;=0,"Enter hours",IF(AND(AllowOT&lt;&gt;"Yes",SUMIF($B$7:$B$256,B87,$I$7:$I$256)&gt;INDEX($O$58:$O$88,DAY(B87))),"Day over "&amp;INDEX($O$58:$O$88,DAY(B87))&amp;" h","✓")))))))))</f>
        <v/>
      </c>
      <c r="K87" s="1"/>
      <c r="L87" s="35" t="n">
        <v>46386</v>
      </c>
      <c r="M87" s="36" t="str">
        <f aca="false">TEXT(L87,"ddd")</f>
        <v>Wed</v>
      </c>
      <c r="N87" s="37" t="s">
        <v>93</v>
      </c>
      <c r="O87" s="37" t="n">
        <f aca="false">AvailHours</f>
        <v>8</v>
      </c>
      <c r="P87" s="24" t="n">
        <f aca="false">SUMIFS($I$7:$I$256,$B$7:$B$256,L87,$H$7:$H$256,"NTIME")</f>
        <v>0</v>
      </c>
      <c r="Q87" s="24" t="n">
        <f aca="false">SUMIFS($I$7:$I$256,$B$7:$B$256,L87,$H$7:$H$256,"P6")</f>
        <v>0</v>
      </c>
      <c r="R87" s="24" t="n">
        <f aca="false">IF(N87="Overhead only",O87,IF(AND(N87="Working",P87+Q87&gt;0),MAX(0,O87-P87-Q87),0))</f>
        <v>0</v>
      </c>
      <c r="S87" s="24" t="n">
        <f aca="false">IF(OR(N87="Working",N87="Overhead only"),MAX(0,P87+Q87-O87),0)</f>
        <v>0</v>
      </c>
      <c r="T87" s="24" t="n">
        <f aca="false">P87+Q87+R87</f>
        <v>0</v>
      </c>
      <c r="U87" s="24" t="str">
        <f aca="true">IF(N87="Working",IF(P87+Q87=0,IF(L87&lt;=TODAY(),"Not logged",""),IF(P87+Q87&gt;O87,IF(AllowOT="Yes","Overtime","Over "&amp;O87&amp;" h!"),"✓")),IF(N87="Overhead only","✓ Overhead day",IF(P87+Q87&gt;0,"Entries on "&amp;LOWER(N87)&amp;" day",N87)))</f>
        <v/>
      </c>
      <c r="V87" s="1"/>
      <c r="W87" s="1" t="str">
        <f aca="false">IF(Projects!B85="","",Projects!B85)</f>
        <v/>
      </c>
      <c r="X87" s="1" t="n">
        <f aca="false">IF(W87="",0,SUMIFS($I$7:$I$256,$D$7:$D$256,W87,$H$7:$H$256,"NTIME"))</f>
        <v>0</v>
      </c>
      <c r="Y87" s="1" t="n">
        <f aca="false">IF(W87="",0,SUMIFS($I$7:$I$256,$D$7:$D$256,W87,$H$7:$H$256,"P6"))</f>
        <v>0</v>
      </c>
      <c r="Z87" s="1" t="n">
        <f aca="false">X87+Y87</f>
        <v>0</v>
      </c>
      <c r="AA87" s="1" t="n">
        <f aca="false">IF(Z87&gt;0,Z87+(201-81)/10^6,0)</f>
        <v>0</v>
      </c>
      <c r="AB87" s="1"/>
      <c r="AC87" s="1"/>
      <c r="AD87" s="1"/>
      <c r="AE87" s="1"/>
      <c r="AF87" s="1"/>
      <c r="AG87" s="1"/>
      <c r="AH87" s="1"/>
    </row>
    <row r="88" customFormat="false" ht="15" hidden="false" customHeight="false" outlineLevel="0" collapsed="false">
      <c r="A88" s="1"/>
      <c r="B88" s="10"/>
      <c r="C88" s="31" t="str">
        <f aca="false">IF(B88="","",TEXT(B88,"ddd"))</f>
        <v/>
      </c>
      <c r="D88" s="11"/>
      <c r="E88" s="8" t="str">
        <f aca="false">IF(D88="","",IFERROR(INDEX(ProjNumbers,MATCH(D88,ProjNames,0)),""))</f>
        <v/>
      </c>
      <c r="F88" s="8" t="str">
        <f aca="false">IF(D88="","",IFERROR(INDEX(ProjCodes,MATCH(D88,ProjNames,0)),""))</f>
        <v/>
      </c>
      <c r="G88" s="32"/>
      <c r="H88" s="11"/>
      <c r="I88" s="33"/>
      <c r="J88" s="8" t="str">
        <f aca="false">IF(COUNTA(B88,D88,G88,H88,I88)=0,"",IF(B88="","Enter date",IF(OR(B88&lt;$AC$2,B88&gt;$AC$3),"Date not in December",IF(D88="","Pick project",IF(ISNA(MATCH(D88,ProjNames,0)),"Project not in list",IF(G88="","Add task description",IF(H88="","Pick NTIME or P6",IF(N(I88)&lt;=0,"Enter hours",IF(AND(AllowOT&lt;&gt;"Yes",SUMIF($B$7:$B$256,B88,$I$7:$I$256)&gt;INDEX($O$58:$O$88,DAY(B88))),"Day over "&amp;INDEX($O$58:$O$88,DAY(B88))&amp;" h","✓")))))))))</f>
        <v/>
      </c>
      <c r="K88" s="1"/>
      <c r="L88" s="35" t="n">
        <v>46387</v>
      </c>
      <c r="M88" s="36" t="str">
        <f aca="false">TEXT(L88,"ddd")</f>
        <v>Thu</v>
      </c>
      <c r="N88" s="37" t="s">
        <v>93</v>
      </c>
      <c r="O88" s="37" t="n">
        <f aca="false">AvailHours</f>
        <v>8</v>
      </c>
      <c r="P88" s="24" t="n">
        <f aca="false">SUMIFS($I$7:$I$256,$B$7:$B$256,L88,$H$7:$H$256,"NTIME")</f>
        <v>0</v>
      </c>
      <c r="Q88" s="24" t="n">
        <f aca="false">SUMIFS($I$7:$I$256,$B$7:$B$256,L88,$H$7:$H$256,"P6")</f>
        <v>0</v>
      </c>
      <c r="R88" s="24" t="n">
        <f aca="false">IF(N88="Overhead only",O88,IF(AND(N88="Working",P88+Q88&gt;0),MAX(0,O88-P88-Q88),0))</f>
        <v>0</v>
      </c>
      <c r="S88" s="24" t="n">
        <f aca="false">IF(OR(N88="Working",N88="Overhead only"),MAX(0,P88+Q88-O88),0)</f>
        <v>0</v>
      </c>
      <c r="T88" s="24" t="n">
        <f aca="false">P88+Q88+R88</f>
        <v>0</v>
      </c>
      <c r="U88" s="24" t="str">
        <f aca="true">IF(N88="Working",IF(P88+Q88=0,IF(L88&lt;=TODAY(),"Not logged",""),IF(P88+Q88&gt;O88,IF(AllowOT="Yes","Overtime","Over "&amp;O88&amp;" h!"),"✓")),IF(N88="Overhead only","✓ Overhead day",IF(P88+Q88&gt;0,"Entries on "&amp;LOWER(N88)&amp;" day",N88)))</f>
        <v/>
      </c>
      <c r="V88" s="1"/>
      <c r="W88" s="1" t="str">
        <f aca="false">IF(Projects!B86="","",Projects!B86)</f>
        <v/>
      </c>
      <c r="X88" s="1" t="n">
        <f aca="false">IF(W88="",0,SUMIFS($I$7:$I$256,$D$7:$D$256,W88,$H$7:$H$256,"NTIME"))</f>
        <v>0</v>
      </c>
      <c r="Y88" s="1" t="n">
        <f aca="false">IF(W88="",0,SUMIFS($I$7:$I$256,$D$7:$D$256,W88,$H$7:$H$256,"P6"))</f>
        <v>0</v>
      </c>
      <c r="Z88" s="1" t="n">
        <f aca="false">X88+Y88</f>
        <v>0</v>
      </c>
      <c r="AA88" s="1" t="n">
        <f aca="false">IF(Z88&gt;0,Z88+(201-82)/10^6,0)</f>
        <v>0</v>
      </c>
      <c r="AB88" s="1"/>
      <c r="AC88" s="1"/>
      <c r="AD88" s="1"/>
      <c r="AE88" s="1"/>
      <c r="AF88" s="1"/>
      <c r="AG88" s="1"/>
      <c r="AH88" s="1"/>
    </row>
    <row r="89" customFormat="false" ht="15" hidden="false" customHeight="false" outlineLevel="0" collapsed="false">
      <c r="A89" s="1"/>
      <c r="B89" s="10"/>
      <c r="C89" s="31" t="str">
        <f aca="false">IF(B89="","",TEXT(B89,"ddd"))</f>
        <v/>
      </c>
      <c r="D89" s="11"/>
      <c r="E89" s="8" t="str">
        <f aca="false">IF(D89="","",IFERROR(INDEX(ProjNumbers,MATCH(D89,ProjNames,0)),""))</f>
        <v/>
      </c>
      <c r="F89" s="8" t="str">
        <f aca="false">IF(D89="","",IFERROR(INDEX(ProjCodes,MATCH(D89,ProjNames,0)),""))</f>
        <v/>
      </c>
      <c r="G89" s="32"/>
      <c r="H89" s="11"/>
      <c r="I89" s="33"/>
      <c r="J89" s="8" t="str">
        <f aca="false">IF(COUNTA(B89,D89,G89,H89,I89)=0,"",IF(B89="","Enter date",IF(OR(B89&lt;$AC$2,B89&gt;$AC$3),"Date not in December",IF(D89="","Pick project",IF(ISNA(MATCH(D89,ProjNames,0)),"Project not in list",IF(G89="","Add task description",IF(H89="","Pick NTIME or P6",IF(N(I89)&lt;=0,"Enter hours",IF(AND(AllowOT&lt;&gt;"Yes",SUMIF($B$7:$B$256,B89,$I$7:$I$256)&gt;INDEX($O$58:$O$88,DAY(B89))),"Day over "&amp;INDEX($O$58:$O$88,DAY(B89))&amp;" h","✓")))))))))</f>
        <v/>
      </c>
      <c r="K89" s="1"/>
      <c r="L89" s="27" t="s">
        <v>84</v>
      </c>
      <c r="M89" s="27"/>
      <c r="N89" s="27"/>
      <c r="O89" s="27"/>
      <c r="P89" s="27" t="n">
        <f aca="false">SUM(P58:P88)</f>
        <v>0</v>
      </c>
      <c r="Q89" s="27" t="n">
        <f aca="false">SUM(Q58:Q88)</f>
        <v>0</v>
      </c>
      <c r="R89" s="27" t="n">
        <f aca="false">SUM(R58:R88)</f>
        <v>0</v>
      </c>
      <c r="S89" s="27" t="n">
        <f aca="false">SUM(S58:S88)</f>
        <v>0</v>
      </c>
      <c r="T89" s="27" t="n">
        <f aca="false">SUM(T58:T88)</f>
        <v>0</v>
      </c>
      <c r="U89" s="27"/>
      <c r="V89" s="1"/>
      <c r="W89" s="1" t="str">
        <f aca="false">IF(Projects!B87="","",Projects!B87)</f>
        <v/>
      </c>
      <c r="X89" s="1" t="n">
        <f aca="false">IF(W89="",0,SUMIFS($I$7:$I$256,$D$7:$D$256,W89,$H$7:$H$256,"NTIME"))</f>
        <v>0</v>
      </c>
      <c r="Y89" s="1" t="n">
        <f aca="false">IF(W89="",0,SUMIFS($I$7:$I$256,$D$7:$D$256,W89,$H$7:$H$256,"P6"))</f>
        <v>0</v>
      </c>
      <c r="Z89" s="1" t="n">
        <f aca="false">X89+Y89</f>
        <v>0</v>
      </c>
      <c r="AA89" s="1" t="n">
        <f aca="false">IF(Z89&gt;0,Z89+(201-83)/10^6,0)</f>
        <v>0</v>
      </c>
      <c r="AB89" s="1"/>
      <c r="AC89" s="1"/>
      <c r="AD89" s="1"/>
      <c r="AE89" s="1"/>
      <c r="AF89" s="1"/>
      <c r="AG89" s="1"/>
      <c r="AH89" s="1"/>
    </row>
    <row r="90" customFormat="false" ht="15" hidden="false" customHeight="false" outlineLevel="0" collapsed="false">
      <c r="A90" s="1"/>
      <c r="B90" s="10"/>
      <c r="C90" s="31" t="str">
        <f aca="false">IF(B90="","",TEXT(B90,"ddd"))</f>
        <v/>
      </c>
      <c r="D90" s="11"/>
      <c r="E90" s="8" t="str">
        <f aca="false">IF(D90="","",IFERROR(INDEX(ProjNumbers,MATCH(D90,ProjNames,0)),""))</f>
        <v/>
      </c>
      <c r="F90" s="8" t="str">
        <f aca="false">IF(D90="","",IFERROR(INDEX(ProjCodes,MATCH(D90,ProjNames,0)),""))</f>
        <v/>
      </c>
      <c r="G90" s="32"/>
      <c r="H90" s="11"/>
      <c r="I90" s="33"/>
      <c r="J90" s="8" t="str">
        <f aca="false">IF(COUNTA(B90,D90,G90,H90,I90)=0,"",IF(B90="","Enter date",IF(OR(B90&lt;$AC$2,B90&gt;$AC$3),"Date not in December",IF(D90="","Pick project",IF(ISNA(MATCH(D90,ProjNames,0)),"Project not in list",IF(G90="","Add task description",IF(H90="","Pick NTIME or P6",IF(N(I90)&lt;=0,"Enter hours",IF(AND(AllowOT&lt;&gt;"Yes",SUMIF($B$7:$B$256,B90,$I$7:$I$256)&gt;INDEX($O$58:$O$88,DAY(B90))),"Day over "&amp;INDEX($O$58:$O$88,DAY(B90))&amp;" h","✓")))))))))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tr">
        <f aca="false">IF(Projects!B88="","",Projects!B88)</f>
        <v/>
      </c>
      <c r="X90" s="1" t="n">
        <f aca="false">IF(W90="",0,SUMIFS($I$7:$I$256,$D$7:$D$256,W90,$H$7:$H$256,"NTIME"))</f>
        <v>0</v>
      </c>
      <c r="Y90" s="1" t="n">
        <f aca="false">IF(W90="",0,SUMIFS($I$7:$I$256,$D$7:$D$256,W90,$H$7:$H$256,"P6"))</f>
        <v>0</v>
      </c>
      <c r="Z90" s="1" t="n">
        <f aca="false">X90+Y90</f>
        <v>0</v>
      </c>
      <c r="AA90" s="1" t="n">
        <f aca="false">IF(Z90&gt;0,Z90+(201-84)/10^6,0)</f>
        <v>0</v>
      </c>
      <c r="AB90" s="1"/>
      <c r="AC90" s="1"/>
      <c r="AD90" s="1"/>
      <c r="AE90" s="1"/>
      <c r="AF90" s="1"/>
      <c r="AG90" s="1"/>
      <c r="AH90" s="1"/>
    </row>
    <row r="91" customFormat="false" ht="15" hidden="false" customHeight="false" outlineLevel="0" collapsed="false">
      <c r="A91" s="1"/>
      <c r="B91" s="10"/>
      <c r="C91" s="31" t="str">
        <f aca="false">IF(B91="","",TEXT(B91,"ddd"))</f>
        <v/>
      </c>
      <c r="D91" s="11"/>
      <c r="E91" s="8" t="str">
        <f aca="false">IF(D91="","",IFERROR(INDEX(ProjNumbers,MATCH(D91,ProjNames,0)),""))</f>
        <v/>
      </c>
      <c r="F91" s="8" t="str">
        <f aca="false">IF(D91="","",IFERROR(INDEX(ProjCodes,MATCH(D91,ProjNames,0)),""))</f>
        <v/>
      </c>
      <c r="G91" s="32"/>
      <c r="H91" s="11"/>
      <c r="I91" s="33"/>
      <c r="J91" s="8" t="str">
        <f aca="false">IF(COUNTA(B91,D91,G91,H91,I91)=0,"",IF(B91="","Enter date",IF(OR(B91&lt;$AC$2,B91&gt;$AC$3),"Date not in December",IF(D91="","Pick project",IF(ISNA(MATCH(D91,ProjNames,0)),"Project not in list",IF(G91="","Add task description",IF(H91="","Pick NTIME or P6",IF(N(I91)&lt;=0,"Enter hours",IF(AND(AllowOT&lt;&gt;"Yes",SUMIF($B$7:$B$256,B91,$I$7:$I$256)&gt;INDEX($O$58:$O$88,DAY(B91))),"Day over "&amp;INDEX($O$58:$O$88,DAY(B91))&amp;" h","✓")))))))))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tr">
        <f aca="false">IF(Projects!B89="","",Projects!B89)</f>
        <v/>
      </c>
      <c r="X91" s="1" t="n">
        <f aca="false">IF(W91="",0,SUMIFS($I$7:$I$256,$D$7:$D$256,W91,$H$7:$H$256,"NTIME"))</f>
        <v>0</v>
      </c>
      <c r="Y91" s="1" t="n">
        <f aca="false">IF(W91="",0,SUMIFS($I$7:$I$256,$D$7:$D$256,W91,$H$7:$H$256,"P6"))</f>
        <v>0</v>
      </c>
      <c r="Z91" s="1" t="n">
        <f aca="false">X91+Y91</f>
        <v>0</v>
      </c>
      <c r="AA91" s="1" t="n">
        <f aca="false">IF(Z91&gt;0,Z91+(201-85)/10^6,0)</f>
        <v>0</v>
      </c>
      <c r="AB91" s="1"/>
      <c r="AC91" s="1"/>
      <c r="AD91" s="1"/>
      <c r="AE91" s="1"/>
      <c r="AF91" s="1"/>
      <c r="AG91" s="1"/>
      <c r="AH91" s="1"/>
    </row>
    <row r="92" customFormat="false" ht="15" hidden="false" customHeight="false" outlineLevel="0" collapsed="false">
      <c r="A92" s="1"/>
      <c r="B92" s="10"/>
      <c r="C92" s="31" t="str">
        <f aca="false">IF(B92="","",TEXT(B92,"ddd"))</f>
        <v/>
      </c>
      <c r="D92" s="11"/>
      <c r="E92" s="8" t="str">
        <f aca="false">IF(D92="","",IFERROR(INDEX(ProjNumbers,MATCH(D92,ProjNames,0)),""))</f>
        <v/>
      </c>
      <c r="F92" s="8" t="str">
        <f aca="false">IF(D92="","",IFERROR(INDEX(ProjCodes,MATCH(D92,ProjNames,0)),""))</f>
        <v/>
      </c>
      <c r="G92" s="32"/>
      <c r="H92" s="11"/>
      <c r="I92" s="33"/>
      <c r="J92" s="8" t="str">
        <f aca="false">IF(COUNTA(B92,D92,G92,H92,I92)=0,"",IF(B92="","Enter date",IF(OR(B92&lt;$AC$2,B92&gt;$AC$3),"Date not in December",IF(D92="","Pick project",IF(ISNA(MATCH(D92,ProjNames,0)),"Project not in list",IF(G92="","Add task description",IF(H92="","Pick NTIME or P6",IF(N(I92)&lt;=0,"Enter hours",IF(AND(AllowOT&lt;&gt;"Yes",SUMIF($B$7:$B$256,B92,$I$7:$I$256)&gt;INDEX($O$58:$O$88,DAY(B92))),"Day over "&amp;INDEX($O$58:$O$88,DAY(B92))&amp;" h","✓")))))))))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tr">
        <f aca="false">IF(Projects!B90="","",Projects!B90)</f>
        <v/>
      </c>
      <c r="X92" s="1" t="n">
        <f aca="false">IF(W92="",0,SUMIFS($I$7:$I$256,$D$7:$D$256,W92,$H$7:$H$256,"NTIME"))</f>
        <v>0</v>
      </c>
      <c r="Y92" s="1" t="n">
        <f aca="false">IF(W92="",0,SUMIFS($I$7:$I$256,$D$7:$D$256,W92,$H$7:$H$256,"P6"))</f>
        <v>0</v>
      </c>
      <c r="Z92" s="1" t="n">
        <f aca="false">X92+Y92</f>
        <v>0</v>
      </c>
      <c r="AA92" s="1" t="n">
        <f aca="false">IF(Z92&gt;0,Z92+(201-86)/10^6,0)</f>
        <v>0</v>
      </c>
      <c r="AB92" s="1"/>
      <c r="AC92" s="1"/>
      <c r="AD92" s="1"/>
      <c r="AE92" s="1"/>
      <c r="AF92" s="1"/>
      <c r="AG92" s="1"/>
      <c r="AH92" s="1"/>
    </row>
    <row r="93" customFormat="false" ht="15" hidden="false" customHeight="false" outlineLevel="0" collapsed="false">
      <c r="A93" s="1"/>
      <c r="B93" s="10"/>
      <c r="C93" s="31" t="str">
        <f aca="false">IF(B93="","",TEXT(B93,"ddd"))</f>
        <v/>
      </c>
      <c r="D93" s="11"/>
      <c r="E93" s="8" t="str">
        <f aca="false">IF(D93="","",IFERROR(INDEX(ProjNumbers,MATCH(D93,ProjNames,0)),""))</f>
        <v/>
      </c>
      <c r="F93" s="8" t="str">
        <f aca="false">IF(D93="","",IFERROR(INDEX(ProjCodes,MATCH(D93,ProjNames,0)),""))</f>
        <v/>
      </c>
      <c r="G93" s="32"/>
      <c r="H93" s="11"/>
      <c r="I93" s="33"/>
      <c r="J93" s="8" t="str">
        <f aca="false">IF(COUNTA(B93,D93,G93,H93,I93)=0,"",IF(B93="","Enter date",IF(OR(B93&lt;$AC$2,B93&gt;$AC$3),"Date not in December",IF(D93="","Pick project",IF(ISNA(MATCH(D93,ProjNames,0)),"Project not in list",IF(G93="","Add task description",IF(H93="","Pick NTIME or P6",IF(N(I93)&lt;=0,"Enter hours",IF(AND(AllowOT&lt;&gt;"Yes",SUMIF($B$7:$B$256,B93,$I$7:$I$256)&gt;INDEX($O$58:$O$88,DAY(B93))),"Day over "&amp;INDEX($O$58:$O$88,DAY(B93))&amp;" h","✓")))))))))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tr">
        <f aca="false">IF(Projects!B91="","",Projects!B91)</f>
        <v/>
      </c>
      <c r="X93" s="1" t="n">
        <f aca="false">IF(W93="",0,SUMIFS($I$7:$I$256,$D$7:$D$256,W93,$H$7:$H$256,"NTIME"))</f>
        <v>0</v>
      </c>
      <c r="Y93" s="1" t="n">
        <f aca="false">IF(W93="",0,SUMIFS($I$7:$I$256,$D$7:$D$256,W93,$H$7:$H$256,"P6"))</f>
        <v>0</v>
      </c>
      <c r="Z93" s="1" t="n">
        <f aca="false">X93+Y93</f>
        <v>0</v>
      </c>
      <c r="AA93" s="1" t="n">
        <f aca="false">IF(Z93&gt;0,Z93+(201-87)/10^6,0)</f>
        <v>0</v>
      </c>
      <c r="AB93" s="1"/>
      <c r="AC93" s="1"/>
      <c r="AD93" s="1"/>
      <c r="AE93" s="1"/>
      <c r="AF93" s="1"/>
      <c r="AG93" s="1"/>
      <c r="AH93" s="1"/>
    </row>
    <row r="94" customFormat="false" ht="15" hidden="false" customHeight="false" outlineLevel="0" collapsed="false">
      <c r="A94" s="1"/>
      <c r="B94" s="10"/>
      <c r="C94" s="31" t="str">
        <f aca="false">IF(B94="","",TEXT(B94,"ddd"))</f>
        <v/>
      </c>
      <c r="D94" s="11"/>
      <c r="E94" s="8" t="str">
        <f aca="false">IF(D94="","",IFERROR(INDEX(ProjNumbers,MATCH(D94,ProjNames,0)),""))</f>
        <v/>
      </c>
      <c r="F94" s="8" t="str">
        <f aca="false">IF(D94="","",IFERROR(INDEX(ProjCodes,MATCH(D94,ProjNames,0)),""))</f>
        <v/>
      </c>
      <c r="G94" s="32"/>
      <c r="H94" s="11"/>
      <c r="I94" s="33"/>
      <c r="J94" s="8" t="str">
        <f aca="false">IF(COUNTA(B94,D94,G94,H94,I94)=0,"",IF(B94="","Enter date",IF(OR(B94&lt;$AC$2,B94&gt;$AC$3),"Date not in December",IF(D94="","Pick project",IF(ISNA(MATCH(D94,ProjNames,0)),"Project not in list",IF(G94="","Add task description",IF(H94="","Pick NTIME or P6",IF(N(I94)&lt;=0,"Enter hours",IF(AND(AllowOT&lt;&gt;"Yes",SUMIF($B$7:$B$256,B94,$I$7:$I$256)&gt;INDEX($O$58:$O$88,DAY(B94))),"Day over "&amp;INDEX($O$58:$O$88,DAY(B94))&amp;" h","✓")))))))))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tr">
        <f aca="false">IF(Projects!B92="","",Projects!B92)</f>
        <v/>
      </c>
      <c r="X94" s="1" t="n">
        <f aca="false">IF(W94="",0,SUMIFS($I$7:$I$256,$D$7:$D$256,W94,$H$7:$H$256,"NTIME"))</f>
        <v>0</v>
      </c>
      <c r="Y94" s="1" t="n">
        <f aca="false">IF(W94="",0,SUMIFS($I$7:$I$256,$D$7:$D$256,W94,$H$7:$H$256,"P6"))</f>
        <v>0</v>
      </c>
      <c r="Z94" s="1" t="n">
        <f aca="false">X94+Y94</f>
        <v>0</v>
      </c>
      <c r="AA94" s="1" t="n">
        <f aca="false">IF(Z94&gt;0,Z94+(201-88)/10^6,0)</f>
        <v>0</v>
      </c>
      <c r="AB94" s="1"/>
      <c r="AC94" s="1"/>
      <c r="AD94" s="1"/>
      <c r="AE94" s="1"/>
      <c r="AF94" s="1"/>
      <c r="AG94" s="1"/>
      <c r="AH94" s="1"/>
    </row>
    <row r="95" customFormat="false" ht="15" hidden="false" customHeight="false" outlineLevel="0" collapsed="false">
      <c r="A95" s="1"/>
      <c r="B95" s="10"/>
      <c r="C95" s="31" t="str">
        <f aca="false">IF(B95="","",TEXT(B95,"ddd"))</f>
        <v/>
      </c>
      <c r="D95" s="11"/>
      <c r="E95" s="8" t="str">
        <f aca="false">IF(D95="","",IFERROR(INDEX(ProjNumbers,MATCH(D95,ProjNames,0)),""))</f>
        <v/>
      </c>
      <c r="F95" s="8" t="str">
        <f aca="false">IF(D95="","",IFERROR(INDEX(ProjCodes,MATCH(D95,ProjNames,0)),""))</f>
        <v/>
      </c>
      <c r="G95" s="32"/>
      <c r="H95" s="11"/>
      <c r="I95" s="33"/>
      <c r="J95" s="8" t="str">
        <f aca="false">IF(COUNTA(B95,D95,G95,H95,I95)=0,"",IF(B95="","Enter date",IF(OR(B95&lt;$AC$2,B95&gt;$AC$3),"Date not in December",IF(D95="","Pick project",IF(ISNA(MATCH(D95,ProjNames,0)),"Project not in list",IF(G95="","Add task description",IF(H95="","Pick NTIME or P6",IF(N(I95)&lt;=0,"Enter hours",IF(AND(AllowOT&lt;&gt;"Yes",SUMIF($B$7:$B$256,B95,$I$7:$I$256)&gt;INDEX($O$58:$O$88,DAY(B95))),"Day over "&amp;INDEX($O$58:$O$88,DAY(B95))&amp;" h","✓")))))))))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tr">
        <f aca="false">IF(Projects!B93="","",Projects!B93)</f>
        <v/>
      </c>
      <c r="X95" s="1" t="n">
        <f aca="false">IF(W95="",0,SUMIFS($I$7:$I$256,$D$7:$D$256,W95,$H$7:$H$256,"NTIME"))</f>
        <v>0</v>
      </c>
      <c r="Y95" s="1" t="n">
        <f aca="false">IF(W95="",0,SUMIFS($I$7:$I$256,$D$7:$D$256,W95,$H$7:$H$256,"P6"))</f>
        <v>0</v>
      </c>
      <c r="Z95" s="1" t="n">
        <f aca="false">X95+Y95</f>
        <v>0</v>
      </c>
      <c r="AA95" s="1" t="n">
        <f aca="false">IF(Z95&gt;0,Z95+(201-89)/10^6,0)</f>
        <v>0</v>
      </c>
      <c r="AB95" s="1"/>
      <c r="AC95" s="1"/>
      <c r="AD95" s="1"/>
      <c r="AE95" s="1"/>
      <c r="AF95" s="1"/>
      <c r="AG95" s="1"/>
      <c r="AH95" s="1"/>
    </row>
    <row r="96" customFormat="false" ht="15" hidden="false" customHeight="false" outlineLevel="0" collapsed="false">
      <c r="A96" s="1"/>
      <c r="B96" s="10"/>
      <c r="C96" s="31" t="str">
        <f aca="false">IF(B96="","",TEXT(B96,"ddd"))</f>
        <v/>
      </c>
      <c r="D96" s="11"/>
      <c r="E96" s="8" t="str">
        <f aca="false">IF(D96="","",IFERROR(INDEX(ProjNumbers,MATCH(D96,ProjNames,0)),""))</f>
        <v/>
      </c>
      <c r="F96" s="8" t="str">
        <f aca="false">IF(D96="","",IFERROR(INDEX(ProjCodes,MATCH(D96,ProjNames,0)),""))</f>
        <v/>
      </c>
      <c r="G96" s="32"/>
      <c r="H96" s="11"/>
      <c r="I96" s="33"/>
      <c r="J96" s="8" t="str">
        <f aca="false">IF(COUNTA(B96,D96,G96,H96,I96)=0,"",IF(B96="","Enter date",IF(OR(B96&lt;$AC$2,B96&gt;$AC$3),"Date not in December",IF(D96="","Pick project",IF(ISNA(MATCH(D96,ProjNames,0)),"Project not in list",IF(G96="","Add task description",IF(H96="","Pick NTIME or P6",IF(N(I96)&lt;=0,"Enter hours",IF(AND(AllowOT&lt;&gt;"Yes",SUMIF($B$7:$B$256,B96,$I$7:$I$256)&gt;INDEX($O$58:$O$88,DAY(B96))),"Day over "&amp;INDEX($O$58:$O$88,DAY(B96))&amp;" h","✓")))))))))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tr">
        <f aca="false">IF(Projects!B94="","",Projects!B94)</f>
        <v/>
      </c>
      <c r="X96" s="1" t="n">
        <f aca="false">IF(W96="",0,SUMIFS($I$7:$I$256,$D$7:$D$256,W96,$H$7:$H$256,"NTIME"))</f>
        <v>0</v>
      </c>
      <c r="Y96" s="1" t="n">
        <f aca="false">IF(W96="",0,SUMIFS($I$7:$I$256,$D$7:$D$256,W96,$H$7:$H$256,"P6"))</f>
        <v>0</v>
      </c>
      <c r="Z96" s="1" t="n">
        <f aca="false">X96+Y96</f>
        <v>0</v>
      </c>
      <c r="AA96" s="1" t="n">
        <f aca="false">IF(Z96&gt;0,Z96+(201-90)/10^6,0)</f>
        <v>0</v>
      </c>
      <c r="AB96" s="1"/>
      <c r="AC96" s="1"/>
      <c r="AD96" s="1"/>
      <c r="AE96" s="1"/>
      <c r="AF96" s="1"/>
      <c r="AG96" s="1"/>
      <c r="AH96" s="1"/>
    </row>
    <row r="97" customFormat="false" ht="15" hidden="false" customHeight="false" outlineLevel="0" collapsed="false">
      <c r="A97" s="1"/>
      <c r="B97" s="10"/>
      <c r="C97" s="31" t="str">
        <f aca="false">IF(B97="","",TEXT(B97,"ddd"))</f>
        <v/>
      </c>
      <c r="D97" s="11"/>
      <c r="E97" s="8" t="str">
        <f aca="false">IF(D97="","",IFERROR(INDEX(ProjNumbers,MATCH(D97,ProjNames,0)),""))</f>
        <v/>
      </c>
      <c r="F97" s="8" t="str">
        <f aca="false">IF(D97="","",IFERROR(INDEX(ProjCodes,MATCH(D97,ProjNames,0)),""))</f>
        <v/>
      </c>
      <c r="G97" s="32"/>
      <c r="H97" s="11"/>
      <c r="I97" s="33"/>
      <c r="J97" s="8" t="str">
        <f aca="false">IF(COUNTA(B97,D97,G97,H97,I97)=0,"",IF(B97="","Enter date",IF(OR(B97&lt;$AC$2,B97&gt;$AC$3),"Date not in December",IF(D97="","Pick project",IF(ISNA(MATCH(D97,ProjNames,0)),"Project not in list",IF(G97="","Add task description",IF(H97="","Pick NTIME or P6",IF(N(I97)&lt;=0,"Enter hours",IF(AND(AllowOT&lt;&gt;"Yes",SUMIF($B$7:$B$256,B97,$I$7:$I$256)&gt;INDEX($O$58:$O$88,DAY(B97))),"Day over "&amp;INDEX($O$58:$O$88,DAY(B97))&amp;" h","✓")))))))))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tr">
        <f aca="false">IF(Projects!B95="","",Projects!B95)</f>
        <v/>
      </c>
      <c r="X97" s="1" t="n">
        <f aca="false">IF(W97="",0,SUMIFS($I$7:$I$256,$D$7:$D$256,W97,$H$7:$H$256,"NTIME"))</f>
        <v>0</v>
      </c>
      <c r="Y97" s="1" t="n">
        <f aca="false">IF(W97="",0,SUMIFS($I$7:$I$256,$D$7:$D$256,W97,$H$7:$H$256,"P6"))</f>
        <v>0</v>
      </c>
      <c r="Z97" s="1" t="n">
        <f aca="false">X97+Y97</f>
        <v>0</v>
      </c>
      <c r="AA97" s="1" t="n">
        <f aca="false">IF(Z97&gt;0,Z97+(201-91)/10^6,0)</f>
        <v>0</v>
      </c>
      <c r="AB97" s="1"/>
      <c r="AC97" s="1"/>
      <c r="AD97" s="1"/>
      <c r="AE97" s="1"/>
      <c r="AF97" s="1"/>
      <c r="AG97" s="1"/>
      <c r="AH97" s="1"/>
    </row>
    <row r="98" customFormat="false" ht="15" hidden="false" customHeight="false" outlineLevel="0" collapsed="false">
      <c r="A98" s="1"/>
      <c r="B98" s="10"/>
      <c r="C98" s="31" t="str">
        <f aca="false">IF(B98="","",TEXT(B98,"ddd"))</f>
        <v/>
      </c>
      <c r="D98" s="11"/>
      <c r="E98" s="8" t="str">
        <f aca="false">IF(D98="","",IFERROR(INDEX(ProjNumbers,MATCH(D98,ProjNames,0)),""))</f>
        <v/>
      </c>
      <c r="F98" s="8" t="str">
        <f aca="false">IF(D98="","",IFERROR(INDEX(ProjCodes,MATCH(D98,ProjNames,0)),""))</f>
        <v/>
      </c>
      <c r="G98" s="32"/>
      <c r="H98" s="11"/>
      <c r="I98" s="33"/>
      <c r="J98" s="8" t="str">
        <f aca="false">IF(COUNTA(B98,D98,G98,H98,I98)=0,"",IF(B98="","Enter date",IF(OR(B98&lt;$AC$2,B98&gt;$AC$3),"Date not in December",IF(D98="","Pick project",IF(ISNA(MATCH(D98,ProjNames,0)),"Project not in list",IF(G98="","Add task description",IF(H98="","Pick NTIME or P6",IF(N(I98)&lt;=0,"Enter hours",IF(AND(AllowOT&lt;&gt;"Yes",SUMIF($B$7:$B$256,B98,$I$7:$I$256)&gt;INDEX($O$58:$O$88,DAY(B98))),"Day over "&amp;INDEX($O$58:$O$88,DAY(B98))&amp;" h","✓")))))))))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tr">
        <f aca="false">IF(Projects!B96="","",Projects!B96)</f>
        <v/>
      </c>
      <c r="X98" s="1" t="n">
        <f aca="false">IF(W98="",0,SUMIFS($I$7:$I$256,$D$7:$D$256,W98,$H$7:$H$256,"NTIME"))</f>
        <v>0</v>
      </c>
      <c r="Y98" s="1" t="n">
        <f aca="false">IF(W98="",0,SUMIFS($I$7:$I$256,$D$7:$D$256,W98,$H$7:$H$256,"P6"))</f>
        <v>0</v>
      </c>
      <c r="Z98" s="1" t="n">
        <f aca="false">X98+Y98</f>
        <v>0</v>
      </c>
      <c r="AA98" s="1" t="n">
        <f aca="false">IF(Z98&gt;0,Z98+(201-92)/10^6,0)</f>
        <v>0</v>
      </c>
      <c r="AB98" s="1"/>
      <c r="AC98" s="1"/>
      <c r="AD98" s="1"/>
      <c r="AE98" s="1"/>
      <c r="AF98" s="1"/>
      <c r="AG98" s="1"/>
      <c r="AH98" s="1"/>
    </row>
    <row r="99" customFormat="false" ht="15" hidden="false" customHeight="false" outlineLevel="0" collapsed="false">
      <c r="A99" s="1"/>
      <c r="B99" s="10"/>
      <c r="C99" s="31" t="str">
        <f aca="false">IF(B99="","",TEXT(B99,"ddd"))</f>
        <v/>
      </c>
      <c r="D99" s="11"/>
      <c r="E99" s="8" t="str">
        <f aca="false">IF(D99="","",IFERROR(INDEX(ProjNumbers,MATCH(D99,ProjNames,0)),""))</f>
        <v/>
      </c>
      <c r="F99" s="8" t="str">
        <f aca="false">IF(D99="","",IFERROR(INDEX(ProjCodes,MATCH(D99,ProjNames,0)),""))</f>
        <v/>
      </c>
      <c r="G99" s="32"/>
      <c r="H99" s="11"/>
      <c r="I99" s="33"/>
      <c r="J99" s="8" t="str">
        <f aca="false">IF(COUNTA(B99,D99,G99,H99,I99)=0,"",IF(B99="","Enter date",IF(OR(B99&lt;$AC$2,B99&gt;$AC$3),"Date not in December",IF(D99="","Pick project",IF(ISNA(MATCH(D99,ProjNames,0)),"Project not in list",IF(G99="","Add task description",IF(H99="","Pick NTIME or P6",IF(N(I99)&lt;=0,"Enter hours",IF(AND(AllowOT&lt;&gt;"Yes",SUMIF($B$7:$B$256,B99,$I$7:$I$256)&gt;INDEX($O$58:$O$88,DAY(B99))),"Day over "&amp;INDEX($O$58:$O$88,DAY(B99))&amp;" h","✓")))))))))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tr">
        <f aca="false">IF(Projects!B97="","",Projects!B97)</f>
        <v/>
      </c>
      <c r="X99" s="1" t="n">
        <f aca="false">IF(W99="",0,SUMIFS($I$7:$I$256,$D$7:$D$256,W99,$H$7:$H$256,"NTIME"))</f>
        <v>0</v>
      </c>
      <c r="Y99" s="1" t="n">
        <f aca="false">IF(W99="",0,SUMIFS($I$7:$I$256,$D$7:$D$256,W99,$H$7:$H$256,"P6"))</f>
        <v>0</v>
      </c>
      <c r="Z99" s="1" t="n">
        <f aca="false">X99+Y99</f>
        <v>0</v>
      </c>
      <c r="AA99" s="1" t="n">
        <f aca="false">IF(Z99&gt;0,Z99+(201-93)/10^6,0)</f>
        <v>0</v>
      </c>
      <c r="AB99" s="1"/>
      <c r="AC99" s="1"/>
      <c r="AD99" s="1"/>
      <c r="AE99" s="1"/>
      <c r="AF99" s="1"/>
      <c r="AG99" s="1"/>
      <c r="AH99" s="1"/>
    </row>
    <row r="100" customFormat="false" ht="15" hidden="false" customHeight="false" outlineLevel="0" collapsed="false">
      <c r="A100" s="1"/>
      <c r="B100" s="10"/>
      <c r="C100" s="31" t="str">
        <f aca="false">IF(B100="","",TEXT(B100,"ddd"))</f>
        <v/>
      </c>
      <c r="D100" s="11"/>
      <c r="E100" s="8" t="str">
        <f aca="false">IF(D100="","",IFERROR(INDEX(ProjNumbers,MATCH(D100,ProjNames,0)),""))</f>
        <v/>
      </c>
      <c r="F100" s="8" t="str">
        <f aca="false">IF(D100="","",IFERROR(INDEX(ProjCodes,MATCH(D100,ProjNames,0)),""))</f>
        <v/>
      </c>
      <c r="G100" s="32"/>
      <c r="H100" s="11"/>
      <c r="I100" s="33"/>
      <c r="J100" s="8" t="str">
        <f aca="false">IF(COUNTA(B100,D100,G100,H100,I100)=0,"",IF(B100="","Enter date",IF(OR(B100&lt;$AC$2,B100&gt;$AC$3),"Date not in December",IF(D100="","Pick project",IF(ISNA(MATCH(D100,ProjNames,0)),"Project not in list",IF(G100="","Add task description",IF(H100="","Pick NTIME or P6",IF(N(I100)&lt;=0,"Enter hours",IF(AND(AllowOT&lt;&gt;"Yes",SUMIF($B$7:$B$256,B100,$I$7:$I$256)&gt;INDEX($O$58:$O$88,DAY(B100))),"Day over "&amp;INDEX($O$58:$O$88,DAY(B100))&amp;" h","✓")))))))))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tr">
        <f aca="false">IF(Projects!B98="","",Projects!B98)</f>
        <v/>
      </c>
      <c r="X100" s="1" t="n">
        <f aca="false">IF(W100="",0,SUMIFS($I$7:$I$256,$D$7:$D$256,W100,$H$7:$H$256,"NTIME"))</f>
        <v>0</v>
      </c>
      <c r="Y100" s="1" t="n">
        <f aca="false">IF(W100="",0,SUMIFS($I$7:$I$256,$D$7:$D$256,W100,$H$7:$H$256,"P6"))</f>
        <v>0</v>
      </c>
      <c r="Z100" s="1" t="n">
        <f aca="false">X100+Y100</f>
        <v>0</v>
      </c>
      <c r="AA100" s="1" t="n">
        <f aca="false">IF(Z100&gt;0,Z100+(201-94)/10^6,0)</f>
        <v>0</v>
      </c>
      <c r="AB100" s="1"/>
      <c r="AC100" s="1"/>
      <c r="AD100" s="1"/>
      <c r="AE100" s="1"/>
      <c r="AF100" s="1"/>
      <c r="AG100" s="1"/>
      <c r="AH100" s="1"/>
    </row>
    <row r="101" customFormat="false" ht="15" hidden="false" customHeight="false" outlineLevel="0" collapsed="false">
      <c r="A101" s="1"/>
      <c r="B101" s="10"/>
      <c r="C101" s="31" t="str">
        <f aca="false">IF(B101="","",TEXT(B101,"ddd"))</f>
        <v/>
      </c>
      <c r="D101" s="11"/>
      <c r="E101" s="8" t="str">
        <f aca="false">IF(D101="","",IFERROR(INDEX(ProjNumbers,MATCH(D101,ProjNames,0)),""))</f>
        <v/>
      </c>
      <c r="F101" s="8" t="str">
        <f aca="false">IF(D101="","",IFERROR(INDEX(ProjCodes,MATCH(D101,ProjNames,0)),""))</f>
        <v/>
      </c>
      <c r="G101" s="32"/>
      <c r="H101" s="11"/>
      <c r="I101" s="33"/>
      <c r="J101" s="8" t="str">
        <f aca="false">IF(COUNTA(B101,D101,G101,H101,I101)=0,"",IF(B101="","Enter date",IF(OR(B101&lt;$AC$2,B101&gt;$AC$3),"Date not in December",IF(D101="","Pick project",IF(ISNA(MATCH(D101,ProjNames,0)),"Project not in list",IF(G101="","Add task description",IF(H101="","Pick NTIME or P6",IF(N(I101)&lt;=0,"Enter hours",IF(AND(AllowOT&lt;&gt;"Yes",SUMIF($B$7:$B$256,B101,$I$7:$I$256)&gt;INDEX($O$58:$O$88,DAY(B101))),"Day over "&amp;INDEX($O$58:$O$88,DAY(B101))&amp;" h","✓")))))))))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tr">
        <f aca="false">IF(Projects!B99="","",Projects!B99)</f>
        <v/>
      </c>
      <c r="X101" s="1" t="n">
        <f aca="false">IF(W101="",0,SUMIFS($I$7:$I$256,$D$7:$D$256,W101,$H$7:$H$256,"NTIME"))</f>
        <v>0</v>
      </c>
      <c r="Y101" s="1" t="n">
        <f aca="false">IF(W101="",0,SUMIFS($I$7:$I$256,$D$7:$D$256,W101,$H$7:$H$256,"P6"))</f>
        <v>0</v>
      </c>
      <c r="Z101" s="1" t="n">
        <f aca="false">X101+Y101</f>
        <v>0</v>
      </c>
      <c r="AA101" s="1" t="n">
        <f aca="false">IF(Z101&gt;0,Z101+(201-95)/10^6,0)</f>
        <v>0</v>
      </c>
      <c r="AB101" s="1"/>
      <c r="AC101" s="1"/>
      <c r="AD101" s="1"/>
      <c r="AE101" s="1"/>
      <c r="AF101" s="1"/>
      <c r="AG101" s="1"/>
      <c r="AH101" s="1"/>
    </row>
    <row r="102" customFormat="false" ht="15" hidden="false" customHeight="false" outlineLevel="0" collapsed="false">
      <c r="A102" s="1"/>
      <c r="B102" s="10"/>
      <c r="C102" s="31" t="str">
        <f aca="false">IF(B102="","",TEXT(B102,"ddd"))</f>
        <v/>
      </c>
      <c r="D102" s="11"/>
      <c r="E102" s="8" t="str">
        <f aca="false">IF(D102="","",IFERROR(INDEX(ProjNumbers,MATCH(D102,ProjNames,0)),""))</f>
        <v/>
      </c>
      <c r="F102" s="8" t="str">
        <f aca="false">IF(D102="","",IFERROR(INDEX(ProjCodes,MATCH(D102,ProjNames,0)),""))</f>
        <v/>
      </c>
      <c r="G102" s="32"/>
      <c r="H102" s="11"/>
      <c r="I102" s="33"/>
      <c r="J102" s="8" t="str">
        <f aca="false">IF(COUNTA(B102,D102,G102,H102,I102)=0,"",IF(B102="","Enter date",IF(OR(B102&lt;$AC$2,B102&gt;$AC$3),"Date not in December",IF(D102="","Pick project",IF(ISNA(MATCH(D102,ProjNames,0)),"Project not in list",IF(G102="","Add task description",IF(H102="","Pick NTIME or P6",IF(N(I102)&lt;=0,"Enter hours",IF(AND(AllowOT&lt;&gt;"Yes",SUMIF($B$7:$B$256,B102,$I$7:$I$256)&gt;INDEX($O$58:$O$88,DAY(B102))),"Day over "&amp;INDEX($O$58:$O$88,DAY(B102))&amp;" h","✓")))))))))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tr">
        <f aca="false">IF(Projects!B100="","",Projects!B100)</f>
        <v/>
      </c>
      <c r="X102" s="1" t="n">
        <f aca="false">IF(W102="",0,SUMIFS($I$7:$I$256,$D$7:$D$256,W102,$H$7:$H$256,"NTIME"))</f>
        <v>0</v>
      </c>
      <c r="Y102" s="1" t="n">
        <f aca="false">IF(W102="",0,SUMIFS($I$7:$I$256,$D$7:$D$256,W102,$H$7:$H$256,"P6"))</f>
        <v>0</v>
      </c>
      <c r="Z102" s="1" t="n">
        <f aca="false">X102+Y102</f>
        <v>0</v>
      </c>
      <c r="AA102" s="1" t="n">
        <f aca="false">IF(Z102&gt;0,Z102+(201-96)/10^6,0)</f>
        <v>0</v>
      </c>
      <c r="AB102" s="1"/>
      <c r="AC102" s="1"/>
      <c r="AD102" s="1"/>
      <c r="AE102" s="1"/>
      <c r="AF102" s="1"/>
      <c r="AG102" s="1"/>
      <c r="AH102" s="1"/>
    </row>
    <row r="103" customFormat="false" ht="15" hidden="false" customHeight="false" outlineLevel="0" collapsed="false">
      <c r="A103" s="1"/>
      <c r="B103" s="10"/>
      <c r="C103" s="31" t="str">
        <f aca="false">IF(B103="","",TEXT(B103,"ddd"))</f>
        <v/>
      </c>
      <c r="D103" s="11"/>
      <c r="E103" s="8" t="str">
        <f aca="false">IF(D103="","",IFERROR(INDEX(ProjNumbers,MATCH(D103,ProjNames,0)),""))</f>
        <v/>
      </c>
      <c r="F103" s="8" t="str">
        <f aca="false">IF(D103="","",IFERROR(INDEX(ProjCodes,MATCH(D103,ProjNames,0)),""))</f>
        <v/>
      </c>
      <c r="G103" s="32"/>
      <c r="H103" s="11"/>
      <c r="I103" s="33"/>
      <c r="J103" s="8" t="str">
        <f aca="false">IF(COUNTA(B103,D103,G103,H103,I103)=0,"",IF(B103="","Enter date",IF(OR(B103&lt;$AC$2,B103&gt;$AC$3),"Date not in December",IF(D103="","Pick project",IF(ISNA(MATCH(D103,ProjNames,0)),"Project not in list",IF(G103="","Add task description",IF(H103="","Pick NTIME or P6",IF(N(I103)&lt;=0,"Enter hours",IF(AND(AllowOT&lt;&gt;"Yes",SUMIF($B$7:$B$256,B103,$I$7:$I$256)&gt;INDEX($O$58:$O$88,DAY(B103))),"Day over "&amp;INDEX($O$58:$O$88,DAY(B103))&amp;" h","✓")))))))))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tr">
        <f aca="false">IF(Projects!B101="","",Projects!B101)</f>
        <v/>
      </c>
      <c r="X103" s="1" t="n">
        <f aca="false">IF(W103="",0,SUMIFS($I$7:$I$256,$D$7:$D$256,W103,$H$7:$H$256,"NTIME"))</f>
        <v>0</v>
      </c>
      <c r="Y103" s="1" t="n">
        <f aca="false">IF(W103="",0,SUMIFS($I$7:$I$256,$D$7:$D$256,W103,$H$7:$H$256,"P6"))</f>
        <v>0</v>
      </c>
      <c r="Z103" s="1" t="n">
        <f aca="false">X103+Y103</f>
        <v>0</v>
      </c>
      <c r="AA103" s="1" t="n">
        <f aca="false">IF(Z103&gt;0,Z103+(201-97)/10^6,0)</f>
        <v>0</v>
      </c>
      <c r="AB103" s="1"/>
      <c r="AC103" s="1"/>
      <c r="AD103" s="1"/>
      <c r="AE103" s="1"/>
      <c r="AF103" s="1"/>
      <c r="AG103" s="1"/>
      <c r="AH103" s="1"/>
    </row>
    <row r="104" customFormat="false" ht="15" hidden="false" customHeight="false" outlineLevel="0" collapsed="false">
      <c r="A104" s="1"/>
      <c r="B104" s="10"/>
      <c r="C104" s="31" t="str">
        <f aca="false">IF(B104="","",TEXT(B104,"ddd"))</f>
        <v/>
      </c>
      <c r="D104" s="11"/>
      <c r="E104" s="8" t="str">
        <f aca="false">IF(D104="","",IFERROR(INDEX(ProjNumbers,MATCH(D104,ProjNames,0)),""))</f>
        <v/>
      </c>
      <c r="F104" s="8" t="str">
        <f aca="false">IF(D104="","",IFERROR(INDEX(ProjCodes,MATCH(D104,ProjNames,0)),""))</f>
        <v/>
      </c>
      <c r="G104" s="32"/>
      <c r="H104" s="11"/>
      <c r="I104" s="33"/>
      <c r="J104" s="8" t="str">
        <f aca="false">IF(COUNTA(B104,D104,G104,H104,I104)=0,"",IF(B104="","Enter date",IF(OR(B104&lt;$AC$2,B104&gt;$AC$3),"Date not in December",IF(D104="","Pick project",IF(ISNA(MATCH(D104,ProjNames,0)),"Project not in list",IF(G104="","Add task description",IF(H104="","Pick NTIME or P6",IF(N(I104)&lt;=0,"Enter hours",IF(AND(AllowOT&lt;&gt;"Yes",SUMIF($B$7:$B$256,B104,$I$7:$I$256)&gt;INDEX($O$58:$O$88,DAY(B104))),"Day over "&amp;INDEX($O$58:$O$88,DAY(B104))&amp;" h","✓")))))))))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tr">
        <f aca="false">IF(Projects!B102="","",Projects!B102)</f>
        <v/>
      </c>
      <c r="X104" s="1" t="n">
        <f aca="false">IF(W104="",0,SUMIFS($I$7:$I$256,$D$7:$D$256,W104,$H$7:$H$256,"NTIME"))</f>
        <v>0</v>
      </c>
      <c r="Y104" s="1" t="n">
        <f aca="false">IF(W104="",0,SUMIFS($I$7:$I$256,$D$7:$D$256,W104,$H$7:$H$256,"P6"))</f>
        <v>0</v>
      </c>
      <c r="Z104" s="1" t="n">
        <f aca="false">X104+Y104</f>
        <v>0</v>
      </c>
      <c r="AA104" s="1" t="n">
        <f aca="false">IF(Z104&gt;0,Z104+(201-98)/10^6,0)</f>
        <v>0</v>
      </c>
      <c r="AB104" s="1"/>
      <c r="AC104" s="1"/>
      <c r="AD104" s="1"/>
      <c r="AE104" s="1"/>
      <c r="AF104" s="1"/>
      <c r="AG104" s="1"/>
      <c r="AH104" s="1"/>
    </row>
    <row r="105" customFormat="false" ht="15" hidden="false" customHeight="false" outlineLevel="0" collapsed="false">
      <c r="A105" s="1"/>
      <c r="B105" s="10"/>
      <c r="C105" s="31" t="str">
        <f aca="false">IF(B105="","",TEXT(B105,"ddd"))</f>
        <v/>
      </c>
      <c r="D105" s="11"/>
      <c r="E105" s="8" t="str">
        <f aca="false">IF(D105="","",IFERROR(INDEX(ProjNumbers,MATCH(D105,ProjNames,0)),""))</f>
        <v/>
      </c>
      <c r="F105" s="8" t="str">
        <f aca="false">IF(D105="","",IFERROR(INDEX(ProjCodes,MATCH(D105,ProjNames,0)),""))</f>
        <v/>
      </c>
      <c r="G105" s="32"/>
      <c r="H105" s="11"/>
      <c r="I105" s="33"/>
      <c r="J105" s="8" t="str">
        <f aca="false">IF(COUNTA(B105,D105,G105,H105,I105)=0,"",IF(B105="","Enter date",IF(OR(B105&lt;$AC$2,B105&gt;$AC$3),"Date not in December",IF(D105="","Pick project",IF(ISNA(MATCH(D105,ProjNames,0)),"Project not in list",IF(G105="","Add task description",IF(H105="","Pick NTIME or P6",IF(N(I105)&lt;=0,"Enter hours",IF(AND(AllowOT&lt;&gt;"Yes",SUMIF($B$7:$B$256,B105,$I$7:$I$256)&gt;INDEX($O$58:$O$88,DAY(B105))),"Day over "&amp;INDEX($O$58:$O$88,DAY(B105))&amp;" h","✓")))))))))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tr">
        <f aca="false">IF(Projects!B103="","",Projects!B103)</f>
        <v/>
      </c>
      <c r="X105" s="1" t="n">
        <f aca="false">IF(W105="",0,SUMIFS($I$7:$I$256,$D$7:$D$256,W105,$H$7:$H$256,"NTIME"))</f>
        <v>0</v>
      </c>
      <c r="Y105" s="1" t="n">
        <f aca="false">IF(W105="",0,SUMIFS($I$7:$I$256,$D$7:$D$256,W105,$H$7:$H$256,"P6"))</f>
        <v>0</v>
      </c>
      <c r="Z105" s="1" t="n">
        <f aca="false">X105+Y105</f>
        <v>0</v>
      </c>
      <c r="AA105" s="1" t="n">
        <f aca="false">IF(Z105&gt;0,Z105+(201-99)/10^6,0)</f>
        <v>0</v>
      </c>
      <c r="AB105" s="1"/>
      <c r="AC105" s="1"/>
      <c r="AD105" s="1"/>
      <c r="AE105" s="1"/>
      <c r="AF105" s="1"/>
      <c r="AG105" s="1"/>
      <c r="AH105" s="1"/>
    </row>
    <row r="106" customFormat="false" ht="15" hidden="false" customHeight="false" outlineLevel="0" collapsed="false">
      <c r="A106" s="1"/>
      <c r="B106" s="10"/>
      <c r="C106" s="31" t="str">
        <f aca="false">IF(B106="","",TEXT(B106,"ddd"))</f>
        <v/>
      </c>
      <c r="D106" s="11"/>
      <c r="E106" s="8" t="str">
        <f aca="false">IF(D106="","",IFERROR(INDEX(ProjNumbers,MATCH(D106,ProjNames,0)),""))</f>
        <v/>
      </c>
      <c r="F106" s="8" t="str">
        <f aca="false">IF(D106="","",IFERROR(INDEX(ProjCodes,MATCH(D106,ProjNames,0)),""))</f>
        <v/>
      </c>
      <c r="G106" s="32"/>
      <c r="H106" s="11"/>
      <c r="I106" s="33"/>
      <c r="J106" s="8" t="str">
        <f aca="false">IF(COUNTA(B106,D106,G106,H106,I106)=0,"",IF(B106="","Enter date",IF(OR(B106&lt;$AC$2,B106&gt;$AC$3),"Date not in December",IF(D106="","Pick project",IF(ISNA(MATCH(D106,ProjNames,0)),"Project not in list",IF(G106="","Add task description",IF(H106="","Pick NTIME or P6",IF(N(I106)&lt;=0,"Enter hours",IF(AND(AllowOT&lt;&gt;"Yes",SUMIF($B$7:$B$256,B106,$I$7:$I$256)&gt;INDEX($O$58:$O$88,DAY(B106))),"Day over "&amp;INDEX($O$58:$O$88,DAY(B106))&amp;" h","✓")))))))))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tr">
        <f aca="false">IF(Projects!B104="","",Projects!B104)</f>
        <v/>
      </c>
      <c r="X106" s="1" t="n">
        <f aca="false">IF(W106="",0,SUMIFS($I$7:$I$256,$D$7:$D$256,W106,$H$7:$H$256,"NTIME"))</f>
        <v>0</v>
      </c>
      <c r="Y106" s="1" t="n">
        <f aca="false">IF(W106="",0,SUMIFS($I$7:$I$256,$D$7:$D$256,W106,$H$7:$H$256,"P6"))</f>
        <v>0</v>
      </c>
      <c r="Z106" s="1" t="n">
        <f aca="false">X106+Y106</f>
        <v>0</v>
      </c>
      <c r="AA106" s="1" t="n">
        <f aca="false">IF(Z106&gt;0,Z106+(201-100)/10^6,0)</f>
        <v>0</v>
      </c>
      <c r="AB106" s="1"/>
      <c r="AC106" s="1"/>
      <c r="AD106" s="1"/>
      <c r="AE106" s="1"/>
      <c r="AF106" s="1"/>
      <c r="AG106" s="1"/>
      <c r="AH106" s="1"/>
    </row>
    <row r="107" customFormat="false" ht="15" hidden="false" customHeight="false" outlineLevel="0" collapsed="false">
      <c r="A107" s="1"/>
      <c r="B107" s="10"/>
      <c r="C107" s="31" t="str">
        <f aca="false">IF(B107="","",TEXT(B107,"ddd"))</f>
        <v/>
      </c>
      <c r="D107" s="11"/>
      <c r="E107" s="8" t="str">
        <f aca="false">IF(D107="","",IFERROR(INDEX(ProjNumbers,MATCH(D107,ProjNames,0)),""))</f>
        <v/>
      </c>
      <c r="F107" s="8" t="str">
        <f aca="false">IF(D107="","",IFERROR(INDEX(ProjCodes,MATCH(D107,ProjNames,0)),""))</f>
        <v/>
      </c>
      <c r="G107" s="32"/>
      <c r="H107" s="11"/>
      <c r="I107" s="33"/>
      <c r="J107" s="8" t="str">
        <f aca="false">IF(COUNTA(B107,D107,G107,H107,I107)=0,"",IF(B107="","Enter date",IF(OR(B107&lt;$AC$2,B107&gt;$AC$3),"Date not in December",IF(D107="","Pick project",IF(ISNA(MATCH(D107,ProjNames,0)),"Project not in list",IF(G107="","Add task description",IF(H107="","Pick NTIME or P6",IF(N(I107)&lt;=0,"Enter hours",IF(AND(AllowOT&lt;&gt;"Yes",SUMIF($B$7:$B$256,B107,$I$7:$I$256)&gt;INDEX($O$58:$O$88,DAY(B107))),"Day over "&amp;INDEX($O$58:$O$88,DAY(B107))&amp;" h","✓")))))))))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tr">
        <f aca="false">IF(Projects!B105="","",Projects!B105)</f>
        <v/>
      </c>
      <c r="X107" s="1" t="n">
        <f aca="false">IF(W107="",0,SUMIFS($I$7:$I$256,$D$7:$D$256,W107,$H$7:$H$256,"NTIME"))</f>
        <v>0</v>
      </c>
      <c r="Y107" s="1" t="n">
        <f aca="false">IF(W107="",0,SUMIFS($I$7:$I$256,$D$7:$D$256,W107,$H$7:$H$256,"P6"))</f>
        <v>0</v>
      </c>
      <c r="Z107" s="1" t="n">
        <f aca="false">X107+Y107</f>
        <v>0</v>
      </c>
      <c r="AA107" s="1" t="n">
        <f aca="false">IF(Z107&gt;0,Z107+(201-101)/10^6,0)</f>
        <v>0</v>
      </c>
      <c r="AB107" s="1"/>
      <c r="AC107" s="1"/>
      <c r="AD107" s="1"/>
      <c r="AE107" s="1"/>
      <c r="AF107" s="1"/>
      <c r="AG107" s="1"/>
      <c r="AH107" s="1"/>
    </row>
    <row r="108" customFormat="false" ht="15" hidden="false" customHeight="false" outlineLevel="0" collapsed="false">
      <c r="A108" s="1"/>
      <c r="B108" s="10"/>
      <c r="C108" s="31" t="str">
        <f aca="false">IF(B108="","",TEXT(B108,"ddd"))</f>
        <v/>
      </c>
      <c r="D108" s="11"/>
      <c r="E108" s="8" t="str">
        <f aca="false">IF(D108="","",IFERROR(INDEX(ProjNumbers,MATCH(D108,ProjNames,0)),""))</f>
        <v/>
      </c>
      <c r="F108" s="8" t="str">
        <f aca="false">IF(D108="","",IFERROR(INDEX(ProjCodes,MATCH(D108,ProjNames,0)),""))</f>
        <v/>
      </c>
      <c r="G108" s="32"/>
      <c r="H108" s="11"/>
      <c r="I108" s="33"/>
      <c r="J108" s="8" t="str">
        <f aca="false">IF(COUNTA(B108,D108,G108,H108,I108)=0,"",IF(B108="","Enter date",IF(OR(B108&lt;$AC$2,B108&gt;$AC$3),"Date not in December",IF(D108="","Pick project",IF(ISNA(MATCH(D108,ProjNames,0)),"Project not in list",IF(G108="","Add task description",IF(H108="","Pick NTIME or P6",IF(N(I108)&lt;=0,"Enter hours",IF(AND(AllowOT&lt;&gt;"Yes",SUMIF($B$7:$B$256,B108,$I$7:$I$256)&gt;INDEX($O$58:$O$88,DAY(B108))),"Day over "&amp;INDEX($O$58:$O$88,DAY(B108))&amp;" h","✓")))))))))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tr">
        <f aca="false">IF(Projects!B106="","",Projects!B106)</f>
        <v/>
      </c>
      <c r="X108" s="1" t="n">
        <f aca="false">IF(W108="",0,SUMIFS($I$7:$I$256,$D$7:$D$256,W108,$H$7:$H$256,"NTIME"))</f>
        <v>0</v>
      </c>
      <c r="Y108" s="1" t="n">
        <f aca="false">IF(W108="",0,SUMIFS($I$7:$I$256,$D$7:$D$256,W108,$H$7:$H$256,"P6"))</f>
        <v>0</v>
      </c>
      <c r="Z108" s="1" t="n">
        <f aca="false">X108+Y108</f>
        <v>0</v>
      </c>
      <c r="AA108" s="1" t="n">
        <f aca="false">IF(Z108&gt;0,Z108+(201-102)/10^6,0)</f>
        <v>0</v>
      </c>
      <c r="AB108" s="1"/>
      <c r="AC108" s="1"/>
      <c r="AD108" s="1"/>
      <c r="AE108" s="1"/>
      <c r="AF108" s="1"/>
      <c r="AG108" s="1"/>
      <c r="AH108" s="1"/>
    </row>
    <row r="109" customFormat="false" ht="15" hidden="false" customHeight="false" outlineLevel="0" collapsed="false">
      <c r="A109" s="1"/>
      <c r="B109" s="10"/>
      <c r="C109" s="31" t="str">
        <f aca="false">IF(B109="","",TEXT(B109,"ddd"))</f>
        <v/>
      </c>
      <c r="D109" s="11"/>
      <c r="E109" s="8" t="str">
        <f aca="false">IF(D109="","",IFERROR(INDEX(ProjNumbers,MATCH(D109,ProjNames,0)),""))</f>
        <v/>
      </c>
      <c r="F109" s="8" t="str">
        <f aca="false">IF(D109="","",IFERROR(INDEX(ProjCodes,MATCH(D109,ProjNames,0)),""))</f>
        <v/>
      </c>
      <c r="G109" s="32"/>
      <c r="H109" s="11"/>
      <c r="I109" s="33"/>
      <c r="J109" s="8" t="str">
        <f aca="false">IF(COUNTA(B109,D109,G109,H109,I109)=0,"",IF(B109="","Enter date",IF(OR(B109&lt;$AC$2,B109&gt;$AC$3),"Date not in December",IF(D109="","Pick project",IF(ISNA(MATCH(D109,ProjNames,0)),"Project not in list",IF(G109="","Add task description",IF(H109="","Pick NTIME or P6",IF(N(I109)&lt;=0,"Enter hours",IF(AND(AllowOT&lt;&gt;"Yes",SUMIF($B$7:$B$256,B109,$I$7:$I$256)&gt;INDEX($O$58:$O$88,DAY(B109))),"Day over "&amp;INDEX($O$58:$O$88,DAY(B109))&amp;" h","✓")))))))))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tr">
        <f aca="false">IF(Projects!B107="","",Projects!B107)</f>
        <v/>
      </c>
      <c r="X109" s="1" t="n">
        <f aca="false">IF(W109="",0,SUMIFS($I$7:$I$256,$D$7:$D$256,W109,$H$7:$H$256,"NTIME"))</f>
        <v>0</v>
      </c>
      <c r="Y109" s="1" t="n">
        <f aca="false">IF(W109="",0,SUMIFS($I$7:$I$256,$D$7:$D$256,W109,$H$7:$H$256,"P6"))</f>
        <v>0</v>
      </c>
      <c r="Z109" s="1" t="n">
        <f aca="false">X109+Y109</f>
        <v>0</v>
      </c>
      <c r="AA109" s="1" t="n">
        <f aca="false">IF(Z109&gt;0,Z109+(201-103)/10^6,0)</f>
        <v>0</v>
      </c>
      <c r="AB109" s="1"/>
      <c r="AC109" s="1"/>
      <c r="AD109" s="1"/>
      <c r="AE109" s="1"/>
      <c r="AF109" s="1"/>
      <c r="AG109" s="1"/>
      <c r="AH109" s="1"/>
    </row>
    <row r="110" customFormat="false" ht="15" hidden="false" customHeight="false" outlineLevel="0" collapsed="false">
      <c r="A110" s="1"/>
      <c r="B110" s="10"/>
      <c r="C110" s="31" t="str">
        <f aca="false">IF(B110="","",TEXT(B110,"ddd"))</f>
        <v/>
      </c>
      <c r="D110" s="11"/>
      <c r="E110" s="8" t="str">
        <f aca="false">IF(D110="","",IFERROR(INDEX(ProjNumbers,MATCH(D110,ProjNames,0)),""))</f>
        <v/>
      </c>
      <c r="F110" s="8" t="str">
        <f aca="false">IF(D110="","",IFERROR(INDEX(ProjCodes,MATCH(D110,ProjNames,0)),""))</f>
        <v/>
      </c>
      <c r="G110" s="32"/>
      <c r="H110" s="11"/>
      <c r="I110" s="33"/>
      <c r="J110" s="8" t="str">
        <f aca="false">IF(COUNTA(B110,D110,G110,H110,I110)=0,"",IF(B110="","Enter date",IF(OR(B110&lt;$AC$2,B110&gt;$AC$3),"Date not in December",IF(D110="","Pick project",IF(ISNA(MATCH(D110,ProjNames,0)),"Project not in list",IF(G110="","Add task description",IF(H110="","Pick NTIME or P6",IF(N(I110)&lt;=0,"Enter hours",IF(AND(AllowOT&lt;&gt;"Yes",SUMIF($B$7:$B$256,B110,$I$7:$I$256)&gt;INDEX($O$58:$O$88,DAY(B110))),"Day over "&amp;INDEX($O$58:$O$88,DAY(B110))&amp;" h","✓")))))))))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tr">
        <f aca="false">IF(Projects!B108="","",Projects!B108)</f>
        <v/>
      </c>
      <c r="X110" s="1" t="n">
        <f aca="false">IF(W110="",0,SUMIFS($I$7:$I$256,$D$7:$D$256,W110,$H$7:$H$256,"NTIME"))</f>
        <v>0</v>
      </c>
      <c r="Y110" s="1" t="n">
        <f aca="false">IF(W110="",0,SUMIFS($I$7:$I$256,$D$7:$D$256,W110,$H$7:$H$256,"P6"))</f>
        <v>0</v>
      </c>
      <c r="Z110" s="1" t="n">
        <f aca="false">X110+Y110</f>
        <v>0</v>
      </c>
      <c r="AA110" s="1" t="n">
        <f aca="false">IF(Z110&gt;0,Z110+(201-104)/10^6,0)</f>
        <v>0</v>
      </c>
      <c r="AB110" s="1"/>
      <c r="AC110" s="1"/>
      <c r="AD110" s="1"/>
      <c r="AE110" s="1"/>
      <c r="AF110" s="1"/>
      <c r="AG110" s="1"/>
      <c r="AH110" s="1"/>
    </row>
    <row r="111" customFormat="false" ht="15" hidden="false" customHeight="false" outlineLevel="0" collapsed="false">
      <c r="A111" s="1"/>
      <c r="B111" s="10"/>
      <c r="C111" s="31" t="str">
        <f aca="false">IF(B111="","",TEXT(B111,"ddd"))</f>
        <v/>
      </c>
      <c r="D111" s="11"/>
      <c r="E111" s="8" t="str">
        <f aca="false">IF(D111="","",IFERROR(INDEX(ProjNumbers,MATCH(D111,ProjNames,0)),""))</f>
        <v/>
      </c>
      <c r="F111" s="8" t="str">
        <f aca="false">IF(D111="","",IFERROR(INDEX(ProjCodes,MATCH(D111,ProjNames,0)),""))</f>
        <v/>
      </c>
      <c r="G111" s="32"/>
      <c r="H111" s="11"/>
      <c r="I111" s="33"/>
      <c r="J111" s="8" t="str">
        <f aca="false">IF(COUNTA(B111,D111,G111,H111,I111)=0,"",IF(B111="","Enter date",IF(OR(B111&lt;$AC$2,B111&gt;$AC$3),"Date not in December",IF(D111="","Pick project",IF(ISNA(MATCH(D111,ProjNames,0)),"Project not in list",IF(G111="","Add task description",IF(H111="","Pick NTIME or P6",IF(N(I111)&lt;=0,"Enter hours",IF(AND(AllowOT&lt;&gt;"Yes",SUMIF($B$7:$B$256,B111,$I$7:$I$256)&gt;INDEX($O$58:$O$88,DAY(B111))),"Day over "&amp;INDEX($O$58:$O$88,DAY(B111))&amp;" h","✓")))))))))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tr">
        <f aca="false">IF(Projects!B109="","",Projects!B109)</f>
        <v/>
      </c>
      <c r="X111" s="1" t="n">
        <f aca="false">IF(W111="",0,SUMIFS($I$7:$I$256,$D$7:$D$256,W111,$H$7:$H$256,"NTIME"))</f>
        <v>0</v>
      </c>
      <c r="Y111" s="1" t="n">
        <f aca="false">IF(W111="",0,SUMIFS($I$7:$I$256,$D$7:$D$256,W111,$H$7:$H$256,"P6"))</f>
        <v>0</v>
      </c>
      <c r="Z111" s="1" t="n">
        <f aca="false">X111+Y111</f>
        <v>0</v>
      </c>
      <c r="AA111" s="1" t="n">
        <f aca="false">IF(Z111&gt;0,Z111+(201-105)/10^6,0)</f>
        <v>0</v>
      </c>
      <c r="AB111" s="1"/>
      <c r="AC111" s="1"/>
      <c r="AD111" s="1"/>
      <c r="AE111" s="1"/>
      <c r="AF111" s="1"/>
      <c r="AG111" s="1"/>
      <c r="AH111" s="1"/>
    </row>
    <row r="112" customFormat="false" ht="15" hidden="false" customHeight="false" outlineLevel="0" collapsed="false">
      <c r="A112" s="1"/>
      <c r="B112" s="10"/>
      <c r="C112" s="31" t="str">
        <f aca="false">IF(B112="","",TEXT(B112,"ddd"))</f>
        <v/>
      </c>
      <c r="D112" s="11"/>
      <c r="E112" s="8" t="str">
        <f aca="false">IF(D112="","",IFERROR(INDEX(ProjNumbers,MATCH(D112,ProjNames,0)),""))</f>
        <v/>
      </c>
      <c r="F112" s="8" t="str">
        <f aca="false">IF(D112="","",IFERROR(INDEX(ProjCodes,MATCH(D112,ProjNames,0)),""))</f>
        <v/>
      </c>
      <c r="G112" s="32"/>
      <c r="H112" s="11"/>
      <c r="I112" s="33"/>
      <c r="J112" s="8" t="str">
        <f aca="false">IF(COUNTA(B112,D112,G112,H112,I112)=0,"",IF(B112="","Enter date",IF(OR(B112&lt;$AC$2,B112&gt;$AC$3),"Date not in December",IF(D112="","Pick project",IF(ISNA(MATCH(D112,ProjNames,0)),"Project not in list",IF(G112="","Add task description",IF(H112="","Pick NTIME or P6",IF(N(I112)&lt;=0,"Enter hours",IF(AND(AllowOT&lt;&gt;"Yes",SUMIF($B$7:$B$256,B112,$I$7:$I$256)&gt;INDEX($O$58:$O$88,DAY(B112))),"Day over "&amp;INDEX($O$58:$O$88,DAY(B112))&amp;" h","✓")))))))))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tr">
        <f aca="false">IF(Projects!B110="","",Projects!B110)</f>
        <v/>
      </c>
      <c r="X112" s="1" t="n">
        <f aca="false">IF(W112="",0,SUMIFS($I$7:$I$256,$D$7:$D$256,W112,$H$7:$H$256,"NTIME"))</f>
        <v>0</v>
      </c>
      <c r="Y112" s="1" t="n">
        <f aca="false">IF(W112="",0,SUMIFS($I$7:$I$256,$D$7:$D$256,W112,$H$7:$H$256,"P6"))</f>
        <v>0</v>
      </c>
      <c r="Z112" s="1" t="n">
        <f aca="false">X112+Y112</f>
        <v>0</v>
      </c>
      <c r="AA112" s="1" t="n">
        <f aca="false">IF(Z112&gt;0,Z112+(201-106)/10^6,0)</f>
        <v>0</v>
      </c>
      <c r="AB112" s="1"/>
      <c r="AC112" s="1"/>
      <c r="AD112" s="1"/>
      <c r="AE112" s="1"/>
      <c r="AF112" s="1"/>
      <c r="AG112" s="1"/>
      <c r="AH112" s="1"/>
    </row>
    <row r="113" customFormat="false" ht="15" hidden="false" customHeight="false" outlineLevel="0" collapsed="false">
      <c r="A113" s="1"/>
      <c r="B113" s="10"/>
      <c r="C113" s="31" t="str">
        <f aca="false">IF(B113="","",TEXT(B113,"ddd"))</f>
        <v/>
      </c>
      <c r="D113" s="11"/>
      <c r="E113" s="8" t="str">
        <f aca="false">IF(D113="","",IFERROR(INDEX(ProjNumbers,MATCH(D113,ProjNames,0)),""))</f>
        <v/>
      </c>
      <c r="F113" s="8" t="str">
        <f aca="false">IF(D113="","",IFERROR(INDEX(ProjCodes,MATCH(D113,ProjNames,0)),""))</f>
        <v/>
      </c>
      <c r="G113" s="32"/>
      <c r="H113" s="11"/>
      <c r="I113" s="33"/>
      <c r="J113" s="8" t="str">
        <f aca="false">IF(COUNTA(B113,D113,G113,H113,I113)=0,"",IF(B113="","Enter date",IF(OR(B113&lt;$AC$2,B113&gt;$AC$3),"Date not in December",IF(D113="","Pick project",IF(ISNA(MATCH(D113,ProjNames,0)),"Project not in list",IF(G113="","Add task description",IF(H113="","Pick NTIME or P6",IF(N(I113)&lt;=0,"Enter hours",IF(AND(AllowOT&lt;&gt;"Yes",SUMIF($B$7:$B$256,B113,$I$7:$I$256)&gt;INDEX($O$58:$O$88,DAY(B113))),"Day over "&amp;INDEX($O$58:$O$88,DAY(B113))&amp;" h","✓")))))))))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tr">
        <f aca="false">IF(Projects!B111="","",Projects!B111)</f>
        <v/>
      </c>
      <c r="X113" s="1" t="n">
        <f aca="false">IF(W113="",0,SUMIFS($I$7:$I$256,$D$7:$D$256,W113,$H$7:$H$256,"NTIME"))</f>
        <v>0</v>
      </c>
      <c r="Y113" s="1" t="n">
        <f aca="false">IF(W113="",0,SUMIFS($I$7:$I$256,$D$7:$D$256,W113,$H$7:$H$256,"P6"))</f>
        <v>0</v>
      </c>
      <c r="Z113" s="1" t="n">
        <f aca="false">X113+Y113</f>
        <v>0</v>
      </c>
      <c r="AA113" s="1" t="n">
        <f aca="false">IF(Z113&gt;0,Z113+(201-107)/10^6,0)</f>
        <v>0</v>
      </c>
      <c r="AB113" s="1"/>
      <c r="AC113" s="1"/>
      <c r="AD113" s="1"/>
      <c r="AE113" s="1"/>
      <c r="AF113" s="1"/>
      <c r="AG113" s="1"/>
      <c r="AH113" s="1"/>
    </row>
    <row r="114" customFormat="false" ht="15" hidden="false" customHeight="false" outlineLevel="0" collapsed="false">
      <c r="A114" s="1"/>
      <c r="B114" s="10"/>
      <c r="C114" s="31" t="str">
        <f aca="false">IF(B114="","",TEXT(B114,"ddd"))</f>
        <v/>
      </c>
      <c r="D114" s="11"/>
      <c r="E114" s="8" t="str">
        <f aca="false">IF(D114="","",IFERROR(INDEX(ProjNumbers,MATCH(D114,ProjNames,0)),""))</f>
        <v/>
      </c>
      <c r="F114" s="8" t="str">
        <f aca="false">IF(D114="","",IFERROR(INDEX(ProjCodes,MATCH(D114,ProjNames,0)),""))</f>
        <v/>
      </c>
      <c r="G114" s="32"/>
      <c r="H114" s="11"/>
      <c r="I114" s="33"/>
      <c r="J114" s="8" t="str">
        <f aca="false">IF(COUNTA(B114,D114,G114,H114,I114)=0,"",IF(B114="","Enter date",IF(OR(B114&lt;$AC$2,B114&gt;$AC$3),"Date not in December",IF(D114="","Pick project",IF(ISNA(MATCH(D114,ProjNames,0)),"Project not in list",IF(G114="","Add task description",IF(H114="","Pick NTIME or P6",IF(N(I114)&lt;=0,"Enter hours",IF(AND(AllowOT&lt;&gt;"Yes",SUMIF($B$7:$B$256,B114,$I$7:$I$256)&gt;INDEX($O$58:$O$88,DAY(B114))),"Day over "&amp;INDEX($O$58:$O$88,DAY(B114))&amp;" h","✓")))))))))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tr">
        <f aca="false">IF(Projects!B112="","",Projects!B112)</f>
        <v/>
      </c>
      <c r="X114" s="1" t="n">
        <f aca="false">IF(W114="",0,SUMIFS($I$7:$I$256,$D$7:$D$256,W114,$H$7:$H$256,"NTIME"))</f>
        <v>0</v>
      </c>
      <c r="Y114" s="1" t="n">
        <f aca="false">IF(W114="",0,SUMIFS($I$7:$I$256,$D$7:$D$256,W114,$H$7:$H$256,"P6"))</f>
        <v>0</v>
      </c>
      <c r="Z114" s="1" t="n">
        <f aca="false">X114+Y114</f>
        <v>0</v>
      </c>
      <c r="AA114" s="1" t="n">
        <f aca="false">IF(Z114&gt;0,Z114+(201-108)/10^6,0)</f>
        <v>0</v>
      </c>
      <c r="AB114" s="1"/>
      <c r="AC114" s="1"/>
      <c r="AD114" s="1"/>
      <c r="AE114" s="1"/>
      <c r="AF114" s="1"/>
      <c r="AG114" s="1"/>
      <c r="AH114" s="1"/>
    </row>
    <row r="115" customFormat="false" ht="15" hidden="false" customHeight="false" outlineLevel="0" collapsed="false">
      <c r="A115" s="1"/>
      <c r="B115" s="10"/>
      <c r="C115" s="31" t="str">
        <f aca="false">IF(B115="","",TEXT(B115,"ddd"))</f>
        <v/>
      </c>
      <c r="D115" s="11"/>
      <c r="E115" s="8" t="str">
        <f aca="false">IF(D115="","",IFERROR(INDEX(ProjNumbers,MATCH(D115,ProjNames,0)),""))</f>
        <v/>
      </c>
      <c r="F115" s="8" t="str">
        <f aca="false">IF(D115="","",IFERROR(INDEX(ProjCodes,MATCH(D115,ProjNames,0)),""))</f>
        <v/>
      </c>
      <c r="G115" s="32"/>
      <c r="H115" s="11"/>
      <c r="I115" s="33"/>
      <c r="J115" s="8" t="str">
        <f aca="false">IF(COUNTA(B115,D115,G115,H115,I115)=0,"",IF(B115="","Enter date",IF(OR(B115&lt;$AC$2,B115&gt;$AC$3),"Date not in December",IF(D115="","Pick project",IF(ISNA(MATCH(D115,ProjNames,0)),"Project not in list",IF(G115="","Add task description",IF(H115="","Pick NTIME or P6",IF(N(I115)&lt;=0,"Enter hours",IF(AND(AllowOT&lt;&gt;"Yes",SUMIF($B$7:$B$256,B115,$I$7:$I$256)&gt;INDEX($O$58:$O$88,DAY(B115))),"Day over "&amp;INDEX($O$58:$O$88,DAY(B115))&amp;" h","✓")))))))))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tr">
        <f aca="false">IF(Projects!B113="","",Projects!B113)</f>
        <v/>
      </c>
      <c r="X115" s="1" t="n">
        <f aca="false">IF(W115="",0,SUMIFS($I$7:$I$256,$D$7:$D$256,W115,$H$7:$H$256,"NTIME"))</f>
        <v>0</v>
      </c>
      <c r="Y115" s="1" t="n">
        <f aca="false">IF(W115="",0,SUMIFS($I$7:$I$256,$D$7:$D$256,W115,$H$7:$H$256,"P6"))</f>
        <v>0</v>
      </c>
      <c r="Z115" s="1" t="n">
        <f aca="false">X115+Y115</f>
        <v>0</v>
      </c>
      <c r="AA115" s="1" t="n">
        <f aca="false">IF(Z115&gt;0,Z115+(201-109)/10^6,0)</f>
        <v>0</v>
      </c>
      <c r="AB115" s="1"/>
      <c r="AC115" s="1"/>
      <c r="AD115" s="1"/>
      <c r="AE115" s="1"/>
      <c r="AF115" s="1"/>
      <c r="AG115" s="1"/>
      <c r="AH115" s="1"/>
    </row>
    <row r="116" customFormat="false" ht="15" hidden="false" customHeight="false" outlineLevel="0" collapsed="false">
      <c r="A116" s="1"/>
      <c r="B116" s="10"/>
      <c r="C116" s="31" t="str">
        <f aca="false">IF(B116="","",TEXT(B116,"ddd"))</f>
        <v/>
      </c>
      <c r="D116" s="11"/>
      <c r="E116" s="8" t="str">
        <f aca="false">IF(D116="","",IFERROR(INDEX(ProjNumbers,MATCH(D116,ProjNames,0)),""))</f>
        <v/>
      </c>
      <c r="F116" s="8" t="str">
        <f aca="false">IF(D116="","",IFERROR(INDEX(ProjCodes,MATCH(D116,ProjNames,0)),""))</f>
        <v/>
      </c>
      <c r="G116" s="32"/>
      <c r="H116" s="11"/>
      <c r="I116" s="33"/>
      <c r="J116" s="8" t="str">
        <f aca="false">IF(COUNTA(B116,D116,G116,H116,I116)=0,"",IF(B116="","Enter date",IF(OR(B116&lt;$AC$2,B116&gt;$AC$3),"Date not in December",IF(D116="","Pick project",IF(ISNA(MATCH(D116,ProjNames,0)),"Project not in list",IF(G116="","Add task description",IF(H116="","Pick NTIME or P6",IF(N(I116)&lt;=0,"Enter hours",IF(AND(AllowOT&lt;&gt;"Yes",SUMIF($B$7:$B$256,B116,$I$7:$I$256)&gt;INDEX($O$58:$O$88,DAY(B116))),"Day over "&amp;INDEX($O$58:$O$88,DAY(B116))&amp;" h","✓")))))))))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tr">
        <f aca="false">IF(Projects!B114="","",Projects!B114)</f>
        <v/>
      </c>
      <c r="X116" s="1" t="n">
        <f aca="false">IF(W116="",0,SUMIFS($I$7:$I$256,$D$7:$D$256,W116,$H$7:$H$256,"NTIME"))</f>
        <v>0</v>
      </c>
      <c r="Y116" s="1" t="n">
        <f aca="false">IF(W116="",0,SUMIFS($I$7:$I$256,$D$7:$D$256,W116,$H$7:$H$256,"P6"))</f>
        <v>0</v>
      </c>
      <c r="Z116" s="1" t="n">
        <f aca="false">X116+Y116</f>
        <v>0</v>
      </c>
      <c r="AA116" s="1" t="n">
        <f aca="false">IF(Z116&gt;0,Z116+(201-110)/10^6,0)</f>
        <v>0</v>
      </c>
      <c r="AB116" s="1"/>
      <c r="AC116" s="1"/>
      <c r="AD116" s="1"/>
      <c r="AE116" s="1"/>
      <c r="AF116" s="1"/>
      <c r="AG116" s="1"/>
      <c r="AH116" s="1"/>
    </row>
    <row r="117" customFormat="false" ht="15" hidden="false" customHeight="false" outlineLevel="0" collapsed="false">
      <c r="A117" s="1"/>
      <c r="B117" s="10"/>
      <c r="C117" s="31" t="str">
        <f aca="false">IF(B117="","",TEXT(B117,"ddd"))</f>
        <v/>
      </c>
      <c r="D117" s="11"/>
      <c r="E117" s="8" t="str">
        <f aca="false">IF(D117="","",IFERROR(INDEX(ProjNumbers,MATCH(D117,ProjNames,0)),""))</f>
        <v/>
      </c>
      <c r="F117" s="8" t="str">
        <f aca="false">IF(D117="","",IFERROR(INDEX(ProjCodes,MATCH(D117,ProjNames,0)),""))</f>
        <v/>
      </c>
      <c r="G117" s="32"/>
      <c r="H117" s="11"/>
      <c r="I117" s="33"/>
      <c r="J117" s="8" t="str">
        <f aca="false">IF(COUNTA(B117,D117,G117,H117,I117)=0,"",IF(B117="","Enter date",IF(OR(B117&lt;$AC$2,B117&gt;$AC$3),"Date not in December",IF(D117="","Pick project",IF(ISNA(MATCH(D117,ProjNames,0)),"Project not in list",IF(G117="","Add task description",IF(H117="","Pick NTIME or P6",IF(N(I117)&lt;=0,"Enter hours",IF(AND(AllowOT&lt;&gt;"Yes",SUMIF($B$7:$B$256,B117,$I$7:$I$256)&gt;INDEX($O$58:$O$88,DAY(B117))),"Day over "&amp;INDEX($O$58:$O$88,DAY(B117))&amp;" h","✓")))))))))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tr">
        <f aca="false">IF(Projects!B115="","",Projects!B115)</f>
        <v/>
      </c>
      <c r="X117" s="1" t="n">
        <f aca="false">IF(W117="",0,SUMIFS($I$7:$I$256,$D$7:$D$256,W117,$H$7:$H$256,"NTIME"))</f>
        <v>0</v>
      </c>
      <c r="Y117" s="1" t="n">
        <f aca="false">IF(W117="",0,SUMIFS($I$7:$I$256,$D$7:$D$256,W117,$H$7:$H$256,"P6"))</f>
        <v>0</v>
      </c>
      <c r="Z117" s="1" t="n">
        <f aca="false">X117+Y117</f>
        <v>0</v>
      </c>
      <c r="AA117" s="1" t="n">
        <f aca="false">IF(Z117&gt;0,Z117+(201-111)/10^6,0)</f>
        <v>0</v>
      </c>
      <c r="AB117" s="1"/>
      <c r="AC117" s="1"/>
      <c r="AD117" s="1"/>
      <c r="AE117" s="1"/>
      <c r="AF117" s="1"/>
      <c r="AG117" s="1"/>
      <c r="AH117" s="1"/>
    </row>
    <row r="118" customFormat="false" ht="15" hidden="false" customHeight="false" outlineLevel="0" collapsed="false">
      <c r="A118" s="1"/>
      <c r="B118" s="10"/>
      <c r="C118" s="31" t="str">
        <f aca="false">IF(B118="","",TEXT(B118,"ddd"))</f>
        <v/>
      </c>
      <c r="D118" s="11"/>
      <c r="E118" s="8" t="str">
        <f aca="false">IF(D118="","",IFERROR(INDEX(ProjNumbers,MATCH(D118,ProjNames,0)),""))</f>
        <v/>
      </c>
      <c r="F118" s="8" t="str">
        <f aca="false">IF(D118="","",IFERROR(INDEX(ProjCodes,MATCH(D118,ProjNames,0)),""))</f>
        <v/>
      </c>
      <c r="G118" s="32"/>
      <c r="H118" s="11"/>
      <c r="I118" s="33"/>
      <c r="J118" s="8" t="str">
        <f aca="false">IF(COUNTA(B118,D118,G118,H118,I118)=0,"",IF(B118="","Enter date",IF(OR(B118&lt;$AC$2,B118&gt;$AC$3),"Date not in December",IF(D118="","Pick project",IF(ISNA(MATCH(D118,ProjNames,0)),"Project not in list",IF(G118="","Add task description",IF(H118="","Pick NTIME or P6",IF(N(I118)&lt;=0,"Enter hours",IF(AND(AllowOT&lt;&gt;"Yes",SUMIF($B$7:$B$256,B118,$I$7:$I$256)&gt;INDEX($O$58:$O$88,DAY(B118))),"Day over "&amp;INDEX($O$58:$O$88,DAY(B118))&amp;" h","✓")))))))))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tr">
        <f aca="false">IF(Projects!B116="","",Projects!B116)</f>
        <v/>
      </c>
      <c r="X118" s="1" t="n">
        <f aca="false">IF(W118="",0,SUMIFS($I$7:$I$256,$D$7:$D$256,W118,$H$7:$H$256,"NTIME"))</f>
        <v>0</v>
      </c>
      <c r="Y118" s="1" t="n">
        <f aca="false">IF(W118="",0,SUMIFS($I$7:$I$256,$D$7:$D$256,W118,$H$7:$H$256,"P6"))</f>
        <v>0</v>
      </c>
      <c r="Z118" s="1" t="n">
        <f aca="false">X118+Y118</f>
        <v>0</v>
      </c>
      <c r="AA118" s="1" t="n">
        <f aca="false">IF(Z118&gt;0,Z118+(201-112)/10^6,0)</f>
        <v>0</v>
      </c>
      <c r="AB118" s="1"/>
      <c r="AC118" s="1"/>
      <c r="AD118" s="1"/>
      <c r="AE118" s="1"/>
      <c r="AF118" s="1"/>
      <c r="AG118" s="1"/>
      <c r="AH118" s="1"/>
    </row>
    <row r="119" customFormat="false" ht="15" hidden="false" customHeight="false" outlineLevel="0" collapsed="false">
      <c r="A119" s="1"/>
      <c r="B119" s="10"/>
      <c r="C119" s="31" t="str">
        <f aca="false">IF(B119="","",TEXT(B119,"ddd"))</f>
        <v/>
      </c>
      <c r="D119" s="11"/>
      <c r="E119" s="8" t="str">
        <f aca="false">IF(D119="","",IFERROR(INDEX(ProjNumbers,MATCH(D119,ProjNames,0)),""))</f>
        <v/>
      </c>
      <c r="F119" s="8" t="str">
        <f aca="false">IF(D119="","",IFERROR(INDEX(ProjCodes,MATCH(D119,ProjNames,0)),""))</f>
        <v/>
      </c>
      <c r="G119" s="32"/>
      <c r="H119" s="11"/>
      <c r="I119" s="33"/>
      <c r="J119" s="8" t="str">
        <f aca="false">IF(COUNTA(B119,D119,G119,H119,I119)=0,"",IF(B119="","Enter date",IF(OR(B119&lt;$AC$2,B119&gt;$AC$3),"Date not in December",IF(D119="","Pick project",IF(ISNA(MATCH(D119,ProjNames,0)),"Project not in list",IF(G119="","Add task description",IF(H119="","Pick NTIME or P6",IF(N(I119)&lt;=0,"Enter hours",IF(AND(AllowOT&lt;&gt;"Yes",SUMIF($B$7:$B$256,B119,$I$7:$I$256)&gt;INDEX($O$58:$O$88,DAY(B119))),"Day over "&amp;INDEX($O$58:$O$88,DAY(B119))&amp;" h","✓")))))))))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tr">
        <f aca="false">IF(Projects!B117="","",Projects!B117)</f>
        <v/>
      </c>
      <c r="X119" s="1" t="n">
        <f aca="false">IF(W119="",0,SUMIFS($I$7:$I$256,$D$7:$D$256,W119,$H$7:$H$256,"NTIME"))</f>
        <v>0</v>
      </c>
      <c r="Y119" s="1" t="n">
        <f aca="false">IF(W119="",0,SUMIFS($I$7:$I$256,$D$7:$D$256,W119,$H$7:$H$256,"P6"))</f>
        <v>0</v>
      </c>
      <c r="Z119" s="1" t="n">
        <f aca="false">X119+Y119</f>
        <v>0</v>
      </c>
      <c r="AA119" s="1" t="n">
        <f aca="false">IF(Z119&gt;0,Z119+(201-113)/10^6,0)</f>
        <v>0</v>
      </c>
      <c r="AB119" s="1"/>
      <c r="AC119" s="1"/>
      <c r="AD119" s="1"/>
      <c r="AE119" s="1"/>
      <c r="AF119" s="1"/>
      <c r="AG119" s="1"/>
      <c r="AH119" s="1"/>
    </row>
    <row r="120" customFormat="false" ht="15" hidden="false" customHeight="false" outlineLevel="0" collapsed="false">
      <c r="A120" s="1"/>
      <c r="B120" s="10"/>
      <c r="C120" s="31" t="str">
        <f aca="false">IF(B120="","",TEXT(B120,"ddd"))</f>
        <v/>
      </c>
      <c r="D120" s="11"/>
      <c r="E120" s="8" t="str">
        <f aca="false">IF(D120="","",IFERROR(INDEX(ProjNumbers,MATCH(D120,ProjNames,0)),""))</f>
        <v/>
      </c>
      <c r="F120" s="8" t="str">
        <f aca="false">IF(D120="","",IFERROR(INDEX(ProjCodes,MATCH(D120,ProjNames,0)),""))</f>
        <v/>
      </c>
      <c r="G120" s="32"/>
      <c r="H120" s="11"/>
      <c r="I120" s="33"/>
      <c r="J120" s="8" t="str">
        <f aca="false">IF(COUNTA(B120,D120,G120,H120,I120)=0,"",IF(B120="","Enter date",IF(OR(B120&lt;$AC$2,B120&gt;$AC$3),"Date not in December",IF(D120="","Pick project",IF(ISNA(MATCH(D120,ProjNames,0)),"Project not in list",IF(G120="","Add task description",IF(H120="","Pick NTIME or P6",IF(N(I120)&lt;=0,"Enter hours",IF(AND(AllowOT&lt;&gt;"Yes",SUMIF($B$7:$B$256,B120,$I$7:$I$256)&gt;INDEX($O$58:$O$88,DAY(B120))),"Day over "&amp;INDEX($O$58:$O$88,DAY(B120))&amp;" h","✓")))))))))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tr">
        <f aca="false">IF(Projects!B118="","",Projects!B118)</f>
        <v/>
      </c>
      <c r="X120" s="1" t="n">
        <f aca="false">IF(W120="",0,SUMIFS($I$7:$I$256,$D$7:$D$256,W120,$H$7:$H$256,"NTIME"))</f>
        <v>0</v>
      </c>
      <c r="Y120" s="1" t="n">
        <f aca="false">IF(W120="",0,SUMIFS($I$7:$I$256,$D$7:$D$256,W120,$H$7:$H$256,"P6"))</f>
        <v>0</v>
      </c>
      <c r="Z120" s="1" t="n">
        <f aca="false">X120+Y120</f>
        <v>0</v>
      </c>
      <c r="AA120" s="1" t="n">
        <f aca="false">IF(Z120&gt;0,Z120+(201-114)/10^6,0)</f>
        <v>0</v>
      </c>
      <c r="AB120" s="1"/>
      <c r="AC120" s="1"/>
      <c r="AD120" s="1"/>
      <c r="AE120" s="1"/>
      <c r="AF120" s="1"/>
      <c r="AG120" s="1"/>
      <c r="AH120" s="1"/>
    </row>
    <row r="121" customFormat="false" ht="15" hidden="false" customHeight="false" outlineLevel="0" collapsed="false">
      <c r="A121" s="1"/>
      <c r="B121" s="10"/>
      <c r="C121" s="31" t="str">
        <f aca="false">IF(B121="","",TEXT(B121,"ddd"))</f>
        <v/>
      </c>
      <c r="D121" s="11"/>
      <c r="E121" s="8" t="str">
        <f aca="false">IF(D121="","",IFERROR(INDEX(ProjNumbers,MATCH(D121,ProjNames,0)),""))</f>
        <v/>
      </c>
      <c r="F121" s="8" t="str">
        <f aca="false">IF(D121="","",IFERROR(INDEX(ProjCodes,MATCH(D121,ProjNames,0)),""))</f>
        <v/>
      </c>
      <c r="G121" s="32"/>
      <c r="H121" s="11"/>
      <c r="I121" s="33"/>
      <c r="J121" s="8" t="str">
        <f aca="false">IF(COUNTA(B121,D121,G121,H121,I121)=0,"",IF(B121="","Enter date",IF(OR(B121&lt;$AC$2,B121&gt;$AC$3),"Date not in December",IF(D121="","Pick project",IF(ISNA(MATCH(D121,ProjNames,0)),"Project not in list",IF(G121="","Add task description",IF(H121="","Pick NTIME or P6",IF(N(I121)&lt;=0,"Enter hours",IF(AND(AllowOT&lt;&gt;"Yes",SUMIF($B$7:$B$256,B121,$I$7:$I$256)&gt;INDEX($O$58:$O$88,DAY(B121))),"Day over "&amp;INDEX($O$58:$O$88,DAY(B121))&amp;" h","✓")))))))))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tr">
        <f aca="false">IF(Projects!B119="","",Projects!B119)</f>
        <v/>
      </c>
      <c r="X121" s="1" t="n">
        <f aca="false">IF(W121="",0,SUMIFS($I$7:$I$256,$D$7:$D$256,W121,$H$7:$H$256,"NTIME"))</f>
        <v>0</v>
      </c>
      <c r="Y121" s="1" t="n">
        <f aca="false">IF(W121="",0,SUMIFS($I$7:$I$256,$D$7:$D$256,W121,$H$7:$H$256,"P6"))</f>
        <v>0</v>
      </c>
      <c r="Z121" s="1" t="n">
        <f aca="false">X121+Y121</f>
        <v>0</v>
      </c>
      <c r="AA121" s="1" t="n">
        <f aca="false">IF(Z121&gt;0,Z121+(201-115)/10^6,0)</f>
        <v>0</v>
      </c>
      <c r="AB121" s="1"/>
      <c r="AC121" s="1"/>
      <c r="AD121" s="1"/>
      <c r="AE121" s="1"/>
      <c r="AF121" s="1"/>
      <c r="AG121" s="1"/>
      <c r="AH121" s="1"/>
    </row>
    <row r="122" customFormat="false" ht="15" hidden="false" customHeight="false" outlineLevel="0" collapsed="false">
      <c r="A122" s="1"/>
      <c r="B122" s="10"/>
      <c r="C122" s="31" t="str">
        <f aca="false">IF(B122="","",TEXT(B122,"ddd"))</f>
        <v/>
      </c>
      <c r="D122" s="11"/>
      <c r="E122" s="8" t="str">
        <f aca="false">IF(D122="","",IFERROR(INDEX(ProjNumbers,MATCH(D122,ProjNames,0)),""))</f>
        <v/>
      </c>
      <c r="F122" s="8" t="str">
        <f aca="false">IF(D122="","",IFERROR(INDEX(ProjCodes,MATCH(D122,ProjNames,0)),""))</f>
        <v/>
      </c>
      <c r="G122" s="32"/>
      <c r="H122" s="11"/>
      <c r="I122" s="33"/>
      <c r="J122" s="8" t="str">
        <f aca="false">IF(COUNTA(B122,D122,G122,H122,I122)=0,"",IF(B122="","Enter date",IF(OR(B122&lt;$AC$2,B122&gt;$AC$3),"Date not in December",IF(D122="","Pick project",IF(ISNA(MATCH(D122,ProjNames,0)),"Project not in list",IF(G122="","Add task description",IF(H122="","Pick NTIME or P6",IF(N(I122)&lt;=0,"Enter hours",IF(AND(AllowOT&lt;&gt;"Yes",SUMIF($B$7:$B$256,B122,$I$7:$I$256)&gt;INDEX($O$58:$O$88,DAY(B122))),"Day over "&amp;INDEX($O$58:$O$88,DAY(B122))&amp;" h","✓")))))))))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tr">
        <f aca="false">IF(Projects!B120="","",Projects!B120)</f>
        <v/>
      </c>
      <c r="X122" s="1" t="n">
        <f aca="false">IF(W122="",0,SUMIFS($I$7:$I$256,$D$7:$D$256,W122,$H$7:$H$256,"NTIME"))</f>
        <v>0</v>
      </c>
      <c r="Y122" s="1" t="n">
        <f aca="false">IF(W122="",0,SUMIFS($I$7:$I$256,$D$7:$D$256,W122,$H$7:$H$256,"P6"))</f>
        <v>0</v>
      </c>
      <c r="Z122" s="1" t="n">
        <f aca="false">X122+Y122</f>
        <v>0</v>
      </c>
      <c r="AA122" s="1" t="n">
        <f aca="false">IF(Z122&gt;0,Z122+(201-116)/10^6,0)</f>
        <v>0</v>
      </c>
      <c r="AB122" s="1"/>
      <c r="AC122" s="1"/>
      <c r="AD122" s="1"/>
      <c r="AE122" s="1"/>
      <c r="AF122" s="1"/>
      <c r="AG122" s="1"/>
      <c r="AH122" s="1"/>
    </row>
    <row r="123" customFormat="false" ht="15" hidden="false" customHeight="false" outlineLevel="0" collapsed="false">
      <c r="A123" s="1"/>
      <c r="B123" s="10"/>
      <c r="C123" s="31" t="str">
        <f aca="false">IF(B123="","",TEXT(B123,"ddd"))</f>
        <v/>
      </c>
      <c r="D123" s="11"/>
      <c r="E123" s="8" t="str">
        <f aca="false">IF(D123="","",IFERROR(INDEX(ProjNumbers,MATCH(D123,ProjNames,0)),""))</f>
        <v/>
      </c>
      <c r="F123" s="8" t="str">
        <f aca="false">IF(D123="","",IFERROR(INDEX(ProjCodes,MATCH(D123,ProjNames,0)),""))</f>
        <v/>
      </c>
      <c r="G123" s="32"/>
      <c r="H123" s="11"/>
      <c r="I123" s="33"/>
      <c r="J123" s="8" t="str">
        <f aca="false">IF(COUNTA(B123,D123,G123,H123,I123)=0,"",IF(B123="","Enter date",IF(OR(B123&lt;$AC$2,B123&gt;$AC$3),"Date not in December",IF(D123="","Pick project",IF(ISNA(MATCH(D123,ProjNames,0)),"Project not in list",IF(G123="","Add task description",IF(H123="","Pick NTIME or P6",IF(N(I123)&lt;=0,"Enter hours",IF(AND(AllowOT&lt;&gt;"Yes",SUMIF($B$7:$B$256,B123,$I$7:$I$256)&gt;INDEX($O$58:$O$88,DAY(B123))),"Day over "&amp;INDEX($O$58:$O$88,DAY(B123))&amp;" h","✓")))))))))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tr">
        <f aca="false">IF(Projects!B121="","",Projects!B121)</f>
        <v/>
      </c>
      <c r="X123" s="1" t="n">
        <f aca="false">IF(W123="",0,SUMIFS($I$7:$I$256,$D$7:$D$256,W123,$H$7:$H$256,"NTIME"))</f>
        <v>0</v>
      </c>
      <c r="Y123" s="1" t="n">
        <f aca="false">IF(W123="",0,SUMIFS($I$7:$I$256,$D$7:$D$256,W123,$H$7:$H$256,"P6"))</f>
        <v>0</v>
      </c>
      <c r="Z123" s="1" t="n">
        <f aca="false">X123+Y123</f>
        <v>0</v>
      </c>
      <c r="AA123" s="1" t="n">
        <f aca="false">IF(Z123&gt;0,Z123+(201-117)/10^6,0)</f>
        <v>0</v>
      </c>
      <c r="AB123" s="1"/>
      <c r="AC123" s="1"/>
      <c r="AD123" s="1"/>
      <c r="AE123" s="1"/>
      <c r="AF123" s="1"/>
      <c r="AG123" s="1"/>
      <c r="AH123" s="1"/>
    </row>
    <row r="124" customFormat="false" ht="15" hidden="false" customHeight="false" outlineLevel="0" collapsed="false">
      <c r="A124" s="1"/>
      <c r="B124" s="10"/>
      <c r="C124" s="31" t="str">
        <f aca="false">IF(B124="","",TEXT(B124,"ddd"))</f>
        <v/>
      </c>
      <c r="D124" s="11"/>
      <c r="E124" s="8" t="str">
        <f aca="false">IF(D124="","",IFERROR(INDEX(ProjNumbers,MATCH(D124,ProjNames,0)),""))</f>
        <v/>
      </c>
      <c r="F124" s="8" t="str">
        <f aca="false">IF(D124="","",IFERROR(INDEX(ProjCodes,MATCH(D124,ProjNames,0)),""))</f>
        <v/>
      </c>
      <c r="G124" s="32"/>
      <c r="H124" s="11"/>
      <c r="I124" s="33"/>
      <c r="J124" s="8" t="str">
        <f aca="false">IF(COUNTA(B124,D124,G124,H124,I124)=0,"",IF(B124="","Enter date",IF(OR(B124&lt;$AC$2,B124&gt;$AC$3),"Date not in December",IF(D124="","Pick project",IF(ISNA(MATCH(D124,ProjNames,0)),"Project not in list",IF(G124="","Add task description",IF(H124="","Pick NTIME or P6",IF(N(I124)&lt;=0,"Enter hours",IF(AND(AllowOT&lt;&gt;"Yes",SUMIF($B$7:$B$256,B124,$I$7:$I$256)&gt;INDEX($O$58:$O$88,DAY(B124))),"Day over "&amp;INDEX($O$58:$O$88,DAY(B124))&amp;" h","✓")))))))))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tr">
        <f aca="false">IF(Projects!B122="","",Projects!B122)</f>
        <v/>
      </c>
      <c r="X124" s="1" t="n">
        <f aca="false">IF(W124="",0,SUMIFS($I$7:$I$256,$D$7:$D$256,W124,$H$7:$H$256,"NTIME"))</f>
        <v>0</v>
      </c>
      <c r="Y124" s="1" t="n">
        <f aca="false">IF(W124="",0,SUMIFS($I$7:$I$256,$D$7:$D$256,W124,$H$7:$H$256,"P6"))</f>
        <v>0</v>
      </c>
      <c r="Z124" s="1" t="n">
        <f aca="false">X124+Y124</f>
        <v>0</v>
      </c>
      <c r="AA124" s="1" t="n">
        <f aca="false">IF(Z124&gt;0,Z124+(201-118)/10^6,0)</f>
        <v>0</v>
      </c>
      <c r="AB124" s="1"/>
      <c r="AC124" s="1"/>
      <c r="AD124" s="1"/>
      <c r="AE124" s="1"/>
      <c r="AF124" s="1"/>
      <c r="AG124" s="1"/>
      <c r="AH124" s="1"/>
    </row>
    <row r="125" customFormat="false" ht="15" hidden="false" customHeight="false" outlineLevel="0" collapsed="false">
      <c r="A125" s="1"/>
      <c r="B125" s="10"/>
      <c r="C125" s="31" t="str">
        <f aca="false">IF(B125="","",TEXT(B125,"ddd"))</f>
        <v/>
      </c>
      <c r="D125" s="11"/>
      <c r="E125" s="8" t="str">
        <f aca="false">IF(D125="","",IFERROR(INDEX(ProjNumbers,MATCH(D125,ProjNames,0)),""))</f>
        <v/>
      </c>
      <c r="F125" s="8" t="str">
        <f aca="false">IF(D125="","",IFERROR(INDEX(ProjCodes,MATCH(D125,ProjNames,0)),""))</f>
        <v/>
      </c>
      <c r="G125" s="32"/>
      <c r="H125" s="11"/>
      <c r="I125" s="33"/>
      <c r="J125" s="8" t="str">
        <f aca="false">IF(COUNTA(B125,D125,G125,H125,I125)=0,"",IF(B125="","Enter date",IF(OR(B125&lt;$AC$2,B125&gt;$AC$3),"Date not in December",IF(D125="","Pick project",IF(ISNA(MATCH(D125,ProjNames,0)),"Project not in list",IF(G125="","Add task description",IF(H125="","Pick NTIME or P6",IF(N(I125)&lt;=0,"Enter hours",IF(AND(AllowOT&lt;&gt;"Yes",SUMIF($B$7:$B$256,B125,$I$7:$I$256)&gt;INDEX($O$58:$O$88,DAY(B125))),"Day over "&amp;INDEX($O$58:$O$88,DAY(B125))&amp;" h","✓")))))))))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tr">
        <f aca="false">IF(Projects!B123="","",Projects!B123)</f>
        <v/>
      </c>
      <c r="X125" s="1" t="n">
        <f aca="false">IF(W125="",0,SUMIFS($I$7:$I$256,$D$7:$D$256,W125,$H$7:$H$256,"NTIME"))</f>
        <v>0</v>
      </c>
      <c r="Y125" s="1" t="n">
        <f aca="false">IF(W125="",0,SUMIFS($I$7:$I$256,$D$7:$D$256,W125,$H$7:$H$256,"P6"))</f>
        <v>0</v>
      </c>
      <c r="Z125" s="1" t="n">
        <f aca="false">X125+Y125</f>
        <v>0</v>
      </c>
      <c r="AA125" s="1" t="n">
        <f aca="false">IF(Z125&gt;0,Z125+(201-119)/10^6,0)</f>
        <v>0</v>
      </c>
      <c r="AB125" s="1"/>
      <c r="AC125" s="1"/>
      <c r="AD125" s="1"/>
      <c r="AE125" s="1"/>
      <c r="AF125" s="1"/>
      <c r="AG125" s="1"/>
      <c r="AH125" s="1"/>
    </row>
    <row r="126" customFormat="false" ht="15" hidden="false" customHeight="false" outlineLevel="0" collapsed="false">
      <c r="A126" s="1"/>
      <c r="B126" s="10"/>
      <c r="C126" s="31" t="str">
        <f aca="false">IF(B126="","",TEXT(B126,"ddd"))</f>
        <v/>
      </c>
      <c r="D126" s="11"/>
      <c r="E126" s="8" t="str">
        <f aca="false">IF(D126="","",IFERROR(INDEX(ProjNumbers,MATCH(D126,ProjNames,0)),""))</f>
        <v/>
      </c>
      <c r="F126" s="8" t="str">
        <f aca="false">IF(D126="","",IFERROR(INDEX(ProjCodes,MATCH(D126,ProjNames,0)),""))</f>
        <v/>
      </c>
      <c r="G126" s="32"/>
      <c r="H126" s="11"/>
      <c r="I126" s="33"/>
      <c r="J126" s="8" t="str">
        <f aca="false">IF(COUNTA(B126,D126,G126,H126,I126)=0,"",IF(B126="","Enter date",IF(OR(B126&lt;$AC$2,B126&gt;$AC$3),"Date not in December",IF(D126="","Pick project",IF(ISNA(MATCH(D126,ProjNames,0)),"Project not in list",IF(G126="","Add task description",IF(H126="","Pick NTIME or P6",IF(N(I126)&lt;=0,"Enter hours",IF(AND(AllowOT&lt;&gt;"Yes",SUMIF($B$7:$B$256,B126,$I$7:$I$256)&gt;INDEX($O$58:$O$88,DAY(B126))),"Day over "&amp;INDEX($O$58:$O$88,DAY(B126))&amp;" h","✓")))))))))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tr">
        <f aca="false">IF(Projects!B124="","",Projects!B124)</f>
        <v/>
      </c>
      <c r="X126" s="1" t="n">
        <f aca="false">IF(W126="",0,SUMIFS($I$7:$I$256,$D$7:$D$256,W126,$H$7:$H$256,"NTIME"))</f>
        <v>0</v>
      </c>
      <c r="Y126" s="1" t="n">
        <f aca="false">IF(W126="",0,SUMIFS($I$7:$I$256,$D$7:$D$256,W126,$H$7:$H$256,"P6"))</f>
        <v>0</v>
      </c>
      <c r="Z126" s="1" t="n">
        <f aca="false">X126+Y126</f>
        <v>0</v>
      </c>
      <c r="AA126" s="1" t="n">
        <f aca="false">IF(Z126&gt;0,Z126+(201-120)/10^6,0)</f>
        <v>0</v>
      </c>
      <c r="AB126" s="1"/>
      <c r="AC126" s="1"/>
      <c r="AD126" s="1"/>
      <c r="AE126" s="1"/>
      <c r="AF126" s="1"/>
      <c r="AG126" s="1"/>
      <c r="AH126" s="1"/>
    </row>
    <row r="127" customFormat="false" ht="15" hidden="false" customHeight="false" outlineLevel="0" collapsed="false">
      <c r="A127" s="1"/>
      <c r="B127" s="10"/>
      <c r="C127" s="31" t="str">
        <f aca="false">IF(B127="","",TEXT(B127,"ddd"))</f>
        <v/>
      </c>
      <c r="D127" s="11"/>
      <c r="E127" s="8" t="str">
        <f aca="false">IF(D127="","",IFERROR(INDEX(ProjNumbers,MATCH(D127,ProjNames,0)),""))</f>
        <v/>
      </c>
      <c r="F127" s="8" t="str">
        <f aca="false">IF(D127="","",IFERROR(INDEX(ProjCodes,MATCH(D127,ProjNames,0)),""))</f>
        <v/>
      </c>
      <c r="G127" s="32"/>
      <c r="H127" s="11"/>
      <c r="I127" s="33"/>
      <c r="J127" s="8" t="str">
        <f aca="false">IF(COUNTA(B127,D127,G127,H127,I127)=0,"",IF(B127="","Enter date",IF(OR(B127&lt;$AC$2,B127&gt;$AC$3),"Date not in December",IF(D127="","Pick project",IF(ISNA(MATCH(D127,ProjNames,0)),"Project not in list",IF(G127="","Add task description",IF(H127="","Pick NTIME or P6",IF(N(I127)&lt;=0,"Enter hours",IF(AND(AllowOT&lt;&gt;"Yes",SUMIF($B$7:$B$256,B127,$I$7:$I$256)&gt;INDEX($O$58:$O$88,DAY(B127))),"Day over "&amp;INDEX($O$58:$O$88,DAY(B127))&amp;" h","✓")))))))))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tr">
        <f aca="false">IF(Projects!B125="","",Projects!B125)</f>
        <v/>
      </c>
      <c r="X127" s="1" t="n">
        <f aca="false">IF(W127="",0,SUMIFS($I$7:$I$256,$D$7:$D$256,W127,$H$7:$H$256,"NTIME"))</f>
        <v>0</v>
      </c>
      <c r="Y127" s="1" t="n">
        <f aca="false">IF(W127="",0,SUMIFS($I$7:$I$256,$D$7:$D$256,W127,$H$7:$H$256,"P6"))</f>
        <v>0</v>
      </c>
      <c r="Z127" s="1" t="n">
        <f aca="false">X127+Y127</f>
        <v>0</v>
      </c>
      <c r="AA127" s="1" t="n">
        <f aca="false">IF(Z127&gt;0,Z127+(201-121)/10^6,0)</f>
        <v>0</v>
      </c>
      <c r="AB127" s="1"/>
      <c r="AC127" s="1"/>
      <c r="AD127" s="1"/>
      <c r="AE127" s="1"/>
      <c r="AF127" s="1"/>
      <c r="AG127" s="1"/>
      <c r="AH127" s="1"/>
    </row>
    <row r="128" customFormat="false" ht="15" hidden="false" customHeight="false" outlineLevel="0" collapsed="false">
      <c r="A128" s="1"/>
      <c r="B128" s="10"/>
      <c r="C128" s="31" t="str">
        <f aca="false">IF(B128="","",TEXT(B128,"ddd"))</f>
        <v/>
      </c>
      <c r="D128" s="11"/>
      <c r="E128" s="8" t="str">
        <f aca="false">IF(D128="","",IFERROR(INDEX(ProjNumbers,MATCH(D128,ProjNames,0)),""))</f>
        <v/>
      </c>
      <c r="F128" s="8" t="str">
        <f aca="false">IF(D128="","",IFERROR(INDEX(ProjCodes,MATCH(D128,ProjNames,0)),""))</f>
        <v/>
      </c>
      <c r="G128" s="32"/>
      <c r="H128" s="11"/>
      <c r="I128" s="33"/>
      <c r="J128" s="8" t="str">
        <f aca="false">IF(COUNTA(B128,D128,G128,H128,I128)=0,"",IF(B128="","Enter date",IF(OR(B128&lt;$AC$2,B128&gt;$AC$3),"Date not in December",IF(D128="","Pick project",IF(ISNA(MATCH(D128,ProjNames,0)),"Project not in list",IF(G128="","Add task description",IF(H128="","Pick NTIME or P6",IF(N(I128)&lt;=0,"Enter hours",IF(AND(AllowOT&lt;&gt;"Yes",SUMIF($B$7:$B$256,B128,$I$7:$I$256)&gt;INDEX($O$58:$O$88,DAY(B128))),"Day over "&amp;INDEX($O$58:$O$88,DAY(B128))&amp;" h","✓")))))))))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tr">
        <f aca="false">IF(Projects!B126="","",Projects!B126)</f>
        <v/>
      </c>
      <c r="X128" s="1" t="n">
        <f aca="false">IF(W128="",0,SUMIFS($I$7:$I$256,$D$7:$D$256,W128,$H$7:$H$256,"NTIME"))</f>
        <v>0</v>
      </c>
      <c r="Y128" s="1" t="n">
        <f aca="false">IF(W128="",0,SUMIFS($I$7:$I$256,$D$7:$D$256,W128,$H$7:$H$256,"P6"))</f>
        <v>0</v>
      </c>
      <c r="Z128" s="1" t="n">
        <f aca="false">X128+Y128</f>
        <v>0</v>
      </c>
      <c r="AA128" s="1" t="n">
        <f aca="false">IF(Z128&gt;0,Z128+(201-122)/10^6,0)</f>
        <v>0</v>
      </c>
      <c r="AB128" s="1"/>
      <c r="AC128" s="1"/>
      <c r="AD128" s="1"/>
      <c r="AE128" s="1"/>
      <c r="AF128" s="1"/>
      <c r="AG128" s="1"/>
      <c r="AH128" s="1"/>
    </row>
    <row r="129" customFormat="false" ht="15" hidden="false" customHeight="false" outlineLevel="0" collapsed="false">
      <c r="A129" s="1"/>
      <c r="B129" s="10"/>
      <c r="C129" s="31" t="str">
        <f aca="false">IF(B129="","",TEXT(B129,"ddd"))</f>
        <v/>
      </c>
      <c r="D129" s="11"/>
      <c r="E129" s="8" t="str">
        <f aca="false">IF(D129="","",IFERROR(INDEX(ProjNumbers,MATCH(D129,ProjNames,0)),""))</f>
        <v/>
      </c>
      <c r="F129" s="8" t="str">
        <f aca="false">IF(D129="","",IFERROR(INDEX(ProjCodes,MATCH(D129,ProjNames,0)),""))</f>
        <v/>
      </c>
      <c r="G129" s="32"/>
      <c r="H129" s="11"/>
      <c r="I129" s="33"/>
      <c r="J129" s="8" t="str">
        <f aca="false">IF(COUNTA(B129,D129,G129,H129,I129)=0,"",IF(B129="","Enter date",IF(OR(B129&lt;$AC$2,B129&gt;$AC$3),"Date not in December",IF(D129="","Pick project",IF(ISNA(MATCH(D129,ProjNames,0)),"Project not in list",IF(G129="","Add task description",IF(H129="","Pick NTIME or P6",IF(N(I129)&lt;=0,"Enter hours",IF(AND(AllowOT&lt;&gt;"Yes",SUMIF($B$7:$B$256,B129,$I$7:$I$256)&gt;INDEX($O$58:$O$88,DAY(B129))),"Day over "&amp;INDEX($O$58:$O$88,DAY(B129))&amp;" h","✓")))))))))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tr">
        <f aca="false">IF(Projects!B127="","",Projects!B127)</f>
        <v/>
      </c>
      <c r="X129" s="1" t="n">
        <f aca="false">IF(W129="",0,SUMIFS($I$7:$I$256,$D$7:$D$256,W129,$H$7:$H$256,"NTIME"))</f>
        <v>0</v>
      </c>
      <c r="Y129" s="1" t="n">
        <f aca="false">IF(W129="",0,SUMIFS($I$7:$I$256,$D$7:$D$256,W129,$H$7:$H$256,"P6"))</f>
        <v>0</v>
      </c>
      <c r="Z129" s="1" t="n">
        <f aca="false">X129+Y129</f>
        <v>0</v>
      </c>
      <c r="AA129" s="1" t="n">
        <f aca="false">IF(Z129&gt;0,Z129+(201-123)/10^6,0)</f>
        <v>0</v>
      </c>
      <c r="AB129" s="1"/>
      <c r="AC129" s="1"/>
      <c r="AD129" s="1"/>
      <c r="AE129" s="1"/>
      <c r="AF129" s="1"/>
      <c r="AG129" s="1"/>
      <c r="AH129" s="1"/>
    </row>
    <row r="130" customFormat="false" ht="15" hidden="false" customHeight="false" outlineLevel="0" collapsed="false">
      <c r="A130" s="1"/>
      <c r="B130" s="10"/>
      <c r="C130" s="31" t="str">
        <f aca="false">IF(B130="","",TEXT(B130,"ddd"))</f>
        <v/>
      </c>
      <c r="D130" s="11"/>
      <c r="E130" s="8" t="str">
        <f aca="false">IF(D130="","",IFERROR(INDEX(ProjNumbers,MATCH(D130,ProjNames,0)),""))</f>
        <v/>
      </c>
      <c r="F130" s="8" t="str">
        <f aca="false">IF(D130="","",IFERROR(INDEX(ProjCodes,MATCH(D130,ProjNames,0)),""))</f>
        <v/>
      </c>
      <c r="G130" s="32"/>
      <c r="H130" s="11"/>
      <c r="I130" s="33"/>
      <c r="J130" s="8" t="str">
        <f aca="false">IF(COUNTA(B130,D130,G130,H130,I130)=0,"",IF(B130="","Enter date",IF(OR(B130&lt;$AC$2,B130&gt;$AC$3),"Date not in December",IF(D130="","Pick project",IF(ISNA(MATCH(D130,ProjNames,0)),"Project not in list",IF(G130="","Add task description",IF(H130="","Pick NTIME or P6",IF(N(I130)&lt;=0,"Enter hours",IF(AND(AllowOT&lt;&gt;"Yes",SUMIF($B$7:$B$256,B130,$I$7:$I$256)&gt;INDEX($O$58:$O$88,DAY(B130))),"Day over "&amp;INDEX($O$58:$O$88,DAY(B130))&amp;" h","✓")))))))))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tr">
        <f aca="false">IF(Projects!B128="","",Projects!B128)</f>
        <v/>
      </c>
      <c r="X130" s="1" t="n">
        <f aca="false">IF(W130="",0,SUMIFS($I$7:$I$256,$D$7:$D$256,W130,$H$7:$H$256,"NTIME"))</f>
        <v>0</v>
      </c>
      <c r="Y130" s="1" t="n">
        <f aca="false">IF(W130="",0,SUMIFS($I$7:$I$256,$D$7:$D$256,W130,$H$7:$H$256,"P6"))</f>
        <v>0</v>
      </c>
      <c r="Z130" s="1" t="n">
        <f aca="false">X130+Y130</f>
        <v>0</v>
      </c>
      <c r="AA130" s="1" t="n">
        <f aca="false">IF(Z130&gt;0,Z130+(201-124)/10^6,0)</f>
        <v>0</v>
      </c>
      <c r="AB130" s="1"/>
      <c r="AC130" s="1"/>
      <c r="AD130" s="1"/>
      <c r="AE130" s="1"/>
      <c r="AF130" s="1"/>
      <c r="AG130" s="1"/>
      <c r="AH130" s="1"/>
    </row>
    <row r="131" customFormat="false" ht="15" hidden="false" customHeight="false" outlineLevel="0" collapsed="false">
      <c r="A131" s="1"/>
      <c r="B131" s="10"/>
      <c r="C131" s="31" t="str">
        <f aca="false">IF(B131="","",TEXT(B131,"ddd"))</f>
        <v/>
      </c>
      <c r="D131" s="11"/>
      <c r="E131" s="8" t="str">
        <f aca="false">IF(D131="","",IFERROR(INDEX(ProjNumbers,MATCH(D131,ProjNames,0)),""))</f>
        <v/>
      </c>
      <c r="F131" s="8" t="str">
        <f aca="false">IF(D131="","",IFERROR(INDEX(ProjCodes,MATCH(D131,ProjNames,0)),""))</f>
        <v/>
      </c>
      <c r="G131" s="32"/>
      <c r="H131" s="11"/>
      <c r="I131" s="33"/>
      <c r="J131" s="8" t="str">
        <f aca="false">IF(COUNTA(B131,D131,G131,H131,I131)=0,"",IF(B131="","Enter date",IF(OR(B131&lt;$AC$2,B131&gt;$AC$3),"Date not in December",IF(D131="","Pick project",IF(ISNA(MATCH(D131,ProjNames,0)),"Project not in list",IF(G131="","Add task description",IF(H131="","Pick NTIME or P6",IF(N(I131)&lt;=0,"Enter hours",IF(AND(AllowOT&lt;&gt;"Yes",SUMIF($B$7:$B$256,B131,$I$7:$I$256)&gt;INDEX($O$58:$O$88,DAY(B131))),"Day over "&amp;INDEX($O$58:$O$88,DAY(B131))&amp;" h","✓")))))))))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tr">
        <f aca="false">IF(Projects!B129="","",Projects!B129)</f>
        <v/>
      </c>
      <c r="X131" s="1" t="n">
        <f aca="false">IF(W131="",0,SUMIFS($I$7:$I$256,$D$7:$D$256,W131,$H$7:$H$256,"NTIME"))</f>
        <v>0</v>
      </c>
      <c r="Y131" s="1" t="n">
        <f aca="false">IF(W131="",0,SUMIFS($I$7:$I$256,$D$7:$D$256,W131,$H$7:$H$256,"P6"))</f>
        <v>0</v>
      </c>
      <c r="Z131" s="1" t="n">
        <f aca="false">X131+Y131</f>
        <v>0</v>
      </c>
      <c r="AA131" s="1" t="n">
        <f aca="false">IF(Z131&gt;0,Z131+(201-125)/10^6,0)</f>
        <v>0</v>
      </c>
      <c r="AB131" s="1"/>
      <c r="AC131" s="1"/>
      <c r="AD131" s="1"/>
      <c r="AE131" s="1"/>
      <c r="AF131" s="1"/>
      <c r="AG131" s="1"/>
      <c r="AH131" s="1"/>
    </row>
    <row r="132" customFormat="false" ht="15" hidden="false" customHeight="false" outlineLevel="0" collapsed="false">
      <c r="A132" s="1"/>
      <c r="B132" s="10"/>
      <c r="C132" s="31" t="str">
        <f aca="false">IF(B132="","",TEXT(B132,"ddd"))</f>
        <v/>
      </c>
      <c r="D132" s="11"/>
      <c r="E132" s="8" t="str">
        <f aca="false">IF(D132="","",IFERROR(INDEX(ProjNumbers,MATCH(D132,ProjNames,0)),""))</f>
        <v/>
      </c>
      <c r="F132" s="8" t="str">
        <f aca="false">IF(D132="","",IFERROR(INDEX(ProjCodes,MATCH(D132,ProjNames,0)),""))</f>
        <v/>
      </c>
      <c r="G132" s="32"/>
      <c r="H132" s="11"/>
      <c r="I132" s="33"/>
      <c r="J132" s="8" t="str">
        <f aca="false">IF(COUNTA(B132,D132,G132,H132,I132)=0,"",IF(B132="","Enter date",IF(OR(B132&lt;$AC$2,B132&gt;$AC$3),"Date not in December",IF(D132="","Pick project",IF(ISNA(MATCH(D132,ProjNames,0)),"Project not in list",IF(G132="","Add task description",IF(H132="","Pick NTIME or P6",IF(N(I132)&lt;=0,"Enter hours",IF(AND(AllowOT&lt;&gt;"Yes",SUMIF($B$7:$B$256,B132,$I$7:$I$256)&gt;INDEX($O$58:$O$88,DAY(B132))),"Day over "&amp;INDEX($O$58:$O$88,DAY(B132))&amp;" h","✓")))))))))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tr">
        <f aca="false">IF(Projects!B130="","",Projects!B130)</f>
        <v/>
      </c>
      <c r="X132" s="1" t="n">
        <f aca="false">IF(W132="",0,SUMIFS($I$7:$I$256,$D$7:$D$256,W132,$H$7:$H$256,"NTIME"))</f>
        <v>0</v>
      </c>
      <c r="Y132" s="1" t="n">
        <f aca="false">IF(W132="",0,SUMIFS($I$7:$I$256,$D$7:$D$256,W132,$H$7:$H$256,"P6"))</f>
        <v>0</v>
      </c>
      <c r="Z132" s="1" t="n">
        <f aca="false">X132+Y132</f>
        <v>0</v>
      </c>
      <c r="AA132" s="1" t="n">
        <f aca="false">IF(Z132&gt;0,Z132+(201-126)/10^6,0)</f>
        <v>0</v>
      </c>
      <c r="AB132" s="1"/>
      <c r="AC132" s="1"/>
      <c r="AD132" s="1"/>
      <c r="AE132" s="1"/>
      <c r="AF132" s="1"/>
      <c r="AG132" s="1"/>
      <c r="AH132" s="1"/>
    </row>
    <row r="133" customFormat="false" ht="15" hidden="false" customHeight="false" outlineLevel="0" collapsed="false">
      <c r="A133" s="1"/>
      <c r="B133" s="10"/>
      <c r="C133" s="31" t="str">
        <f aca="false">IF(B133="","",TEXT(B133,"ddd"))</f>
        <v/>
      </c>
      <c r="D133" s="11"/>
      <c r="E133" s="8" t="str">
        <f aca="false">IF(D133="","",IFERROR(INDEX(ProjNumbers,MATCH(D133,ProjNames,0)),""))</f>
        <v/>
      </c>
      <c r="F133" s="8" t="str">
        <f aca="false">IF(D133="","",IFERROR(INDEX(ProjCodes,MATCH(D133,ProjNames,0)),""))</f>
        <v/>
      </c>
      <c r="G133" s="32"/>
      <c r="H133" s="11"/>
      <c r="I133" s="33"/>
      <c r="J133" s="8" t="str">
        <f aca="false">IF(COUNTA(B133,D133,G133,H133,I133)=0,"",IF(B133="","Enter date",IF(OR(B133&lt;$AC$2,B133&gt;$AC$3),"Date not in December",IF(D133="","Pick project",IF(ISNA(MATCH(D133,ProjNames,0)),"Project not in list",IF(G133="","Add task description",IF(H133="","Pick NTIME or P6",IF(N(I133)&lt;=0,"Enter hours",IF(AND(AllowOT&lt;&gt;"Yes",SUMIF($B$7:$B$256,B133,$I$7:$I$256)&gt;INDEX($O$58:$O$88,DAY(B133))),"Day over "&amp;INDEX($O$58:$O$88,DAY(B133))&amp;" h","✓")))))))))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tr">
        <f aca="false">IF(Projects!B131="","",Projects!B131)</f>
        <v/>
      </c>
      <c r="X133" s="1" t="n">
        <f aca="false">IF(W133="",0,SUMIFS($I$7:$I$256,$D$7:$D$256,W133,$H$7:$H$256,"NTIME"))</f>
        <v>0</v>
      </c>
      <c r="Y133" s="1" t="n">
        <f aca="false">IF(W133="",0,SUMIFS($I$7:$I$256,$D$7:$D$256,W133,$H$7:$H$256,"P6"))</f>
        <v>0</v>
      </c>
      <c r="Z133" s="1" t="n">
        <f aca="false">X133+Y133</f>
        <v>0</v>
      </c>
      <c r="AA133" s="1" t="n">
        <f aca="false">IF(Z133&gt;0,Z133+(201-127)/10^6,0)</f>
        <v>0</v>
      </c>
      <c r="AB133" s="1"/>
      <c r="AC133" s="1"/>
      <c r="AD133" s="1"/>
      <c r="AE133" s="1"/>
      <c r="AF133" s="1"/>
      <c r="AG133" s="1"/>
      <c r="AH133" s="1"/>
    </row>
    <row r="134" customFormat="false" ht="15" hidden="false" customHeight="false" outlineLevel="0" collapsed="false">
      <c r="A134" s="1"/>
      <c r="B134" s="10"/>
      <c r="C134" s="31" t="str">
        <f aca="false">IF(B134="","",TEXT(B134,"ddd"))</f>
        <v/>
      </c>
      <c r="D134" s="11"/>
      <c r="E134" s="8" t="str">
        <f aca="false">IF(D134="","",IFERROR(INDEX(ProjNumbers,MATCH(D134,ProjNames,0)),""))</f>
        <v/>
      </c>
      <c r="F134" s="8" t="str">
        <f aca="false">IF(D134="","",IFERROR(INDEX(ProjCodes,MATCH(D134,ProjNames,0)),""))</f>
        <v/>
      </c>
      <c r="G134" s="32"/>
      <c r="H134" s="11"/>
      <c r="I134" s="33"/>
      <c r="J134" s="8" t="str">
        <f aca="false">IF(COUNTA(B134,D134,G134,H134,I134)=0,"",IF(B134="","Enter date",IF(OR(B134&lt;$AC$2,B134&gt;$AC$3),"Date not in December",IF(D134="","Pick project",IF(ISNA(MATCH(D134,ProjNames,0)),"Project not in list",IF(G134="","Add task description",IF(H134="","Pick NTIME or P6",IF(N(I134)&lt;=0,"Enter hours",IF(AND(AllowOT&lt;&gt;"Yes",SUMIF($B$7:$B$256,B134,$I$7:$I$256)&gt;INDEX($O$58:$O$88,DAY(B134))),"Day over "&amp;INDEX($O$58:$O$88,DAY(B134))&amp;" h","✓")))))))))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tr">
        <f aca="false">IF(Projects!B132="","",Projects!B132)</f>
        <v/>
      </c>
      <c r="X134" s="1" t="n">
        <f aca="false">IF(W134="",0,SUMIFS($I$7:$I$256,$D$7:$D$256,W134,$H$7:$H$256,"NTIME"))</f>
        <v>0</v>
      </c>
      <c r="Y134" s="1" t="n">
        <f aca="false">IF(W134="",0,SUMIFS($I$7:$I$256,$D$7:$D$256,W134,$H$7:$H$256,"P6"))</f>
        <v>0</v>
      </c>
      <c r="Z134" s="1" t="n">
        <f aca="false">X134+Y134</f>
        <v>0</v>
      </c>
      <c r="AA134" s="1" t="n">
        <f aca="false">IF(Z134&gt;0,Z134+(201-128)/10^6,0)</f>
        <v>0</v>
      </c>
      <c r="AB134" s="1"/>
      <c r="AC134" s="1"/>
      <c r="AD134" s="1"/>
      <c r="AE134" s="1"/>
      <c r="AF134" s="1"/>
      <c r="AG134" s="1"/>
      <c r="AH134" s="1"/>
    </row>
    <row r="135" customFormat="false" ht="15" hidden="false" customHeight="false" outlineLevel="0" collapsed="false">
      <c r="A135" s="1"/>
      <c r="B135" s="10"/>
      <c r="C135" s="31" t="str">
        <f aca="false">IF(B135="","",TEXT(B135,"ddd"))</f>
        <v/>
      </c>
      <c r="D135" s="11"/>
      <c r="E135" s="8" t="str">
        <f aca="false">IF(D135="","",IFERROR(INDEX(ProjNumbers,MATCH(D135,ProjNames,0)),""))</f>
        <v/>
      </c>
      <c r="F135" s="8" t="str">
        <f aca="false">IF(D135="","",IFERROR(INDEX(ProjCodes,MATCH(D135,ProjNames,0)),""))</f>
        <v/>
      </c>
      <c r="G135" s="32"/>
      <c r="H135" s="11"/>
      <c r="I135" s="33"/>
      <c r="J135" s="8" t="str">
        <f aca="false">IF(COUNTA(B135,D135,G135,H135,I135)=0,"",IF(B135="","Enter date",IF(OR(B135&lt;$AC$2,B135&gt;$AC$3),"Date not in December",IF(D135="","Pick project",IF(ISNA(MATCH(D135,ProjNames,0)),"Project not in list",IF(G135="","Add task description",IF(H135="","Pick NTIME or P6",IF(N(I135)&lt;=0,"Enter hours",IF(AND(AllowOT&lt;&gt;"Yes",SUMIF($B$7:$B$256,B135,$I$7:$I$256)&gt;INDEX($O$58:$O$88,DAY(B135))),"Day over "&amp;INDEX($O$58:$O$88,DAY(B135))&amp;" h","✓")))))))))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tr">
        <f aca="false">IF(Projects!B133="","",Projects!B133)</f>
        <v/>
      </c>
      <c r="X135" s="1" t="n">
        <f aca="false">IF(W135="",0,SUMIFS($I$7:$I$256,$D$7:$D$256,W135,$H$7:$H$256,"NTIME"))</f>
        <v>0</v>
      </c>
      <c r="Y135" s="1" t="n">
        <f aca="false">IF(W135="",0,SUMIFS($I$7:$I$256,$D$7:$D$256,W135,$H$7:$H$256,"P6"))</f>
        <v>0</v>
      </c>
      <c r="Z135" s="1" t="n">
        <f aca="false">X135+Y135</f>
        <v>0</v>
      </c>
      <c r="AA135" s="1" t="n">
        <f aca="false">IF(Z135&gt;0,Z135+(201-129)/10^6,0)</f>
        <v>0</v>
      </c>
      <c r="AB135" s="1"/>
      <c r="AC135" s="1"/>
      <c r="AD135" s="1"/>
      <c r="AE135" s="1"/>
      <c r="AF135" s="1"/>
      <c r="AG135" s="1"/>
      <c r="AH135" s="1"/>
    </row>
    <row r="136" customFormat="false" ht="15" hidden="false" customHeight="false" outlineLevel="0" collapsed="false">
      <c r="A136" s="1"/>
      <c r="B136" s="10"/>
      <c r="C136" s="31" t="str">
        <f aca="false">IF(B136="","",TEXT(B136,"ddd"))</f>
        <v/>
      </c>
      <c r="D136" s="11"/>
      <c r="E136" s="8" t="str">
        <f aca="false">IF(D136="","",IFERROR(INDEX(ProjNumbers,MATCH(D136,ProjNames,0)),""))</f>
        <v/>
      </c>
      <c r="F136" s="8" t="str">
        <f aca="false">IF(D136="","",IFERROR(INDEX(ProjCodes,MATCH(D136,ProjNames,0)),""))</f>
        <v/>
      </c>
      <c r="G136" s="32"/>
      <c r="H136" s="11"/>
      <c r="I136" s="33"/>
      <c r="J136" s="8" t="str">
        <f aca="false">IF(COUNTA(B136,D136,G136,H136,I136)=0,"",IF(B136="","Enter date",IF(OR(B136&lt;$AC$2,B136&gt;$AC$3),"Date not in December",IF(D136="","Pick project",IF(ISNA(MATCH(D136,ProjNames,0)),"Project not in list",IF(G136="","Add task description",IF(H136="","Pick NTIME or P6",IF(N(I136)&lt;=0,"Enter hours",IF(AND(AllowOT&lt;&gt;"Yes",SUMIF($B$7:$B$256,B136,$I$7:$I$256)&gt;INDEX($O$58:$O$88,DAY(B136))),"Day over "&amp;INDEX($O$58:$O$88,DAY(B136))&amp;" h","✓")))))))))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tr">
        <f aca="false">IF(Projects!B134="","",Projects!B134)</f>
        <v/>
      </c>
      <c r="X136" s="1" t="n">
        <f aca="false">IF(W136="",0,SUMIFS($I$7:$I$256,$D$7:$D$256,W136,$H$7:$H$256,"NTIME"))</f>
        <v>0</v>
      </c>
      <c r="Y136" s="1" t="n">
        <f aca="false">IF(W136="",0,SUMIFS($I$7:$I$256,$D$7:$D$256,W136,$H$7:$H$256,"P6"))</f>
        <v>0</v>
      </c>
      <c r="Z136" s="1" t="n">
        <f aca="false">X136+Y136</f>
        <v>0</v>
      </c>
      <c r="AA136" s="1" t="n">
        <f aca="false">IF(Z136&gt;0,Z136+(201-130)/10^6,0)</f>
        <v>0</v>
      </c>
      <c r="AB136" s="1"/>
      <c r="AC136" s="1"/>
      <c r="AD136" s="1"/>
      <c r="AE136" s="1"/>
      <c r="AF136" s="1"/>
      <c r="AG136" s="1"/>
      <c r="AH136" s="1"/>
    </row>
    <row r="137" customFormat="false" ht="15" hidden="false" customHeight="false" outlineLevel="0" collapsed="false">
      <c r="A137" s="1"/>
      <c r="B137" s="10"/>
      <c r="C137" s="31" t="str">
        <f aca="false">IF(B137="","",TEXT(B137,"ddd"))</f>
        <v/>
      </c>
      <c r="D137" s="11"/>
      <c r="E137" s="8" t="str">
        <f aca="false">IF(D137="","",IFERROR(INDEX(ProjNumbers,MATCH(D137,ProjNames,0)),""))</f>
        <v/>
      </c>
      <c r="F137" s="8" t="str">
        <f aca="false">IF(D137="","",IFERROR(INDEX(ProjCodes,MATCH(D137,ProjNames,0)),""))</f>
        <v/>
      </c>
      <c r="G137" s="32"/>
      <c r="H137" s="11"/>
      <c r="I137" s="33"/>
      <c r="J137" s="8" t="str">
        <f aca="false">IF(COUNTA(B137,D137,G137,H137,I137)=0,"",IF(B137="","Enter date",IF(OR(B137&lt;$AC$2,B137&gt;$AC$3),"Date not in December",IF(D137="","Pick project",IF(ISNA(MATCH(D137,ProjNames,0)),"Project not in list",IF(G137="","Add task description",IF(H137="","Pick NTIME or P6",IF(N(I137)&lt;=0,"Enter hours",IF(AND(AllowOT&lt;&gt;"Yes",SUMIF($B$7:$B$256,B137,$I$7:$I$256)&gt;INDEX($O$58:$O$88,DAY(B137))),"Day over "&amp;INDEX($O$58:$O$88,DAY(B137))&amp;" h","✓")))))))))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tr">
        <f aca="false">IF(Projects!B135="","",Projects!B135)</f>
        <v/>
      </c>
      <c r="X137" s="1" t="n">
        <f aca="false">IF(W137="",0,SUMIFS($I$7:$I$256,$D$7:$D$256,W137,$H$7:$H$256,"NTIME"))</f>
        <v>0</v>
      </c>
      <c r="Y137" s="1" t="n">
        <f aca="false">IF(W137="",0,SUMIFS($I$7:$I$256,$D$7:$D$256,W137,$H$7:$H$256,"P6"))</f>
        <v>0</v>
      </c>
      <c r="Z137" s="1" t="n">
        <f aca="false">X137+Y137</f>
        <v>0</v>
      </c>
      <c r="AA137" s="1" t="n">
        <f aca="false">IF(Z137&gt;0,Z137+(201-131)/10^6,0)</f>
        <v>0</v>
      </c>
      <c r="AB137" s="1"/>
      <c r="AC137" s="1"/>
      <c r="AD137" s="1"/>
      <c r="AE137" s="1"/>
      <c r="AF137" s="1"/>
      <c r="AG137" s="1"/>
      <c r="AH137" s="1"/>
    </row>
    <row r="138" customFormat="false" ht="15" hidden="false" customHeight="false" outlineLevel="0" collapsed="false">
      <c r="A138" s="1"/>
      <c r="B138" s="10"/>
      <c r="C138" s="31" t="str">
        <f aca="false">IF(B138="","",TEXT(B138,"ddd"))</f>
        <v/>
      </c>
      <c r="D138" s="11"/>
      <c r="E138" s="8" t="str">
        <f aca="false">IF(D138="","",IFERROR(INDEX(ProjNumbers,MATCH(D138,ProjNames,0)),""))</f>
        <v/>
      </c>
      <c r="F138" s="8" t="str">
        <f aca="false">IF(D138="","",IFERROR(INDEX(ProjCodes,MATCH(D138,ProjNames,0)),""))</f>
        <v/>
      </c>
      <c r="G138" s="32"/>
      <c r="H138" s="11"/>
      <c r="I138" s="33"/>
      <c r="J138" s="8" t="str">
        <f aca="false">IF(COUNTA(B138,D138,G138,H138,I138)=0,"",IF(B138="","Enter date",IF(OR(B138&lt;$AC$2,B138&gt;$AC$3),"Date not in December",IF(D138="","Pick project",IF(ISNA(MATCH(D138,ProjNames,0)),"Project not in list",IF(G138="","Add task description",IF(H138="","Pick NTIME or P6",IF(N(I138)&lt;=0,"Enter hours",IF(AND(AllowOT&lt;&gt;"Yes",SUMIF($B$7:$B$256,B138,$I$7:$I$256)&gt;INDEX($O$58:$O$88,DAY(B138))),"Day over "&amp;INDEX($O$58:$O$88,DAY(B138))&amp;" h","✓")))))))))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tr">
        <f aca="false">IF(Projects!B136="","",Projects!B136)</f>
        <v/>
      </c>
      <c r="X138" s="1" t="n">
        <f aca="false">IF(W138="",0,SUMIFS($I$7:$I$256,$D$7:$D$256,W138,$H$7:$H$256,"NTIME"))</f>
        <v>0</v>
      </c>
      <c r="Y138" s="1" t="n">
        <f aca="false">IF(W138="",0,SUMIFS($I$7:$I$256,$D$7:$D$256,W138,$H$7:$H$256,"P6"))</f>
        <v>0</v>
      </c>
      <c r="Z138" s="1" t="n">
        <f aca="false">X138+Y138</f>
        <v>0</v>
      </c>
      <c r="AA138" s="1" t="n">
        <f aca="false">IF(Z138&gt;0,Z138+(201-132)/10^6,0)</f>
        <v>0</v>
      </c>
      <c r="AB138" s="1"/>
      <c r="AC138" s="1"/>
      <c r="AD138" s="1"/>
      <c r="AE138" s="1"/>
      <c r="AF138" s="1"/>
      <c r="AG138" s="1"/>
      <c r="AH138" s="1"/>
    </row>
    <row r="139" customFormat="false" ht="15" hidden="false" customHeight="false" outlineLevel="0" collapsed="false">
      <c r="A139" s="1"/>
      <c r="B139" s="10"/>
      <c r="C139" s="31" t="str">
        <f aca="false">IF(B139="","",TEXT(B139,"ddd"))</f>
        <v/>
      </c>
      <c r="D139" s="11"/>
      <c r="E139" s="8" t="str">
        <f aca="false">IF(D139="","",IFERROR(INDEX(ProjNumbers,MATCH(D139,ProjNames,0)),""))</f>
        <v/>
      </c>
      <c r="F139" s="8" t="str">
        <f aca="false">IF(D139="","",IFERROR(INDEX(ProjCodes,MATCH(D139,ProjNames,0)),""))</f>
        <v/>
      </c>
      <c r="G139" s="32"/>
      <c r="H139" s="11"/>
      <c r="I139" s="33"/>
      <c r="J139" s="8" t="str">
        <f aca="false">IF(COUNTA(B139,D139,G139,H139,I139)=0,"",IF(B139="","Enter date",IF(OR(B139&lt;$AC$2,B139&gt;$AC$3),"Date not in December",IF(D139="","Pick project",IF(ISNA(MATCH(D139,ProjNames,0)),"Project not in list",IF(G139="","Add task description",IF(H139="","Pick NTIME or P6",IF(N(I139)&lt;=0,"Enter hours",IF(AND(AllowOT&lt;&gt;"Yes",SUMIF($B$7:$B$256,B139,$I$7:$I$256)&gt;INDEX($O$58:$O$88,DAY(B139))),"Day over "&amp;INDEX($O$58:$O$88,DAY(B139))&amp;" h","✓")))))))))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tr">
        <f aca="false">IF(Projects!B137="","",Projects!B137)</f>
        <v/>
      </c>
      <c r="X139" s="1" t="n">
        <f aca="false">IF(W139="",0,SUMIFS($I$7:$I$256,$D$7:$D$256,W139,$H$7:$H$256,"NTIME"))</f>
        <v>0</v>
      </c>
      <c r="Y139" s="1" t="n">
        <f aca="false">IF(W139="",0,SUMIFS($I$7:$I$256,$D$7:$D$256,W139,$H$7:$H$256,"P6"))</f>
        <v>0</v>
      </c>
      <c r="Z139" s="1" t="n">
        <f aca="false">X139+Y139</f>
        <v>0</v>
      </c>
      <c r="AA139" s="1" t="n">
        <f aca="false">IF(Z139&gt;0,Z139+(201-133)/10^6,0)</f>
        <v>0</v>
      </c>
      <c r="AB139" s="1"/>
      <c r="AC139" s="1"/>
      <c r="AD139" s="1"/>
      <c r="AE139" s="1"/>
      <c r="AF139" s="1"/>
      <c r="AG139" s="1"/>
      <c r="AH139" s="1"/>
    </row>
    <row r="140" customFormat="false" ht="15" hidden="false" customHeight="false" outlineLevel="0" collapsed="false">
      <c r="A140" s="1"/>
      <c r="B140" s="10"/>
      <c r="C140" s="31" t="str">
        <f aca="false">IF(B140="","",TEXT(B140,"ddd"))</f>
        <v/>
      </c>
      <c r="D140" s="11"/>
      <c r="E140" s="8" t="str">
        <f aca="false">IF(D140="","",IFERROR(INDEX(ProjNumbers,MATCH(D140,ProjNames,0)),""))</f>
        <v/>
      </c>
      <c r="F140" s="8" t="str">
        <f aca="false">IF(D140="","",IFERROR(INDEX(ProjCodes,MATCH(D140,ProjNames,0)),""))</f>
        <v/>
      </c>
      <c r="G140" s="32"/>
      <c r="H140" s="11"/>
      <c r="I140" s="33"/>
      <c r="J140" s="8" t="str">
        <f aca="false">IF(COUNTA(B140,D140,G140,H140,I140)=0,"",IF(B140="","Enter date",IF(OR(B140&lt;$AC$2,B140&gt;$AC$3),"Date not in December",IF(D140="","Pick project",IF(ISNA(MATCH(D140,ProjNames,0)),"Project not in list",IF(G140="","Add task description",IF(H140="","Pick NTIME or P6",IF(N(I140)&lt;=0,"Enter hours",IF(AND(AllowOT&lt;&gt;"Yes",SUMIF($B$7:$B$256,B140,$I$7:$I$256)&gt;INDEX($O$58:$O$88,DAY(B140))),"Day over "&amp;INDEX($O$58:$O$88,DAY(B140))&amp;" h","✓")))))))))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tr">
        <f aca="false">IF(Projects!B138="","",Projects!B138)</f>
        <v/>
      </c>
      <c r="X140" s="1" t="n">
        <f aca="false">IF(W140="",0,SUMIFS($I$7:$I$256,$D$7:$D$256,W140,$H$7:$H$256,"NTIME"))</f>
        <v>0</v>
      </c>
      <c r="Y140" s="1" t="n">
        <f aca="false">IF(W140="",0,SUMIFS($I$7:$I$256,$D$7:$D$256,W140,$H$7:$H$256,"P6"))</f>
        <v>0</v>
      </c>
      <c r="Z140" s="1" t="n">
        <f aca="false">X140+Y140</f>
        <v>0</v>
      </c>
      <c r="AA140" s="1" t="n">
        <f aca="false">IF(Z140&gt;0,Z140+(201-134)/10^6,0)</f>
        <v>0</v>
      </c>
      <c r="AB140" s="1"/>
      <c r="AC140" s="1"/>
      <c r="AD140" s="1"/>
      <c r="AE140" s="1"/>
      <c r="AF140" s="1"/>
      <c r="AG140" s="1"/>
      <c r="AH140" s="1"/>
    </row>
    <row r="141" customFormat="false" ht="15" hidden="false" customHeight="false" outlineLevel="0" collapsed="false">
      <c r="A141" s="1"/>
      <c r="B141" s="10"/>
      <c r="C141" s="31" t="str">
        <f aca="false">IF(B141="","",TEXT(B141,"ddd"))</f>
        <v/>
      </c>
      <c r="D141" s="11"/>
      <c r="E141" s="8" t="str">
        <f aca="false">IF(D141="","",IFERROR(INDEX(ProjNumbers,MATCH(D141,ProjNames,0)),""))</f>
        <v/>
      </c>
      <c r="F141" s="8" t="str">
        <f aca="false">IF(D141="","",IFERROR(INDEX(ProjCodes,MATCH(D141,ProjNames,0)),""))</f>
        <v/>
      </c>
      <c r="G141" s="32"/>
      <c r="H141" s="11"/>
      <c r="I141" s="33"/>
      <c r="J141" s="8" t="str">
        <f aca="false">IF(COUNTA(B141,D141,G141,H141,I141)=0,"",IF(B141="","Enter date",IF(OR(B141&lt;$AC$2,B141&gt;$AC$3),"Date not in December",IF(D141="","Pick project",IF(ISNA(MATCH(D141,ProjNames,0)),"Project not in list",IF(G141="","Add task description",IF(H141="","Pick NTIME or P6",IF(N(I141)&lt;=0,"Enter hours",IF(AND(AllowOT&lt;&gt;"Yes",SUMIF($B$7:$B$256,B141,$I$7:$I$256)&gt;INDEX($O$58:$O$88,DAY(B141))),"Day over "&amp;INDEX($O$58:$O$88,DAY(B141))&amp;" h","✓")))))))))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tr">
        <f aca="false">IF(Projects!B139="","",Projects!B139)</f>
        <v/>
      </c>
      <c r="X141" s="1" t="n">
        <f aca="false">IF(W141="",0,SUMIFS($I$7:$I$256,$D$7:$D$256,W141,$H$7:$H$256,"NTIME"))</f>
        <v>0</v>
      </c>
      <c r="Y141" s="1" t="n">
        <f aca="false">IF(W141="",0,SUMIFS($I$7:$I$256,$D$7:$D$256,W141,$H$7:$H$256,"P6"))</f>
        <v>0</v>
      </c>
      <c r="Z141" s="1" t="n">
        <f aca="false">X141+Y141</f>
        <v>0</v>
      </c>
      <c r="AA141" s="1" t="n">
        <f aca="false">IF(Z141&gt;0,Z141+(201-135)/10^6,0)</f>
        <v>0</v>
      </c>
      <c r="AB141" s="1"/>
      <c r="AC141" s="1"/>
      <c r="AD141" s="1"/>
      <c r="AE141" s="1"/>
      <c r="AF141" s="1"/>
      <c r="AG141" s="1"/>
      <c r="AH141" s="1"/>
    </row>
    <row r="142" customFormat="false" ht="15" hidden="false" customHeight="false" outlineLevel="0" collapsed="false">
      <c r="A142" s="1"/>
      <c r="B142" s="10"/>
      <c r="C142" s="31" t="str">
        <f aca="false">IF(B142="","",TEXT(B142,"ddd"))</f>
        <v/>
      </c>
      <c r="D142" s="11"/>
      <c r="E142" s="8" t="str">
        <f aca="false">IF(D142="","",IFERROR(INDEX(ProjNumbers,MATCH(D142,ProjNames,0)),""))</f>
        <v/>
      </c>
      <c r="F142" s="8" t="str">
        <f aca="false">IF(D142="","",IFERROR(INDEX(ProjCodes,MATCH(D142,ProjNames,0)),""))</f>
        <v/>
      </c>
      <c r="G142" s="32"/>
      <c r="H142" s="11"/>
      <c r="I142" s="33"/>
      <c r="J142" s="8" t="str">
        <f aca="false">IF(COUNTA(B142,D142,G142,H142,I142)=0,"",IF(B142="","Enter date",IF(OR(B142&lt;$AC$2,B142&gt;$AC$3),"Date not in December",IF(D142="","Pick project",IF(ISNA(MATCH(D142,ProjNames,0)),"Project not in list",IF(G142="","Add task description",IF(H142="","Pick NTIME or P6",IF(N(I142)&lt;=0,"Enter hours",IF(AND(AllowOT&lt;&gt;"Yes",SUMIF($B$7:$B$256,B142,$I$7:$I$256)&gt;INDEX($O$58:$O$88,DAY(B142))),"Day over "&amp;INDEX($O$58:$O$88,DAY(B142))&amp;" h","✓")))))))))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tr">
        <f aca="false">IF(Projects!B140="","",Projects!B140)</f>
        <v/>
      </c>
      <c r="X142" s="1" t="n">
        <f aca="false">IF(W142="",0,SUMIFS($I$7:$I$256,$D$7:$D$256,W142,$H$7:$H$256,"NTIME"))</f>
        <v>0</v>
      </c>
      <c r="Y142" s="1" t="n">
        <f aca="false">IF(W142="",0,SUMIFS($I$7:$I$256,$D$7:$D$256,W142,$H$7:$H$256,"P6"))</f>
        <v>0</v>
      </c>
      <c r="Z142" s="1" t="n">
        <f aca="false">X142+Y142</f>
        <v>0</v>
      </c>
      <c r="AA142" s="1" t="n">
        <f aca="false">IF(Z142&gt;0,Z142+(201-136)/10^6,0)</f>
        <v>0</v>
      </c>
      <c r="AB142" s="1"/>
      <c r="AC142" s="1"/>
      <c r="AD142" s="1"/>
      <c r="AE142" s="1"/>
      <c r="AF142" s="1"/>
      <c r="AG142" s="1"/>
      <c r="AH142" s="1"/>
    </row>
    <row r="143" customFormat="false" ht="15" hidden="false" customHeight="false" outlineLevel="0" collapsed="false">
      <c r="A143" s="1"/>
      <c r="B143" s="10"/>
      <c r="C143" s="31" t="str">
        <f aca="false">IF(B143="","",TEXT(B143,"ddd"))</f>
        <v/>
      </c>
      <c r="D143" s="11"/>
      <c r="E143" s="8" t="str">
        <f aca="false">IF(D143="","",IFERROR(INDEX(ProjNumbers,MATCH(D143,ProjNames,0)),""))</f>
        <v/>
      </c>
      <c r="F143" s="8" t="str">
        <f aca="false">IF(D143="","",IFERROR(INDEX(ProjCodes,MATCH(D143,ProjNames,0)),""))</f>
        <v/>
      </c>
      <c r="G143" s="32"/>
      <c r="H143" s="11"/>
      <c r="I143" s="33"/>
      <c r="J143" s="8" t="str">
        <f aca="false">IF(COUNTA(B143,D143,G143,H143,I143)=0,"",IF(B143="","Enter date",IF(OR(B143&lt;$AC$2,B143&gt;$AC$3),"Date not in December",IF(D143="","Pick project",IF(ISNA(MATCH(D143,ProjNames,0)),"Project not in list",IF(G143="","Add task description",IF(H143="","Pick NTIME or P6",IF(N(I143)&lt;=0,"Enter hours",IF(AND(AllowOT&lt;&gt;"Yes",SUMIF($B$7:$B$256,B143,$I$7:$I$256)&gt;INDEX($O$58:$O$88,DAY(B143))),"Day over "&amp;INDEX($O$58:$O$88,DAY(B143))&amp;" h","✓")))))))))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tr">
        <f aca="false">IF(Projects!B141="","",Projects!B141)</f>
        <v/>
      </c>
      <c r="X143" s="1" t="n">
        <f aca="false">IF(W143="",0,SUMIFS($I$7:$I$256,$D$7:$D$256,W143,$H$7:$H$256,"NTIME"))</f>
        <v>0</v>
      </c>
      <c r="Y143" s="1" t="n">
        <f aca="false">IF(W143="",0,SUMIFS($I$7:$I$256,$D$7:$D$256,W143,$H$7:$H$256,"P6"))</f>
        <v>0</v>
      </c>
      <c r="Z143" s="1" t="n">
        <f aca="false">X143+Y143</f>
        <v>0</v>
      </c>
      <c r="AA143" s="1" t="n">
        <f aca="false">IF(Z143&gt;0,Z143+(201-137)/10^6,0)</f>
        <v>0</v>
      </c>
      <c r="AB143" s="1"/>
      <c r="AC143" s="1"/>
      <c r="AD143" s="1"/>
      <c r="AE143" s="1"/>
      <c r="AF143" s="1"/>
      <c r="AG143" s="1"/>
      <c r="AH143" s="1"/>
    </row>
    <row r="144" customFormat="false" ht="15" hidden="false" customHeight="false" outlineLevel="0" collapsed="false">
      <c r="A144" s="1"/>
      <c r="B144" s="10"/>
      <c r="C144" s="31" t="str">
        <f aca="false">IF(B144="","",TEXT(B144,"ddd"))</f>
        <v/>
      </c>
      <c r="D144" s="11"/>
      <c r="E144" s="8" t="str">
        <f aca="false">IF(D144="","",IFERROR(INDEX(ProjNumbers,MATCH(D144,ProjNames,0)),""))</f>
        <v/>
      </c>
      <c r="F144" s="8" t="str">
        <f aca="false">IF(D144="","",IFERROR(INDEX(ProjCodes,MATCH(D144,ProjNames,0)),""))</f>
        <v/>
      </c>
      <c r="G144" s="32"/>
      <c r="H144" s="11"/>
      <c r="I144" s="33"/>
      <c r="J144" s="8" t="str">
        <f aca="false">IF(COUNTA(B144,D144,G144,H144,I144)=0,"",IF(B144="","Enter date",IF(OR(B144&lt;$AC$2,B144&gt;$AC$3),"Date not in December",IF(D144="","Pick project",IF(ISNA(MATCH(D144,ProjNames,0)),"Project not in list",IF(G144="","Add task description",IF(H144="","Pick NTIME or P6",IF(N(I144)&lt;=0,"Enter hours",IF(AND(AllowOT&lt;&gt;"Yes",SUMIF($B$7:$B$256,B144,$I$7:$I$256)&gt;INDEX($O$58:$O$88,DAY(B144))),"Day over "&amp;INDEX($O$58:$O$88,DAY(B144))&amp;" h","✓")))))))))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tr">
        <f aca="false">IF(Projects!B142="","",Projects!B142)</f>
        <v/>
      </c>
      <c r="X144" s="1" t="n">
        <f aca="false">IF(W144="",0,SUMIFS($I$7:$I$256,$D$7:$D$256,W144,$H$7:$H$256,"NTIME"))</f>
        <v>0</v>
      </c>
      <c r="Y144" s="1" t="n">
        <f aca="false">IF(W144="",0,SUMIFS($I$7:$I$256,$D$7:$D$256,W144,$H$7:$H$256,"P6"))</f>
        <v>0</v>
      </c>
      <c r="Z144" s="1" t="n">
        <f aca="false">X144+Y144</f>
        <v>0</v>
      </c>
      <c r="AA144" s="1" t="n">
        <f aca="false">IF(Z144&gt;0,Z144+(201-138)/10^6,0)</f>
        <v>0</v>
      </c>
      <c r="AB144" s="1"/>
      <c r="AC144" s="1"/>
      <c r="AD144" s="1"/>
      <c r="AE144" s="1"/>
      <c r="AF144" s="1"/>
      <c r="AG144" s="1"/>
      <c r="AH144" s="1"/>
    </row>
    <row r="145" customFormat="false" ht="15" hidden="false" customHeight="false" outlineLevel="0" collapsed="false">
      <c r="A145" s="1"/>
      <c r="B145" s="10"/>
      <c r="C145" s="31" t="str">
        <f aca="false">IF(B145="","",TEXT(B145,"ddd"))</f>
        <v/>
      </c>
      <c r="D145" s="11"/>
      <c r="E145" s="8" t="str">
        <f aca="false">IF(D145="","",IFERROR(INDEX(ProjNumbers,MATCH(D145,ProjNames,0)),""))</f>
        <v/>
      </c>
      <c r="F145" s="8" t="str">
        <f aca="false">IF(D145="","",IFERROR(INDEX(ProjCodes,MATCH(D145,ProjNames,0)),""))</f>
        <v/>
      </c>
      <c r="G145" s="32"/>
      <c r="H145" s="11"/>
      <c r="I145" s="33"/>
      <c r="J145" s="8" t="str">
        <f aca="false">IF(COUNTA(B145,D145,G145,H145,I145)=0,"",IF(B145="","Enter date",IF(OR(B145&lt;$AC$2,B145&gt;$AC$3),"Date not in December",IF(D145="","Pick project",IF(ISNA(MATCH(D145,ProjNames,0)),"Project not in list",IF(G145="","Add task description",IF(H145="","Pick NTIME or P6",IF(N(I145)&lt;=0,"Enter hours",IF(AND(AllowOT&lt;&gt;"Yes",SUMIF($B$7:$B$256,B145,$I$7:$I$256)&gt;INDEX($O$58:$O$88,DAY(B145))),"Day over "&amp;INDEX($O$58:$O$88,DAY(B145))&amp;" h","✓")))))))))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tr">
        <f aca="false">IF(Projects!B143="","",Projects!B143)</f>
        <v/>
      </c>
      <c r="X145" s="1" t="n">
        <f aca="false">IF(W145="",0,SUMIFS($I$7:$I$256,$D$7:$D$256,W145,$H$7:$H$256,"NTIME"))</f>
        <v>0</v>
      </c>
      <c r="Y145" s="1" t="n">
        <f aca="false">IF(W145="",0,SUMIFS($I$7:$I$256,$D$7:$D$256,W145,$H$7:$H$256,"P6"))</f>
        <v>0</v>
      </c>
      <c r="Z145" s="1" t="n">
        <f aca="false">X145+Y145</f>
        <v>0</v>
      </c>
      <c r="AA145" s="1" t="n">
        <f aca="false">IF(Z145&gt;0,Z145+(201-139)/10^6,0)</f>
        <v>0</v>
      </c>
      <c r="AB145" s="1"/>
      <c r="AC145" s="1"/>
      <c r="AD145" s="1"/>
      <c r="AE145" s="1"/>
      <c r="AF145" s="1"/>
      <c r="AG145" s="1"/>
      <c r="AH145" s="1"/>
    </row>
    <row r="146" customFormat="false" ht="15" hidden="false" customHeight="false" outlineLevel="0" collapsed="false">
      <c r="A146" s="1"/>
      <c r="B146" s="10"/>
      <c r="C146" s="31" t="str">
        <f aca="false">IF(B146="","",TEXT(B146,"ddd"))</f>
        <v/>
      </c>
      <c r="D146" s="11"/>
      <c r="E146" s="8" t="str">
        <f aca="false">IF(D146="","",IFERROR(INDEX(ProjNumbers,MATCH(D146,ProjNames,0)),""))</f>
        <v/>
      </c>
      <c r="F146" s="8" t="str">
        <f aca="false">IF(D146="","",IFERROR(INDEX(ProjCodes,MATCH(D146,ProjNames,0)),""))</f>
        <v/>
      </c>
      <c r="G146" s="32"/>
      <c r="H146" s="11"/>
      <c r="I146" s="33"/>
      <c r="J146" s="8" t="str">
        <f aca="false">IF(COUNTA(B146,D146,G146,H146,I146)=0,"",IF(B146="","Enter date",IF(OR(B146&lt;$AC$2,B146&gt;$AC$3),"Date not in December",IF(D146="","Pick project",IF(ISNA(MATCH(D146,ProjNames,0)),"Project not in list",IF(G146="","Add task description",IF(H146="","Pick NTIME or P6",IF(N(I146)&lt;=0,"Enter hours",IF(AND(AllowOT&lt;&gt;"Yes",SUMIF($B$7:$B$256,B146,$I$7:$I$256)&gt;INDEX($O$58:$O$88,DAY(B146))),"Day over "&amp;INDEX($O$58:$O$88,DAY(B146))&amp;" h","✓")))))))))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tr">
        <f aca="false">IF(Projects!B144="","",Projects!B144)</f>
        <v/>
      </c>
      <c r="X146" s="1" t="n">
        <f aca="false">IF(W146="",0,SUMIFS($I$7:$I$256,$D$7:$D$256,W146,$H$7:$H$256,"NTIME"))</f>
        <v>0</v>
      </c>
      <c r="Y146" s="1" t="n">
        <f aca="false">IF(W146="",0,SUMIFS($I$7:$I$256,$D$7:$D$256,W146,$H$7:$H$256,"P6"))</f>
        <v>0</v>
      </c>
      <c r="Z146" s="1" t="n">
        <f aca="false">X146+Y146</f>
        <v>0</v>
      </c>
      <c r="AA146" s="1" t="n">
        <f aca="false">IF(Z146&gt;0,Z146+(201-140)/10^6,0)</f>
        <v>0</v>
      </c>
      <c r="AB146" s="1"/>
      <c r="AC146" s="1"/>
      <c r="AD146" s="1"/>
      <c r="AE146" s="1"/>
      <c r="AF146" s="1"/>
      <c r="AG146" s="1"/>
      <c r="AH146" s="1"/>
    </row>
    <row r="147" customFormat="false" ht="15" hidden="false" customHeight="false" outlineLevel="0" collapsed="false">
      <c r="A147" s="1"/>
      <c r="B147" s="10"/>
      <c r="C147" s="31" t="str">
        <f aca="false">IF(B147="","",TEXT(B147,"ddd"))</f>
        <v/>
      </c>
      <c r="D147" s="11"/>
      <c r="E147" s="8" t="str">
        <f aca="false">IF(D147="","",IFERROR(INDEX(ProjNumbers,MATCH(D147,ProjNames,0)),""))</f>
        <v/>
      </c>
      <c r="F147" s="8" t="str">
        <f aca="false">IF(D147="","",IFERROR(INDEX(ProjCodes,MATCH(D147,ProjNames,0)),""))</f>
        <v/>
      </c>
      <c r="G147" s="32"/>
      <c r="H147" s="11"/>
      <c r="I147" s="33"/>
      <c r="J147" s="8" t="str">
        <f aca="false">IF(COUNTA(B147,D147,G147,H147,I147)=0,"",IF(B147="","Enter date",IF(OR(B147&lt;$AC$2,B147&gt;$AC$3),"Date not in December",IF(D147="","Pick project",IF(ISNA(MATCH(D147,ProjNames,0)),"Project not in list",IF(G147="","Add task description",IF(H147="","Pick NTIME or P6",IF(N(I147)&lt;=0,"Enter hours",IF(AND(AllowOT&lt;&gt;"Yes",SUMIF($B$7:$B$256,B147,$I$7:$I$256)&gt;INDEX($O$58:$O$88,DAY(B147))),"Day over "&amp;INDEX($O$58:$O$88,DAY(B147))&amp;" h","✓")))))))))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tr">
        <f aca="false">IF(Projects!B145="","",Projects!B145)</f>
        <v/>
      </c>
      <c r="X147" s="1" t="n">
        <f aca="false">IF(W147="",0,SUMIFS($I$7:$I$256,$D$7:$D$256,W147,$H$7:$H$256,"NTIME"))</f>
        <v>0</v>
      </c>
      <c r="Y147" s="1" t="n">
        <f aca="false">IF(W147="",0,SUMIFS($I$7:$I$256,$D$7:$D$256,W147,$H$7:$H$256,"P6"))</f>
        <v>0</v>
      </c>
      <c r="Z147" s="1" t="n">
        <f aca="false">X147+Y147</f>
        <v>0</v>
      </c>
      <c r="AA147" s="1" t="n">
        <f aca="false">IF(Z147&gt;0,Z147+(201-141)/10^6,0)</f>
        <v>0</v>
      </c>
      <c r="AB147" s="1"/>
      <c r="AC147" s="1"/>
      <c r="AD147" s="1"/>
      <c r="AE147" s="1"/>
      <c r="AF147" s="1"/>
      <c r="AG147" s="1"/>
      <c r="AH147" s="1"/>
    </row>
    <row r="148" customFormat="false" ht="15" hidden="false" customHeight="false" outlineLevel="0" collapsed="false">
      <c r="A148" s="1"/>
      <c r="B148" s="10"/>
      <c r="C148" s="31" t="str">
        <f aca="false">IF(B148="","",TEXT(B148,"ddd"))</f>
        <v/>
      </c>
      <c r="D148" s="11"/>
      <c r="E148" s="8" t="str">
        <f aca="false">IF(D148="","",IFERROR(INDEX(ProjNumbers,MATCH(D148,ProjNames,0)),""))</f>
        <v/>
      </c>
      <c r="F148" s="8" t="str">
        <f aca="false">IF(D148="","",IFERROR(INDEX(ProjCodes,MATCH(D148,ProjNames,0)),""))</f>
        <v/>
      </c>
      <c r="G148" s="32"/>
      <c r="H148" s="11"/>
      <c r="I148" s="33"/>
      <c r="J148" s="8" t="str">
        <f aca="false">IF(COUNTA(B148,D148,G148,H148,I148)=0,"",IF(B148="","Enter date",IF(OR(B148&lt;$AC$2,B148&gt;$AC$3),"Date not in December",IF(D148="","Pick project",IF(ISNA(MATCH(D148,ProjNames,0)),"Project not in list",IF(G148="","Add task description",IF(H148="","Pick NTIME or P6",IF(N(I148)&lt;=0,"Enter hours",IF(AND(AllowOT&lt;&gt;"Yes",SUMIF($B$7:$B$256,B148,$I$7:$I$256)&gt;INDEX($O$58:$O$88,DAY(B148))),"Day over "&amp;INDEX($O$58:$O$88,DAY(B148))&amp;" h","✓")))))))))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tr">
        <f aca="false">IF(Projects!B146="","",Projects!B146)</f>
        <v/>
      </c>
      <c r="X148" s="1" t="n">
        <f aca="false">IF(W148="",0,SUMIFS($I$7:$I$256,$D$7:$D$256,W148,$H$7:$H$256,"NTIME"))</f>
        <v>0</v>
      </c>
      <c r="Y148" s="1" t="n">
        <f aca="false">IF(W148="",0,SUMIFS($I$7:$I$256,$D$7:$D$256,W148,$H$7:$H$256,"P6"))</f>
        <v>0</v>
      </c>
      <c r="Z148" s="1" t="n">
        <f aca="false">X148+Y148</f>
        <v>0</v>
      </c>
      <c r="AA148" s="1" t="n">
        <f aca="false">IF(Z148&gt;0,Z148+(201-142)/10^6,0)</f>
        <v>0</v>
      </c>
      <c r="AB148" s="1"/>
      <c r="AC148" s="1"/>
      <c r="AD148" s="1"/>
      <c r="AE148" s="1"/>
      <c r="AF148" s="1"/>
      <c r="AG148" s="1"/>
      <c r="AH148" s="1"/>
    </row>
    <row r="149" customFormat="false" ht="15" hidden="false" customHeight="false" outlineLevel="0" collapsed="false">
      <c r="A149" s="1"/>
      <c r="B149" s="10"/>
      <c r="C149" s="31" t="str">
        <f aca="false">IF(B149="","",TEXT(B149,"ddd"))</f>
        <v/>
      </c>
      <c r="D149" s="11"/>
      <c r="E149" s="8" t="str">
        <f aca="false">IF(D149="","",IFERROR(INDEX(ProjNumbers,MATCH(D149,ProjNames,0)),""))</f>
        <v/>
      </c>
      <c r="F149" s="8" t="str">
        <f aca="false">IF(D149="","",IFERROR(INDEX(ProjCodes,MATCH(D149,ProjNames,0)),""))</f>
        <v/>
      </c>
      <c r="G149" s="32"/>
      <c r="H149" s="11"/>
      <c r="I149" s="33"/>
      <c r="J149" s="8" t="str">
        <f aca="false">IF(COUNTA(B149,D149,G149,H149,I149)=0,"",IF(B149="","Enter date",IF(OR(B149&lt;$AC$2,B149&gt;$AC$3),"Date not in December",IF(D149="","Pick project",IF(ISNA(MATCH(D149,ProjNames,0)),"Project not in list",IF(G149="","Add task description",IF(H149="","Pick NTIME or P6",IF(N(I149)&lt;=0,"Enter hours",IF(AND(AllowOT&lt;&gt;"Yes",SUMIF($B$7:$B$256,B149,$I$7:$I$256)&gt;INDEX($O$58:$O$88,DAY(B149))),"Day over "&amp;INDEX($O$58:$O$88,DAY(B149))&amp;" h","✓")))))))))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tr">
        <f aca="false">IF(Projects!B147="","",Projects!B147)</f>
        <v/>
      </c>
      <c r="X149" s="1" t="n">
        <f aca="false">IF(W149="",0,SUMIFS($I$7:$I$256,$D$7:$D$256,W149,$H$7:$H$256,"NTIME"))</f>
        <v>0</v>
      </c>
      <c r="Y149" s="1" t="n">
        <f aca="false">IF(W149="",0,SUMIFS($I$7:$I$256,$D$7:$D$256,W149,$H$7:$H$256,"P6"))</f>
        <v>0</v>
      </c>
      <c r="Z149" s="1" t="n">
        <f aca="false">X149+Y149</f>
        <v>0</v>
      </c>
      <c r="AA149" s="1" t="n">
        <f aca="false">IF(Z149&gt;0,Z149+(201-143)/10^6,0)</f>
        <v>0</v>
      </c>
      <c r="AB149" s="1"/>
      <c r="AC149" s="1"/>
      <c r="AD149" s="1"/>
      <c r="AE149" s="1"/>
      <c r="AF149" s="1"/>
      <c r="AG149" s="1"/>
      <c r="AH149" s="1"/>
    </row>
    <row r="150" customFormat="false" ht="15" hidden="false" customHeight="false" outlineLevel="0" collapsed="false">
      <c r="A150" s="1"/>
      <c r="B150" s="10"/>
      <c r="C150" s="31" t="str">
        <f aca="false">IF(B150="","",TEXT(B150,"ddd"))</f>
        <v/>
      </c>
      <c r="D150" s="11"/>
      <c r="E150" s="8" t="str">
        <f aca="false">IF(D150="","",IFERROR(INDEX(ProjNumbers,MATCH(D150,ProjNames,0)),""))</f>
        <v/>
      </c>
      <c r="F150" s="8" t="str">
        <f aca="false">IF(D150="","",IFERROR(INDEX(ProjCodes,MATCH(D150,ProjNames,0)),""))</f>
        <v/>
      </c>
      <c r="G150" s="32"/>
      <c r="H150" s="11"/>
      <c r="I150" s="33"/>
      <c r="J150" s="8" t="str">
        <f aca="false">IF(COUNTA(B150,D150,G150,H150,I150)=0,"",IF(B150="","Enter date",IF(OR(B150&lt;$AC$2,B150&gt;$AC$3),"Date not in December",IF(D150="","Pick project",IF(ISNA(MATCH(D150,ProjNames,0)),"Project not in list",IF(G150="","Add task description",IF(H150="","Pick NTIME or P6",IF(N(I150)&lt;=0,"Enter hours",IF(AND(AllowOT&lt;&gt;"Yes",SUMIF($B$7:$B$256,B150,$I$7:$I$256)&gt;INDEX($O$58:$O$88,DAY(B150))),"Day over "&amp;INDEX($O$58:$O$88,DAY(B150))&amp;" h","✓")))))))))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tr">
        <f aca="false">IF(Projects!B148="","",Projects!B148)</f>
        <v/>
      </c>
      <c r="X150" s="1" t="n">
        <f aca="false">IF(W150="",0,SUMIFS($I$7:$I$256,$D$7:$D$256,W150,$H$7:$H$256,"NTIME"))</f>
        <v>0</v>
      </c>
      <c r="Y150" s="1" t="n">
        <f aca="false">IF(W150="",0,SUMIFS($I$7:$I$256,$D$7:$D$256,W150,$H$7:$H$256,"P6"))</f>
        <v>0</v>
      </c>
      <c r="Z150" s="1" t="n">
        <f aca="false">X150+Y150</f>
        <v>0</v>
      </c>
      <c r="AA150" s="1" t="n">
        <f aca="false">IF(Z150&gt;0,Z150+(201-144)/10^6,0)</f>
        <v>0</v>
      </c>
      <c r="AB150" s="1"/>
      <c r="AC150" s="1"/>
      <c r="AD150" s="1"/>
      <c r="AE150" s="1"/>
      <c r="AF150" s="1"/>
      <c r="AG150" s="1"/>
      <c r="AH150" s="1"/>
    </row>
    <row r="151" customFormat="false" ht="15" hidden="false" customHeight="false" outlineLevel="0" collapsed="false">
      <c r="A151" s="1"/>
      <c r="B151" s="10"/>
      <c r="C151" s="31" t="str">
        <f aca="false">IF(B151="","",TEXT(B151,"ddd"))</f>
        <v/>
      </c>
      <c r="D151" s="11"/>
      <c r="E151" s="8" t="str">
        <f aca="false">IF(D151="","",IFERROR(INDEX(ProjNumbers,MATCH(D151,ProjNames,0)),""))</f>
        <v/>
      </c>
      <c r="F151" s="8" t="str">
        <f aca="false">IF(D151="","",IFERROR(INDEX(ProjCodes,MATCH(D151,ProjNames,0)),""))</f>
        <v/>
      </c>
      <c r="G151" s="32"/>
      <c r="H151" s="11"/>
      <c r="I151" s="33"/>
      <c r="J151" s="8" t="str">
        <f aca="false">IF(COUNTA(B151,D151,G151,H151,I151)=0,"",IF(B151="","Enter date",IF(OR(B151&lt;$AC$2,B151&gt;$AC$3),"Date not in December",IF(D151="","Pick project",IF(ISNA(MATCH(D151,ProjNames,0)),"Project not in list",IF(G151="","Add task description",IF(H151="","Pick NTIME or P6",IF(N(I151)&lt;=0,"Enter hours",IF(AND(AllowOT&lt;&gt;"Yes",SUMIF($B$7:$B$256,B151,$I$7:$I$256)&gt;INDEX($O$58:$O$88,DAY(B151))),"Day over "&amp;INDEX($O$58:$O$88,DAY(B151))&amp;" h","✓")))))))))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tr">
        <f aca="false">IF(Projects!B149="","",Projects!B149)</f>
        <v/>
      </c>
      <c r="X151" s="1" t="n">
        <f aca="false">IF(W151="",0,SUMIFS($I$7:$I$256,$D$7:$D$256,W151,$H$7:$H$256,"NTIME"))</f>
        <v>0</v>
      </c>
      <c r="Y151" s="1" t="n">
        <f aca="false">IF(W151="",0,SUMIFS($I$7:$I$256,$D$7:$D$256,W151,$H$7:$H$256,"P6"))</f>
        <v>0</v>
      </c>
      <c r="Z151" s="1" t="n">
        <f aca="false">X151+Y151</f>
        <v>0</v>
      </c>
      <c r="AA151" s="1" t="n">
        <f aca="false">IF(Z151&gt;0,Z151+(201-145)/10^6,0)</f>
        <v>0</v>
      </c>
      <c r="AB151" s="1"/>
      <c r="AC151" s="1"/>
      <c r="AD151" s="1"/>
      <c r="AE151" s="1"/>
      <c r="AF151" s="1"/>
      <c r="AG151" s="1"/>
      <c r="AH151" s="1"/>
    </row>
    <row r="152" customFormat="false" ht="15" hidden="false" customHeight="false" outlineLevel="0" collapsed="false">
      <c r="A152" s="1"/>
      <c r="B152" s="10"/>
      <c r="C152" s="31" t="str">
        <f aca="false">IF(B152="","",TEXT(B152,"ddd"))</f>
        <v/>
      </c>
      <c r="D152" s="11"/>
      <c r="E152" s="8" t="str">
        <f aca="false">IF(D152="","",IFERROR(INDEX(ProjNumbers,MATCH(D152,ProjNames,0)),""))</f>
        <v/>
      </c>
      <c r="F152" s="8" t="str">
        <f aca="false">IF(D152="","",IFERROR(INDEX(ProjCodes,MATCH(D152,ProjNames,0)),""))</f>
        <v/>
      </c>
      <c r="G152" s="32"/>
      <c r="H152" s="11"/>
      <c r="I152" s="33"/>
      <c r="J152" s="8" t="str">
        <f aca="false">IF(COUNTA(B152,D152,G152,H152,I152)=0,"",IF(B152="","Enter date",IF(OR(B152&lt;$AC$2,B152&gt;$AC$3),"Date not in December",IF(D152="","Pick project",IF(ISNA(MATCH(D152,ProjNames,0)),"Project not in list",IF(G152="","Add task description",IF(H152="","Pick NTIME or P6",IF(N(I152)&lt;=0,"Enter hours",IF(AND(AllowOT&lt;&gt;"Yes",SUMIF($B$7:$B$256,B152,$I$7:$I$256)&gt;INDEX($O$58:$O$88,DAY(B152))),"Day over "&amp;INDEX($O$58:$O$88,DAY(B152))&amp;" h","✓")))))))))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tr">
        <f aca="false">IF(Projects!B150="","",Projects!B150)</f>
        <v/>
      </c>
      <c r="X152" s="1" t="n">
        <f aca="false">IF(W152="",0,SUMIFS($I$7:$I$256,$D$7:$D$256,W152,$H$7:$H$256,"NTIME"))</f>
        <v>0</v>
      </c>
      <c r="Y152" s="1" t="n">
        <f aca="false">IF(W152="",0,SUMIFS($I$7:$I$256,$D$7:$D$256,W152,$H$7:$H$256,"P6"))</f>
        <v>0</v>
      </c>
      <c r="Z152" s="1" t="n">
        <f aca="false">X152+Y152</f>
        <v>0</v>
      </c>
      <c r="AA152" s="1" t="n">
        <f aca="false">IF(Z152&gt;0,Z152+(201-146)/10^6,0)</f>
        <v>0</v>
      </c>
      <c r="AB152" s="1"/>
      <c r="AC152" s="1"/>
      <c r="AD152" s="1"/>
      <c r="AE152" s="1"/>
      <c r="AF152" s="1"/>
      <c r="AG152" s="1"/>
      <c r="AH152" s="1"/>
    </row>
    <row r="153" customFormat="false" ht="15" hidden="false" customHeight="false" outlineLevel="0" collapsed="false">
      <c r="A153" s="1"/>
      <c r="B153" s="10"/>
      <c r="C153" s="31" t="str">
        <f aca="false">IF(B153="","",TEXT(B153,"ddd"))</f>
        <v/>
      </c>
      <c r="D153" s="11"/>
      <c r="E153" s="8" t="str">
        <f aca="false">IF(D153="","",IFERROR(INDEX(ProjNumbers,MATCH(D153,ProjNames,0)),""))</f>
        <v/>
      </c>
      <c r="F153" s="8" t="str">
        <f aca="false">IF(D153="","",IFERROR(INDEX(ProjCodes,MATCH(D153,ProjNames,0)),""))</f>
        <v/>
      </c>
      <c r="G153" s="32"/>
      <c r="H153" s="11"/>
      <c r="I153" s="33"/>
      <c r="J153" s="8" t="str">
        <f aca="false">IF(COUNTA(B153,D153,G153,H153,I153)=0,"",IF(B153="","Enter date",IF(OR(B153&lt;$AC$2,B153&gt;$AC$3),"Date not in December",IF(D153="","Pick project",IF(ISNA(MATCH(D153,ProjNames,0)),"Project not in list",IF(G153="","Add task description",IF(H153="","Pick NTIME or P6",IF(N(I153)&lt;=0,"Enter hours",IF(AND(AllowOT&lt;&gt;"Yes",SUMIF($B$7:$B$256,B153,$I$7:$I$256)&gt;INDEX($O$58:$O$88,DAY(B153))),"Day over "&amp;INDEX($O$58:$O$88,DAY(B153))&amp;" h","✓")))))))))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tr">
        <f aca="false">IF(Projects!B151="","",Projects!B151)</f>
        <v/>
      </c>
      <c r="X153" s="1" t="n">
        <f aca="false">IF(W153="",0,SUMIFS($I$7:$I$256,$D$7:$D$256,W153,$H$7:$H$256,"NTIME"))</f>
        <v>0</v>
      </c>
      <c r="Y153" s="1" t="n">
        <f aca="false">IF(W153="",0,SUMIFS($I$7:$I$256,$D$7:$D$256,W153,$H$7:$H$256,"P6"))</f>
        <v>0</v>
      </c>
      <c r="Z153" s="1" t="n">
        <f aca="false">X153+Y153</f>
        <v>0</v>
      </c>
      <c r="AA153" s="1" t="n">
        <f aca="false">IF(Z153&gt;0,Z153+(201-147)/10^6,0)</f>
        <v>0</v>
      </c>
      <c r="AB153" s="1"/>
      <c r="AC153" s="1"/>
      <c r="AD153" s="1"/>
      <c r="AE153" s="1"/>
      <c r="AF153" s="1"/>
      <c r="AG153" s="1"/>
      <c r="AH153" s="1"/>
    </row>
    <row r="154" customFormat="false" ht="15" hidden="false" customHeight="false" outlineLevel="0" collapsed="false">
      <c r="A154" s="1"/>
      <c r="B154" s="10"/>
      <c r="C154" s="31" t="str">
        <f aca="false">IF(B154="","",TEXT(B154,"ddd"))</f>
        <v/>
      </c>
      <c r="D154" s="11"/>
      <c r="E154" s="8" t="str">
        <f aca="false">IF(D154="","",IFERROR(INDEX(ProjNumbers,MATCH(D154,ProjNames,0)),""))</f>
        <v/>
      </c>
      <c r="F154" s="8" t="str">
        <f aca="false">IF(D154="","",IFERROR(INDEX(ProjCodes,MATCH(D154,ProjNames,0)),""))</f>
        <v/>
      </c>
      <c r="G154" s="32"/>
      <c r="H154" s="11"/>
      <c r="I154" s="33"/>
      <c r="J154" s="8" t="str">
        <f aca="false">IF(COUNTA(B154,D154,G154,H154,I154)=0,"",IF(B154="","Enter date",IF(OR(B154&lt;$AC$2,B154&gt;$AC$3),"Date not in December",IF(D154="","Pick project",IF(ISNA(MATCH(D154,ProjNames,0)),"Project not in list",IF(G154="","Add task description",IF(H154="","Pick NTIME or P6",IF(N(I154)&lt;=0,"Enter hours",IF(AND(AllowOT&lt;&gt;"Yes",SUMIF($B$7:$B$256,B154,$I$7:$I$256)&gt;INDEX($O$58:$O$88,DAY(B154))),"Day over "&amp;INDEX($O$58:$O$88,DAY(B154))&amp;" h","✓")))))))))</f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tr">
        <f aca="false">IF(Projects!B152="","",Projects!B152)</f>
        <v/>
      </c>
      <c r="X154" s="1" t="n">
        <f aca="false">IF(W154="",0,SUMIFS($I$7:$I$256,$D$7:$D$256,W154,$H$7:$H$256,"NTIME"))</f>
        <v>0</v>
      </c>
      <c r="Y154" s="1" t="n">
        <f aca="false">IF(W154="",0,SUMIFS($I$7:$I$256,$D$7:$D$256,W154,$H$7:$H$256,"P6"))</f>
        <v>0</v>
      </c>
      <c r="Z154" s="1" t="n">
        <f aca="false">X154+Y154</f>
        <v>0</v>
      </c>
      <c r="AA154" s="1" t="n">
        <f aca="false">IF(Z154&gt;0,Z154+(201-148)/10^6,0)</f>
        <v>0</v>
      </c>
      <c r="AB154" s="1"/>
      <c r="AC154" s="1"/>
      <c r="AD154" s="1"/>
      <c r="AE154" s="1"/>
      <c r="AF154" s="1"/>
      <c r="AG154" s="1"/>
      <c r="AH154" s="1"/>
    </row>
    <row r="155" customFormat="false" ht="15" hidden="false" customHeight="false" outlineLevel="0" collapsed="false">
      <c r="A155" s="1"/>
      <c r="B155" s="10"/>
      <c r="C155" s="31" t="str">
        <f aca="false">IF(B155="","",TEXT(B155,"ddd"))</f>
        <v/>
      </c>
      <c r="D155" s="11"/>
      <c r="E155" s="8" t="str">
        <f aca="false">IF(D155="","",IFERROR(INDEX(ProjNumbers,MATCH(D155,ProjNames,0)),""))</f>
        <v/>
      </c>
      <c r="F155" s="8" t="str">
        <f aca="false">IF(D155="","",IFERROR(INDEX(ProjCodes,MATCH(D155,ProjNames,0)),""))</f>
        <v/>
      </c>
      <c r="G155" s="32"/>
      <c r="H155" s="11"/>
      <c r="I155" s="33"/>
      <c r="J155" s="8" t="str">
        <f aca="false">IF(COUNTA(B155,D155,G155,H155,I155)=0,"",IF(B155="","Enter date",IF(OR(B155&lt;$AC$2,B155&gt;$AC$3),"Date not in December",IF(D155="","Pick project",IF(ISNA(MATCH(D155,ProjNames,0)),"Project not in list",IF(G155="","Add task description",IF(H155="","Pick NTIME or P6",IF(N(I155)&lt;=0,"Enter hours",IF(AND(AllowOT&lt;&gt;"Yes",SUMIF($B$7:$B$256,B155,$I$7:$I$256)&gt;INDEX($O$58:$O$88,DAY(B155))),"Day over "&amp;INDEX($O$58:$O$88,DAY(B155))&amp;" h","✓")))))))))</f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tr">
        <f aca="false">IF(Projects!B153="","",Projects!B153)</f>
        <v/>
      </c>
      <c r="X155" s="1" t="n">
        <f aca="false">IF(W155="",0,SUMIFS($I$7:$I$256,$D$7:$D$256,W155,$H$7:$H$256,"NTIME"))</f>
        <v>0</v>
      </c>
      <c r="Y155" s="1" t="n">
        <f aca="false">IF(W155="",0,SUMIFS($I$7:$I$256,$D$7:$D$256,W155,$H$7:$H$256,"P6"))</f>
        <v>0</v>
      </c>
      <c r="Z155" s="1" t="n">
        <f aca="false">X155+Y155</f>
        <v>0</v>
      </c>
      <c r="AA155" s="1" t="n">
        <f aca="false">IF(Z155&gt;0,Z155+(201-149)/10^6,0)</f>
        <v>0</v>
      </c>
      <c r="AB155" s="1"/>
      <c r="AC155" s="1"/>
      <c r="AD155" s="1"/>
      <c r="AE155" s="1"/>
      <c r="AF155" s="1"/>
      <c r="AG155" s="1"/>
      <c r="AH155" s="1"/>
    </row>
    <row r="156" customFormat="false" ht="15" hidden="false" customHeight="false" outlineLevel="0" collapsed="false">
      <c r="A156" s="1"/>
      <c r="B156" s="10"/>
      <c r="C156" s="31" t="str">
        <f aca="false">IF(B156="","",TEXT(B156,"ddd"))</f>
        <v/>
      </c>
      <c r="D156" s="11"/>
      <c r="E156" s="8" t="str">
        <f aca="false">IF(D156="","",IFERROR(INDEX(ProjNumbers,MATCH(D156,ProjNames,0)),""))</f>
        <v/>
      </c>
      <c r="F156" s="8" t="str">
        <f aca="false">IF(D156="","",IFERROR(INDEX(ProjCodes,MATCH(D156,ProjNames,0)),""))</f>
        <v/>
      </c>
      <c r="G156" s="32"/>
      <c r="H156" s="11"/>
      <c r="I156" s="33"/>
      <c r="J156" s="8" t="str">
        <f aca="false">IF(COUNTA(B156,D156,G156,H156,I156)=0,"",IF(B156="","Enter date",IF(OR(B156&lt;$AC$2,B156&gt;$AC$3),"Date not in December",IF(D156="","Pick project",IF(ISNA(MATCH(D156,ProjNames,0)),"Project not in list",IF(G156="","Add task description",IF(H156="","Pick NTIME or P6",IF(N(I156)&lt;=0,"Enter hours",IF(AND(AllowOT&lt;&gt;"Yes",SUMIF($B$7:$B$256,B156,$I$7:$I$256)&gt;INDEX($O$58:$O$88,DAY(B156))),"Day over "&amp;INDEX($O$58:$O$88,DAY(B156))&amp;" h","✓")))))))))</f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tr">
        <f aca="false">IF(Projects!B154="","",Projects!B154)</f>
        <v/>
      </c>
      <c r="X156" s="1" t="n">
        <f aca="false">IF(W156="",0,SUMIFS($I$7:$I$256,$D$7:$D$256,W156,$H$7:$H$256,"NTIME"))</f>
        <v>0</v>
      </c>
      <c r="Y156" s="1" t="n">
        <f aca="false">IF(W156="",0,SUMIFS($I$7:$I$256,$D$7:$D$256,W156,$H$7:$H$256,"P6"))</f>
        <v>0</v>
      </c>
      <c r="Z156" s="1" t="n">
        <f aca="false">X156+Y156</f>
        <v>0</v>
      </c>
      <c r="AA156" s="1" t="n">
        <f aca="false">IF(Z156&gt;0,Z156+(201-150)/10^6,0)</f>
        <v>0</v>
      </c>
      <c r="AB156" s="1"/>
      <c r="AC156" s="1"/>
      <c r="AD156" s="1"/>
      <c r="AE156" s="1"/>
      <c r="AF156" s="1"/>
      <c r="AG156" s="1"/>
      <c r="AH156" s="1"/>
    </row>
    <row r="157" customFormat="false" ht="15" hidden="false" customHeight="false" outlineLevel="0" collapsed="false">
      <c r="A157" s="1"/>
      <c r="B157" s="10"/>
      <c r="C157" s="31" t="str">
        <f aca="false">IF(B157="","",TEXT(B157,"ddd"))</f>
        <v/>
      </c>
      <c r="D157" s="11"/>
      <c r="E157" s="8" t="str">
        <f aca="false">IF(D157="","",IFERROR(INDEX(ProjNumbers,MATCH(D157,ProjNames,0)),""))</f>
        <v/>
      </c>
      <c r="F157" s="8" t="str">
        <f aca="false">IF(D157="","",IFERROR(INDEX(ProjCodes,MATCH(D157,ProjNames,0)),""))</f>
        <v/>
      </c>
      <c r="G157" s="32"/>
      <c r="H157" s="11"/>
      <c r="I157" s="33"/>
      <c r="J157" s="8" t="str">
        <f aca="false">IF(COUNTA(B157,D157,G157,H157,I157)=0,"",IF(B157="","Enter date",IF(OR(B157&lt;$AC$2,B157&gt;$AC$3),"Date not in December",IF(D157="","Pick project",IF(ISNA(MATCH(D157,ProjNames,0)),"Project not in list",IF(G157="","Add task description",IF(H157="","Pick NTIME or P6",IF(N(I157)&lt;=0,"Enter hours",IF(AND(AllowOT&lt;&gt;"Yes",SUMIF($B$7:$B$256,B157,$I$7:$I$256)&gt;INDEX($O$58:$O$88,DAY(B157))),"Day over "&amp;INDEX($O$58:$O$88,DAY(B157))&amp;" h","✓")))))))))</f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tr">
        <f aca="false">IF(Projects!B155="","",Projects!B155)</f>
        <v/>
      </c>
      <c r="X157" s="1" t="n">
        <f aca="false">IF(W157="",0,SUMIFS($I$7:$I$256,$D$7:$D$256,W157,$H$7:$H$256,"NTIME"))</f>
        <v>0</v>
      </c>
      <c r="Y157" s="1" t="n">
        <f aca="false">IF(W157="",0,SUMIFS($I$7:$I$256,$D$7:$D$256,W157,$H$7:$H$256,"P6"))</f>
        <v>0</v>
      </c>
      <c r="Z157" s="1" t="n">
        <f aca="false">X157+Y157</f>
        <v>0</v>
      </c>
      <c r="AA157" s="1" t="n">
        <f aca="false">IF(Z157&gt;0,Z157+(201-151)/10^6,0)</f>
        <v>0</v>
      </c>
      <c r="AB157" s="1"/>
      <c r="AC157" s="1"/>
      <c r="AD157" s="1"/>
      <c r="AE157" s="1"/>
      <c r="AF157" s="1"/>
      <c r="AG157" s="1"/>
      <c r="AH157" s="1"/>
    </row>
    <row r="158" customFormat="false" ht="15" hidden="false" customHeight="false" outlineLevel="0" collapsed="false">
      <c r="A158" s="1"/>
      <c r="B158" s="10"/>
      <c r="C158" s="31" t="str">
        <f aca="false">IF(B158="","",TEXT(B158,"ddd"))</f>
        <v/>
      </c>
      <c r="D158" s="11"/>
      <c r="E158" s="8" t="str">
        <f aca="false">IF(D158="","",IFERROR(INDEX(ProjNumbers,MATCH(D158,ProjNames,0)),""))</f>
        <v/>
      </c>
      <c r="F158" s="8" t="str">
        <f aca="false">IF(D158="","",IFERROR(INDEX(ProjCodes,MATCH(D158,ProjNames,0)),""))</f>
        <v/>
      </c>
      <c r="G158" s="32"/>
      <c r="H158" s="11"/>
      <c r="I158" s="33"/>
      <c r="J158" s="8" t="str">
        <f aca="false">IF(COUNTA(B158,D158,G158,H158,I158)=0,"",IF(B158="","Enter date",IF(OR(B158&lt;$AC$2,B158&gt;$AC$3),"Date not in December",IF(D158="","Pick project",IF(ISNA(MATCH(D158,ProjNames,0)),"Project not in list",IF(G158="","Add task description",IF(H158="","Pick NTIME or P6",IF(N(I158)&lt;=0,"Enter hours",IF(AND(AllowOT&lt;&gt;"Yes",SUMIF($B$7:$B$256,B158,$I$7:$I$256)&gt;INDEX($O$58:$O$88,DAY(B158))),"Day over "&amp;INDEX($O$58:$O$88,DAY(B158))&amp;" h","✓")))))))))</f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tr">
        <f aca="false">IF(Projects!B156="","",Projects!B156)</f>
        <v/>
      </c>
      <c r="X158" s="1" t="n">
        <f aca="false">IF(W158="",0,SUMIFS($I$7:$I$256,$D$7:$D$256,W158,$H$7:$H$256,"NTIME"))</f>
        <v>0</v>
      </c>
      <c r="Y158" s="1" t="n">
        <f aca="false">IF(W158="",0,SUMIFS($I$7:$I$256,$D$7:$D$256,W158,$H$7:$H$256,"P6"))</f>
        <v>0</v>
      </c>
      <c r="Z158" s="1" t="n">
        <f aca="false">X158+Y158</f>
        <v>0</v>
      </c>
      <c r="AA158" s="1" t="n">
        <f aca="false">IF(Z158&gt;0,Z158+(201-152)/10^6,0)</f>
        <v>0</v>
      </c>
      <c r="AB158" s="1"/>
      <c r="AC158" s="1"/>
      <c r="AD158" s="1"/>
      <c r="AE158" s="1"/>
      <c r="AF158" s="1"/>
      <c r="AG158" s="1"/>
      <c r="AH158" s="1"/>
    </row>
    <row r="159" customFormat="false" ht="15" hidden="false" customHeight="false" outlineLevel="0" collapsed="false">
      <c r="A159" s="1"/>
      <c r="B159" s="10"/>
      <c r="C159" s="31" t="str">
        <f aca="false">IF(B159="","",TEXT(B159,"ddd"))</f>
        <v/>
      </c>
      <c r="D159" s="11"/>
      <c r="E159" s="8" t="str">
        <f aca="false">IF(D159="","",IFERROR(INDEX(ProjNumbers,MATCH(D159,ProjNames,0)),""))</f>
        <v/>
      </c>
      <c r="F159" s="8" t="str">
        <f aca="false">IF(D159="","",IFERROR(INDEX(ProjCodes,MATCH(D159,ProjNames,0)),""))</f>
        <v/>
      </c>
      <c r="G159" s="32"/>
      <c r="H159" s="11"/>
      <c r="I159" s="33"/>
      <c r="J159" s="8" t="str">
        <f aca="false">IF(COUNTA(B159,D159,G159,H159,I159)=0,"",IF(B159="","Enter date",IF(OR(B159&lt;$AC$2,B159&gt;$AC$3),"Date not in December",IF(D159="","Pick project",IF(ISNA(MATCH(D159,ProjNames,0)),"Project not in list",IF(G159="","Add task description",IF(H159="","Pick NTIME or P6",IF(N(I159)&lt;=0,"Enter hours",IF(AND(AllowOT&lt;&gt;"Yes",SUMIF($B$7:$B$256,B159,$I$7:$I$256)&gt;INDEX($O$58:$O$88,DAY(B159))),"Day over "&amp;INDEX($O$58:$O$88,DAY(B159))&amp;" h","✓")))))))))</f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tr">
        <f aca="false">IF(Projects!B157="","",Projects!B157)</f>
        <v/>
      </c>
      <c r="X159" s="1" t="n">
        <f aca="false">IF(W159="",0,SUMIFS($I$7:$I$256,$D$7:$D$256,W159,$H$7:$H$256,"NTIME"))</f>
        <v>0</v>
      </c>
      <c r="Y159" s="1" t="n">
        <f aca="false">IF(W159="",0,SUMIFS($I$7:$I$256,$D$7:$D$256,W159,$H$7:$H$256,"P6"))</f>
        <v>0</v>
      </c>
      <c r="Z159" s="1" t="n">
        <f aca="false">X159+Y159</f>
        <v>0</v>
      </c>
      <c r="AA159" s="1" t="n">
        <f aca="false">IF(Z159&gt;0,Z159+(201-153)/10^6,0)</f>
        <v>0</v>
      </c>
      <c r="AB159" s="1"/>
      <c r="AC159" s="1"/>
      <c r="AD159" s="1"/>
      <c r="AE159" s="1"/>
      <c r="AF159" s="1"/>
      <c r="AG159" s="1"/>
      <c r="AH159" s="1"/>
    </row>
    <row r="160" customFormat="false" ht="15" hidden="false" customHeight="false" outlineLevel="0" collapsed="false">
      <c r="A160" s="1"/>
      <c r="B160" s="10"/>
      <c r="C160" s="31" t="str">
        <f aca="false">IF(B160="","",TEXT(B160,"ddd"))</f>
        <v/>
      </c>
      <c r="D160" s="11"/>
      <c r="E160" s="8" t="str">
        <f aca="false">IF(D160="","",IFERROR(INDEX(ProjNumbers,MATCH(D160,ProjNames,0)),""))</f>
        <v/>
      </c>
      <c r="F160" s="8" t="str">
        <f aca="false">IF(D160="","",IFERROR(INDEX(ProjCodes,MATCH(D160,ProjNames,0)),""))</f>
        <v/>
      </c>
      <c r="G160" s="32"/>
      <c r="H160" s="11"/>
      <c r="I160" s="33"/>
      <c r="J160" s="8" t="str">
        <f aca="false">IF(COUNTA(B160,D160,G160,H160,I160)=0,"",IF(B160="","Enter date",IF(OR(B160&lt;$AC$2,B160&gt;$AC$3),"Date not in December",IF(D160="","Pick project",IF(ISNA(MATCH(D160,ProjNames,0)),"Project not in list",IF(G160="","Add task description",IF(H160="","Pick NTIME or P6",IF(N(I160)&lt;=0,"Enter hours",IF(AND(AllowOT&lt;&gt;"Yes",SUMIF($B$7:$B$256,B160,$I$7:$I$256)&gt;INDEX($O$58:$O$88,DAY(B160))),"Day over "&amp;INDEX($O$58:$O$88,DAY(B160))&amp;" h","✓")))))))))</f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tr">
        <f aca="false">IF(Projects!B158="","",Projects!B158)</f>
        <v/>
      </c>
      <c r="X160" s="1" t="n">
        <f aca="false">IF(W160="",0,SUMIFS($I$7:$I$256,$D$7:$D$256,W160,$H$7:$H$256,"NTIME"))</f>
        <v>0</v>
      </c>
      <c r="Y160" s="1" t="n">
        <f aca="false">IF(W160="",0,SUMIFS($I$7:$I$256,$D$7:$D$256,W160,$H$7:$H$256,"P6"))</f>
        <v>0</v>
      </c>
      <c r="Z160" s="1" t="n">
        <f aca="false">X160+Y160</f>
        <v>0</v>
      </c>
      <c r="AA160" s="1" t="n">
        <f aca="false">IF(Z160&gt;0,Z160+(201-154)/10^6,0)</f>
        <v>0</v>
      </c>
      <c r="AB160" s="1"/>
      <c r="AC160" s="1"/>
      <c r="AD160" s="1"/>
      <c r="AE160" s="1"/>
      <c r="AF160" s="1"/>
      <c r="AG160" s="1"/>
      <c r="AH160" s="1"/>
    </row>
    <row r="161" customFormat="false" ht="15" hidden="false" customHeight="false" outlineLevel="0" collapsed="false">
      <c r="A161" s="1"/>
      <c r="B161" s="10"/>
      <c r="C161" s="31" t="str">
        <f aca="false">IF(B161="","",TEXT(B161,"ddd"))</f>
        <v/>
      </c>
      <c r="D161" s="11"/>
      <c r="E161" s="8" t="str">
        <f aca="false">IF(D161="","",IFERROR(INDEX(ProjNumbers,MATCH(D161,ProjNames,0)),""))</f>
        <v/>
      </c>
      <c r="F161" s="8" t="str">
        <f aca="false">IF(D161="","",IFERROR(INDEX(ProjCodes,MATCH(D161,ProjNames,0)),""))</f>
        <v/>
      </c>
      <c r="G161" s="32"/>
      <c r="H161" s="11"/>
      <c r="I161" s="33"/>
      <c r="J161" s="8" t="str">
        <f aca="false">IF(COUNTA(B161,D161,G161,H161,I161)=0,"",IF(B161="","Enter date",IF(OR(B161&lt;$AC$2,B161&gt;$AC$3),"Date not in December",IF(D161="","Pick project",IF(ISNA(MATCH(D161,ProjNames,0)),"Project not in list",IF(G161="","Add task description",IF(H161="","Pick NTIME or P6",IF(N(I161)&lt;=0,"Enter hours",IF(AND(AllowOT&lt;&gt;"Yes",SUMIF($B$7:$B$256,B161,$I$7:$I$256)&gt;INDEX($O$58:$O$88,DAY(B161))),"Day over "&amp;INDEX($O$58:$O$88,DAY(B161))&amp;" h","✓")))))))))</f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tr">
        <f aca="false">IF(Projects!B159="","",Projects!B159)</f>
        <v/>
      </c>
      <c r="X161" s="1" t="n">
        <f aca="false">IF(W161="",0,SUMIFS($I$7:$I$256,$D$7:$D$256,W161,$H$7:$H$256,"NTIME"))</f>
        <v>0</v>
      </c>
      <c r="Y161" s="1" t="n">
        <f aca="false">IF(W161="",0,SUMIFS($I$7:$I$256,$D$7:$D$256,W161,$H$7:$H$256,"P6"))</f>
        <v>0</v>
      </c>
      <c r="Z161" s="1" t="n">
        <f aca="false">X161+Y161</f>
        <v>0</v>
      </c>
      <c r="AA161" s="1" t="n">
        <f aca="false">IF(Z161&gt;0,Z161+(201-155)/10^6,0)</f>
        <v>0</v>
      </c>
      <c r="AB161" s="1"/>
      <c r="AC161" s="1"/>
      <c r="AD161" s="1"/>
      <c r="AE161" s="1"/>
      <c r="AF161" s="1"/>
      <c r="AG161" s="1"/>
      <c r="AH161" s="1"/>
    </row>
    <row r="162" customFormat="false" ht="15" hidden="false" customHeight="false" outlineLevel="0" collapsed="false">
      <c r="A162" s="1"/>
      <c r="B162" s="10"/>
      <c r="C162" s="31" t="str">
        <f aca="false">IF(B162="","",TEXT(B162,"ddd"))</f>
        <v/>
      </c>
      <c r="D162" s="11"/>
      <c r="E162" s="8" t="str">
        <f aca="false">IF(D162="","",IFERROR(INDEX(ProjNumbers,MATCH(D162,ProjNames,0)),""))</f>
        <v/>
      </c>
      <c r="F162" s="8" t="str">
        <f aca="false">IF(D162="","",IFERROR(INDEX(ProjCodes,MATCH(D162,ProjNames,0)),""))</f>
        <v/>
      </c>
      <c r="G162" s="32"/>
      <c r="H162" s="11"/>
      <c r="I162" s="33"/>
      <c r="J162" s="8" t="str">
        <f aca="false">IF(COUNTA(B162,D162,G162,H162,I162)=0,"",IF(B162="","Enter date",IF(OR(B162&lt;$AC$2,B162&gt;$AC$3),"Date not in December",IF(D162="","Pick project",IF(ISNA(MATCH(D162,ProjNames,0)),"Project not in list",IF(G162="","Add task description",IF(H162="","Pick NTIME or P6",IF(N(I162)&lt;=0,"Enter hours",IF(AND(AllowOT&lt;&gt;"Yes",SUMIF($B$7:$B$256,B162,$I$7:$I$256)&gt;INDEX($O$58:$O$88,DAY(B162))),"Day over "&amp;INDEX($O$58:$O$88,DAY(B162))&amp;" h","✓")))))))))</f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tr">
        <f aca="false">IF(Projects!B160="","",Projects!B160)</f>
        <v/>
      </c>
      <c r="X162" s="1" t="n">
        <f aca="false">IF(W162="",0,SUMIFS($I$7:$I$256,$D$7:$D$256,W162,$H$7:$H$256,"NTIME"))</f>
        <v>0</v>
      </c>
      <c r="Y162" s="1" t="n">
        <f aca="false">IF(W162="",0,SUMIFS($I$7:$I$256,$D$7:$D$256,W162,$H$7:$H$256,"P6"))</f>
        <v>0</v>
      </c>
      <c r="Z162" s="1" t="n">
        <f aca="false">X162+Y162</f>
        <v>0</v>
      </c>
      <c r="AA162" s="1" t="n">
        <f aca="false">IF(Z162&gt;0,Z162+(201-156)/10^6,0)</f>
        <v>0</v>
      </c>
      <c r="AB162" s="1"/>
      <c r="AC162" s="1"/>
      <c r="AD162" s="1"/>
      <c r="AE162" s="1"/>
      <c r="AF162" s="1"/>
      <c r="AG162" s="1"/>
      <c r="AH162" s="1"/>
    </row>
    <row r="163" customFormat="false" ht="15" hidden="false" customHeight="false" outlineLevel="0" collapsed="false">
      <c r="A163" s="1"/>
      <c r="B163" s="10"/>
      <c r="C163" s="31" t="str">
        <f aca="false">IF(B163="","",TEXT(B163,"ddd"))</f>
        <v/>
      </c>
      <c r="D163" s="11"/>
      <c r="E163" s="8" t="str">
        <f aca="false">IF(D163="","",IFERROR(INDEX(ProjNumbers,MATCH(D163,ProjNames,0)),""))</f>
        <v/>
      </c>
      <c r="F163" s="8" t="str">
        <f aca="false">IF(D163="","",IFERROR(INDEX(ProjCodes,MATCH(D163,ProjNames,0)),""))</f>
        <v/>
      </c>
      <c r="G163" s="32"/>
      <c r="H163" s="11"/>
      <c r="I163" s="33"/>
      <c r="J163" s="8" t="str">
        <f aca="false">IF(COUNTA(B163,D163,G163,H163,I163)=0,"",IF(B163="","Enter date",IF(OR(B163&lt;$AC$2,B163&gt;$AC$3),"Date not in December",IF(D163="","Pick project",IF(ISNA(MATCH(D163,ProjNames,0)),"Project not in list",IF(G163="","Add task description",IF(H163="","Pick NTIME or P6",IF(N(I163)&lt;=0,"Enter hours",IF(AND(AllowOT&lt;&gt;"Yes",SUMIF($B$7:$B$256,B163,$I$7:$I$256)&gt;INDEX($O$58:$O$88,DAY(B163))),"Day over "&amp;INDEX($O$58:$O$88,DAY(B163))&amp;" h","✓")))))))))</f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tr">
        <f aca="false">IF(Projects!B161="","",Projects!B161)</f>
        <v/>
      </c>
      <c r="X163" s="1" t="n">
        <f aca="false">IF(W163="",0,SUMIFS($I$7:$I$256,$D$7:$D$256,W163,$H$7:$H$256,"NTIME"))</f>
        <v>0</v>
      </c>
      <c r="Y163" s="1" t="n">
        <f aca="false">IF(W163="",0,SUMIFS($I$7:$I$256,$D$7:$D$256,W163,$H$7:$H$256,"P6"))</f>
        <v>0</v>
      </c>
      <c r="Z163" s="1" t="n">
        <f aca="false">X163+Y163</f>
        <v>0</v>
      </c>
      <c r="AA163" s="1" t="n">
        <f aca="false">IF(Z163&gt;0,Z163+(201-157)/10^6,0)</f>
        <v>0</v>
      </c>
      <c r="AB163" s="1"/>
      <c r="AC163" s="1"/>
      <c r="AD163" s="1"/>
      <c r="AE163" s="1"/>
      <c r="AF163" s="1"/>
      <c r="AG163" s="1"/>
      <c r="AH163" s="1"/>
    </row>
    <row r="164" customFormat="false" ht="15" hidden="false" customHeight="false" outlineLevel="0" collapsed="false">
      <c r="A164" s="1"/>
      <c r="B164" s="10"/>
      <c r="C164" s="31" t="str">
        <f aca="false">IF(B164="","",TEXT(B164,"ddd"))</f>
        <v/>
      </c>
      <c r="D164" s="11"/>
      <c r="E164" s="8" t="str">
        <f aca="false">IF(D164="","",IFERROR(INDEX(ProjNumbers,MATCH(D164,ProjNames,0)),""))</f>
        <v/>
      </c>
      <c r="F164" s="8" t="str">
        <f aca="false">IF(D164="","",IFERROR(INDEX(ProjCodes,MATCH(D164,ProjNames,0)),""))</f>
        <v/>
      </c>
      <c r="G164" s="32"/>
      <c r="H164" s="11"/>
      <c r="I164" s="33"/>
      <c r="J164" s="8" t="str">
        <f aca="false">IF(COUNTA(B164,D164,G164,H164,I164)=0,"",IF(B164="","Enter date",IF(OR(B164&lt;$AC$2,B164&gt;$AC$3),"Date not in December",IF(D164="","Pick project",IF(ISNA(MATCH(D164,ProjNames,0)),"Project not in list",IF(G164="","Add task description",IF(H164="","Pick NTIME or P6",IF(N(I164)&lt;=0,"Enter hours",IF(AND(AllowOT&lt;&gt;"Yes",SUMIF($B$7:$B$256,B164,$I$7:$I$256)&gt;INDEX($O$58:$O$88,DAY(B164))),"Day over "&amp;INDEX($O$58:$O$88,DAY(B164))&amp;" h","✓")))))))))</f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tr">
        <f aca="false">IF(Projects!B162="","",Projects!B162)</f>
        <v/>
      </c>
      <c r="X164" s="1" t="n">
        <f aca="false">IF(W164="",0,SUMIFS($I$7:$I$256,$D$7:$D$256,W164,$H$7:$H$256,"NTIME"))</f>
        <v>0</v>
      </c>
      <c r="Y164" s="1" t="n">
        <f aca="false">IF(W164="",0,SUMIFS($I$7:$I$256,$D$7:$D$256,W164,$H$7:$H$256,"P6"))</f>
        <v>0</v>
      </c>
      <c r="Z164" s="1" t="n">
        <f aca="false">X164+Y164</f>
        <v>0</v>
      </c>
      <c r="AA164" s="1" t="n">
        <f aca="false">IF(Z164&gt;0,Z164+(201-158)/10^6,0)</f>
        <v>0</v>
      </c>
      <c r="AB164" s="1"/>
      <c r="AC164" s="1"/>
      <c r="AD164" s="1"/>
      <c r="AE164" s="1"/>
      <c r="AF164" s="1"/>
      <c r="AG164" s="1"/>
      <c r="AH164" s="1"/>
    </row>
    <row r="165" customFormat="false" ht="15" hidden="false" customHeight="false" outlineLevel="0" collapsed="false">
      <c r="A165" s="1"/>
      <c r="B165" s="10"/>
      <c r="C165" s="31" t="str">
        <f aca="false">IF(B165="","",TEXT(B165,"ddd"))</f>
        <v/>
      </c>
      <c r="D165" s="11"/>
      <c r="E165" s="8" t="str">
        <f aca="false">IF(D165="","",IFERROR(INDEX(ProjNumbers,MATCH(D165,ProjNames,0)),""))</f>
        <v/>
      </c>
      <c r="F165" s="8" t="str">
        <f aca="false">IF(D165="","",IFERROR(INDEX(ProjCodes,MATCH(D165,ProjNames,0)),""))</f>
        <v/>
      </c>
      <c r="G165" s="32"/>
      <c r="H165" s="11"/>
      <c r="I165" s="33"/>
      <c r="J165" s="8" t="str">
        <f aca="false">IF(COUNTA(B165,D165,G165,H165,I165)=0,"",IF(B165="","Enter date",IF(OR(B165&lt;$AC$2,B165&gt;$AC$3),"Date not in December",IF(D165="","Pick project",IF(ISNA(MATCH(D165,ProjNames,0)),"Project not in list",IF(G165="","Add task description",IF(H165="","Pick NTIME or P6",IF(N(I165)&lt;=0,"Enter hours",IF(AND(AllowOT&lt;&gt;"Yes",SUMIF($B$7:$B$256,B165,$I$7:$I$256)&gt;INDEX($O$58:$O$88,DAY(B165))),"Day over "&amp;INDEX($O$58:$O$88,DAY(B165))&amp;" h","✓")))))))))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tr">
        <f aca="false">IF(Projects!B163="","",Projects!B163)</f>
        <v/>
      </c>
      <c r="X165" s="1" t="n">
        <f aca="false">IF(W165="",0,SUMIFS($I$7:$I$256,$D$7:$D$256,W165,$H$7:$H$256,"NTIME"))</f>
        <v>0</v>
      </c>
      <c r="Y165" s="1" t="n">
        <f aca="false">IF(W165="",0,SUMIFS($I$7:$I$256,$D$7:$D$256,W165,$H$7:$H$256,"P6"))</f>
        <v>0</v>
      </c>
      <c r="Z165" s="1" t="n">
        <f aca="false">X165+Y165</f>
        <v>0</v>
      </c>
      <c r="AA165" s="1" t="n">
        <f aca="false">IF(Z165&gt;0,Z165+(201-159)/10^6,0)</f>
        <v>0</v>
      </c>
      <c r="AB165" s="1"/>
      <c r="AC165" s="1"/>
      <c r="AD165" s="1"/>
      <c r="AE165" s="1"/>
      <c r="AF165" s="1"/>
      <c r="AG165" s="1"/>
      <c r="AH165" s="1"/>
    </row>
    <row r="166" customFormat="false" ht="15" hidden="false" customHeight="false" outlineLevel="0" collapsed="false">
      <c r="A166" s="1"/>
      <c r="B166" s="10"/>
      <c r="C166" s="31" t="str">
        <f aca="false">IF(B166="","",TEXT(B166,"ddd"))</f>
        <v/>
      </c>
      <c r="D166" s="11"/>
      <c r="E166" s="8" t="str">
        <f aca="false">IF(D166="","",IFERROR(INDEX(ProjNumbers,MATCH(D166,ProjNames,0)),""))</f>
        <v/>
      </c>
      <c r="F166" s="8" t="str">
        <f aca="false">IF(D166="","",IFERROR(INDEX(ProjCodes,MATCH(D166,ProjNames,0)),""))</f>
        <v/>
      </c>
      <c r="G166" s="32"/>
      <c r="H166" s="11"/>
      <c r="I166" s="33"/>
      <c r="J166" s="8" t="str">
        <f aca="false">IF(COUNTA(B166,D166,G166,H166,I166)=0,"",IF(B166="","Enter date",IF(OR(B166&lt;$AC$2,B166&gt;$AC$3),"Date not in December",IF(D166="","Pick project",IF(ISNA(MATCH(D166,ProjNames,0)),"Project not in list",IF(G166="","Add task description",IF(H166="","Pick NTIME or P6",IF(N(I166)&lt;=0,"Enter hours",IF(AND(AllowOT&lt;&gt;"Yes",SUMIF($B$7:$B$256,B166,$I$7:$I$256)&gt;INDEX($O$58:$O$88,DAY(B166))),"Day over "&amp;INDEX($O$58:$O$88,DAY(B166))&amp;" h","✓")))))))))</f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tr">
        <f aca="false">IF(Projects!B164="","",Projects!B164)</f>
        <v/>
      </c>
      <c r="X166" s="1" t="n">
        <f aca="false">IF(W166="",0,SUMIFS($I$7:$I$256,$D$7:$D$256,W166,$H$7:$H$256,"NTIME"))</f>
        <v>0</v>
      </c>
      <c r="Y166" s="1" t="n">
        <f aca="false">IF(W166="",0,SUMIFS($I$7:$I$256,$D$7:$D$256,W166,$H$7:$H$256,"P6"))</f>
        <v>0</v>
      </c>
      <c r="Z166" s="1" t="n">
        <f aca="false">X166+Y166</f>
        <v>0</v>
      </c>
      <c r="AA166" s="1" t="n">
        <f aca="false">IF(Z166&gt;0,Z166+(201-160)/10^6,0)</f>
        <v>0</v>
      </c>
      <c r="AB166" s="1"/>
      <c r="AC166" s="1"/>
      <c r="AD166" s="1"/>
      <c r="AE166" s="1"/>
      <c r="AF166" s="1"/>
      <c r="AG166" s="1"/>
      <c r="AH166" s="1"/>
    </row>
    <row r="167" customFormat="false" ht="15" hidden="false" customHeight="false" outlineLevel="0" collapsed="false">
      <c r="A167" s="1"/>
      <c r="B167" s="10"/>
      <c r="C167" s="31" t="str">
        <f aca="false">IF(B167="","",TEXT(B167,"ddd"))</f>
        <v/>
      </c>
      <c r="D167" s="11"/>
      <c r="E167" s="8" t="str">
        <f aca="false">IF(D167="","",IFERROR(INDEX(ProjNumbers,MATCH(D167,ProjNames,0)),""))</f>
        <v/>
      </c>
      <c r="F167" s="8" t="str">
        <f aca="false">IF(D167="","",IFERROR(INDEX(ProjCodes,MATCH(D167,ProjNames,0)),""))</f>
        <v/>
      </c>
      <c r="G167" s="32"/>
      <c r="H167" s="11"/>
      <c r="I167" s="33"/>
      <c r="J167" s="8" t="str">
        <f aca="false">IF(COUNTA(B167,D167,G167,H167,I167)=0,"",IF(B167="","Enter date",IF(OR(B167&lt;$AC$2,B167&gt;$AC$3),"Date not in December",IF(D167="","Pick project",IF(ISNA(MATCH(D167,ProjNames,0)),"Project not in list",IF(G167="","Add task description",IF(H167="","Pick NTIME or P6",IF(N(I167)&lt;=0,"Enter hours",IF(AND(AllowOT&lt;&gt;"Yes",SUMIF($B$7:$B$256,B167,$I$7:$I$256)&gt;INDEX($O$58:$O$88,DAY(B167))),"Day over "&amp;INDEX($O$58:$O$88,DAY(B167))&amp;" h","✓")))))))))</f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tr">
        <f aca="false">IF(Projects!B165="","",Projects!B165)</f>
        <v/>
      </c>
      <c r="X167" s="1" t="n">
        <f aca="false">IF(W167="",0,SUMIFS($I$7:$I$256,$D$7:$D$256,W167,$H$7:$H$256,"NTIME"))</f>
        <v>0</v>
      </c>
      <c r="Y167" s="1" t="n">
        <f aca="false">IF(W167="",0,SUMIFS($I$7:$I$256,$D$7:$D$256,W167,$H$7:$H$256,"P6"))</f>
        <v>0</v>
      </c>
      <c r="Z167" s="1" t="n">
        <f aca="false">X167+Y167</f>
        <v>0</v>
      </c>
      <c r="AA167" s="1" t="n">
        <f aca="false">IF(Z167&gt;0,Z167+(201-161)/10^6,0)</f>
        <v>0</v>
      </c>
      <c r="AB167" s="1"/>
      <c r="AC167" s="1"/>
      <c r="AD167" s="1"/>
      <c r="AE167" s="1"/>
      <c r="AF167" s="1"/>
      <c r="AG167" s="1"/>
      <c r="AH167" s="1"/>
    </row>
    <row r="168" customFormat="false" ht="15" hidden="false" customHeight="false" outlineLevel="0" collapsed="false">
      <c r="A168" s="1"/>
      <c r="B168" s="10"/>
      <c r="C168" s="31" t="str">
        <f aca="false">IF(B168="","",TEXT(B168,"ddd"))</f>
        <v/>
      </c>
      <c r="D168" s="11"/>
      <c r="E168" s="8" t="str">
        <f aca="false">IF(D168="","",IFERROR(INDEX(ProjNumbers,MATCH(D168,ProjNames,0)),""))</f>
        <v/>
      </c>
      <c r="F168" s="8" t="str">
        <f aca="false">IF(D168="","",IFERROR(INDEX(ProjCodes,MATCH(D168,ProjNames,0)),""))</f>
        <v/>
      </c>
      <c r="G168" s="32"/>
      <c r="H168" s="11"/>
      <c r="I168" s="33"/>
      <c r="J168" s="8" t="str">
        <f aca="false">IF(COUNTA(B168,D168,G168,H168,I168)=0,"",IF(B168="","Enter date",IF(OR(B168&lt;$AC$2,B168&gt;$AC$3),"Date not in December",IF(D168="","Pick project",IF(ISNA(MATCH(D168,ProjNames,0)),"Project not in list",IF(G168="","Add task description",IF(H168="","Pick NTIME or P6",IF(N(I168)&lt;=0,"Enter hours",IF(AND(AllowOT&lt;&gt;"Yes",SUMIF($B$7:$B$256,B168,$I$7:$I$256)&gt;INDEX($O$58:$O$88,DAY(B168))),"Day over "&amp;INDEX($O$58:$O$88,DAY(B168))&amp;" h","✓")))))))))</f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tr">
        <f aca="false">IF(Projects!B166="","",Projects!B166)</f>
        <v/>
      </c>
      <c r="X168" s="1" t="n">
        <f aca="false">IF(W168="",0,SUMIFS($I$7:$I$256,$D$7:$D$256,W168,$H$7:$H$256,"NTIME"))</f>
        <v>0</v>
      </c>
      <c r="Y168" s="1" t="n">
        <f aca="false">IF(W168="",0,SUMIFS($I$7:$I$256,$D$7:$D$256,W168,$H$7:$H$256,"P6"))</f>
        <v>0</v>
      </c>
      <c r="Z168" s="1" t="n">
        <f aca="false">X168+Y168</f>
        <v>0</v>
      </c>
      <c r="AA168" s="1" t="n">
        <f aca="false">IF(Z168&gt;0,Z168+(201-162)/10^6,0)</f>
        <v>0</v>
      </c>
      <c r="AB168" s="1"/>
      <c r="AC168" s="1"/>
      <c r="AD168" s="1"/>
      <c r="AE168" s="1"/>
      <c r="AF168" s="1"/>
      <c r="AG168" s="1"/>
      <c r="AH168" s="1"/>
    </row>
    <row r="169" customFormat="false" ht="15" hidden="false" customHeight="false" outlineLevel="0" collapsed="false">
      <c r="A169" s="1"/>
      <c r="B169" s="10"/>
      <c r="C169" s="31" t="str">
        <f aca="false">IF(B169="","",TEXT(B169,"ddd"))</f>
        <v/>
      </c>
      <c r="D169" s="11"/>
      <c r="E169" s="8" t="str">
        <f aca="false">IF(D169="","",IFERROR(INDEX(ProjNumbers,MATCH(D169,ProjNames,0)),""))</f>
        <v/>
      </c>
      <c r="F169" s="8" t="str">
        <f aca="false">IF(D169="","",IFERROR(INDEX(ProjCodes,MATCH(D169,ProjNames,0)),""))</f>
        <v/>
      </c>
      <c r="G169" s="32"/>
      <c r="H169" s="11"/>
      <c r="I169" s="33"/>
      <c r="J169" s="8" t="str">
        <f aca="false">IF(COUNTA(B169,D169,G169,H169,I169)=0,"",IF(B169="","Enter date",IF(OR(B169&lt;$AC$2,B169&gt;$AC$3),"Date not in December",IF(D169="","Pick project",IF(ISNA(MATCH(D169,ProjNames,0)),"Project not in list",IF(G169="","Add task description",IF(H169="","Pick NTIME or P6",IF(N(I169)&lt;=0,"Enter hours",IF(AND(AllowOT&lt;&gt;"Yes",SUMIF($B$7:$B$256,B169,$I$7:$I$256)&gt;INDEX($O$58:$O$88,DAY(B169))),"Day over "&amp;INDEX($O$58:$O$88,DAY(B169))&amp;" h","✓")))))))))</f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tr">
        <f aca="false">IF(Projects!B167="","",Projects!B167)</f>
        <v/>
      </c>
      <c r="X169" s="1" t="n">
        <f aca="false">IF(W169="",0,SUMIFS($I$7:$I$256,$D$7:$D$256,W169,$H$7:$H$256,"NTIME"))</f>
        <v>0</v>
      </c>
      <c r="Y169" s="1" t="n">
        <f aca="false">IF(W169="",0,SUMIFS($I$7:$I$256,$D$7:$D$256,W169,$H$7:$H$256,"P6"))</f>
        <v>0</v>
      </c>
      <c r="Z169" s="1" t="n">
        <f aca="false">X169+Y169</f>
        <v>0</v>
      </c>
      <c r="AA169" s="1" t="n">
        <f aca="false">IF(Z169&gt;0,Z169+(201-163)/10^6,0)</f>
        <v>0</v>
      </c>
      <c r="AB169" s="1"/>
      <c r="AC169" s="1"/>
      <c r="AD169" s="1"/>
      <c r="AE169" s="1"/>
      <c r="AF169" s="1"/>
      <c r="AG169" s="1"/>
      <c r="AH169" s="1"/>
    </row>
    <row r="170" customFormat="false" ht="15" hidden="false" customHeight="false" outlineLevel="0" collapsed="false">
      <c r="A170" s="1"/>
      <c r="B170" s="10"/>
      <c r="C170" s="31" t="str">
        <f aca="false">IF(B170="","",TEXT(B170,"ddd"))</f>
        <v/>
      </c>
      <c r="D170" s="11"/>
      <c r="E170" s="8" t="str">
        <f aca="false">IF(D170="","",IFERROR(INDEX(ProjNumbers,MATCH(D170,ProjNames,0)),""))</f>
        <v/>
      </c>
      <c r="F170" s="8" t="str">
        <f aca="false">IF(D170="","",IFERROR(INDEX(ProjCodes,MATCH(D170,ProjNames,0)),""))</f>
        <v/>
      </c>
      <c r="G170" s="32"/>
      <c r="H170" s="11"/>
      <c r="I170" s="33"/>
      <c r="J170" s="8" t="str">
        <f aca="false">IF(COUNTA(B170,D170,G170,H170,I170)=0,"",IF(B170="","Enter date",IF(OR(B170&lt;$AC$2,B170&gt;$AC$3),"Date not in December",IF(D170="","Pick project",IF(ISNA(MATCH(D170,ProjNames,0)),"Project not in list",IF(G170="","Add task description",IF(H170="","Pick NTIME or P6",IF(N(I170)&lt;=0,"Enter hours",IF(AND(AllowOT&lt;&gt;"Yes",SUMIF($B$7:$B$256,B170,$I$7:$I$256)&gt;INDEX($O$58:$O$88,DAY(B170))),"Day over "&amp;INDEX($O$58:$O$88,DAY(B170))&amp;" h","✓")))))))))</f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tr">
        <f aca="false">IF(Projects!B168="","",Projects!B168)</f>
        <v/>
      </c>
      <c r="X170" s="1" t="n">
        <f aca="false">IF(W170="",0,SUMIFS($I$7:$I$256,$D$7:$D$256,W170,$H$7:$H$256,"NTIME"))</f>
        <v>0</v>
      </c>
      <c r="Y170" s="1" t="n">
        <f aca="false">IF(W170="",0,SUMIFS($I$7:$I$256,$D$7:$D$256,W170,$H$7:$H$256,"P6"))</f>
        <v>0</v>
      </c>
      <c r="Z170" s="1" t="n">
        <f aca="false">X170+Y170</f>
        <v>0</v>
      </c>
      <c r="AA170" s="1" t="n">
        <f aca="false">IF(Z170&gt;0,Z170+(201-164)/10^6,0)</f>
        <v>0</v>
      </c>
      <c r="AB170" s="1"/>
      <c r="AC170" s="1"/>
      <c r="AD170" s="1"/>
      <c r="AE170" s="1"/>
      <c r="AF170" s="1"/>
      <c r="AG170" s="1"/>
      <c r="AH170" s="1"/>
    </row>
    <row r="171" customFormat="false" ht="15" hidden="false" customHeight="false" outlineLevel="0" collapsed="false">
      <c r="A171" s="1"/>
      <c r="B171" s="10"/>
      <c r="C171" s="31" t="str">
        <f aca="false">IF(B171="","",TEXT(B171,"ddd"))</f>
        <v/>
      </c>
      <c r="D171" s="11"/>
      <c r="E171" s="8" t="str">
        <f aca="false">IF(D171="","",IFERROR(INDEX(ProjNumbers,MATCH(D171,ProjNames,0)),""))</f>
        <v/>
      </c>
      <c r="F171" s="8" t="str">
        <f aca="false">IF(D171="","",IFERROR(INDEX(ProjCodes,MATCH(D171,ProjNames,0)),""))</f>
        <v/>
      </c>
      <c r="G171" s="32"/>
      <c r="H171" s="11"/>
      <c r="I171" s="33"/>
      <c r="J171" s="8" t="str">
        <f aca="false">IF(COUNTA(B171,D171,G171,H171,I171)=0,"",IF(B171="","Enter date",IF(OR(B171&lt;$AC$2,B171&gt;$AC$3),"Date not in December",IF(D171="","Pick project",IF(ISNA(MATCH(D171,ProjNames,0)),"Project not in list",IF(G171="","Add task description",IF(H171="","Pick NTIME or P6",IF(N(I171)&lt;=0,"Enter hours",IF(AND(AllowOT&lt;&gt;"Yes",SUMIF($B$7:$B$256,B171,$I$7:$I$256)&gt;INDEX($O$58:$O$88,DAY(B171))),"Day over "&amp;INDEX($O$58:$O$88,DAY(B171))&amp;" h","✓")))))))))</f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tr">
        <f aca="false">IF(Projects!B169="","",Projects!B169)</f>
        <v/>
      </c>
      <c r="X171" s="1" t="n">
        <f aca="false">IF(W171="",0,SUMIFS($I$7:$I$256,$D$7:$D$256,W171,$H$7:$H$256,"NTIME"))</f>
        <v>0</v>
      </c>
      <c r="Y171" s="1" t="n">
        <f aca="false">IF(W171="",0,SUMIFS($I$7:$I$256,$D$7:$D$256,W171,$H$7:$H$256,"P6"))</f>
        <v>0</v>
      </c>
      <c r="Z171" s="1" t="n">
        <f aca="false">X171+Y171</f>
        <v>0</v>
      </c>
      <c r="AA171" s="1" t="n">
        <f aca="false">IF(Z171&gt;0,Z171+(201-165)/10^6,0)</f>
        <v>0</v>
      </c>
      <c r="AB171" s="1"/>
      <c r="AC171" s="1"/>
      <c r="AD171" s="1"/>
      <c r="AE171" s="1"/>
      <c r="AF171" s="1"/>
      <c r="AG171" s="1"/>
      <c r="AH171" s="1"/>
    </row>
    <row r="172" customFormat="false" ht="15" hidden="false" customHeight="false" outlineLevel="0" collapsed="false">
      <c r="A172" s="1"/>
      <c r="B172" s="10"/>
      <c r="C172" s="31" t="str">
        <f aca="false">IF(B172="","",TEXT(B172,"ddd"))</f>
        <v/>
      </c>
      <c r="D172" s="11"/>
      <c r="E172" s="8" t="str">
        <f aca="false">IF(D172="","",IFERROR(INDEX(ProjNumbers,MATCH(D172,ProjNames,0)),""))</f>
        <v/>
      </c>
      <c r="F172" s="8" t="str">
        <f aca="false">IF(D172="","",IFERROR(INDEX(ProjCodes,MATCH(D172,ProjNames,0)),""))</f>
        <v/>
      </c>
      <c r="G172" s="32"/>
      <c r="H172" s="11"/>
      <c r="I172" s="33"/>
      <c r="J172" s="8" t="str">
        <f aca="false">IF(COUNTA(B172,D172,G172,H172,I172)=0,"",IF(B172="","Enter date",IF(OR(B172&lt;$AC$2,B172&gt;$AC$3),"Date not in December",IF(D172="","Pick project",IF(ISNA(MATCH(D172,ProjNames,0)),"Project not in list",IF(G172="","Add task description",IF(H172="","Pick NTIME or P6",IF(N(I172)&lt;=0,"Enter hours",IF(AND(AllowOT&lt;&gt;"Yes",SUMIF($B$7:$B$256,B172,$I$7:$I$256)&gt;INDEX($O$58:$O$88,DAY(B172))),"Day over "&amp;INDEX($O$58:$O$88,DAY(B172))&amp;" h","✓")))))))))</f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tr">
        <f aca="false">IF(Projects!B170="","",Projects!B170)</f>
        <v/>
      </c>
      <c r="X172" s="1" t="n">
        <f aca="false">IF(W172="",0,SUMIFS($I$7:$I$256,$D$7:$D$256,W172,$H$7:$H$256,"NTIME"))</f>
        <v>0</v>
      </c>
      <c r="Y172" s="1" t="n">
        <f aca="false">IF(W172="",0,SUMIFS($I$7:$I$256,$D$7:$D$256,W172,$H$7:$H$256,"P6"))</f>
        <v>0</v>
      </c>
      <c r="Z172" s="1" t="n">
        <f aca="false">X172+Y172</f>
        <v>0</v>
      </c>
      <c r="AA172" s="1" t="n">
        <f aca="false">IF(Z172&gt;0,Z172+(201-166)/10^6,0)</f>
        <v>0</v>
      </c>
      <c r="AB172" s="1"/>
      <c r="AC172" s="1"/>
      <c r="AD172" s="1"/>
      <c r="AE172" s="1"/>
      <c r="AF172" s="1"/>
      <c r="AG172" s="1"/>
      <c r="AH172" s="1"/>
    </row>
    <row r="173" customFormat="false" ht="15" hidden="false" customHeight="false" outlineLevel="0" collapsed="false">
      <c r="A173" s="1"/>
      <c r="B173" s="10"/>
      <c r="C173" s="31" t="str">
        <f aca="false">IF(B173="","",TEXT(B173,"ddd"))</f>
        <v/>
      </c>
      <c r="D173" s="11"/>
      <c r="E173" s="8" t="str">
        <f aca="false">IF(D173="","",IFERROR(INDEX(ProjNumbers,MATCH(D173,ProjNames,0)),""))</f>
        <v/>
      </c>
      <c r="F173" s="8" t="str">
        <f aca="false">IF(D173="","",IFERROR(INDEX(ProjCodes,MATCH(D173,ProjNames,0)),""))</f>
        <v/>
      </c>
      <c r="G173" s="32"/>
      <c r="H173" s="11"/>
      <c r="I173" s="33"/>
      <c r="J173" s="8" t="str">
        <f aca="false">IF(COUNTA(B173,D173,G173,H173,I173)=0,"",IF(B173="","Enter date",IF(OR(B173&lt;$AC$2,B173&gt;$AC$3),"Date not in December",IF(D173="","Pick project",IF(ISNA(MATCH(D173,ProjNames,0)),"Project not in list",IF(G173="","Add task description",IF(H173="","Pick NTIME or P6",IF(N(I173)&lt;=0,"Enter hours",IF(AND(AllowOT&lt;&gt;"Yes",SUMIF($B$7:$B$256,B173,$I$7:$I$256)&gt;INDEX($O$58:$O$88,DAY(B173))),"Day over "&amp;INDEX($O$58:$O$88,DAY(B173))&amp;" h","✓")))))))))</f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tr">
        <f aca="false">IF(Projects!B171="","",Projects!B171)</f>
        <v/>
      </c>
      <c r="X173" s="1" t="n">
        <f aca="false">IF(W173="",0,SUMIFS($I$7:$I$256,$D$7:$D$256,W173,$H$7:$H$256,"NTIME"))</f>
        <v>0</v>
      </c>
      <c r="Y173" s="1" t="n">
        <f aca="false">IF(W173="",0,SUMIFS($I$7:$I$256,$D$7:$D$256,W173,$H$7:$H$256,"P6"))</f>
        <v>0</v>
      </c>
      <c r="Z173" s="1" t="n">
        <f aca="false">X173+Y173</f>
        <v>0</v>
      </c>
      <c r="AA173" s="1" t="n">
        <f aca="false">IF(Z173&gt;0,Z173+(201-167)/10^6,0)</f>
        <v>0</v>
      </c>
      <c r="AB173" s="1"/>
      <c r="AC173" s="1"/>
      <c r="AD173" s="1"/>
      <c r="AE173" s="1"/>
      <c r="AF173" s="1"/>
      <c r="AG173" s="1"/>
      <c r="AH173" s="1"/>
    </row>
    <row r="174" customFormat="false" ht="15" hidden="false" customHeight="false" outlineLevel="0" collapsed="false">
      <c r="A174" s="1"/>
      <c r="B174" s="10"/>
      <c r="C174" s="31" t="str">
        <f aca="false">IF(B174="","",TEXT(B174,"ddd"))</f>
        <v/>
      </c>
      <c r="D174" s="11"/>
      <c r="E174" s="8" t="str">
        <f aca="false">IF(D174="","",IFERROR(INDEX(ProjNumbers,MATCH(D174,ProjNames,0)),""))</f>
        <v/>
      </c>
      <c r="F174" s="8" t="str">
        <f aca="false">IF(D174="","",IFERROR(INDEX(ProjCodes,MATCH(D174,ProjNames,0)),""))</f>
        <v/>
      </c>
      <c r="G174" s="32"/>
      <c r="H174" s="11"/>
      <c r="I174" s="33"/>
      <c r="J174" s="8" t="str">
        <f aca="false">IF(COUNTA(B174,D174,G174,H174,I174)=0,"",IF(B174="","Enter date",IF(OR(B174&lt;$AC$2,B174&gt;$AC$3),"Date not in December",IF(D174="","Pick project",IF(ISNA(MATCH(D174,ProjNames,0)),"Project not in list",IF(G174="","Add task description",IF(H174="","Pick NTIME or P6",IF(N(I174)&lt;=0,"Enter hours",IF(AND(AllowOT&lt;&gt;"Yes",SUMIF($B$7:$B$256,B174,$I$7:$I$256)&gt;INDEX($O$58:$O$88,DAY(B174))),"Day over "&amp;INDEX($O$58:$O$88,DAY(B174))&amp;" h","✓")))))))))</f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tr">
        <f aca="false">IF(Projects!B172="","",Projects!B172)</f>
        <v/>
      </c>
      <c r="X174" s="1" t="n">
        <f aca="false">IF(W174="",0,SUMIFS($I$7:$I$256,$D$7:$D$256,W174,$H$7:$H$256,"NTIME"))</f>
        <v>0</v>
      </c>
      <c r="Y174" s="1" t="n">
        <f aca="false">IF(W174="",0,SUMIFS($I$7:$I$256,$D$7:$D$256,W174,$H$7:$H$256,"P6"))</f>
        <v>0</v>
      </c>
      <c r="Z174" s="1" t="n">
        <f aca="false">X174+Y174</f>
        <v>0</v>
      </c>
      <c r="AA174" s="1" t="n">
        <f aca="false">IF(Z174&gt;0,Z174+(201-168)/10^6,0)</f>
        <v>0</v>
      </c>
      <c r="AB174" s="1"/>
      <c r="AC174" s="1"/>
      <c r="AD174" s="1"/>
      <c r="AE174" s="1"/>
      <c r="AF174" s="1"/>
      <c r="AG174" s="1"/>
      <c r="AH174" s="1"/>
    </row>
    <row r="175" customFormat="false" ht="15" hidden="false" customHeight="false" outlineLevel="0" collapsed="false">
      <c r="A175" s="1"/>
      <c r="B175" s="10"/>
      <c r="C175" s="31" t="str">
        <f aca="false">IF(B175="","",TEXT(B175,"ddd"))</f>
        <v/>
      </c>
      <c r="D175" s="11"/>
      <c r="E175" s="8" t="str">
        <f aca="false">IF(D175="","",IFERROR(INDEX(ProjNumbers,MATCH(D175,ProjNames,0)),""))</f>
        <v/>
      </c>
      <c r="F175" s="8" t="str">
        <f aca="false">IF(D175="","",IFERROR(INDEX(ProjCodes,MATCH(D175,ProjNames,0)),""))</f>
        <v/>
      </c>
      <c r="G175" s="32"/>
      <c r="H175" s="11"/>
      <c r="I175" s="33"/>
      <c r="J175" s="8" t="str">
        <f aca="false">IF(COUNTA(B175,D175,G175,H175,I175)=0,"",IF(B175="","Enter date",IF(OR(B175&lt;$AC$2,B175&gt;$AC$3),"Date not in December",IF(D175="","Pick project",IF(ISNA(MATCH(D175,ProjNames,0)),"Project not in list",IF(G175="","Add task description",IF(H175="","Pick NTIME or P6",IF(N(I175)&lt;=0,"Enter hours",IF(AND(AllowOT&lt;&gt;"Yes",SUMIF($B$7:$B$256,B175,$I$7:$I$256)&gt;INDEX($O$58:$O$88,DAY(B175))),"Day over "&amp;INDEX($O$58:$O$88,DAY(B175))&amp;" h","✓")))))))))</f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tr">
        <f aca="false">IF(Projects!B173="","",Projects!B173)</f>
        <v/>
      </c>
      <c r="X175" s="1" t="n">
        <f aca="false">IF(W175="",0,SUMIFS($I$7:$I$256,$D$7:$D$256,W175,$H$7:$H$256,"NTIME"))</f>
        <v>0</v>
      </c>
      <c r="Y175" s="1" t="n">
        <f aca="false">IF(W175="",0,SUMIFS($I$7:$I$256,$D$7:$D$256,W175,$H$7:$H$256,"P6"))</f>
        <v>0</v>
      </c>
      <c r="Z175" s="1" t="n">
        <f aca="false">X175+Y175</f>
        <v>0</v>
      </c>
      <c r="AA175" s="1" t="n">
        <f aca="false">IF(Z175&gt;0,Z175+(201-169)/10^6,0)</f>
        <v>0</v>
      </c>
      <c r="AB175" s="1"/>
      <c r="AC175" s="1"/>
      <c r="AD175" s="1"/>
      <c r="AE175" s="1"/>
      <c r="AF175" s="1"/>
      <c r="AG175" s="1"/>
      <c r="AH175" s="1"/>
    </row>
    <row r="176" customFormat="false" ht="15" hidden="false" customHeight="false" outlineLevel="0" collapsed="false">
      <c r="A176" s="1"/>
      <c r="B176" s="10"/>
      <c r="C176" s="31" t="str">
        <f aca="false">IF(B176="","",TEXT(B176,"ddd"))</f>
        <v/>
      </c>
      <c r="D176" s="11"/>
      <c r="E176" s="8" t="str">
        <f aca="false">IF(D176="","",IFERROR(INDEX(ProjNumbers,MATCH(D176,ProjNames,0)),""))</f>
        <v/>
      </c>
      <c r="F176" s="8" t="str">
        <f aca="false">IF(D176="","",IFERROR(INDEX(ProjCodes,MATCH(D176,ProjNames,0)),""))</f>
        <v/>
      </c>
      <c r="G176" s="32"/>
      <c r="H176" s="11"/>
      <c r="I176" s="33"/>
      <c r="J176" s="8" t="str">
        <f aca="false">IF(COUNTA(B176,D176,G176,H176,I176)=0,"",IF(B176="","Enter date",IF(OR(B176&lt;$AC$2,B176&gt;$AC$3),"Date not in December",IF(D176="","Pick project",IF(ISNA(MATCH(D176,ProjNames,0)),"Project not in list",IF(G176="","Add task description",IF(H176="","Pick NTIME or P6",IF(N(I176)&lt;=0,"Enter hours",IF(AND(AllowOT&lt;&gt;"Yes",SUMIF($B$7:$B$256,B176,$I$7:$I$256)&gt;INDEX($O$58:$O$88,DAY(B176))),"Day over "&amp;INDEX($O$58:$O$88,DAY(B176))&amp;" h","✓")))))))))</f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tr">
        <f aca="false">IF(Projects!B174="","",Projects!B174)</f>
        <v/>
      </c>
      <c r="X176" s="1" t="n">
        <f aca="false">IF(W176="",0,SUMIFS($I$7:$I$256,$D$7:$D$256,W176,$H$7:$H$256,"NTIME"))</f>
        <v>0</v>
      </c>
      <c r="Y176" s="1" t="n">
        <f aca="false">IF(W176="",0,SUMIFS($I$7:$I$256,$D$7:$D$256,W176,$H$7:$H$256,"P6"))</f>
        <v>0</v>
      </c>
      <c r="Z176" s="1" t="n">
        <f aca="false">X176+Y176</f>
        <v>0</v>
      </c>
      <c r="AA176" s="1" t="n">
        <f aca="false">IF(Z176&gt;0,Z176+(201-170)/10^6,0)</f>
        <v>0</v>
      </c>
      <c r="AB176" s="1"/>
      <c r="AC176" s="1"/>
      <c r="AD176" s="1"/>
      <c r="AE176" s="1"/>
      <c r="AF176" s="1"/>
      <c r="AG176" s="1"/>
      <c r="AH176" s="1"/>
    </row>
    <row r="177" customFormat="false" ht="15" hidden="false" customHeight="false" outlineLevel="0" collapsed="false">
      <c r="A177" s="1"/>
      <c r="B177" s="10"/>
      <c r="C177" s="31" t="str">
        <f aca="false">IF(B177="","",TEXT(B177,"ddd"))</f>
        <v/>
      </c>
      <c r="D177" s="11"/>
      <c r="E177" s="8" t="str">
        <f aca="false">IF(D177="","",IFERROR(INDEX(ProjNumbers,MATCH(D177,ProjNames,0)),""))</f>
        <v/>
      </c>
      <c r="F177" s="8" t="str">
        <f aca="false">IF(D177="","",IFERROR(INDEX(ProjCodes,MATCH(D177,ProjNames,0)),""))</f>
        <v/>
      </c>
      <c r="G177" s="32"/>
      <c r="H177" s="11"/>
      <c r="I177" s="33"/>
      <c r="J177" s="8" t="str">
        <f aca="false">IF(COUNTA(B177,D177,G177,H177,I177)=0,"",IF(B177="","Enter date",IF(OR(B177&lt;$AC$2,B177&gt;$AC$3),"Date not in December",IF(D177="","Pick project",IF(ISNA(MATCH(D177,ProjNames,0)),"Project not in list",IF(G177="","Add task description",IF(H177="","Pick NTIME or P6",IF(N(I177)&lt;=0,"Enter hours",IF(AND(AllowOT&lt;&gt;"Yes",SUMIF($B$7:$B$256,B177,$I$7:$I$256)&gt;INDEX($O$58:$O$88,DAY(B177))),"Day over "&amp;INDEX($O$58:$O$88,DAY(B177))&amp;" h","✓")))))))))</f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tr">
        <f aca="false">IF(Projects!B175="","",Projects!B175)</f>
        <v/>
      </c>
      <c r="X177" s="1" t="n">
        <f aca="false">IF(W177="",0,SUMIFS($I$7:$I$256,$D$7:$D$256,W177,$H$7:$H$256,"NTIME"))</f>
        <v>0</v>
      </c>
      <c r="Y177" s="1" t="n">
        <f aca="false">IF(W177="",0,SUMIFS($I$7:$I$256,$D$7:$D$256,W177,$H$7:$H$256,"P6"))</f>
        <v>0</v>
      </c>
      <c r="Z177" s="1" t="n">
        <f aca="false">X177+Y177</f>
        <v>0</v>
      </c>
      <c r="AA177" s="1" t="n">
        <f aca="false">IF(Z177&gt;0,Z177+(201-171)/10^6,0)</f>
        <v>0</v>
      </c>
      <c r="AB177" s="1"/>
      <c r="AC177" s="1"/>
      <c r="AD177" s="1"/>
      <c r="AE177" s="1"/>
      <c r="AF177" s="1"/>
      <c r="AG177" s="1"/>
      <c r="AH177" s="1"/>
    </row>
    <row r="178" customFormat="false" ht="15" hidden="false" customHeight="false" outlineLevel="0" collapsed="false">
      <c r="A178" s="1"/>
      <c r="B178" s="10"/>
      <c r="C178" s="31" t="str">
        <f aca="false">IF(B178="","",TEXT(B178,"ddd"))</f>
        <v/>
      </c>
      <c r="D178" s="11"/>
      <c r="E178" s="8" t="str">
        <f aca="false">IF(D178="","",IFERROR(INDEX(ProjNumbers,MATCH(D178,ProjNames,0)),""))</f>
        <v/>
      </c>
      <c r="F178" s="8" t="str">
        <f aca="false">IF(D178="","",IFERROR(INDEX(ProjCodes,MATCH(D178,ProjNames,0)),""))</f>
        <v/>
      </c>
      <c r="G178" s="32"/>
      <c r="H178" s="11"/>
      <c r="I178" s="33"/>
      <c r="J178" s="8" t="str">
        <f aca="false">IF(COUNTA(B178,D178,G178,H178,I178)=0,"",IF(B178="","Enter date",IF(OR(B178&lt;$AC$2,B178&gt;$AC$3),"Date not in December",IF(D178="","Pick project",IF(ISNA(MATCH(D178,ProjNames,0)),"Project not in list",IF(G178="","Add task description",IF(H178="","Pick NTIME or P6",IF(N(I178)&lt;=0,"Enter hours",IF(AND(AllowOT&lt;&gt;"Yes",SUMIF($B$7:$B$256,B178,$I$7:$I$256)&gt;INDEX($O$58:$O$88,DAY(B178))),"Day over "&amp;INDEX($O$58:$O$88,DAY(B178))&amp;" h","✓")))))))))</f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tr">
        <f aca="false">IF(Projects!B176="","",Projects!B176)</f>
        <v/>
      </c>
      <c r="X178" s="1" t="n">
        <f aca="false">IF(W178="",0,SUMIFS($I$7:$I$256,$D$7:$D$256,W178,$H$7:$H$256,"NTIME"))</f>
        <v>0</v>
      </c>
      <c r="Y178" s="1" t="n">
        <f aca="false">IF(W178="",0,SUMIFS($I$7:$I$256,$D$7:$D$256,W178,$H$7:$H$256,"P6"))</f>
        <v>0</v>
      </c>
      <c r="Z178" s="1" t="n">
        <f aca="false">X178+Y178</f>
        <v>0</v>
      </c>
      <c r="AA178" s="1" t="n">
        <f aca="false">IF(Z178&gt;0,Z178+(201-172)/10^6,0)</f>
        <v>0</v>
      </c>
      <c r="AB178" s="1"/>
      <c r="AC178" s="1"/>
      <c r="AD178" s="1"/>
      <c r="AE178" s="1"/>
      <c r="AF178" s="1"/>
      <c r="AG178" s="1"/>
      <c r="AH178" s="1"/>
    </row>
    <row r="179" customFormat="false" ht="15" hidden="false" customHeight="false" outlineLevel="0" collapsed="false">
      <c r="A179" s="1"/>
      <c r="B179" s="10"/>
      <c r="C179" s="31" t="str">
        <f aca="false">IF(B179="","",TEXT(B179,"ddd"))</f>
        <v/>
      </c>
      <c r="D179" s="11"/>
      <c r="E179" s="8" t="str">
        <f aca="false">IF(D179="","",IFERROR(INDEX(ProjNumbers,MATCH(D179,ProjNames,0)),""))</f>
        <v/>
      </c>
      <c r="F179" s="8" t="str">
        <f aca="false">IF(D179="","",IFERROR(INDEX(ProjCodes,MATCH(D179,ProjNames,0)),""))</f>
        <v/>
      </c>
      <c r="G179" s="32"/>
      <c r="H179" s="11"/>
      <c r="I179" s="33"/>
      <c r="J179" s="8" t="str">
        <f aca="false">IF(COUNTA(B179,D179,G179,H179,I179)=0,"",IF(B179="","Enter date",IF(OR(B179&lt;$AC$2,B179&gt;$AC$3),"Date not in December",IF(D179="","Pick project",IF(ISNA(MATCH(D179,ProjNames,0)),"Project not in list",IF(G179="","Add task description",IF(H179="","Pick NTIME or P6",IF(N(I179)&lt;=0,"Enter hours",IF(AND(AllowOT&lt;&gt;"Yes",SUMIF($B$7:$B$256,B179,$I$7:$I$256)&gt;INDEX($O$58:$O$88,DAY(B179))),"Day over "&amp;INDEX($O$58:$O$88,DAY(B179))&amp;" h","✓")))))))))</f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tr">
        <f aca="false">IF(Projects!B177="","",Projects!B177)</f>
        <v/>
      </c>
      <c r="X179" s="1" t="n">
        <f aca="false">IF(W179="",0,SUMIFS($I$7:$I$256,$D$7:$D$256,W179,$H$7:$H$256,"NTIME"))</f>
        <v>0</v>
      </c>
      <c r="Y179" s="1" t="n">
        <f aca="false">IF(W179="",0,SUMIFS($I$7:$I$256,$D$7:$D$256,W179,$H$7:$H$256,"P6"))</f>
        <v>0</v>
      </c>
      <c r="Z179" s="1" t="n">
        <f aca="false">X179+Y179</f>
        <v>0</v>
      </c>
      <c r="AA179" s="1" t="n">
        <f aca="false">IF(Z179&gt;0,Z179+(201-173)/10^6,0)</f>
        <v>0</v>
      </c>
      <c r="AB179" s="1"/>
      <c r="AC179" s="1"/>
      <c r="AD179" s="1"/>
      <c r="AE179" s="1"/>
      <c r="AF179" s="1"/>
      <c r="AG179" s="1"/>
      <c r="AH179" s="1"/>
    </row>
    <row r="180" customFormat="false" ht="15" hidden="false" customHeight="false" outlineLevel="0" collapsed="false">
      <c r="A180" s="1"/>
      <c r="B180" s="10"/>
      <c r="C180" s="31" t="str">
        <f aca="false">IF(B180="","",TEXT(B180,"ddd"))</f>
        <v/>
      </c>
      <c r="D180" s="11"/>
      <c r="E180" s="8" t="str">
        <f aca="false">IF(D180="","",IFERROR(INDEX(ProjNumbers,MATCH(D180,ProjNames,0)),""))</f>
        <v/>
      </c>
      <c r="F180" s="8" t="str">
        <f aca="false">IF(D180="","",IFERROR(INDEX(ProjCodes,MATCH(D180,ProjNames,0)),""))</f>
        <v/>
      </c>
      <c r="G180" s="32"/>
      <c r="H180" s="11"/>
      <c r="I180" s="33"/>
      <c r="J180" s="8" t="str">
        <f aca="false">IF(COUNTA(B180,D180,G180,H180,I180)=0,"",IF(B180="","Enter date",IF(OR(B180&lt;$AC$2,B180&gt;$AC$3),"Date not in December",IF(D180="","Pick project",IF(ISNA(MATCH(D180,ProjNames,0)),"Project not in list",IF(G180="","Add task description",IF(H180="","Pick NTIME or P6",IF(N(I180)&lt;=0,"Enter hours",IF(AND(AllowOT&lt;&gt;"Yes",SUMIF($B$7:$B$256,B180,$I$7:$I$256)&gt;INDEX($O$58:$O$88,DAY(B180))),"Day over "&amp;INDEX($O$58:$O$88,DAY(B180))&amp;" h","✓")))))))))</f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tr">
        <f aca="false">IF(Projects!B178="","",Projects!B178)</f>
        <v/>
      </c>
      <c r="X180" s="1" t="n">
        <f aca="false">IF(W180="",0,SUMIFS($I$7:$I$256,$D$7:$D$256,W180,$H$7:$H$256,"NTIME"))</f>
        <v>0</v>
      </c>
      <c r="Y180" s="1" t="n">
        <f aca="false">IF(W180="",0,SUMIFS($I$7:$I$256,$D$7:$D$256,W180,$H$7:$H$256,"P6"))</f>
        <v>0</v>
      </c>
      <c r="Z180" s="1" t="n">
        <f aca="false">X180+Y180</f>
        <v>0</v>
      </c>
      <c r="AA180" s="1" t="n">
        <f aca="false">IF(Z180&gt;0,Z180+(201-174)/10^6,0)</f>
        <v>0</v>
      </c>
      <c r="AB180" s="1"/>
      <c r="AC180" s="1"/>
      <c r="AD180" s="1"/>
      <c r="AE180" s="1"/>
      <c r="AF180" s="1"/>
      <c r="AG180" s="1"/>
      <c r="AH180" s="1"/>
    </row>
    <row r="181" customFormat="false" ht="15" hidden="false" customHeight="false" outlineLevel="0" collapsed="false">
      <c r="A181" s="1"/>
      <c r="B181" s="10"/>
      <c r="C181" s="31" t="str">
        <f aca="false">IF(B181="","",TEXT(B181,"ddd"))</f>
        <v/>
      </c>
      <c r="D181" s="11"/>
      <c r="E181" s="8" t="str">
        <f aca="false">IF(D181="","",IFERROR(INDEX(ProjNumbers,MATCH(D181,ProjNames,0)),""))</f>
        <v/>
      </c>
      <c r="F181" s="8" t="str">
        <f aca="false">IF(D181="","",IFERROR(INDEX(ProjCodes,MATCH(D181,ProjNames,0)),""))</f>
        <v/>
      </c>
      <c r="G181" s="32"/>
      <c r="H181" s="11"/>
      <c r="I181" s="33"/>
      <c r="J181" s="8" t="str">
        <f aca="false">IF(COUNTA(B181,D181,G181,H181,I181)=0,"",IF(B181="","Enter date",IF(OR(B181&lt;$AC$2,B181&gt;$AC$3),"Date not in December",IF(D181="","Pick project",IF(ISNA(MATCH(D181,ProjNames,0)),"Project not in list",IF(G181="","Add task description",IF(H181="","Pick NTIME or P6",IF(N(I181)&lt;=0,"Enter hours",IF(AND(AllowOT&lt;&gt;"Yes",SUMIF($B$7:$B$256,B181,$I$7:$I$256)&gt;INDEX($O$58:$O$88,DAY(B181))),"Day over "&amp;INDEX($O$58:$O$88,DAY(B181))&amp;" h","✓")))))))))</f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tr">
        <f aca="false">IF(Projects!B179="","",Projects!B179)</f>
        <v/>
      </c>
      <c r="X181" s="1" t="n">
        <f aca="false">IF(W181="",0,SUMIFS($I$7:$I$256,$D$7:$D$256,W181,$H$7:$H$256,"NTIME"))</f>
        <v>0</v>
      </c>
      <c r="Y181" s="1" t="n">
        <f aca="false">IF(W181="",0,SUMIFS($I$7:$I$256,$D$7:$D$256,W181,$H$7:$H$256,"P6"))</f>
        <v>0</v>
      </c>
      <c r="Z181" s="1" t="n">
        <f aca="false">X181+Y181</f>
        <v>0</v>
      </c>
      <c r="AA181" s="1" t="n">
        <f aca="false">IF(Z181&gt;0,Z181+(201-175)/10^6,0)</f>
        <v>0</v>
      </c>
      <c r="AB181" s="1"/>
      <c r="AC181" s="1"/>
      <c r="AD181" s="1"/>
      <c r="AE181" s="1"/>
      <c r="AF181" s="1"/>
      <c r="AG181" s="1"/>
      <c r="AH181" s="1"/>
    </row>
    <row r="182" customFormat="false" ht="15" hidden="false" customHeight="false" outlineLevel="0" collapsed="false">
      <c r="A182" s="1"/>
      <c r="B182" s="10"/>
      <c r="C182" s="31" t="str">
        <f aca="false">IF(B182="","",TEXT(B182,"ddd"))</f>
        <v/>
      </c>
      <c r="D182" s="11"/>
      <c r="E182" s="8" t="str">
        <f aca="false">IF(D182="","",IFERROR(INDEX(ProjNumbers,MATCH(D182,ProjNames,0)),""))</f>
        <v/>
      </c>
      <c r="F182" s="8" t="str">
        <f aca="false">IF(D182="","",IFERROR(INDEX(ProjCodes,MATCH(D182,ProjNames,0)),""))</f>
        <v/>
      </c>
      <c r="G182" s="32"/>
      <c r="H182" s="11"/>
      <c r="I182" s="33"/>
      <c r="J182" s="8" t="str">
        <f aca="false">IF(COUNTA(B182,D182,G182,H182,I182)=0,"",IF(B182="","Enter date",IF(OR(B182&lt;$AC$2,B182&gt;$AC$3),"Date not in December",IF(D182="","Pick project",IF(ISNA(MATCH(D182,ProjNames,0)),"Project not in list",IF(G182="","Add task description",IF(H182="","Pick NTIME or P6",IF(N(I182)&lt;=0,"Enter hours",IF(AND(AllowOT&lt;&gt;"Yes",SUMIF($B$7:$B$256,B182,$I$7:$I$256)&gt;INDEX($O$58:$O$88,DAY(B182))),"Day over "&amp;INDEX($O$58:$O$88,DAY(B182))&amp;" h","✓")))))))))</f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tr">
        <f aca="false">IF(Projects!B180="","",Projects!B180)</f>
        <v/>
      </c>
      <c r="X182" s="1" t="n">
        <f aca="false">IF(W182="",0,SUMIFS($I$7:$I$256,$D$7:$D$256,W182,$H$7:$H$256,"NTIME"))</f>
        <v>0</v>
      </c>
      <c r="Y182" s="1" t="n">
        <f aca="false">IF(W182="",0,SUMIFS($I$7:$I$256,$D$7:$D$256,W182,$H$7:$H$256,"P6"))</f>
        <v>0</v>
      </c>
      <c r="Z182" s="1" t="n">
        <f aca="false">X182+Y182</f>
        <v>0</v>
      </c>
      <c r="AA182" s="1" t="n">
        <f aca="false">IF(Z182&gt;0,Z182+(201-176)/10^6,0)</f>
        <v>0</v>
      </c>
      <c r="AB182" s="1"/>
      <c r="AC182" s="1"/>
      <c r="AD182" s="1"/>
      <c r="AE182" s="1"/>
      <c r="AF182" s="1"/>
      <c r="AG182" s="1"/>
      <c r="AH182" s="1"/>
    </row>
    <row r="183" customFormat="false" ht="15" hidden="false" customHeight="false" outlineLevel="0" collapsed="false">
      <c r="A183" s="1"/>
      <c r="B183" s="10"/>
      <c r="C183" s="31" t="str">
        <f aca="false">IF(B183="","",TEXT(B183,"ddd"))</f>
        <v/>
      </c>
      <c r="D183" s="11"/>
      <c r="E183" s="8" t="str">
        <f aca="false">IF(D183="","",IFERROR(INDEX(ProjNumbers,MATCH(D183,ProjNames,0)),""))</f>
        <v/>
      </c>
      <c r="F183" s="8" t="str">
        <f aca="false">IF(D183="","",IFERROR(INDEX(ProjCodes,MATCH(D183,ProjNames,0)),""))</f>
        <v/>
      </c>
      <c r="G183" s="32"/>
      <c r="H183" s="11"/>
      <c r="I183" s="33"/>
      <c r="J183" s="8" t="str">
        <f aca="false">IF(COUNTA(B183,D183,G183,H183,I183)=0,"",IF(B183="","Enter date",IF(OR(B183&lt;$AC$2,B183&gt;$AC$3),"Date not in December",IF(D183="","Pick project",IF(ISNA(MATCH(D183,ProjNames,0)),"Project not in list",IF(G183="","Add task description",IF(H183="","Pick NTIME or P6",IF(N(I183)&lt;=0,"Enter hours",IF(AND(AllowOT&lt;&gt;"Yes",SUMIF($B$7:$B$256,B183,$I$7:$I$256)&gt;INDEX($O$58:$O$88,DAY(B183))),"Day over "&amp;INDEX($O$58:$O$88,DAY(B183))&amp;" h","✓")))))))))</f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tr">
        <f aca="false">IF(Projects!B181="","",Projects!B181)</f>
        <v/>
      </c>
      <c r="X183" s="1" t="n">
        <f aca="false">IF(W183="",0,SUMIFS($I$7:$I$256,$D$7:$D$256,W183,$H$7:$H$256,"NTIME"))</f>
        <v>0</v>
      </c>
      <c r="Y183" s="1" t="n">
        <f aca="false">IF(W183="",0,SUMIFS($I$7:$I$256,$D$7:$D$256,W183,$H$7:$H$256,"P6"))</f>
        <v>0</v>
      </c>
      <c r="Z183" s="1" t="n">
        <f aca="false">X183+Y183</f>
        <v>0</v>
      </c>
      <c r="AA183" s="1" t="n">
        <f aca="false">IF(Z183&gt;0,Z183+(201-177)/10^6,0)</f>
        <v>0</v>
      </c>
      <c r="AB183" s="1"/>
      <c r="AC183" s="1"/>
      <c r="AD183" s="1"/>
      <c r="AE183" s="1"/>
      <c r="AF183" s="1"/>
      <c r="AG183" s="1"/>
      <c r="AH183" s="1"/>
    </row>
    <row r="184" customFormat="false" ht="15" hidden="false" customHeight="false" outlineLevel="0" collapsed="false">
      <c r="A184" s="1"/>
      <c r="B184" s="10"/>
      <c r="C184" s="31" t="str">
        <f aca="false">IF(B184="","",TEXT(B184,"ddd"))</f>
        <v/>
      </c>
      <c r="D184" s="11"/>
      <c r="E184" s="8" t="str">
        <f aca="false">IF(D184="","",IFERROR(INDEX(ProjNumbers,MATCH(D184,ProjNames,0)),""))</f>
        <v/>
      </c>
      <c r="F184" s="8" t="str">
        <f aca="false">IF(D184="","",IFERROR(INDEX(ProjCodes,MATCH(D184,ProjNames,0)),""))</f>
        <v/>
      </c>
      <c r="G184" s="32"/>
      <c r="H184" s="11"/>
      <c r="I184" s="33"/>
      <c r="J184" s="8" t="str">
        <f aca="false">IF(COUNTA(B184,D184,G184,H184,I184)=0,"",IF(B184="","Enter date",IF(OR(B184&lt;$AC$2,B184&gt;$AC$3),"Date not in December",IF(D184="","Pick project",IF(ISNA(MATCH(D184,ProjNames,0)),"Project not in list",IF(G184="","Add task description",IF(H184="","Pick NTIME or P6",IF(N(I184)&lt;=0,"Enter hours",IF(AND(AllowOT&lt;&gt;"Yes",SUMIF($B$7:$B$256,B184,$I$7:$I$256)&gt;INDEX($O$58:$O$88,DAY(B184))),"Day over "&amp;INDEX($O$58:$O$88,DAY(B184))&amp;" h","✓")))))))))</f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tr">
        <f aca="false">IF(Projects!B182="","",Projects!B182)</f>
        <v/>
      </c>
      <c r="X184" s="1" t="n">
        <f aca="false">IF(W184="",0,SUMIFS($I$7:$I$256,$D$7:$D$256,W184,$H$7:$H$256,"NTIME"))</f>
        <v>0</v>
      </c>
      <c r="Y184" s="1" t="n">
        <f aca="false">IF(W184="",0,SUMIFS($I$7:$I$256,$D$7:$D$256,W184,$H$7:$H$256,"P6"))</f>
        <v>0</v>
      </c>
      <c r="Z184" s="1" t="n">
        <f aca="false">X184+Y184</f>
        <v>0</v>
      </c>
      <c r="AA184" s="1" t="n">
        <f aca="false">IF(Z184&gt;0,Z184+(201-178)/10^6,0)</f>
        <v>0</v>
      </c>
      <c r="AB184" s="1"/>
      <c r="AC184" s="1"/>
      <c r="AD184" s="1"/>
      <c r="AE184" s="1"/>
      <c r="AF184" s="1"/>
      <c r="AG184" s="1"/>
      <c r="AH184" s="1"/>
    </row>
    <row r="185" customFormat="false" ht="15" hidden="false" customHeight="false" outlineLevel="0" collapsed="false">
      <c r="A185" s="1"/>
      <c r="B185" s="10"/>
      <c r="C185" s="31" t="str">
        <f aca="false">IF(B185="","",TEXT(B185,"ddd"))</f>
        <v/>
      </c>
      <c r="D185" s="11"/>
      <c r="E185" s="8" t="str">
        <f aca="false">IF(D185="","",IFERROR(INDEX(ProjNumbers,MATCH(D185,ProjNames,0)),""))</f>
        <v/>
      </c>
      <c r="F185" s="8" t="str">
        <f aca="false">IF(D185="","",IFERROR(INDEX(ProjCodes,MATCH(D185,ProjNames,0)),""))</f>
        <v/>
      </c>
      <c r="G185" s="32"/>
      <c r="H185" s="11"/>
      <c r="I185" s="33"/>
      <c r="J185" s="8" t="str">
        <f aca="false">IF(COUNTA(B185,D185,G185,H185,I185)=0,"",IF(B185="","Enter date",IF(OR(B185&lt;$AC$2,B185&gt;$AC$3),"Date not in December",IF(D185="","Pick project",IF(ISNA(MATCH(D185,ProjNames,0)),"Project not in list",IF(G185="","Add task description",IF(H185="","Pick NTIME or P6",IF(N(I185)&lt;=0,"Enter hours",IF(AND(AllowOT&lt;&gt;"Yes",SUMIF($B$7:$B$256,B185,$I$7:$I$256)&gt;INDEX($O$58:$O$88,DAY(B185))),"Day over "&amp;INDEX($O$58:$O$88,DAY(B185))&amp;" h","✓")))))))))</f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tr">
        <f aca="false">IF(Projects!B183="","",Projects!B183)</f>
        <v/>
      </c>
      <c r="X185" s="1" t="n">
        <f aca="false">IF(W185="",0,SUMIFS($I$7:$I$256,$D$7:$D$256,W185,$H$7:$H$256,"NTIME"))</f>
        <v>0</v>
      </c>
      <c r="Y185" s="1" t="n">
        <f aca="false">IF(W185="",0,SUMIFS($I$7:$I$256,$D$7:$D$256,W185,$H$7:$H$256,"P6"))</f>
        <v>0</v>
      </c>
      <c r="Z185" s="1" t="n">
        <f aca="false">X185+Y185</f>
        <v>0</v>
      </c>
      <c r="AA185" s="1" t="n">
        <f aca="false">IF(Z185&gt;0,Z185+(201-179)/10^6,0)</f>
        <v>0</v>
      </c>
      <c r="AB185" s="1"/>
      <c r="AC185" s="1"/>
      <c r="AD185" s="1"/>
      <c r="AE185" s="1"/>
      <c r="AF185" s="1"/>
      <c r="AG185" s="1"/>
      <c r="AH185" s="1"/>
    </row>
    <row r="186" customFormat="false" ht="15" hidden="false" customHeight="false" outlineLevel="0" collapsed="false">
      <c r="A186" s="1"/>
      <c r="B186" s="10"/>
      <c r="C186" s="31" t="str">
        <f aca="false">IF(B186="","",TEXT(B186,"ddd"))</f>
        <v/>
      </c>
      <c r="D186" s="11"/>
      <c r="E186" s="8" t="str">
        <f aca="false">IF(D186="","",IFERROR(INDEX(ProjNumbers,MATCH(D186,ProjNames,0)),""))</f>
        <v/>
      </c>
      <c r="F186" s="8" t="str">
        <f aca="false">IF(D186="","",IFERROR(INDEX(ProjCodes,MATCH(D186,ProjNames,0)),""))</f>
        <v/>
      </c>
      <c r="G186" s="32"/>
      <c r="H186" s="11"/>
      <c r="I186" s="33"/>
      <c r="J186" s="8" t="str">
        <f aca="false">IF(COUNTA(B186,D186,G186,H186,I186)=0,"",IF(B186="","Enter date",IF(OR(B186&lt;$AC$2,B186&gt;$AC$3),"Date not in December",IF(D186="","Pick project",IF(ISNA(MATCH(D186,ProjNames,0)),"Project not in list",IF(G186="","Add task description",IF(H186="","Pick NTIME or P6",IF(N(I186)&lt;=0,"Enter hours",IF(AND(AllowOT&lt;&gt;"Yes",SUMIF($B$7:$B$256,B186,$I$7:$I$256)&gt;INDEX($O$58:$O$88,DAY(B186))),"Day over "&amp;INDEX($O$58:$O$88,DAY(B186))&amp;" h","✓")))))))))</f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tr">
        <f aca="false">IF(Projects!B184="","",Projects!B184)</f>
        <v/>
      </c>
      <c r="X186" s="1" t="n">
        <f aca="false">IF(W186="",0,SUMIFS($I$7:$I$256,$D$7:$D$256,W186,$H$7:$H$256,"NTIME"))</f>
        <v>0</v>
      </c>
      <c r="Y186" s="1" t="n">
        <f aca="false">IF(W186="",0,SUMIFS($I$7:$I$256,$D$7:$D$256,W186,$H$7:$H$256,"P6"))</f>
        <v>0</v>
      </c>
      <c r="Z186" s="1" t="n">
        <f aca="false">X186+Y186</f>
        <v>0</v>
      </c>
      <c r="AA186" s="1" t="n">
        <f aca="false">IF(Z186&gt;0,Z186+(201-180)/10^6,0)</f>
        <v>0</v>
      </c>
      <c r="AB186" s="1"/>
      <c r="AC186" s="1"/>
      <c r="AD186" s="1"/>
      <c r="AE186" s="1"/>
      <c r="AF186" s="1"/>
      <c r="AG186" s="1"/>
      <c r="AH186" s="1"/>
    </row>
    <row r="187" customFormat="false" ht="15" hidden="false" customHeight="false" outlineLevel="0" collapsed="false">
      <c r="A187" s="1"/>
      <c r="B187" s="10"/>
      <c r="C187" s="31" t="str">
        <f aca="false">IF(B187="","",TEXT(B187,"ddd"))</f>
        <v/>
      </c>
      <c r="D187" s="11"/>
      <c r="E187" s="8" t="str">
        <f aca="false">IF(D187="","",IFERROR(INDEX(ProjNumbers,MATCH(D187,ProjNames,0)),""))</f>
        <v/>
      </c>
      <c r="F187" s="8" t="str">
        <f aca="false">IF(D187="","",IFERROR(INDEX(ProjCodes,MATCH(D187,ProjNames,0)),""))</f>
        <v/>
      </c>
      <c r="G187" s="32"/>
      <c r="H187" s="11"/>
      <c r="I187" s="33"/>
      <c r="J187" s="8" t="str">
        <f aca="false">IF(COUNTA(B187,D187,G187,H187,I187)=0,"",IF(B187="","Enter date",IF(OR(B187&lt;$AC$2,B187&gt;$AC$3),"Date not in December",IF(D187="","Pick project",IF(ISNA(MATCH(D187,ProjNames,0)),"Project not in list",IF(G187="","Add task description",IF(H187="","Pick NTIME or P6",IF(N(I187)&lt;=0,"Enter hours",IF(AND(AllowOT&lt;&gt;"Yes",SUMIF($B$7:$B$256,B187,$I$7:$I$256)&gt;INDEX($O$58:$O$88,DAY(B187))),"Day over "&amp;INDEX($O$58:$O$88,DAY(B187))&amp;" h","✓")))))))))</f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tr">
        <f aca="false">IF(Projects!B185="","",Projects!B185)</f>
        <v/>
      </c>
      <c r="X187" s="1" t="n">
        <f aca="false">IF(W187="",0,SUMIFS($I$7:$I$256,$D$7:$D$256,W187,$H$7:$H$256,"NTIME"))</f>
        <v>0</v>
      </c>
      <c r="Y187" s="1" t="n">
        <f aca="false">IF(W187="",0,SUMIFS($I$7:$I$256,$D$7:$D$256,W187,$H$7:$H$256,"P6"))</f>
        <v>0</v>
      </c>
      <c r="Z187" s="1" t="n">
        <f aca="false">X187+Y187</f>
        <v>0</v>
      </c>
      <c r="AA187" s="1" t="n">
        <f aca="false">IF(Z187&gt;0,Z187+(201-181)/10^6,0)</f>
        <v>0</v>
      </c>
      <c r="AB187" s="1"/>
      <c r="AC187" s="1"/>
      <c r="AD187" s="1"/>
      <c r="AE187" s="1"/>
      <c r="AF187" s="1"/>
      <c r="AG187" s="1"/>
      <c r="AH187" s="1"/>
    </row>
    <row r="188" customFormat="false" ht="15" hidden="false" customHeight="false" outlineLevel="0" collapsed="false">
      <c r="A188" s="1"/>
      <c r="B188" s="10"/>
      <c r="C188" s="31" t="str">
        <f aca="false">IF(B188="","",TEXT(B188,"ddd"))</f>
        <v/>
      </c>
      <c r="D188" s="11"/>
      <c r="E188" s="8" t="str">
        <f aca="false">IF(D188="","",IFERROR(INDEX(ProjNumbers,MATCH(D188,ProjNames,0)),""))</f>
        <v/>
      </c>
      <c r="F188" s="8" t="str">
        <f aca="false">IF(D188="","",IFERROR(INDEX(ProjCodes,MATCH(D188,ProjNames,0)),""))</f>
        <v/>
      </c>
      <c r="G188" s="32"/>
      <c r="H188" s="11"/>
      <c r="I188" s="33"/>
      <c r="J188" s="8" t="str">
        <f aca="false">IF(COUNTA(B188,D188,G188,H188,I188)=0,"",IF(B188="","Enter date",IF(OR(B188&lt;$AC$2,B188&gt;$AC$3),"Date not in December",IF(D188="","Pick project",IF(ISNA(MATCH(D188,ProjNames,0)),"Project not in list",IF(G188="","Add task description",IF(H188="","Pick NTIME or P6",IF(N(I188)&lt;=0,"Enter hours",IF(AND(AllowOT&lt;&gt;"Yes",SUMIF($B$7:$B$256,B188,$I$7:$I$256)&gt;INDEX($O$58:$O$88,DAY(B188))),"Day over "&amp;INDEX($O$58:$O$88,DAY(B188))&amp;" h","✓")))))))))</f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tr">
        <f aca="false">IF(Projects!B186="","",Projects!B186)</f>
        <v/>
      </c>
      <c r="X188" s="1" t="n">
        <f aca="false">IF(W188="",0,SUMIFS($I$7:$I$256,$D$7:$D$256,W188,$H$7:$H$256,"NTIME"))</f>
        <v>0</v>
      </c>
      <c r="Y188" s="1" t="n">
        <f aca="false">IF(W188="",0,SUMIFS($I$7:$I$256,$D$7:$D$256,W188,$H$7:$H$256,"P6"))</f>
        <v>0</v>
      </c>
      <c r="Z188" s="1" t="n">
        <f aca="false">X188+Y188</f>
        <v>0</v>
      </c>
      <c r="AA188" s="1" t="n">
        <f aca="false">IF(Z188&gt;0,Z188+(201-182)/10^6,0)</f>
        <v>0</v>
      </c>
      <c r="AB188" s="1"/>
      <c r="AC188" s="1"/>
      <c r="AD188" s="1"/>
      <c r="AE188" s="1"/>
      <c r="AF188" s="1"/>
      <c r="AG188" s="1"/>
      <c r="AH188" s="1"/>
    </row>
    <row r="189" customFormat="false" ht="15" hidden="false" customHeight="false" outlineLevel="0" collapsed="false">
      <c r="A189" s="1"/>
      <c r="B189" s="10"/>
      <c r="C189" s="31" t="str">
        <f aca="false">IF(B189="","",TEXT(B189,"ddd"))</f>
        <v/>
      </c>
      <c r="D189" s="11"/>
      <c r="E189" s="8" t="str">
        <f aca="false">IF(D189="","",IFERROR(INDEX(ProjNumbers,MATCH(D189,ProjNames,0)),""))</f>
        <v/>
      </c>
      <c r="F189" s="8" t="str">
        <f aca="false">IF(D189="","",IFERROR(INDEX(ProjCodes,MATCH(D189,ProjNames,0)),""))</f>
        <v/>
      </c>
      <c r="G189" s="32"/>
      <c r="H189" s="11"/>
      <c r="I189" s="33"/>
      <c r="J189" s="8" t="str">
        <f aca="false">IF(COUNTA(B189,D189,G189,H189,I189)=0,"",IF(B189="","Enter date",IF(OR(B189&lt;$AC$2,B189&gt;$AC$3),"Date not in December",IF(D189="","Pick project",IF(ISNA(MATCH(D189,ProjNames,0)),"Project not in list",IF(G189="","Add task description",IF(H189="","Pick NTIME or P6",IF(N(I189)&lt;=0,"Enter hours",IF(AND(AllowOT&lt;&gt;"Yes",SUMIF($B$7:$B$256,B189,$I$7:$I$256)&gt;INDEX($O$58:$O$88,DAY(B189))),"Day over "&amp;INDEX($O$58:$O$88,DAY(B189))&amp;" h","✓")))))))))</f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tr">
        <f aca="false">IF(Projects!B187="","",Projects!B187)</f>
        <v/>
      </c>
      <c r="X189" s="1" t="n">
        <f aca="false">IF(W189="",0,SUMIFS($I$7:$I$256,$D$7:$D$256,W189,$H$7:$H$256,"NTIME"))</f>
        <v>0</v>
      </c>
      <c r="Y189" s="1" t="n">
        <f aca="false">IF(W189="",0,SUMIFS($I$7:$I$256,$D$7:$D$256,W189,$H$7:$H$256,"P6"))</f>
        <v>0</v>
      </c>
      <c r="Z189" s="1" t="n">
        <f aca="false">X189+Y189</f>
        <v>0</v>
      </c>
      <c r="AA189" s="1" t="n">
        <f aca="false">IF(Z189&gt;0,Z189+(201-183)/10^6,0)</f>
        <v>0</v>
      </c>
      <c r="AB189" s="1"/>
      <c r="AC189" s="1"/>
      <c r="AD189" s="1"/>
      <c r="AE189" s="1"/>
      <c r="AF189" s="1"/>
      <c r="AG189" s="1"/>
      <c r="AH189" s="1"/>
    </row>
    <row r="190" customFormat="false" ht="15" hidden="false" customHeight="false" outlineLevel="0" collapsed="false">
      <c r="A190" s="1"/>
      <c r="B190" s="10"/>
      <c r="C190" s="31" t="str">
        <f aca="false">IF(B190="","",TEXT(B190,"ddd"))</f>
        <v/>
      </c>
      <c r="D190" s="11"/>
      <c r="E190" s="8" t="str">
        <f aca="false">IF(D190="","",IFERROR(INDEX(ProjNumbers,MATCH(D190,ProjNames,0)),""))</f>
        <v/>
      </c>
      <c r="F190" s="8" t="str">
        <f aca="false">IF(D190="","",IFERROR(INDEX(ProjCodes,MATCH(D190,ProjNames,0)),""))</f>
        <v/>
      </c>
      <c r="G190" s="32"/>
      <c r="H190" s="11"/>
      <c r="I190" s="33"/>
      <c r="J190" s="8" t="str">
        <f aca="false">IF(COUNTA(B190,D190,G190,H190,I190)=0,"",IF(B190="","Enter date",IF(OR(B190&lt;$AC$2,B190&gt;$AC$3),"Date not in December",IF(D190="","Pick project",IF(ISNA(MATCH(D190,ProjNames,0)),"Project not in list",IF(G190="","Add task description",IF(H190="","Pick NTIME or P6",IF(N(I190)&lt;=0,"Enter hours",IF(AND(AllowOT&lt;&gt;"Yes",SUMIF($B$7:$B$256,B190,$I$7:$I$256)&gt;INDEX($O$58:$O$88,DAY(B190))),"Day over "&amp;INDEX($O$58:$O$88,DAY(B190))&amp;" h","✓")))))))))</f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tr">
        <f aca="false">IF(Projects!B188="","",Projects!B188)</f>
        <v/>
      </c>
      <c r="X190" s="1" t="n">
        <f aca="false">IF(W190="",0,SUMIFS($I$7:$I$256,$D$7:$D$256,W190,$H$7:$H$256,"NTIME"))</f>
        <v>0</v>
      </c>
      <c r="Y190" s="1" t="n">
        <f aca="false">IF(W190="",0,SUMIFS($I$7:$I$256,$D$7:$D$256,W190,$H$7:$H$256,"P6"))</f>
        <v>0</v>
      </c>
      <c r="Z190" s="1" t="n">
        <f aca="false">X190+Y190</f>
        <v>0</v>
      </c>
      <c r="AA190" s="1" t="n">
        <f aca="false">IF(Z190&gt;0,Z190+(201-184)/10^6,0)</f>
        <v>0</v>
      </c>
      <c r="AB190" s="1"/>
      <c r="AC190" s="1"/>
      <c r="AD190" s="1"/>
      <c r="AE190" s="1"/>
      <c r="AF190" s="1"/>
      <c r="AG190" s="1"/>
      <c r="AH190" s="1"/>
    </row>
    <row r="191" customFormat="false" ht="15" hidden="false" customHeight="false" outlineLevel="0" collapsed="false">
      <c r="A191" s="1"/>
      <c r="B191" s="10"/>
      <c r="C191" s="31" t="str">
        <f aca="false">IF(B191="","",TEXT(B191,"ddd"))</f>
        <v/>
      </c>
      <c r="D191" s="11"/>
      <c r="E191" s="8" t="str">
        <f aca="false">IF(D191="","",IFERROR(INDEX(ProjNumbers,MATCH(D191,ProjNames,0)),""))</f>
        <v/>
      </c>
      <c r="F191" s="8" t="str">
        <f aca="false">IF(D191="","",IFERROR(INDEX(ProjCodes,MATCH(D191,ProjNames,0)),""))</f>
        <v/>
      </c>
      <c r="G191" s="32"/>
      <c r="H191" s="11"/>
      <c r="I191" s="33"/>
      <c r="J191" s="8" t="str">
        <f aca="false">IF(COUNTA(B191,D191,G191,H191,I191)=0,"",IF(B191="","Enter date",IF(OR(B191&lt;$AC$2,B191&gt;$AC$3),"Date not in December",IF(D191="","Pick project",IF(ISNA(MATCH(D191,ProjNames,0)),"Project not in list",IF(G191="","Add task description",IF(H191="","Pick NTIME or P6",IF(N(I191)&lt;=0,"Enter hours",IF(AND(AllowOT&lt;&gt;"Yes",SUMIF($B$7:$B$256,B191,$I$7:$I$256)&gt;INDEX($O$58:$O$88,DAY(B191))),"Day over "&amp;INDEX($O$58:$O$88,DAY(B191))&amp;" h","✓")))))))))</f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tr">
        <f aca="false">IF(Projects!B189="","",Projects!B189)</f>
        <v/>
      </c>
      <c r="X191" s="1" t="n">
        <f aca="false">IF(W191="",0,SUMIFS($I$7:$I$256,$D$7:$D$256,W191,$H$7:$H$256,"NTIME"))</f>
        <v>0</v>
      </c>
      <c r="Y191" s="1" t="n">
        <f aca="false">IF(W191="",0,SUMIFS($I$7:$I$256,$D$7:$D$256,W191,$H$7:$H$256,"P6"))</f>
        <v>0</v>
      </c>
      <c r="Z191" s="1" t="n">
        <f aca="false">X191+Y191</f>
        <v>0</v>
      </c>
      <c r="AA191" s="1" t="n">
        <f aca="false">IF(Z191&gt;0,Z191+(201-185)/10^6,0)</f>
        <v>0</v>
      </c>
      <c r="AB191" s="1"/>
      <c r="AC191" s="1"/>
      <c r="AD191" s="1"/>
      <c r="AE191" s="1"/>
      <c r="AF191" s="1"/>
      <c r="AG191" s="1"/>
      <c r="AH191" s="1"/>
    </row>
    <row r="192" customFormat="false" ht="15" hidden="false" customHeight="false" outlineLevel="0" collapsed="false">
      <c r="A192" s="1"/>
      <c r="B192" s="10"/>
      <c r="C192" s="31" t="str">
        <f aca="false">IF(B192="","",TEXT(B192,"ddd"))</f>
        <v/>
      </c>
      <c r="D192" s="11"/>
      <c r="E192" s="8" t="str">
        <f aca="false">IF(D192="","",IFERROR(INDEX(ProjNumbers,MATCH(D192,ProjNames,0)),""))</f>
        <v/>
      </c>
      <c r="F192" s="8" t="str">
        <f aca="false">IF(D192="","",IFERROR(INDEX(ProjCodes,MATCH(D192,ProjNames,0)),""))</f>
        <v/>
      </c>
      <c r="G192" s="32"/>
      <c r="H192" s="11"/>
      <c r="I192" s="33"/>
      <c r="J192" s="8" t="str">
        <f aca="false">IF(COUNTA(B192,D192,G192,H192,I192)=0,"",IF(B192="","Enter date",IF(OR(B192&lt;$AC$2,B192&gt;$AC$3),"Date not in December",IF(D192="","Pick project",IF(ISNA(MATCH(D192,ProjNames,0)),"Project not in list",IF(G192="","Add task description",IF(H192="","Pick NTIME or P6",IF(N(I192)&lt;=0,"Enter hours",IF(AND(AllowOT&lt;&gt;"Yes",SUMIF($B$7:$B$256,B192,$I$7:$I$256)&gt;INDEX($O$58:$O$88,DAY(B192))),"Day over "&amp;INDEX($O$58:$O$88,DAY(B192))&amp;" h","✓")))))))))</f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tr">
        <f aca="false">IF(Projects!B190="","",Projects!B190)</f>
        <v/>
      </c>
      <c r="X192" s="1" t="n">
        <f aca="false">IF(W192="",0,SUMIFS($I$7:$I$256,$D$7:$D$256,W192,$H$7:$H$256,"NTIME"))</f>
        <v>0</v>
      </c>
      <c r="Y192" s="1" t="n">
        <f aca="false">IF(W192="",0,SUMIFS($I$7:$I$256,$D$7:$D$256,W192,$H$7:$H$256,"P6"))</f>
        <v>0</v>
      </c>
      <c r="Z192" s="1" t="n">
        <f aca="false">X192+Y192</f>
        <v>0</v>
      </c>
      <c r="AA192" s="1" t="n">
        <f aca="false">IF(Z192&gt;0,Z192+(201-186)/10^6,0)</f>
        <v>0</v>
      </c>
      <c r="AB192" s="1"/>
      <c r="AC192" s="1"/>
      <c r="AD192" s="1"/>
      <c r="AE192" s="1"/>
      <c r="AF192" s="1"/>
      <c r="AG192" s="1"/>
      <c r="AH192" s="1"/>
    </row>
    <row r="193" customFormat="false" ht="15" hidden="false" customHeight="false" outlineLevel="0" collapsed="false">
      <c r="A193" s="1"/>
      <c r="B193" s="10"/>
      <c r="C193" s="31" t="str">
        <f aca="false">IF(B193="","",TEXT(B193,"ddd"))</f>
        <v/>
      </c>
      <c r="D193" s="11"/>
      <c r="E193" s="8" t="str">
        <f aca="false">IF(D193="","",IFERROR(INDEX(ProjNumbers,MATCH(D193,ProjNames,0)),""))</f>
        <v/>
      </c>
      <c r="F193" s="8" t="str">
        <f aca="false">IF(D193="","",IFERROR(INDEX(ProjCodes,MATCH(D193,ProjNames,0)),""))</f>
        <v/>
      </c>
      <c r="G193" s="32"/>
      <c r="H193" s="11"/>
      <c r="I193" s="33"/>
      <c r="J193" s="8" t="str">
        <f aca="false">IF(COUNTA(B193,D193,G193,H193,I193)=0,"",IF(B193="","Enter date",IF(OR(B193&lt;$AC$2,B193&gt;$AC$3),"Date not in December",IF(D193="","Pick project",IF(ISNA(MATCH(D193,ProjNames,0)),"Project not in list",IF(G193="","Add task description",IF(H193="","Pick NTIME or P6",IF(N(I193)&lt;=0,"Enter hours",IF(AND(AllowOT&lt;&gt;"Yes",SUMIF($B$7:$B$256,B193,$I$7:$I$256)&gt;INDEX($O$58:$O$88,DAY(B193))),"Day over "&amp;INDEX($O$58:$O$88,DAY(B193))&amp;" h","✓")))))))))</f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tr">
        <f aca="false">IF(Projects!B191="","",Projects!B191)</f>
        <v/>
      </c>
      <c r="X193" s="1" t="n">
        <f aca="false">IF(W193="",0,SUMIFS($I$7:$I$256,$D$7:$D$256,W193,$H$7:$H$256,"NTIME"))</f>
        <v>0</v>
      </c>
      <c r="Y193" s="1" t="n">
        <f aca="false">IF(W193="",0,SUMIFS($I$7:$I$256,$D$7:$D$256,W193,$H$7:$H$256,"P6"))</f>
        <v>0</v>
      </c>
      <c r="Z193" s="1" t="n">
        <f aca="false">X193+Y193</f>
        <v>0</v>
      </c>
      <c r="AA193" s="1" t="n">
        <f aca="false">IF(Z193&gt;0,Z193+(201-187)/10^6,0)</f>
        <v>0</v>
      </c>
      <c r="AB193" s="1"/>
      <c r="AC193" s="1"/>
      <c r="AD193" s="1"/>
      <c r="AE193" s="1"/>
      <c r="AF193" s="1"/>
      <c r="AG193" s="1"/>
      <c r="AH193" s="1"/>
    </row>
    <row r="194" customFormat="false" ht="15" hidden="false" customHeight="false" outlineLevel="0" collapsed="false">
      <c r="A194" s="1"/>
      <c r="B194" s="10"/>
      <c r="C194" s="31" t="str">
        <f aca="false">IF(B194="","",TEXT(B194,"ddd"))</f>
        <v/>
      </c>
      <c r="D194" s="11"/>
      <c r="E194" s="8" t="str">
        <f aca="false">IF(D194="","",IFERROR(INDEX(ProjNumbers,MATCH(D194,ProjNames,0)),""))</f>
        <v/>
      </c>
      <c r="F194" s="8" t="str">
        <f aca="false">IF(D194="","",IFERROR(INDEX(ProjCodes,MATCH(D194,ProjNames,0)),""))</f>
        <v/>
      </c>
      <c r="G194" s="32"/>
      <c r="H194" s="11"/>
      <c r="I194" s="33"/>
      <c r="J194" s="8" t="str">
        <f aca="false">IF(COUNTA(B194,D194,G194,H194,I194)=0,"",IF(B194="","Enter date",IF(OR(B194&lt;$AC$2,B194&gt;$AC$3),"Date not in December",IF(D194="","Pick project",IF(ISNA(MATCH(D194,ProjNames,0)),"Project not in list",IF(G194="","Add task description",IF(H194="","Pick NTIME or P6",IF(N(I194)&lt;=0,"Enter hours",IF(AND(AllowOT&lt;&gt;"Yes",SUMIF($B$7:$B$256,B194,$I$7:$I$256)&gt;INDEX($O$58:$O$88,DAY(B194))),"Day over "&amp;INDEX($O$58:$O$88,DAY(B194))&amp;" h","✓")))))))))</f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tr">
        <f aca="false">IF(Projects!B192="","",Projects!B192)</f>
        <v/>
      </c>
      <c r="X194" s="1" t="n">
        <f aca="false">IF(W194="",0,SUMIFS($I$7:$I$256,$D$7:$D$256,W194,$H$7:$H$256,"NTIME"))</f>
        <v>0</v>
      </c>
      <c r="Y194" s="1" t="n">
        <f aca="false">IF(W194="",0,SUMIFS($I$7:$I$256,$D$7:$D$256,W194,$H$7:$H$256,"P6"))</f>
        <v>0</v>
      </c>
      <c r="Z194" s="1" t="n">
        <f aca="false">X194+Y194</f>
        <v>0</v>
      </c>
      <c r="AA194" s="1" t="n">
        <f aca="false">IF(Z194&gt;0,Z194+(201-188)/10^6,0)</f>
        <v>0</v>
      </c>
      <c r="AB194" s="1"/>
      <c r="AC194" s="1"/>
      <c r="AD194" s="1"/>
      <c r="AE194" s="1"/>
      <c r="AF194" s="1"/>
      <c r="AG194" s="1"/>
      <c r="AH194" s="1"/>
    </row>
    <row r="195" customFormat="false" ht="15" hidden="false" customHeight="false" outlineLevel="0" collapsed="false">
      <c r="A195" s="1"/>
      <c r="B195" s="10"/>
      <c r="C195" s="31" t="str">
        <f aca="false">IF(B195="","",TEXT(B195,"ddd"))</f>
        <v/>
      </c>
      <c r="D195" s="11"/>
      <c r="E195" s="8" t="str">
        <f aca="false">IF(D195="","",IFERROR(INDEX(ProjNumbers,MATCH(D195,ProjNames,0)),""))</f>
        <v/>
      </c>
      <c r="F195" s="8" t="str">
        <f aca="false">IF(D195="","",IFERROR(INDEX(ProjCodes,MATCH(D195,ProjNames,0)),""))</f>
        <v/>
      </c>
      <c r="G195" s="32"/>
      <c r="H195" s="11"/>
      <c r="I195" s="33"/>
      <c r="J195" s="8" t="str">
        <f aca="false">IF(COUNTA(B195,D195,G195,H195,I195)=0,"",IF(B195="","Enter date",IF(OR(B195&lt;$AC$2,B195&gt;$AC$3),"Date not in December",IF(D195="","Pick project",IF(ISNA(MATCH(D195,ProjNames,0)),"Project not in list",IF(G195="","Add task description",IF(H195="","Pick NTIME or P6",IF(N(I195)&lt;=0,"Enter hours",IF(AND(AllowOT&lt;&gt;"Yes",SUMIF($B$7:$B$256,B195,$I$7:$I$256)&gt;INDEX($O$58:$O$88,DAY(B195))),"Day over "&amp;INDEX($O$58:$O$88,DAY(B195))&amp;" h","✓")))))))))</f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tr">
        <f aca="false">IF(Projects!B193="","",Projects!B193)</f>
        <v/>
      </c>
      <c r="X195" s="1" t="n">
        <f aca="false">IF(W195="",0,SUMIFS($I$7:$I$256,$D$7:$D$256,W195,$H$7:$H$256,"NTIME"))</f>
        <v>0</v>
      </c>
      <c r="Y195" s="1" t="n">
        <f aca="false">IF(W195="",0,SUMIFS($I$7:$I$256,$D$7:$D$256,W195,$H$7:$H$256,"P6"))</f>
        <v>0</v>
      </c>
      <c r="Z195" s="1" t="n">
        <f aca="false">X195+Y195</f>
        <v>0</v>
      </c>
      <c r="AA195" s="1" t="n">
        <f aca="false">IF(Z195&gt;0,Z195+(201-189)/10^6,0)</f>
        <v>0</v>
      </c>
      <c r="AB195" s="1"/>
      <c r="AC195" s="1"/>
      <c r="AD195" s="1"/>
      <c r="AE195" s="1"/>
      <c r="AF195" s="1"/>
      <c r="AG195" s="1"/>
      <c r="AH195" s="1"/>
    </row>
    <row r="196" customFormat="false" ht="15" hidden="false" customHeight="false" outlineLevel="0" collapsed="false">
      <c r="A196" s="1"/>
      <c r="B196" s="10"/>
      <c r="C196" s="31" t="str">
        <f aca="false">IF(B196="","",TEXT(B196,"ddd"))</f>
        <v/>
      </c>
      <c r="D196" s="11"/>
      <c r="E196" s="8" t="str">
        <f aca="false">IF(D196="","",IFERROR(INDEX(ProjNumbers,MATCH(D196,ProjNames,0)),""))</f>
        <v/>
      </c>
      <c r="F196" s="8" t="str">
        <f aca="false">IF(D196="","",IFERROR(INDEX(ProjCodes,MATCH(D196,ProjNames,0)),""))</f>
        <v/>
      </c>
      <c r="G196" s="32"/>
      <c r="H196" s="11"/>
      <c r="I196" s="33"/>
      <c r="J196" s="8" t="str">
        <f aca="false">IF(COUNTA(B196,D196,G196,H196,I196)=0,"",IF(B196="","Enter date",IF(OR(B196&lt;$AC$2,B196&gt;$AC$3),"Date not in December",IF(D196="","Pick project",IF(ISNA(MATCH(D196,ProjNames,0)),"Project not in list",IF(G196="","Add task description",IF(H196="","Pick NTIME or P6",IF(N(I196)&lt;=0,"Enter hours",IF(AND(AllowOT&lt;&gt;"Yes",SUMIF($B$7:$B$256,B196,$I$7:$I$256)&gt;INDEX($O$58:$O$88,DAY(B196))),"Day over "&amp;INDEX($O$58:$O$88,DAY(B196))&amp;" h","✓")))))))))</f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tr">
        <f aca="false">IF(Projects!B194="","",Projects!B194)</f>
        <v/>
      </c>
      <c r="X196" s="1" t="n">
        <f aca="false">IF(W196="",0,SUMIFS($I$7:$I$256,$D$7:$D$256,W196,$H$7:$H$256,"NTIME"))</f>
        <v>0</v>
      </c>
      <c r="Y196" s="1" t="n">
        <f aca="false">IF(W196="",0,SUMIFS($I$7:$I$256,$D$7:$D$256,W196,$H$7:$H$256,"P6"))</f>
        <v>0</v>
      </c>
      <c r="Z196" s="1" t="n">
        <f aca="false">X196+Y196</f>
        <v>0</v>
      </c>
      <c r="AA196" s="1" t="n">
        <f aca="false">IF(Z196&gt;0,Z196+(201-190)/10^6,0)</f>
        <v>0</v>
      </c>
      <c r="AB196" s="1"/>
      <c r="AC196" s="1"/>
      <c r="AD196" s="1"/>
      <c r="AE196" s="1"/>
      <c r="AF196" s="1"/>
      <c r="AG196" s="1"/>
      <c r="AH196" s="1"/>
    </row>
    <row r="197" customFormat="false" ht="15" hidden="false" customHeight="false" outlineLevel="0" collapsed="false">
      <c r="A197" s="1"/>
      <c r="B197" s="10"/>
      <c r="C197" s="31" t="str">
        <f aca="false">IF(B197="","",TEXT(B197,"ddd"))</f>
        <v/>
      </c>
      <c r="D197" s="11"/>
      <c r="E197" s="8" t="str">
        <f aca="false">IF(D197="","",IFERROR(INDEX(ProjNumbers,MATCH(D197,ProjNames,0)),""))</f>
        <v/>
      </c>
      <c r="F197" s="8" t="str">
        <f aca="false">IF(D197="","",IFERROR(INDEX(ProjCodes,MATCH(D197,ProjNames,0)),""))</f>
        <v/>
      </c>
      <c r="G197" s="32"/>
      <c r="H197" s="11"/>
      <c r="I197" s="33"/>
      <c r="J197" s="8" t="str">
        <f aca="false">IF(COUNTA(B197,D197,G197,H197,I197)=0,"",IF(B197="","Enter date",IF(OR(B197&lt;$AC$2,B197&gt;$AC$3),"Date not in December",IF(D197="","Pick project",IF(ISNA(MATCH(D197,ProjNames,0)),"Project not in list",IF(G197="","Add task description",IF(H197="","Pick NTIME or P6",IF(N(I197)&lt;=0,"Enter hours",IF(AND(AllowOT&lt;&gt;"Yes",SUMIF($B$7:$B$256,B197,$I$7:$I$256)&gt;INDEX($O$58:$O$88,DAY(B197))),"Day over "&amp;INDEX($O$58:$O$88,DAY(B197))&amp;" h","✓")))))))))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tr">
        <f aca="false">IF(Projects!B195="","",Projects!B195)</f>
        <v/>
      </c>
      <c r="X197" s="1" t="n">
        <f aca="false">IF(W197="",0,SUMIFS($I$7:$I$256,$D$7:$D$256,W197,$H$7:$H$256,"NTIME"))</f>
        <v>0</v>
      </c>
      <c r="Y197" s="1" t="n">
        <f aca="false">IF(W197="",0,SUMIFS($I$7:$I$256,$D$7:$D$256,W197,$H$7:$H$256,"P6"))</f>
        <v>0</v>
      </c>
      <c r="Z197" s="1" t="n">
        <f aca="false">X197+Y197</f>
        <v>0</v>
      </c>
      <c r="AA197" s="1" t="n">
        <f aca="false">IF(Z197&gt;0,Z197+(201-191)/10^6,0)</f>
        <v>0</v>
      </c>
      <c r="AB197" s="1"/>
      <c r="AC197" s="1"/>
      <c r="AD197" s="1"/>
      <c r="AE197" s="1"/>
      <c r="AF197" s="1"/>
      <c r="AG197" s="1"/>
      <c r="AH197" s="1"/>
    </row>
    <row r="198" customFormat="false" ht="15" hidden="false" customHeight="false" outlineLevel="0" collapsed="false">
      <c r="A198" s="1"/>
      <c r="B198" s="10"/>
      <c r="C198" s="31" t="str">
        <f aca="false">IF(B198="","",TEXT(B198,"ddd"))</f>
        <v/>
      </c>
      <c r="D198" s="11"/>
      <c r="E198" s="8" t="str">
        <f aca="false">IF(D198="","",IFERROR(INDEX(ProjNumbers,MATCH(D198,ProjNames,0)),""))</f>
        <v/>
      </c>
      <c r="F198" s="8" t="str">
        <f aca="false">IF(D198="","",IFERROR(INDEX(ProjCodes,MATCH(D198,ProjNames,0)),""))</f>
        <v/>
      </c>
      <c r="G198" s="32"/>
      <c r="H198" s="11"/>
      <c r="I198" s="33"/>
      <c r="J198" s="8" t="str">
        <f aca="false">IF(COUNTA(B198,D198,G198,H198,I198)=0,"",IF(B198="","Enter date",IF(OR(B198&lt;$AC$2,B198&gt;$AC$3),"Date not in December",IF(D198="","Pick project",IF(ISNA(MATCH(D198,ProjNames,0)),"Project not in list",IF(G198="","Add task description",IF(H198="","Pick NTIME or P6",IF(N(I198)&lt;=0,"Enter hours",IF(AND(AllowOT&lt;&gt;"Yes",SUMIF($B$7:$B$256,B198,$I$7:$I$256)&gt;INDEX($O$58:$O$88,DAY(B198))),"Day over "&amp;INDEX($O$58:$O$88,DAY(B198))&amp;" h","✓")))))))))</f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tr">
        <f aca="false">IF(Projects!B196="","",Projects!B196)</f>
        <v/>
      </c>
      <c r="X198" s="1" t="n">
        <f aca="false">IF(W198="",0,SUMIFS($I$7:$I$256,$D$7:$D$256,W198,$H$7:$H$256,"NTIME"))</f>
        <v>0</v>
      </c>
      <c r="Y198" s="1" t="n">
        <f aca="false">IF(W198="",0,SUMIFS($I$7:$I$256,$D$7:$D$256,W198,$H$7:$H$256,"P6"))</f>
        <v>0</v>
      </c>
      <c r="Z198" s="1" t="n">
        <f aca="false">X198+Y198</f>
        <v>0</v>
      </c>
      <c r="AA198" s="1" t="n">
        <f aca="false">IF(Z198&gt;0,Z198+(201-192)/10^6,0)</f>
        <v>0</v>
      </c>
      <c r="AB198" s="1"/>
      <c r="AC198" s="1"/>
      <c r="AD198" s="1"/>
      <c r="AE198" s="1"/>
      <c r="AF198" s="1"/>
      <c r="AG198" s="1"/>
      <c r="AH198" s="1"/>
    </row>
    <row r="199" customFormat="false" ht="15" hidden="false" customHeight="false" outlineLevel="0" collapsed="false">
      <c r="A199" s="1"/>
      <c r="B199" s="10"/>
      <c r="C199" s="31" t="str">
        <f aca="false">IF(B199="","",TEXT(B199,"ddd"))</f>
        <v/>
      </c>
      <c r="D199" s="11"/>
      <c r="E199" s="8" t="str">
        <f aca="false">IF(D199="","",IFERROR(INDEX(ProjNumbers,MATCH(D199,ProjNames,0)),""))</f>
        <v/>
      </c>
      <c r="F199" s="8" t="str">
        <f aca="false">IF(D199="","",IFERROR(INDEX(ProjCodes,MATCH(D199,ProjNames,0)),""))</f>
        <v/>
      </c>
      <c r="G199" s="32"/>
      <c r="H199" s="11"/>
      <c r="I199" s="33"/>
      <c r="J199" s="8" t="str">
        <f aca="false">IF(COUNTA(B199,D199,G199,H199,I199)=0,"",IF(B199="","Enter date",IF(OR(B199&lt;$AC$2,B199&gt;$AC$3),"Date not in December",IF(D199="","Pick project",IF(ISNA(MATCH(D199,ProjNames,0)),"Project not in list",IF(G199="","Add task description",IF(H199="","Pick NTIME or P6",IF(N(I199)&lt;=0,"Enter hours",IF(AND(AllowOT&lt;&gt;"Yes",SUMIF($B$7:$B$256,B199,$I$7:$I$256)&gt;INDEX($O$58:$O$88,DAY(B199))),"Day over "&amp;INDEX($O$58:$O$88,DAY(B199))&amp;" h","✓")))))))))</f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tr">
        <f aca="false">IF(Projects!B197="","",Projects!B197)</f>
        <v/>
      </c>
      <c r="X199" s="1" t="n">
        <f aca="false">IF(W199="",0,SUMIFS($I$7:$I$256,$D$7:$D$256,W199,$H$7:$H$256,"NTIME"))</f>
        <v>0</v>
      </c>
      <c r="Y199" s="1" t="n">
        <f aca="false">IF(W199="",0,SUMIFS($I$7:$I$256,$D$7:$D$256,W199,$H$7:$H$256,"P6"))</f>
        <v>0</v>
      </c>
      <c r="Z199" s="1" t="n">
        <f aca="false">X199+Y199</f>
        <v>0</v>
      </c>
      <c r="AA199" s="1" t="n">
        <f aca="false">IF(Z199&gt;0,Z199+(201-193)/10^6,0)</f>
        <v>0</v>
      </c>
      <c r="AB199" s="1"/>
      <c r="AC199" s="1"/>
      <c r="AD199" s="1"/>
      <c r="AE199" s="1"/>
      <c r="AF199" s="1"/>
      <c r="AG199" s="1"/>
      <c r="AH199" s="1"/>
    </row>
    <row r="200" customFormat="false" ht="15" hidden="false" customHeight="false" outlineLevel="0" collapsed="false">
      <c r="A200" s="1"/>
      <c r="B200" s="10"/>
      <c r="C200" s="31" t="str">
        <f aca="false">IF(B200="","",TEXT(B200,"ddd"))</f>
        <v/>
      </c>
      <c r="D200" s="11"/>
      <c r="E200" s="8" t="str">
        <f aca="false">IF(D200="","",IFERROR(INDEX(ProjNumbers,MATCH(D200,ProjNames,0)),""))</f>
        <v/>
      </c>
      <c r="F200" s="8" t="str">
        <f aca="false">IF(D200="","",IFERROR(INDEX(ProjCodes,MATCH(D200,ProjNames,0)),""))</f>
        <v/>
      </c>
      <c r="G200" s="32"/>
      <c r="H200" s="11"/>
      <c r="I200" s="33"/>
      <c r="J200" s="8" t="str">
        <f aca="false">IF(COUNTA(B200,D200,G200,H200,I200)=0,"",IF(B200="","Enter date",IF(OR(B200&lt;$AC$2,B200&gt;$AC$3),"Date not in December",IF(D200="","Pick project",IF(ISNA(MATCH(D200,ProjNames,0)),"Project not in list",IF(G200="","Add task description",IF(H200="","Pick NTIME or P6",IF(N(I200)&lt;=0,"Enter hours",IF(AND(AllowOT&lt;&gt;"Yes",SUMIF($B$7:$B$256,B200,$I$7:$I$256)&gt;INDEX($O$58:$O$88,DAY(B200))),"Day over "&amp;INDEX($O$58:$O$88,DAY(B200))&amp;" h","✓")))))))))</f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tr">
        <f aca="false">IF(Projects!B198="","",Projects!B198)</f>
        <v/>
      </c>
      <c r="X200" s="1" t="n">
        <f aca="false">IF(W200="",0,SUMIFS($I$7:$I$256,$D$7:$D$256,W200,$H$7:$H$256,"NTIME"))</f>
        <v>0</v>
      </c>
      <c r="Y200" s="1" t="n">
        <f aca="false">IF(W200="",0,SUMIFS($I$7:$I$256,$D$7:$D$256,W200,$H$7:$H$256,"P6"))</f>
        <v>0</v>
      </c>
      <c r="Z200" s="1" t="n">
        <f aca="false">X200+Y200</f>
        <v>0</v>
      </c>
      <c r="AA200" s="1" t="n">
        <f aca="false">IF(Z200&gt;0,Z200+(201-194)/10^6,0)</f>
        <v>0</v>
      </c>
      <c r="AB200" s="1"/>
      <c r="AC200" s="1"/>
      <c r="AD200" s="1"/>
      <c r="AE200" s="1"/>
      <c r="AF200" s="1"/>
      <c r="AG200" s="1"/>
      <c r="AH200" s="1"/>
    </row>
    <row r="201" customFormat="false" ht="15" hidden="false" customHeight="false" outlineLevel="0" collapsed="false">
      <c r="A201" s="1"/>
      <c r="B201" s="10"/>
      <c r="C201" s="31" t="str">
        <f aca="false">IF(B201="","",TEXT(B201,"ddd"))</f>
        <v/>
      </c>
      <c r="D201" s="11"/>
      <c r="E201" s="8" t="str">
        <f aca="false">IF(D201="","",IFERROR(INDEX(ProjNumbers,MATCH(D201,ProjNames,0)),""))</f>
        <v/>
      </c>
      <c r="F201" s="8" t="str">
        <f aca="false">IF(D201="","",IFERROR(INDEX(ProjCodes,MATCH(D201,ProjNames,0)),""))</f>
        <v/>
      </c>
      <c r="G201" s="32"/>
      <c r="H201" s="11"/>
      <c r="I201" s="33"/>
      <c r="J201" s="8" t="str">
        <f aca="false">IF(COUNTA(B201,D201,G201,H201,I201)=0,"",IF(B201="","Enter date",IF(OR(B201&lt;$AC$2,B201&gt;$AC$3),"Date not in December",IF(D201="","Pick project",IF(ISNA(MATCH(D201,ProjNames,0)),"Project not in list",IF(G201="","Add task description",IF(H201="","Pick NTIME or P6",IF(N(I201)&lt;=0,"Enter hours",IF(AND(AllowOT&lt;&gt;"Yes",SUMIF($B$7:$B$256,B201,$I$7:$I$256)&gt;INDEX($O$58:$O$88,DAY(B201))),"Day over "&amp;INDEX($O$58:$O$88,DAY(B201))&amp;" h","✓")))))))))</f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tr">
        <f aca="false">IF(Projects!B199="","",Projects!B199)</f>
        <v/>
      </c>
      <c r="X201" s="1" t="n">
        <f aca="false">IF(W201="",0,SUMIFS($I$7:$I$256,$D$7:$D$256,W201,$H$7:$H$256,"NTIME"))</f>
        <v>0</v>
      </c>
      <c r="Y201" s="1" t="n">
        <f aca="false">IF(W201="",0,SUMIFS($I$7:$I$256,$D$7:$D$256,W201,$H$7:$H$256,"P6"))</f>
        <v>0</v>
      </c>
      <c r="Z201" s="1" t="n">
        <f aca="false">X201+Y201</f>
        <v>0</v>
      </c>
      <c r="AA201" s="1" t="n">
        <f aca="false">IF(Z201&gt;0,Z201+(201-195)/10^6,0)</f>
        <v>0</v>
      </c>
      <c r="AB201" s="1"/>
      <c r="AC201" s="1"/>
      <c r="AD201" s="1"/>
      <c r="AE201" s="1"/>
      <c r="AF201" s="1"/>
      <c r="AG201" s="1"/>
      <c r="AH201" s="1"/>
    </row>
    <row r="202" customFormat="false" ht="15" hidden="false" customHeight="false" outlineLevel="0" collapsed="false">
      <c r="A202" s="1"/>
      <c r="B202" s="10"/>
      <c r="C202" s="31" t="str">
        <f aca="false">IF(B202="","",TEXT(B202,"ddd"))</f>
        <v/>
      </c>
      <c r="D202" s="11"/>
      <c r="E202" s="8" t="str">
        <f aca="false">IF(D202="","",IFERROR(INDEX(ProjNumbers,MATCH(D202,ProjNames,0)),""))</f>
        <v/>
      </c>
      <c r="F202" s="8" t="str">
        <f aca="false">IF(D202="","",IFERROR(INDEX(ProjCodes,MATCH(D202,ProjNames,0)),""))</f>
        <v/>
      </c>
      <c r="G202" s="32"/>
      <c r="H202" s="11"/>
      <c r="I202" s="33"/>
      <c r="J202" s="8" t="str">
        <f aca="false">IF(COUNTA(B202,D202,G202,H202,I202)=0,"",IF(B202="","Enter date",IF(OR(B202&lt;$AC$2,B202&gt;$AC$3),"Date not in December",IF(D202="","Pick project",IF(ISNA(MATCH(D202,ProjNames,0)),"Project not in list",IF(G202="","Add task description",IF(H202="","Pick NTIME or P6",IF(N(I202)&lt;=0,"Enter hours",IF(AND(AllowOT&lt;&gt;"Yes",SUMIF($B$7:$B$256,B202,$I$7:$I$256)&gt;INDEX($O$58:$O$88,DAY(B202))),"Day over "&amp;INDEX($O$58:$O$88,DAY(B202))&amp;" h","✓")))))))))</f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tr">
        <f aca="false">IF(Projects!B200="","",Projects!B200)</f>
        <v/>
      </c>
      <c r="X202" s="1" t="n">
        <f aca="false">IF(W202="",0,SUMIFS($I$7:$I$256,$D$7:$D$256,W202,$H$7:$H$256,"NTIME"))</f>
        <v>0</v>
      </c>
      <c r="Y202" s="1" t="n">
        <f aca="false">IF(W202="",0,SUMIFS($I$7:$I$256,$D$7:$D$256,W202,$H$7:$H$256,"P6"))</f>
        <v>0</v>
      </c>
      <c r="Z202" s="1" t="n">
        <f aca="false">X202+Y202</f>
        <v>0</v>
      </c>
      <c r="AA202" s="1" t="n">
        <f aca="false">IF(Z202&gt;0,Z202+(201-196)/10^6,0)</f>
        <v>0</v>
      </c>
      <c r="AB202" s="1"/>
      <c r="AC202" s="1"/>
      <c r="AD202" s="1"/>
      <c r="AE202" s="1"/>
      <c r="AF202" s="1"/>
      <c r="AG202" s="1"/>
      <c r="AH202" s="1"/>
    </row>
    <row r="203" customFormat="false" ht="15" hidden="false" customHeight="false" outlineLevel="0" collapsed="false">
      <c r="A203" s="1"/>
      <c r="B203" s="10"/>
      <c r="C203" s="31" t="str">
        <f aca="false">IF(B203="","",TEXT(B203,"ddd"))</f>
        <v/>
      </c>
      <c r="D203" s="11"/>
      <c r="E203" s="8" t="str">
        <f aca="false">IF(D203="","",IFERROR(INDEX(ProjNumbers,MATCH(D203,ProjNames,0)),""))</f>
        <v/>
      </c>
      <c r="F203" s="8" t="str">
        <f aca="false">IF(D203="","",IFERROR(INDEX(ProjCodes,MATCH(D203,ProjNames,0)),""))</f>
        <v/>
      </c>
      <c r="G203" s="32"/>
      <c r="H203" s="11"/>
      <c r="I203" s="33"/>
      <c r="J203" s="8" t="str">
        <f aca="false">IF(COUNTA(B203,D203,G203,H203,I203)=0,"",IF(B203="","Enter date",IF(OR(B203&lt;$AC$2,B203&gt;$AC$3),"Date not in December",IF(D203="","Pick project",IF(ISNA(MATCH(D203,ProjNames,0)),"Project not in list",IF(G203="","Add task description",IF(H203="","Pick NTIME or P6",IF(N(I203)&lt;=0,"Enter hours",IF(AND(AllowOT&lt;&gt;"Yes",SUMIF($B$7:$B$256,B203,$I$7:$I$256)&gt;INDEX($O$58:$O$88,DAY(B203))),"Day over "&amp;INDEX($O$58:$O$88,DAY(B203))&amp;" h","✓")))))))))</f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tr">
        <f aca="false">IF(Projects!B201="","",Projects!B201)</f>
        <v/>
      </c>
      <c r="X203" s="1" t="n">
        <f aca="false">IF(W203="",0,SUMIFS($I$7:$I$256,$D$7:$D$256,W203,$H$7:$H$256,"NTIME"))</f>
        <v>0</v>
      </c>
      <c r="Y203" s="1" t="n">
        <f aca="false">IF(W203="",0,SUMIFS($I$7:$I$256,$D$7:$D$256,W203,$H$7:$H$256,"P6"))</f>
        <v>0</v>
      </c>
      <c r="Z203" s="1" t="n">
        <f aca="false">X203+Y203</f>
        <v>0</v>
      </c>
      <c r="AA203" s="1" t="n">
        <f aca="false">IF(Z203&gt;0,Z203+(201-197)/10^6,0)</f>
        <v>0</v>
      </c>
      <c r="AB203" s="1"/>
      <c r="AC203" s="1"/>
      <c r="AD203" s="1"/>
      <c r="AE203" s="1"/>
      <c r="AF203" s="1"/>
      <c r="AG203" s="1"/>
      <c r="AH203" s="1"/>
    </row>
    <row r="204" customFormat="false" ht="15" hidden="false" customHeight="false" outlineLevel="0" collapsed="false">
      <c r="A204" s="1"/>
      <c r="B204" s="10"/>
      <c r="C204" s="31" t="str">
        <f aca="false">IF(B204="","",TEXT(B204,"ddd"))</f>
        <v/>
      </c>
      <c r="D204" s="11"/>
      <c r="E204" s="8" t="str">
        <f aca="false">IF(D204="","",IFERROR(INDEX(ProjNumbers,MATCH(D204,ProjNames,0)),""))</f>
        <v/>
      </c>
      <c r="F204" s="8" t="str">
        <f aca="false">IF(D204="","",IFERROR(INDEX(ProjCodes,MATCH(D204,ProjNames,0)),""))</f>
        <v/>
      </c>
      <c r="G204" s="32"/>
      <c r="H204" s="11"/>
      <c r="I204" s="33"/>
      <c r="J204" s="8" t="str">
        <f aca="false">IF(COUNTA(B204,D204,G204,H204,I204)=0,"",IF(B204="","Enter date",IF(OR(B204&lt;$AC$2,B204&gt;$AC$3),"Date not in December",IF(D204="","Pick project",IF(ISNA(MATCH(D204,ProjNames,0)),"Project not in list",IF(G204="","Add task description",IF(H204="","Pick NTIME or P6",IF(N(I204)&lt;=0,"Enter hours",IF(AND(AllowOT&lt;&gt;"Yes",SUMIF($B$7:$B$256,B204,$I$7:$I$256)&gt;INDEX($O$58:$O$88,DAY(B204))),"Day over "&amp;INDEX($O$58:$O$88,DAY(B204))&amp;" h","✓")))))))))</f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tr">
        <f aca="false">IF(Projects!B202="","",Projects!B202)</f>
        <v/>
      </c>
      <c r="X204" s="1" t="n">
        <f aca="false">IF(W204="",0,SUMIFS($I$7:$I$256,$D$7:$D$256,W204,$H$7:$H$256,"NTIME"))</f>
        <v>0</v>
      </c>
      <c r="Y204" s="1" t="n">
        <f aca="false">IF(W204="",0,SUMIFS($I$7:$I$256,$D$7:$D$256,W204,$H$7:$H$256,"P6"))</f>
        <v>0</v>
      </c>
      <c r="Z204" s="1" t="n">
        <f aca="false">X204+Y204</f>
        <v>0</v>
      </c>
      <c r="AA204" s="1" t="n">
        <f aca="false">IF(Z204&gt;0,Z204+(201-198)/10^6,0)</f>
        <v>0</v>
      </c>
      <c r="AB204" s="1"/>
      <c r="AC204" s="1"/>
      <c r="AD204" s="1"/>
      <c r="AE204" s="1"/>
      <c r="AF204" s="1"/>
      <c r="AG204" s="1"/>
      <c r="AH204" s="1"/>
    </row>
    <row r="205" customFormat="false" ht="15" hidden="false" customHeight="false" outlineLevel="0" collapsed="false">
      <c r="A205" s="1"/>
      <c r="B205" s="10"/>
      <c r="C205" s="31" t="str">
        <f aca="false">IF(B205="","",TEXT(B205,"ddd"))</f>
        <v/>
      </c>
      <c r="D205" s="11"/>
      <c r="E205" s="8" t="str">
        <f aca="false">IF(D205="","",IFERROR(INDEX(ProjNumbers,MATCH(D205,ProjNames,0)),""))</f>
        <v/>
      </c>
      <c r="F205" s="8" t="str">
        <f aca="false">IF(D205="","",IFERROR(INDEX(ProjCodes,MATCH(D205,ProjNames,0)),""))</f>
        <v/>
      </c>
      <c r="G205" s="32"/>
      <c r="H205" s="11"/>
      <c r="I205" s="33"/>
      <c r="J205" s="8" t="str">
        <f aca="false">IF(COUNTA(B205,D205,G205,H205,I205)=0,"",IF(B205="","Enter date",IF(OR(B205&lt;$AC$2,B205&gt;$AC$3),"Date not in December",IF(D205="","Pick project",IF(ISNA(MATCH(D205,ProjNames,0)),"Project not in list",IF(G205="","Add task description",IF(H205="","Pick NTIME or P6",IF(N(I205)&lt;=0,"Enter hours",IF(AND(AllowOT&lt;&gt;"Yes",SUMIF($B$7:$B$256,B205,$I$7:$I$256)&gt;INDEX($O$58:$O$88,DAY(B205))),"Day over "&amp;INDEX($O$58:$O$88,DAY(B205))&amp;" h","✓")))))))))</f>
        <v/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tr">
        <f aca="false">IF(Projects!B203="","",Projects!B203)</f>
        <v/>
      </c>
      <c r="X205" s="1" t="n">
        <f aca="false">IF(W205="",0,SUMIFS($I$7:$I$256,$D$7:$D$256,W205,$H$7:$H$256,"NTIME"))</f>
        <v>0</v>
      </c>
      <c r="Y205" s="1" t="n">
        <f aca="false">IF(W205="",0,SUMIFS($I$7:$I$256,$D$7:$D$256,W205,$H$7:$H$256,"P6"))</f>
        <v>0</v>
      </c>
      <c r="Z205" s="1" t="n">
        <f aca="false">X205+Y205</f>
        <v>0</v>
      </c>
      <c r="AA205" s="1" t="n">
        <f aca="false">IF(Z205&gt;0,Z205+(201-199)/10^6,0)</f>
        <v>0</v>
      </c>
      <c r="AB205" s="1"/>
      <c r="AC205" s="1"/>
      <c r="AD205" s="1"/>
      <c r="AE205" s="1"/>
      <c r="AF205" s="1"/>
      <c r="AG205" s="1"/>
      <c r="AH205" s="1"/>
    </row>
    <row r="206" customFormat="false" ht="15" hidden="false" customHeight="false" outlineLevel="0" collapsed="false">
      <c r="A206" s="1"/>
      <c r="B206" s="10"/>
      <c r="C206" s="31" t="str">
        <f aca="false">IF(B206="","",TEXT(B206,"ddd"))</f>
        <v/>
      </c>
      <c r="D206" s="11"/>
      <c r="E206" s="8" t="str">
        <f aca="false">IF(D206="","",IFERROR(INDEX(ProjNumbers,MATCH(D206,ProjNames,0)),""))</f>
        <v/>
      </c>
      <c r="F206" s="8" t="str">
        <f aca="false">IF(D206="","",IFERROR(INDEX(ProjCodes,MATCH(D206,ProjNames,0)),""))</f>
        <v/>
      </c>
      <c r="G206" s="32"/>
      <c r="H206" s="11"/>
      <c r="I206" s="33"/>
      <c r="J206" s="8" t="str">
        <f aca="false">IF(COUNTA(B206,D206,G206,H206,I206)=0,"",IF(B206="","Enter date",IF(OR(B206&lt;$AC$2,B206&gt;$AC$3),"Date not in December",IF(D206="","Pick project",IF(ISNA(MATCH(D206,ProjNames,0)),"Project not in list",IF(G206="","Add task description",IF(H206="","Pick NTIME or P6",IF(N(I206)&lt;=0,"Enter hours",IF(AND(AllowOT&lt;&gt;"Yes",SUMIF($B$7:$B$256,B206,$I$7:$I$256)&gt;INDEX($O$58:$O$88,DAY(B206))),"Day over "&amp;INDEX($O$58:$O$88,DAY(B206))&amp;" h","✓")))))))))</f>
        <v/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tr">
        <f aca="false">IF(Projects!B204="","",Projects!B204)</f>
        <v/>
      </c>
      <c r="X206" s="1" t="n">
        <f aca="false">IF(W206="",0,SUMIFS($I$7:$I$256,$D$7:$D$256,W206,$H$7:$H$256,"NTIME"))</f>
        <v>0</v>
      </c>
      <c r="Y206" s="1" t="n">
        <f aca="false">IF(W206="",0,SUMIFS($I$7:$I$256,$D$7:$D$256,W206,$H$7:$H$256,"P6"))</f>
        <v>0</v>
      </c>
      <c r="Z206" s="1" t="n">
        <f aca="false">X206+Y206</f>
        <v>0</v>
      </c>
      <c r="AA206" s="1" t="n">
        <f aca="false">IF(Z206&gt;0,Z206+(201-200)/10^6,0)</f>
        <v>0</v>
      </c>
      <c r="AB206" s="1"/>
      <c r="AC206" s="1"/>
      <c r="AD206" s="1"/>
      <c r="AE206" s="1"/>
      <c r="AF206" s="1"/>
      <c r="AG206" s="1"/>
      <c r="AH206" s="1"/>
    </row>
    <row r="207" customFormat="false" ht="15" hidden="false" customHeight="false" outlineLevel="0" collapsed="false">
      <c r="A207" s="1"/>
      <c r="B207" s="10"/>
      <c r="C207" s="31" t="str">
        <f aca="false">IF(B207="","",TEXT(B207,"ddd"))</f>
        <v/>
      </c>
      <c r="D207" s="11"/>
      <c r="E207" s="8" t="str">
        <f aca="false">IF(D207="","",IFERROR(INDEX(ProjNumbers,MATCH(D207,ProjNames,0)),""))</f>
        <v/>
      </c>
      <c r="F207" s="8" t="str">
        <f aca="false">IF(D207="","",IFERROR(INDEX(ProjCodes,MATCH(D207,ProjNames,0)),""))</f>
        <v/>
      </c>
      <c r="G207" s="32"/>
      <c r="H207" s="11"/>
      <c r="I207" s="33"/>
      <c r="J207" s="8" t="str">
        <f aca="false">IF(COUNTA(B207,D207,G207,H207,I207)=0,"",IF(B207="","Enter date",IF(OR(B207&lt;$AC$2,B207&gt;$AC$3),"Date not in December",IF(D207="","Pick project",IF(ISNA(MATCH(D207,ProjNames,0)),"Project not in list",IF(G207="","Add task description",IF(H207="","Pick NTIME or P6",IF(N(I207)&lt;=0,"Enter hours",IF(AND(AllowOT&lt;&gt;"Yes",SUMIF($B$7:$B$256,B207,$I$7:$I$256)&gt;INDEX($O$58:$O$88,DAY(B207))),"Day over "&amp;INDEX($O$58:$O$88,DAY(B207))&amp;" h","✓")))))))))</f>
        <v/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5" hidden="false" customHeight="false" outlineLevel="0" collapsed="false">
      <c r="A208" s="1"/>
      <c r="B208" s="10"/>
      <c r="C208" s="31" t="str">
        <f aca="false">IF(B208="","",TEXT(B208,"ddd"))</f>
        <v/>
      </c>
      <c r="D208" s="11"/>
      <c r="E208" s="8" t="str">
        <f aca="false">IF(D208="","",IFERROR(INDEX(ProjNumbers,MATCH(D208,ProjNames,0)),""))</f>
        <v/>
      </c>
      <c r="F208" s="8" t="str">
        <f aca="false">IF(D208="","",IFERROR(INDEX(ProjCodes,MATCH(D208,ProjNames,0)),""))</f>
        <v/>
      </c>
      <c r="G208" s="32"/>
      <c r="H208" s="11"/>
      <c r="I208" s="33"/>
      <c r="J208" s="8" t="str">
        <f aca="false">IF(COUNTA(B208,D208,G208,H208,I208)=0,"",IF(B208="","Enter date",IF(OR(B208&lt;$AC$2,B208&gt;$AC$3),"Date not in December",IF(D208="","Pick project",IF(ISNA(MATCH(D208,ProjNames,0)),"Project not in list",IF(G208="","Add task description",IF(H208="","Pick NTIME or P6",IF(N(I208)&lt;=0,"Enter hours",IF(AND(AllowOT&lt;&gt;"Yes",SUMIF($B$7:$B$256,B208,$I$7:$I$256)&gt;INDEX($O$58:$O$88,DAY(B208))),"Day over "&amp;INDEX($O$58:$O$88,DAY(B208))&amp;" h","✓")))))))))</f>
        <v/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5" hidden="false" customHeight="false" outlineLevel="0" collapsed="false">
      <c r="A209" s="1"/>
      <c r="B209" s="10"/>
      <c r="C209" s="31" t="str">
        <f aca="false">IF(B209="","",TEXT(B209,"ddd"))</f>
        <v/>
      </c>
      <c r="D209" s="11"/>
      <c r="E209" s="8" t="str">
        <f aca="false">IF(D209="","",IFERROR(INDEX(ProjNumbers,MATCH(D209,ProjNames,0)),""))</f>
        <v/>
      </c>
      <c r="F209" s="8" t="str">
        <f aca="false">IF(D209="","",IFERROR(INDEX(ProjCodes,MATCH(D209,ProjNames,0)),""))</f>
        <v/>
      </c>
      <c r="G209" s="32"/>
      <c r="H209" s="11"/>
      <c r="I209" s="33"/>
      <c r="J209" s="8" t="str">
        <f aca="false">IF(COUNTA(B209,D209,G209,H209,I209)=0,"",IF(B209="","Enter date",IF(OR(B209&lt;$AC$2,B209&gt;$AC$3),"Date not in December",IF(D209="","Pick project",IF(ISNA(MATCH(D209,ProjNames,0)),"Project not in list",IF(G209="","Add task description",IF(H209="","Pick NTIME or P6",IF(N(I209)&lt;=0,"Enter hours",IF(AND(AllowOT&lt;&gt;"Yes",SUMIF($B$7:$B$256,B209,$I$7:$I$256)&gt;INDEX($O$58:$O$88,DAY(B209))),"Day over "&amp;INDEX($O$58:$O$88,DAY(B209))&amp;" h","✓")))))))))</f>
        <v/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5" hidden="false" customHeight="false" outlineLevel="0" collapsed="false">
      <c r="A210" s="1"/>
      <c r="B210" s="10"/>
      <c r="C210" s="31" t="str">
        <f aca="false">IF(B210="","",TEXT(B210,"ddd"))</f>
        <v/>
      </c>
      <c r="D210" s="11"/>
      <c r="E210" s="8" t="str">
        <f aca="false">IF(D210="","",IFERROR(INDEX(ProjNumbers,MATCH(D210,ProjNames,0)),""))</f>
        <v/>
      </c>
      <c r="F210" s="8" t="str">
        <f aca="false">IF(D210="","",IFERROR(INDEX(ProjCodes,MATCH(D210,ProjNames,0)),""))</f>
        <v/>
      </c>
      <c r="G210" s="32"/>
      <c r="H210" s="11"/>
      <c r="I210" s="33"/>
      <c r="J210" s="8" t="str">
        <f aca="false">IF(COUNTA(B210,D210,G210,H210,I210)=0,"",IF(B210="","Enter date",IF(OR(B210&lt;$AC$2,B210&gt;$AC$3),"Date not in December",IF(D210="","Pick project",IF(ISNA(MATCH(D210,ProjNames,0)),"Project not in list",IF(G210="","Add task description",IF(H210="","Pick NTIME or P6",IF(N(I210)&lt;=0,"Enter hours",IF(AND(AllowOT&lt;&gt;"Yes",SUMIF($B$7:$B$256,B210,$I$7:$I$256)&gt;INDEX($O$58:$O$88,DAY(B210))),"Day over "&amp;INDEX($O$58:$O$88,DAY(B210))&amp;" h","✓")))))))))</f>
        <v/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5" hidden="false" customHeight="false" outlineLevel="0" collapsed="false">
      <c r="A211" s="1"/>
      <c r="B211" s="10"/>
      <c r="C211" s="31" t="str">
        <f aca="false">IF(B211="","",TEXT(B211,"ddd"))</f>
        <v/>
      </c>
      <c r="D211" s="11"/>
      <c r="E211" s="8" t="str">
        <f aca="false">IF(D211="","",IFERROR(INDEX(ProjNumbers,MATCH(D211,ProjNames,0)),""))</f>
        <v/>
      </c>
      <c r="F211" s="8" t="str">
        <f aca="false">IF(D211="","",IFERROR(INDEX(ProjCodes,MATCH(D211,ProjNames,0)),""))</f>
        <v/>
      </c>
      <c r="G211" s="32"/>
      <c r="H211" s="11"/>
      <c r="I211" s="33"/>
      <c r="J211" s="8" t="str">
        <f aca="false">IF(COUNTA(B211,D211,G211,H211,I211)=0,"",IF(B211="","Enter date",IF(OR(B211&lt;$AC$2,B211&gt;$AC$3),"Date not in December",IF(D211="","Pick project",IF(ISNA(MATCH(D211,ProjNames,0)),"Project not in list",IF(G211="","Add task description",IF(H211="","Pick NTIME or P6",IF(N(I211)&lt;=0,"Enter hours",IF(AND(AllowOT&lt;&gt;"Yes",SUMIF($B$7:$B$256,B211,$I$7:$I$256)&gt;INDEX($O$58:$O$88,DAY(B211))),"Day over "&amp;INDEX($O$58:$O$88,DAY(B211))&amp;" h","✓")))))))))</f>
        <v/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5" hidden="false" customHeight="false" outlineLevel="0" collapsed="false">
      <c r="A212" s="1"/>
      <c r="B212" s="10"/>
      <c r="C212" s="31" t="str">
        <f aca="false">IF(B212="","",TEXT(B212,"ddd"))</f>
        <v/>
      </c>
      <c r="D212" s="11"/>
      <c r="E212" s="8" t="str">
        <f aca="false">IF(D212="","",IFERROR(INDEX(ProjNumbers,MATCH(D212,ProjNames,0)),""))</f>
        <v/>
      </c>
      <c r="F212" s="8" t="str">
        <f aca="false">IF(D212="","",IFERROR(INDEX(ProjCodes,MATCH(D212,ProjNames,0)),""))</f>
        <v/>
      </c>
      <c r="G212" s="32"/>
      <c r="H212" s="11"/>
      <c r="I212" s="33"/>
      <c r="J212" s="8" t="str">
        <f aca="false">IF(COUNTA(B212,D212,G212,H212,I212)=0,"",IF(B212="","Enter date",IF(OR(B212&lt;$AC$2,B212&gt;$AC$3),"Date not in December",IF(D212="","Pick project",IF(ISNA(MATCH(D212,ProjNames,0)),"Project not in list",IF(G212="","Add task description",IF(H212="","Pick NTIME or P6",IF(N(I212)&lt;=0,"Enter hours",IF(AND(AllowOT&lt;&gt;"Yes",SUMIF($B$7:$B$256,B212,$I$7:$I$256)&gt;INDEX($O$58:$O$88,DAY(B212))),"Day over "&amp;INDEX($O$58:$O$88,DAY(B212))&amp;" h","✓")))))))))</f>
        <v/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5" hidden="false" customHeight="false" outlineLevel="0" collapsed="false">
      <c r="A213" s="1"/>
      <c r="B213" s="10"/>
      <c r="C213" s="31" t="str">
        <f aca="false">IF(B213="","",TEXT(B213,"ddd"))</f>
        <v/>
      </c>
      <c r="D213" s="11"/>
      <c r="E213" s="8" t="str">
        <f aca="false">IF(D213="","",IFERROR(INDEX(ProjNumbers,MATCH(D213,ProjNames,0)),""))</f>
        <v/>
      </c>
      <c r="F213" s="8" t="str">
        <f aca="false">IF(D213="","",IFERROR(INDEX(ProjCodes,MATCH(D213,ProjNames,0)),""))</f>
        <v/>
      </c>
      <c r="G213" s="32"/>
      <c r="H213" s="11"/>
      <c r="I213" s="33"/>
      <c r="J213" s="8" t="str">
        <f aca="false">IF(COUNTA(B213,D213,G213,H213,I213)=0,"",IF(B213="","Enter date",IF(OR(B213&lt;$AC$2,B213&gt;$AC$3),"Date not in December",IF(D213="","Pick project",IF(ISNA(MATCH(D213,ProjNames,0)),"Project not in list",IF(G213="","Add task description",IF(H213="","Pick NTIME or P6",IF(N(I213)&lt;=0,"Enter hours",IF(AND(AllowOT&lt;&gt;"Yes",SUMIF($B$7:$B$256,B213,$I$7:$I$256)&gt;INDEX($O$58:$O$88,DAY(B213))),"Day over "&amp;INDEX($O$58:$O$88,DAY(B213))&amp;" h","✓")))))))))</f>
        <v/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5" hidden="false" customHeight="false" outlineLevel="0" collapsed="false">
      <c r="A214" s="1"/>
      <c r="B214" s="10"/>
      <c r="C214" s="31" t="str">
        <f aca="false">IF(B214="","",TEXT(B214,"ddd"))</f>
        <v/>
      </c>
      <c r="D214" s="11"/>
      <c r="E214" s="8" t="str">
        <f aca="false">IF(D214="","",IFERROR(INDEX(ProjNumbers,MATCH(D214,ProjNames,0)),""))</f>
        <v/>
      </c>
      <c r="F214" s="8" t="str">
        <f aca="false">IF(D214="","",IFERROR(INDEX(ProjCodes,MATCH(D214,ProjNames,0)),""))</f>
        <v/>
      </c>
      <c r="G214" s="32"/>
      <c r="H214" s="11"/>
      <c r="I214" s="33"/>
      <c r="J214" s="8" t="str">
        <f aca="false">IF(COUNTA(B214,D214,G214,H214,I214)=0,"",IF(B214="","Enter date",IF(OR(B214&lt;$AC$2,B214&gt;$AC$3),"Date not in December",IF(D214="","Pick project",IF(ISNA(MATCH(D214,ProjNames,0)),"Project not in list",IF(G214="","Add task description",IF(H214="","Pick NTIME or P6",IF(N(I214)&lt;=0,"Enter hours",IF(AND(AllowOT&lt;&gt;"Yes",SUMIF($B$7:$B$256,B214,$I$7:$I$256)&gt;INDEX($O$58:$O$88,DAY(B214))),"Day over "&amp;INDEX($O$58:$O$88,DAY(B214))&amp;" h","✓")))))))))</f>
        <v/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5" hidden="false" customHeight="false" outlineLevel="0" collapsed="false">
      <c r="A215" s="1"/>
      <c r="B215" s="10"/>
      <c r="C215" s="31" t="str">
        <f aca="false">IF(B215="","",TEXT(B215,"ddd"))</f>
        <v/>
      </c>
      <c r="D215" s="11"/>
      <c r="E215" s="8" t="str">
        <f aca="false">IF(D215="","",IFERROR(INDEX(ProjNumbers,MATCH(D215,ProjNames,0)),""))</f>
        <v/>
      </c>
      <c r="F215" s="8" t="str">
        <f aca="false">IF(D215="","",IFERROR(INDEX(ProjCodes,MATCH(D215,ProjNames,0)),""))</f>
        <v/>
      </c>
      <c r="G215" s="32"/>
      <c r="H215" s="11"/>
      <c r="I215" s="33"/>
      <c r="J215" s="8" t="str">
        <f aca="false">IF(COUNTA(B215,D215,G215,H215,I215)=0,"",IF(B215="","Enter date",IF(OR(B215&lt;$AC$2,B215&gt;$AC$3),"Date not in December",IF(D215="","Pick project",IF(ISNA(MATCH(D215,ProjNames,0)),"Project not in list",IF(G215="","Add task description",IF(H215="","Pick NTIME or P6",IF(N(I215)&lt;=0,"Enter hours",IF(AND(AllowOT&lt;&gt;"Yes",SUMIF($B$7:$B$256,B215,$I$7:$I$256)&gt;INDEX($O$58:$O$88,DAY(B215))),"Day over "&amp;INDEX($O$58:$O$88,DAY(B215))&amp;" h","✓")))))))))</f>
        <v/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5" hidden="false" customHeight="false" outlineLevel="0" collapsed="false">
      <c r="A216" s="1"/>
      <c r="B216" s="10"/>
      <c r="C216" s="31" t="str">
        <f aca="false">IF(B216="","",TEXT(B216,"ddd"))</f>
        <v/>
      </c>
      <c r="D216" s="11"/>
      <c r="E216" s="8" t="str">
        <f aca="false">IF(D216="","",IFERROR(INDEX(ProjNumbers,MATCH(D216,ProjNames,0)),""))</f>
        <v/>
      </c>
      <c r="F216" s="8" t="str">
        <f aca="false">IF(D216="","",IFERROR(INDEX(ProjCodes,MATCH(D216,ProjNames,0)),""))</f>
        <v/>
      </c>
      <c r="G216" s="32"/>
      <c r="H216" s="11"/>
      <c r="I216" s="33"/>
      <c r="J216" s="8" t="str">
        <f aca="false">IF(COUNTA(B216,D216,G216,H216,I216)=0,"",IF(B216="","Enter date",IF(OR(B216&lt;$AC$2,B216&gt;$AC$3),"Date not in December",IF(D216="","Pick project",IF(ISNA(MATCH(D216,ProjNames,0)),"Project not in list",IF(G216="","Add task description",IF(H216="","Pick NTIME or P6",IF(N(I216)&lt;=0,"Enter hours",IF(AND(AllowOT&lt;&gt;"Yes",SUMIF($B$7:$B$256,B216,$I$7:$I$256)&gt;INDEX($O$58:$O$88,DAY(B216))),"Day over "&amp;INDEX($O$58:$O$88,DAY(B216))&amp;" h","✓")))))))))</f>
        <v/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5" hidden="false" customHeight="false" outlineLevel="0" collapsed="false">
      <c r="A217" s="1"/>
      <c r="B217" s="10"/>
      <c r="C217" s="31" t="str">
        <f aca="false">IF(B217="","",TEXT(B217,"ddd"))</f>
        <v/>
      </c>
      <c r="D217" s="11"/>
      <c r="E217" s="8" t="str">
        <f aca="false">IF(D217="","",IFERROR(INDEX(ProjNumbers,MATCH(D217,ProjNames,0)),""))</f>
        <v/>
      </c>
      <c r="F217" s="8" t="str">
        <f aca="false">IF(D217="","",IFERROR(INDEX(ProjCodes,MATCH(D217,ProjNames,0)),""))</f>
        <v/>
      </c>
      <c r="G217" s="32"/>
      <c r="H217" s="11"/>
      <c r="I217" s="33"/>
      <c r="J217" s="8" t="str">
        <f aca="false">IF(COUNTA(B217,D217,G217,H217,I217)=0,"",IF(B217="","Enter date",IF(OR(B217&lt;$AC$2,B217&gt;$AC$3),"Date not in December",IF(D217="","Pick project",IF(ISNA(MATCH(D217,ProjNames,0)),"Project not in list",IF(G217="","Add task description",IF(H217="","Pick NTIME or P6",IF(N(I217)&lt;=0,"Enter hours",IF(AND(AllowOT&lt;&gt;"Yes",SUMIF($B$7:$B$256,B217,$I$7:$I$256)&gt;INDEX($O$58:$O$88,DAY(B217))),"Day over "&amp;INDEX($O$58:$O$88,DAY(B217))&amp;" h","✓")))))))))</f>
        <v/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5" hidden="false" customHeight="false" outlineLevel="0" collapsed="false">
      <c r="A218" s="1"/>
      <c r="B218" s="10"/>
      <c r="C218" s="31" t="str">
        <f aca="false">IF(B218="","",TEXT(B218,"ddd"))</f>
        <v/>
      </c>
      <c r="D218" s="11"/>
      <c r="E218" s="8" t="str">
        <f aca="false">IF(D218="","",IFERROR(INDEX(ProjNumbers,MATCH(D218,ProjNames,0)),""))</f>
        <v/>
      </c>
      <c r="F218" s="8" t="str">
        <f aca="false">IF(D218="","",IFERROR(INDEX(ProjCodes,MATCH(D218,ProjNames,0)),""))</f>
        <v/>
      </c>
      <c r="G218" s="32"/>
      <c r="H218" s="11"/>
      <c r="I218" s="33"/>
      <c r="J218" s="8" t="str">
        <f aca="false">IF(COUNTA(B218,D218,G218,H218,I218)=0,"",IF(B218="","Enter date",IF(OR(B218&lt;$AC$2,B218&gt;$AC$3),"Date not in December",IF(D218="","Pick project",IF(ISNA(MATCH(D218,ProjNames,0)),"Project not in list",IF(G218="","Add task description",IF(H218="","Pick NTIME or P6",IF(N(I218)&lt;=0,"Enter hours",IF(AND(AllowOT&lt;&gt;"Yes",SUMIF($B$7:$B$256,B218,$I$7:$I$256)&gt;INDEX($O$58:$O$88,DAY(B218))),"Day over "&amp;INDEX($O$58:$O$88,DAY(B218))&amp;" h","✓")))))))))</f>
        <v/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5" hidden="false" customHeight="false" outlineLevel="0" collapsed="false">
      <c r="A219" s="1"/>
      <c r="B219" s="10"/>
      <c r="C219" s="31" t="str">
        <f aca="false">IF(B219="","",TEXT(B219,"ddd"))</f>
        <v/>
      </c>
      <c r="D219" s="11"/>
      <c r="E219" s="8" t="str">
        <f aca="false">IF(D219="","",IFERROR(INDEX(ProjNumbers,MATCH(D219,ProjNames,0)),""))</f>
        <v/>
      </c>
      <c r="F219" s="8" t="str">
        <f aca="false">IF(D219="","",IFERROR(INDEX(ProjCodes,MATCH(D219,ProjNames,0)),""))</f>
        <v/>
      </c>
      <c r="G219" s="32"/>
      <c r="H219" s="11"/>
      <c r="I219" s="33"/>
      <c r="J219" s="8" t="str">
        <f aca="false">IF(COUNTA(B219,D219,G219,H219,I219)=0,"",IF(B219="","Enter date",IF(OR(B219&lt;$AC$2,B219&gt;$AC$3),"Date not in December",IF(D219="","Pick project",IF(ISNA(MATCH(D219,ProjNames,0)),"Project not in list",IF(G219="","Add task description",IF(H219="","Pick NTIME or P6",IF(N(I219)&lt;=0,"Enter hours",IF(AND(AllowOT&lt;&gt;"Yes",SUMIF($B$7:$B$256,B219,$I$7:$I$256)&gt;INDEX($O$58:$O$88,DAY(B219))),"Day over "&amp;INDEX($O$58:$O$88,DAY(B219))&amp;" h","✓")))))))))</f>
        <v/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5" hidden="false" customHeight="false" outlineLevel="0" collapsed="false">
      <c r="A220" s="1"/>
      <c r="B220" s="10"/>
      <c r="C220" s="31" t="str">
        <f aca="false">IF(B220="","",TEXT(B220,"ddd"))</f>
        <v/>
      </c>
      <c r="D220" s="11"/>
      <c r="E220" s="8" t="str">
        <f aca="false">IF(D220="","",IFERROR(INDEX(ProjNumbers,MATCH(D220,ProjNames,0)),""))</f>
        <v/>
      </c>
      <c r="F220" s="8" t="str">
        <f aca="false">IF(D220="","",IFERROR(INDEX(ProjCodes,MATCH(D220,ProjNames,0)),""))</f>
        <v/>
      </c>
      <c r="G220" s="32"/>
      <c r="H220" s="11"/>
      <c r="I220" s="33"/>
      <c r="J220" s="8" t="str">
        <f aca="false">IF(COUNTA(B220,D220,G220,H220,I220)=0,"",IF(B220="","Enter date",IF(OR(B220&lt;$AC$2,B220&gt;$AC$3),"Date not in December",IF(D220="","Pick project",IF(ISNA(MATCH(D220,ProjNames,0)),"Project not in list",IF(G220="","Add task description",IF(H220="","Pick NTIME or P6",IF(N(I220)&lt;=0,"Enter hours",IF(AND(AllowOT&lt;&gt;"Yes",SUMIF($B$7:$B$256,B220,$I$7:$I$256)&gt;INDEX($O$58:$O$88,DAY(B220))),"Day over "&amp;INDEX($O$58:$O$88,DAY(B220))&amp;" h","✓")))))))))</f>
        <v/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5" hidden="false" customHeight="false" outlineLevel="0" collapsed="false">
      <c r="A221" s="1"/>
      <c r="B221" s="10"/>
      <c r="C221" s="31" t="str">
        <f aca="false">IF(B221="","",TEXT(B221,"ddd"))</f>
        <v/>
      </c>
      <c r="D221" s="11"/>
      <c r="E221" s="8" t="str">
        <f aca="false">IF(D221="","",IFERROR(INDEX(ProjNumbers,MATCH(D221,ProjNames,0)),""))</f>
        <v/>
      </c>
      <c r="F221" s="8" t="str">
        <f aca="false">IF(D221="","",IFERROR(INDEX(ProjCodes,MATCH(D221,ProjNames,0)),""))</f>
        <v/>
      </c>
      <c r="G221" s="32"/>
      <c r="H221" s="11"/>
      <c r="I221" s="33"/>
      <c r="J221" s="8" t="str">
        <f aca="false">IF(COUNTA(B221,D221,G221,H221,I221)=0,"",IF(B221="","Enter date",IF(OR(B221&lt;$AC$2,B221&gt;$AC$3),"Date not in December",IF(D221="","Pick project",IF(ISNA(MATCH(D221,ProjNames,0)),"Project not in list",IF(G221="","Add task description",IF(H221="","Pick NTIME or P6",IF(N(I221)&lt;=0,"Enter hours",IF(AND(AllowOT&lt;&gt;"Yes",SUMIF($B$7:$B$256,B221,$I$7:$I$256)&gt;INDEX($O$58:$O$88,DAY(B221))),"Day over "&amp;INDEX($O$58:$O$88,DAY(B221))&amp;" h","✓")))))))))</f>
        <v/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5" hidden="false" customHeight="false" outlineLevel="0" collapsed="false">
      <c r="A222" s="1"/>
      <c r="B222" s="10"/>
      <c r="C222" s="31" t="str">
        <f aca="false">IF(B222="","",TEXT(B222,"ddd"))</f>
        <v/>
      </c>
      <c r="D222" s="11"/>
      <c r="E222" s="8" t="str">
        <f aca="false">IF(D222="","",IFERROR(INDEX(ProjNumbers,MATCH(D222,ProjNames,0)),""))</f>
        <v/>
      </c>
      <c r="F222" s="8" t="str">
        <f aca="false">IF(D222="","",IFERROR(INDEX(ProjCodes,MATCH(D222,ProjNames,0)),""))</f>
        <v/>
      </c>
      <c r="G222" s="32"/>
      <c r="H222" s="11"/>
      <c r="I222" s="33"/>
      <c r="J222" s="8" t="str">
        <f aca="false">IF(COUNTA(B222,D222,G222,H222,I222)=0,"",IF(B222="","Enter date",IF(OR(B222&lt;$AC$2,B222&gt;$AC$3),"Date not in December",IF(D222="","Pick project",IF(ISNA(MATCH(D222,ProjNames,0)),"Project not in list",IF(G222="","Add task description",IF(H222="","Pick NTIME or P6",IF(N(I222)&lt;=0,"Enter hours",IF(AND(AllowOT&lt;&gt;"Yes",SUMIF($B$7:$B$256,B222,$I$7:$I$256)&gt;INDEX($O$58:$O$88,DAY(B222))),"Day over "&amp;INDEX($O$58:$O$88,DAY(B222))&amp;" h","✓")))))))))</f>
        <v/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5" hidden="false" customHeight="false" outlineLevel="0" collapsed="false">
      <c r="A223" s="1"/>
      <c r="B223" s="10"/>
      <c r="C223" s="31" t="str">
        <f aca="false">IF(B223="","",TEXT(B223,"ddd"))</f>
        <v/>
      </c>
      <c r="D223" s="11"/>
      <c r="E223" s="8" t="str">
        <f aca="false">IF(D223="","",IFERROR(INDEX(ProjNumbers,MATCH(D223,ProjNames,0)),""))</f>
        <v/>
      </c>
      <c r="F223" s="8" t="str">
        <f aca="false">IF(D223="","",IFERROR(INDEX(ProjCodes,MATCH(D223,ProjNames,0)),""))</f>
        <v/>
      </c>
      <c r="G223" s="32"/>
      <c r="H223" s="11"/>
      <c r="I223" s="33"/>
      <c r="J223" s="8" t="str">
        <f aca="false">IF(COUNTA(B223,D223,G223,H223,I223)=0,"",IF(B223="","Enter date",IF(OR(B223&lt;$AC$2,B223&gt;$AC$3),"Date not in December",IF(D223="","Pick project",IF(ISNA(MATCH(D223,ProjNames,0)),"Project not in list",IF(G223="","Add task description",IF(H223="","Pick NTIME or P6",IF(N(I223)&lt;=0,"Enter hours",IF(AND(AllowOT&lt;&gt;"Yes",SUMIF($B$7:$B$256,B223,$I$7:$I$256)&gt;INDEX($O$58:$O$88,DAY(B223))),"Day over "&amp;INDEX($O$58:$O$88,DAY(B223))&amp;" h","✓")))))))))</f>
        <v/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5" hidden="false" customHeight="false" outlineLevel="0" collapsed="false">
      <c r="A224" s="1"/>
      <c r="B224" s="10"/>
      <c r="C224" s="31" t="str">
        <f aca="false">IF(B224="","",TEXT(B224,"ddd"))</f>
        <v/>
      </c>
      <c r="D224" s="11"/>
      <c r="E224" s="8" t="str">
        <f aca="false">IF(D224="","",IFERROR(INDEX(ProjNumbers,MATCH(D224,ProjNames,0)),""))</f>
        <v/>
      </c>
      <c r="F224" s="8" t="str">
        <f aca="false">IF(D224="","",IFERROR(INDEX(ProjCodes,MATCH(D224,ProjNames,0)),""))</f>
        <v/>
      </c>
      <c r="G224" s="32"/>
      <c r="H224" s="11"/>
      <c r="I224" s="33"/>
      <c r="J224" s="8" t="str">
        <f aca="false">IF(COUNTA(B224,D224,G224,H224,I224)=0,"",IF(B224="","Enter date",IF(OR(B224&lt;$AC$2,B224&gt;$AC$3),"Date not in December",IF(D224="","Pick project",IF(ISNA(MATCH(D224,ProjNames,0)),"Project not in list",IF(G224="","Add task description",IF(H224="","Pick NTIME or P6",IF(N(I224)&lt;=0,"Enter hours",IF(AND(AllowOT&lt;&gt;"Yes",SUMIF($B$7:$B$256,B224,$I$7:$I$256)&gt;INDEX($O$58:$O$88,DAY(B224))),"Day over "&amp;INDEX($O$58:$O$88,DAY(B224))&amp;" h","✓")))))))))</f>
        <v/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5" hidden="false" customHeight="false" outlineLevel="0" collapsed="false">
      <c r="A225" s="1"/>
      <c r="B225" s="10"/>
      <c r="C225" s="31" t="str">
        <f aca="false">IF(B225="","",TEXT(B225,"ddd"))</f>
        <v/>
      </c>
      <c r="D225" s="11"/>
      <c r="E225" s="8" t="str">
        <f aca="false">IF(D225="","",IFERROR(INDEX(ProjNumbers,MATCH(D225,ProjNames,0)),""))</f>
        <v/>
      </c>
      <c r="F225" s="8" t="str">
        <f aca="false">IF(D225="","",IFERROR(INDEX(ProjCodes,MATCH(D225,ProjNames,0)),""))</f>
        <v/>
      </c>
      <c r="G225" s="32"/>
      <c r="H225" s="11"/>
      <c r="I225" s="33"/>
      <c r="J225" s="8" t="str">
        <f aca="false">IF(COUNTA(B225,D225,G225,H225,I225)=0,"",IF(B225="","Enter date",IF(OR(B225&lt;$AC$2,B225&gt;$AC$3),"Date not in December",IF(D225="","Pick project",IF(ISNA(MATCH(D225,ProjNames,0)),"Project not in list",IF(G225="","Add task description",IF(H225="","Pick NTIME or P6",IF(N(I225)&lt;=0,"Enter hours",IF(AND(AllowOT&lt;&gt;"Yes",SUMIF($B$7:$B$256,B225,$I$7:$I$256)&gt;INDEX($O$58:$O$88,DAY(B225))),"Day over "&amp;INDEX($O$58:$O$88,DAY(B225))&amp;" h","✓")))))))))</f>
        <v/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5" hidden="false" customHeight="false" outlineLevel="0" collapsed="false">
      <c r="A226" s="1"/>
      <c r="B226" s="10"/>
      <c r="C226" s="31" t="str">
        <f aca="false">IF(B226="","",TEXT(B226,"ddd"))</f>
        <v/>
      </c>
      <c r="D226" s="11"/>
      <c r="E226" s="8" t="str">
        <f aca="false">IF(D226="","",IFERROR(INDEX(ProjNumbers,MATCH(D226,ProjNames,0)),""))</f>
        <v/>
      </c>
      <c r="F226" s="8" t="str">
        <f aca="false">IF(D226="","",IFERROR(INDEX(ProjCodes,MATCH(D226,ProjNames,0)),""))</f>
        <v/>
      </c>
      <c r="G226" s="32"/>
      <c r="H226" s="11"/>
      <c r="I226" s="33"/>
      <c r="J226" s="8" t="str">
        <f aca="false">IF(COUNTA(B226,D226,G226,H226,I226)=0,"",IF(B226="","Enter date",IF(OR(B226&lt;$AC$2,B226&gt;$AC$3),"Date not in December",IF(D226="","Pick project",IF(ISNA(MATCH(D226,ProjNames,0)),"Project not in list",IF(G226="","Add task description",IF(H226="","Pick NTIME or P6",IF(N(I226)&lt;=0,"Enter hours",IF(AND(AllowOT&lt;&gt;"Yes",SUMIF($B$7:$B$256,B226,$I$7:$I$256)&gt;INDEX($O$58:$O$88,DAY(B226))),"Day over "&amp;INDEX($O$58:$O$88,DAY(B226))&amp;" h","✓")))))))))</f>
        <v/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5" hidden="false" customHeight="false" outlineLevel="0" collapsed="false">
      <c r="A227" s="1"/>
      <c r="B227" s="10"/>
      <c r="C227" s="31" t="str">
        <f aca="false">IF(B227="","",TEXT(B227,"ddd"))</f>
        <v/>
      </c>
      <c r="D227" s="11"/>
      <c r="E227" s="8" t="str">
        <f aca="false">IF(D227="","",IFERROR(INDEX(ProjNumbers,MATCH(D227,ProjNames,0)),""))</f>
        <v/>
      </c>
      <c r="F227" s="8" t="str">
        <f aca="false">IF(D227="","",IFERROR(INDEX(ProjCodes,MATCH(D227,ProjNames,0)),""))</f>
        <v/>
      </c>
      <c r="G227" s="32"/>
      <c r="H227" s="11"/>
      <c r="I227" s="33"/>
      <c r="J227" s="8" t="str">
        <f aca="false">IF(COUNTA(B227,D227,G227,H227,I227)=0,"",IF(B227="","Enter date",IF(OR(B227&lt;$AC$2,B227&gt;$AC$3),"Date not in December",IF(D227="","Pick project",IF(ISNA(MATCH(D227,ProjNames,0)),"Project not in list",IF(G227="","Add task description",IF(H227="","Pick NTIME or P6",IF(N(I227)&lt;=0,"Enter hours",IF(AND(AllowOT&lt;&gt;"Yes",SUMIF($B$7:$B$256,B227,$I$7:$I$256)&gt;INDEX($O$58:$O$88,DAY(B227))),"Day over "&amp;INDEX($O$58:$O$88,DAY(B227))&amp;" h","✓")))))))))</f>
        <v/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5" hidden="false" customHeight="false" outlineLevel="0" collapsed="false">
      <c r="A228" s="1"/>
      <c r="B228" s="10"/>
      <c r="C228" s="31" t="str">
        <f aca="false">IF(B228="","",TEXT(B228,"ddd"))</f>
        <v/>
      </c>
      <c r="D228" s="11"/>
      <c r="E228" s="8" t="str">
        <f aca="false">IF(D228="","",IFERROR(INDEX(ProjNumbers,MATCH(D228,ProjNames,0)),""))</f>
        <v/>
      </c>
      <c r="F228" s="8" t="str">
        <f aca="false">IF(D228="","",IFERROR(INDEX(ProjCodes,MATCH(D228,ProjNames,0)),""))</f>
        <v/>
      </c>
      <c r="G228" s="32"/>
      <c r="H228" s="11"/>
      <c r="I228" s="33"/>
      <c r="J228" s="8" t="str">
        <f aca="false">IF(COUNTA(B228,D228,G228,H228,I228)=0,"",IF(B228="","Enter date",IF(OR(B228&lt;$AC$2,B228&gt;$AC$3),"Date not in December",IF(D228="","Pick project",IF(ISNA(MATCH(D228,ProjNames,0)),"Project not in list",IF(G228="","Add task description",IF(H228="","Pick NTIME or P6",IF(N(I228)&lt;=0,"Enter hours",IF(AND(AllowOT&lt;&gt;"Yes",SUMIF($B$7:$B$256,B228,$I$7:$I$256)&gt;INDEX($O$58:$O$88,DAY(B228))),"Day over "&amp;INDEX($O$58:$O$88,DAY(B228))&amp;" h","✓")))))))))</f>
        <v/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5" hidden="false" customHeight="false" outlineLevel="0" collapsed="false">
      <c r="A229" s="1"/>
      <c r="B229" s="10"/>
      <c r="C229" s="31" t="str">
        <f aca="false">IF(B229="","",TEXT(B229,"ddd"))</f>
        <v/>
      </c>
      <c r="D229" s="11"/>
      <c r="E229" s="8" t="str">
        <f aca="false">IF(D229="","",IFERROR(INDEX(ProjNumbers,MATCH(D229,ProjNames,0)),""))</f>
        <v/>
      </c>
      <c r="F229" s="8" t="str">
        <f aca="false">IF(D229="","",IFERROR(INDEX(ProjCodes,MATCH(D229,ProjNames,0)),""))</f>
        <v/>
      </c>
      <c r="G229" s="32"/>
      <c r="H229" s="11"/>
      <c r="I229" s="33"/>
      <c r="J229" s="8" t="str">
        <f aca="false">IF(COUNTA(B229,D229,G229,H229,I229)=0,"",IF(B229="","Enter date",IF(OR(B229&lt;$AC$2,B229&gt;$AC$3),"Date not in December",IF(D229="","Pick project",IF(ISNA(MATCH(D229,ProjNames,0)),"Project not in list",IF(G229="","Add task description",IF(H229="","Pick NTIME or P6",IF(N(I229)&lt;=0,"Enter hours",IF(AND(AllowOT&lt;&gt;"Yes",SUMIF($B$7:$B$256,B229,$I$7:$I$256)&gt;INDEX($O$58:$O$88,DAY(B229))),"Day over "&amp;INDEX($O$58:$O$88,DAY(B229))&amp;" h","✓")))))))))</f>
        <v/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5" hidden="false" customHeight="false" outlineLevel="0" collapsed="false">
      <c r="A230" s="1"/>
      <c r="B230" s="10"/>
      <c r="C230" s="31" t="str">
        <f aca="false">IF(B230="","",TEXT(B230,"ddd"))</f>
        <v/>
      </c>
      <c r="D230" s="11"/>
      <c r="E230" s="8" t="str">
        <f aca="false">IF(D230="","",IFERROR(INDEX(ProjNumbers,MATCH(D230,ProjNames,0)),""))</f>
        <v/>
      </c>
      <c r="F230" s="8" t="str">
        <f aca="false">IF(D230="","",IFERROR(INDEX(ProjCodes,MATCH(D230,ProjNames,0)),""))</f>
        <v/>
      </c>
      <c r="G230" s="32"/>
      <c r="H230" s="11"/>
      <c r="I230" s="33"/>
      <c r="J230" s="8" t="str">
        <f aca="false">IF(COUNTA(B230,D230,G230,H230,I230)=0,"",IF(B230="","Enter date",IF(OR(B230&lt;$AC$2,B230&gt;$AC$3),"Date not in December",IF(D230="","Pick project",IF(ISNA(MATCH(D230,ProjNames,0)),"Project not in list",IF(G230="","Add task description",IF(H230="","Pick NTIME or P6",IF(N(I230)&lt;=0,"Enter hours",IF(AND(AllowOT&lt;&gt;"Yes",SUMIF($B$7:$B$256,B230,$I$7:$I$256)&gt;INDEX($O$58:$O$88,DAY(B230))),"Day over "&amp;INDEX($O$58:$O$88,DAY(B230))&amp;" h","✓")))))))))</f>
        <v/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5" hidden="false" customHeight="false" outlineLevel="0" collapsed="false">
      <c r="A231" s="1"/>
      <c r="B231" s="10"/>
      <c r="C231" s="31" t="str">
        <f aca="false">IF(B231="","",TEXT(B231,"ddd"))</f>
        <v/>
      </c>
      <c r="D231" s="11"/>
      <c r="E231" s="8" t="str">
        <f aca="false">IF(D231="","",IFERROR(INDEX(ProjNumbers,MATCH(D231,ProjNames,0)),""))</f>
        <v/>
      </c>
      <c r="F231" s="8" t="str">
        <f aca="false">IF(D231="","",IFERROR(INDEX(ProjCodes,MATCH(D231,ProjNames,0)),""))</f>
        <v/>
      </c>
      <c r="G231" s="32"/>
      <c r="H231" s="11"/>
      <c r="I231" s="33"/>
      <c r="J231" s="8" t="str">
        <f aca="false">IF(COUNTA(B231,D231,G231,H231,I231)=0,"",IF(B231="","Enter date",IF(OR(B231&lt;$AC$2,B231&gt;$AC$3),"Date not in December",IF(D231="","Pick project",IF(ISNA(MATCH(D231,ProjNames,0)),"Project not in list",IF(G231="","Add task description",IF(H231="","Pick NTIME or P6",IF(N(I231)&lt;=0,"Enter hours",IF(AND(AllowOT&lt;&gt;"Yes",SUMIF($B$7:$B$256,B231,$I$7:$I$256)&gt;INDEX($O$58:$O$88,DAY(B231))),"Day over "&amp;INDEX($O$58:$O$88,DAY(B231))&amp;" h","✓")))))))))</f>
        <v/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5" hidden="false" customHeight="false" outlineLevel="0" collapsed="false">
      <c r="A232" s="1"/>
      <c r="B232" s="10"/>
      <c r="C232" s="31" t="str">
        <f aca="false">IF(B232="","",TEXT(B232,"ddd"))</f>
        <v/>
      </c>
      <c r="D232" s="11"/>
      <c r="E232" s="8" t="str">
        <f aca="false">IF(D232="","",IFERROR(INDEX(ProjNumbers,MATCH(D232,ProjNames,0)),""))</f>
        <v/>
      </c>
      <c r="F232" s="8" t="str">
        <f aca="false">IF(D232="","",IFERROR(INDEX(ProjCodes,MATCH(D232,ProjNames,0)),""))</f>
        <v/>
      </c>
      <c r="G232" s="32"/>
      <c r="H232" s="11"/>
      <c r="I232" s="33"/>
      <c r="J232" s="8" t="str">
        <f aca="false">IF(COUNTA(B232,D232,G232,H232,I232)=0,"",IF(B232="","Enter date",IF(OR(B232&lt;$AC$2,B232&gt;$AC$3),"Date not in December",IF(D232="","Pick project",IF(ISNA(MATCH(D232,ProjNames,0)),"Project not in list",IF(G232="","Add task description",IF(H232="","Pick NTIME or P6",IF(N(I232)&lt;=0,"Enter hours",IF(AND(AllowOT&lt;&gt;"Yes",SUMIF($B$7:$B$256,B232,$I$7:$I$256)&gt;INDEX($O$58:$O$88,DAY(B232))),"Day over "&amp;INDEX($O$58:$O$88,DAY(B232))&amp;" h","✓")))))))))</f>
        <v/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5" hidden="false" customHeight="false" outlineLevel="0" collapsed="false">
      <c r="A233" s="1"/>
      <c r="B233" s="10"/>
      <c r="C233" s="31" t="str">
        <f aca="false">IF(B233="","",TEXT(B233,"ddd"))</f>
        <v/>
      </c>
      <c r="D233" s="11"/>
      <c r="E233" s="8" t="str">
        <f aca="false">IF(D233="","",IFERROR(INDEX(ProjNumbers,MATCH(D233,ProjNames,0)),""))</f>
        <v/>
      </c>
      <c r="F233" s="8" t="str">
        <f aca="false">IF(D233="","",IFERROR(INDEX(ProjCodes,MATCH(D233,ProjNames,0)),""))</f>
        <v/>
      </c>
      <c r="G233" s="32"/>
      <c r="H233" s="11"/>
      <c r="I233" s="33"/>
      <c r="J233" s="8" t="str">
        <f aca="false">IF(COUNTA(B233,D233,G233,H233,I233)=0,"",IF(B233="","Enter date",IF(OR(B233&lt;$AC$2,B233&gt;$AC$3),"Date not in December",IF(D233="","Pick project",IF(ISNA(MATCH(D233,ProjNames,0)),"Project not in list",IF(G233="","Add task description",IF(H233="","Pick NTIME or P6",IF(N(I233)&lt;=0,"Enter hours",IF(AND(AllowOT&lt;&gt;"Yes",SUMIF($B$7:$B$256,B233,$I$7:$I$256)&gt;INDEX($O$58:$O$88,DAY(B233))),"Day over "&amp;INDEX($O$58:$O$88,DAY(B233))&amp;" h","✓")))))))))</f>
        <v/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5" hidden="false" customHeight="false" outlineLevel="0" collapsed="false">
      <c r="A234" s="1"/>
      <c r="B234" s="10"/>
      <c r="C234" s="31" t="str">
        <f aca="false">IF(B234="","",TEXT(B234,"ddd"))</f>
        <v/>
      </c>
      <c r="D234" s="11"/>
      <c r="E234" s="8" t="str">
        <f aca="false">IF(D234="","",IFERROR(INDEX(ProjNumbers,MATCH(D234,ProjNames,0)),""))</f>
        <v/>
      </c>
      <c r="F234" s="8" t="str">
        <f aca="false">IF(D234="","",IFERROR(INDEX(ProjCodes,MATCH(D234,ProjNames,0)),""))</f>
        <v/>
      </c>
      <c r="G234" s="32"/>
      <c r="H234" s="11"/>
      <c r="I234" s="33"/>
      <c r="J234" s="8" t="str">
        <f aca="false">IF(COUNTA(B234,D234,G234,H234,I234)=0,"",IF(B234="","Enter date",IF(OR(B234&lt;$AC$2,B234&gt;$AC$3),"Date not in December",IF(D234="","Pick project",IF(ISNA(MATCH(D234,ProjNames,0)),"Project not in list",IF(G234="","Add task description",IF(H234="","Pick NTIME or P6",IF(N(I234)&lt;=0,"Enter hours",IF(AND(AllowOT&lt;&gt;"Yes",SUMIF($B$7:$B$256,B234,$I$7:$I$256)&gt;INDEX($O$58:$O$88,DAY(B234))),"Day over "&amp;INDEX($O$58:$O$88,DAY(B234))&amp;" h","✓")))))))))</f>
        <v/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5" hidden="false" customHeight="false" outlineLevel="0" collapsed="false">
      <c r="A235" s="1"/>
      <c r="B235" s="10"/>
      <c r="C235" s="31" t="str">
        <f aca="false">IF(B235="","",TEXT(B235,"ddd"))</f>
        <v/>
      </c>
      <c r="D235" s="11"/>
      <c r="E235" s="8" t="str">
        <f aca="false">IF(D235="","",IFERROR(INDEX(ProjNumbers,MATCH(D235,ProjNames,0)),""))</f>
        <v/>
      </c>
      <c r="F235" s="8" t="str">
        <f aca="false">IF(D235="","",IFERROR(INDEX(ProjCodes,MATCH(D235,ProjNames,0)),""))</f>
        <v/>
      </c>
      <c r="G235" s="32"/>
      <c r="H235" s="11"/>
      <c r="I235" s="33"/>
      <c r="J235" s="8" t="str">
        <f aca="false">IF(COUNTA(B235,D235,G235,H235,I235)=0,"",IF(B235="","Enter date",IF(OR(B235&lt;$AC$2,B235&gt;$AC$3),"Date not in December",IF(D235="","Pick project",IF(ISNA(MATCH(D235,ProjNames,0)),"Project not in list",IF(G235="","Add task description",IF(H235="","Pick NTIME or P6",IF(N(I235)&lt;=0,"Enter hours",IF(AND(AllowOT&lt;&gt;"Yes",SUMIF($B$7:$B$256,B235,$I$7:$I$256)&gt;INDEX($O$58:$O$88,DAY(B235))),"Day over "&amp;INDEX($O$58:$O$88,DAY(B235))&amp;" h","✓")))))))))</f>
        <v/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5" hidden="false" customHeight="false" outlineLevel="0" collapsed="false">
      <c r="A236" s="1"/>
      <c r="B236" s="10"/>
      <c r="C236" s="31" t="str">
        <f aca="false">IF(B236="","",TEXT(B236,"ddd"))</f>
        <v/>
      </c>
      <c r="D236" s="11"/>
      <c r="E236" s="8" t="str">
        <f aca="false">IF(D236="","",IFERROR(INDEX(ProjNumbers,MATCH(D236,ProjNames,0)),""))</f>
        <v/>
      </c>
      <c r="F236" s="8" t="str">
        <f aca="false">IF(D236="","",IFERROR(INDEX(ProjCodes,MATCH(D236,ProjNames,0)),""))</f>
        <v/>
      </c>
      <c r="G236" s="32"/>
      <c r="H236" s="11"/>
      <c r="I236" s="33"/>
      <c r="J236" s="8" t="str">
        <f aca="false">IF(COUNTA(B236,D236,G236,H236,I236)=0,"",IF(B236="","Enter date",IF(OR(B236&lt;$AC$2,B236&gt;$AC$3),"Date not in December",IF(D236="","Pick project",IF(ISNA(MATCH(D236,ProjNames,0)),"Project not in list",IF(G236="","Add task description",IF(H236="","Pick NTIME or P6",IF(N(I236)&lt;=0,"Enter hours",IF(AND(AllowOT&lt;&gt;"Yes",SUMIF($B$7:$B$256,B236,$I$7:$I$256)&gt;INDEX($O$58:$O$88,DAY(B236))),"Day over "&amp;INDEX($O$58:$O$88,DAY(B236))&amp;" h","✓")))))))))</f>
        <v/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5" hidden="false" customHeight="false" outlineLevel="0" collapsed="false">
      <c r="A237" s="1"/>
      <c r="B237" s="10"/>
      <c r="C237" s="31" t="str">
        <f aca="false">IF(B237="","",TEXT(B237,"ddd"))</f>
        <v/>
      </c>
      <c r="D237" s="11"/>
      <c r="E237" s="8" t="str">
        <f aca="false">IF(D237="","",IFERROR(INDEX(ProjNumbers,MATCH(D237,ProjNames,0)),""))</f>
        <v/>
      </c>
      <c r="F237" s="8" t="str">
        <f aca="false">IF(D237="","",IFERROR(INDEX(ProjCodes,MATCH(D237,ProjNames,0)),""))</f>
        <v/>
      </c>
      <c r="G237" s="32"/>
      <c r="H237" s="11"/>
      <c r="I237" s="33"/>
      <c r="J237" s="8" t="str">
        <f aca="false">IF(COUNTA(B237,D237,G237,H237,I237)=0,"",IF(B237="","Enter date",IF(OR(B237&lt;$AC$2,B237&gt;$AC$3),"Date not in December",IF(D237="","Pick project",IF(ISNA(MATCH(D237,ProjNames,0)),"Project not in list",IF(G237="","Add task description",IF(H237="","Pick NTIME or P6",IF(N(I237)&lt;=0,"Enter hours",IF(AND(AllowOT&lt;&gt;"Yes",SUMIF($B$7:$B$256,B237,$I$7:$I$256)&gt;INDEX($O$58:$O$88,DAY(B237))),"Day over "&amp;INDEX($O$58:$O$88,DAY(B237))&amp;" h","✓")))))))))</f>
        <v/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5" hidden="false" customHeight="false" outlineLevel="0" collapsed="false">
      <c r="A238" s="1"/>
      <c r="B238" s="10"/>
      <c r="C238" s="31" t="str">
        <f aca="false">IF(B238="","",TEXT(B238,"ddd"))</f>
        <v/>
      </c>
      <c r="D238" s="11"/>
      <c r="E238" s="8" t="str">
        <f aca="false">IF(D238="","",IFERROR(INDEX(ProjNumbers,MATCH(D238,ProjNames,0)),""))</f>
        <v/>
      </c>
      <c r="F238" s="8" t="str">
        <f aca="false">IF(D238="","",IFERROR(INDEX(ProjCodes,MATCH(D238,ProjNames,0)),""))</f>
        <v/>
      </c>
      <c r="G238" s="32"/>
      <c r="H238" s="11"/>
      <c r="I238" s="33"/>
      <c r="J238" s="8" t="str">
        <f aca="false">IF(COUNTA(B238,D238,G238,H238,I238)=0,"",IF(B238="","Enter date",IF(OR(B238&lt;$AC$2,B238&gt;$AC$3),"Date not in December",IF(D238="","Pick project",IF(ISNA(MATCH(D238,ProjNames,0)),"Project not in list",IF(G238="","Add task description",IF(H238="","Pick NTIME or P6",IF(N(I238)&lt;=0,"Enter hours",IF(AND(AllowOT&lt;&gt;"Yes",SUMIF($B$7:$B$256,B238,$I$7:$I$256)&gt;INDEX($O$58:$O$88,DAY(B238))),"Day over "&amp;INDEX($O$58:$O$88,DAY(B238))&amp;" h","✓")))))))))</f>
        <v/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5" hidden="false" customHeight="false" outlineLevel="0" collapsed="false">
      <c r="A239" s="1"/>
      <c r="B239" s="10"/>
      <c r="C239" s="31" t="str">
        <f aca="false">IF(B239="","",TEXT(B239,"ddd"))</f>
        <v/>
      </c>
      <c r="D239" s="11"/>
      <c r="E239" s="8" t="str">
        <f aca="false">IF(D239="","",IFERROR(INDEX(ProjNumbers,MATCH(D239,ProjNames,0)),""))</f>
        <v/>
      </c>
      <c r="F239" s="8" t="str">
        <f aca="false">IF(D239="","",IFERROR(INDEX(ProjCodes,MATCH(D239,ProjNames,0)),""))</f>
        <v/>
      </c>
      <c r="G239" s="32"/>
      <c r="H239" s="11"/>
      <c r="I239" s="33"/>
      <c r="J239" s="8" t="str">
        <f aca="false">IF(COUNTA(B239,D239,G239,H239,I239)=0,"",IF(B239="","Enter date",IF(OR(B239&lt;$AC$2,B239&gt;$AC$3),"Date not in December",IF(D239="","Pick project",IF(ISNA(MATCH(D239,ProjNames,0)),"Project not in list",IF(G239="","Add task description",IF(H239="","Pick NTIME or P6",IF(N(I239)&lt;=0,"Enter hours",IF(AND(AllowOT&lt;&gt;"Yes",SUMIF($B$7:$B$256,B239,$I$7:$I$256)&gt;INDEX($O$58:$O$88,DAY(B239))),"Day over "&amp;INDEX($O$58:$O$88,DAY(B239))&amp;" h","✓")))))))))</f>
        <v/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5" hidden="false" customHeight="false" outlineLevel="0" collapsed="false">
      <c r="A240" s="1"/>
      <c r="B240" s="10"/>
      <c r="C240" s="31" t="str">
        <f aca="false">IF(B240="","",TEXT(B240,"ddd"))</f>
        <v/>
      </c>
      <c r="D240" s="11"/>
      <c r="E240" s="8" t="str">
        <f aca="false">IF(D240="","",IFERROR(INDEX(ProjNumbers,MATCH(D240,ProjNames,0)),""))</f>
        <v/>
      </c>
      <c r="F240" s="8" t="str">
        <f aca="false">IF(D240="","",IFERROR(INDEX(ProjCodes,MATCH(D240,ProjNames,0)),""))</f>
        <v/>
      </c>
      <c r="G240" s="32"/>
      <c r="H240" s="11"/>
      <c r="I240" s="33"/>
      <c r="J240" s="8" t="str">
        <f aca="false">IF(COUNTA(B240,D240,G240,H240,I240)=0,"",IF(B240="","Enter date",IF(OR(B240&lt;$AC$2,B240&gt;$AC$3),"Date not in December",IF(D240="","Pick project",IF(ISNA(MATCH(D240,ProjNames,0)),"Project not in list",IF(G240="","Add task description",IF(H240="","Pick NTIME or P6",IF(N(I240)&lt;=0,"Enter hours",IF(AND(AllowOT&lt;&gt;"Yes",SUMIF($B$7:$B$256,B240,$I$7:$I$256)&gt;INDEX($O$58:$O$88,DAY(B240))),"Day over "&amp;INDEX($O$58:$O$88,DAY(B240))&amp;" h","✓")))))))))</f>
        <v/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5" hidden="false" customHeight="false" outlineLevel="0" collapsed="false">
      <c r="A241" s="1"/>
      <c r="B241" s="10"/>
      <c r="C241" s="31" t="str">
        <f aca="false">IF(B241="","",TEXT(B241,"ddd"))</f>
        <v/>
      </c>
      <c r="D241" s="11"/>
      <c r="E241" s="8" t="str">
        <f aca="false">IF(D241="","",IFERROR(INDEX(ProjNumbers,MATCH(D241,ProjNames,0)),""))</f>
        <v/>
      </c>
      <c r="F241" s="8" t="str">
        <f aca="false">IF(D241="","",IFERROR(INDEX(ProjCodes,MATCH(D241,ProjNames,0)),""))</f>
        <v/>
      </c>
      <c r="G241" s="32"/>
      <c r="H241" s="11"/>
      <c r="I241" s="33"/>
      <c r="J241" s="8" t="str">
        <f aca="false">IF(COUNTA(B241,D241,G241,H241,I241)=0,"",IF(B241="","Enter date",IF(OR(B241&lt;$AC$2,B241&gt;$AC$3),"Date not in December",IF(D241="","Pick project",IF(ISNA(MATCH(D241,ProjNames,0)),"Project not in list",IF(G241="","Add task description",IF(H241="","Pick NTIME or P6",IF(N(I241)&lt;=0,"Enter hours",IF(AND(AllowOT&lt;&gt;"Yes",SUMIF($B$7:$B$256,B241,$I$7:$I$256)&gt;INDEX($O$58:$O$88,DAY(B241))),"Day over "&amp;INDEX($O$58:$O$88,DAY(B241))&amp;" h","✓")))))))))</f>
        <v/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5" hidden="false" customHeight="false" outlineLevel="0" collapsed="false">
      <c r="A242" s="1"/>
      <c r="B242" s="10"/>
      <c r="C242" s="31" t="str">
        <f aca="false">IF(B242="","",TEXT(B242,"ddd"))</f>
        <v/>
      </c>
      <c r="D242" s="11"/>
      <c r="E242" s="8" t="str">
        <f aca="false">IF(D242="","",IFERROR(INDEX(ProjNumbers,MATCH(D242,ProjNames,0)),""))</f>
        <v/>
      </c>
      <c r="F242" s="8" t="str">
        <f aca="false">IF(D242="","",IFERROR(INDEX(ProjCodes,MATCH(D242,ProjNames,0)),""))</f>
        <v/>
      </c>
      <c r="G242" s="32"/>
      <c r="H242" s="11"/>
      <c r="I242" s="33"/>
      <c r="J242" s="8" t="str">
        <f aca="false">IF(COUNTA(B242,D242,G242,H242,I242)=0,"",IF(B242="","Enter date",IF(OR(B242&lt;$AC$2,B242&gt;$AC$3),"Date not in December",IF(D242="","Pick project",IF(ISNA(MATCH(D242,ProjNames,0)),"Project not in list",IF(G242="","Add task description",IF(H242="","Pick NTIME or P6",IF(N(I242)&lt;=0,"Enter hours",IF(AND(AllowOT&lt;&gt;"Yes",SUMIF($B$7:$B$256,B242,$I$7:$I$256)&gt;INDEX($O$58:$O$88,DAY(B242))),"Day over "&amp;INDEX($O$58:$O$88,DAY(B242))&amp;" h","✓")))))))))</f>
        <v/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5" hidden="false" customHeight="false" outlineLevel="0" collapsed="false">
      <c r="A243" s="1"/>
      <c r="B243" s="10"/>
      <c r="C243" s="31" t="str">
        <f aca="false">IF(B243="","",TEXT(B243,"ddd"))</f>
        <v/>
      </c>
      <c r="D243" s="11"/>
      <c r="E243" s="8" t="str">
        <f aca="false">IF(D243="","",IFERROR(INDEX(ProjNumbers,MATCH(D243,ProjNames,0)),""))</f>
        <v/>
      </c>
      <c r="F243" s="8" t="str">
        <f aca="false">IF(D243="","",IFERROR(INDEX(ProjCodes,MATCH(D243,ProjNames,0)),""))</f>
        <v/>
      </c>
      <c r="G243" s="32"/>
      <c r="H243" s="11"/>
      <c r="I243" s="33"/>
      <c r="J243" s="8" t="str">
        <f aca="false">IF(COUNTA(B243,D243,G243,H243,I243)=0,"",IF(B243="","Enter date",IF(OR(B243&lt;$AC$2,B243&gt;$AC$3),"Date not in December",IF(D243="","Pick project",IF(ISNA(MATCH(D243,ProjNames,0)),"Project not in list",IF(G243="","Add task description",IF(H243="","Pick NTIME or P6",IF(N(I243)&lt;=0,"Enter hours",IF(AND(AllowOT&lt;&gt;"Yes",SUMIF($B$7:$B$256,B243,$I$7:$I$256)&gt;INDEX($O$58:$O$88,DAY(B243))),"Day over "&amp;INDEX($O$58:$O$88,DAY(B243))&amp;" h","✓")))))))))</f>
        <v/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5" hidden="false" customHeight="false" outlineLevel="0" collapsed="false">
      <c r="A244" s="1"/>
      <c r="B244" s="10"/>
      <c r="C244" s="31" t="str">
        <f aca="false">IF(B244="","",TEXT(B244,"ddd"))</f>
        <v/>
      </c>
      <c r="D244" s="11"/>
      <c r="E244" s="8" t="str">
        <f aca="false">IF(D244="","",IFERROR(INDEX(ProjNumbers,MATCH(D244,ProjNames,0)),""))</f>
        <v/>
      </c>
      <c r="F244" s="8" t="str">
        <f aca="false">IF(D244="","",IFERROR(INDEX(ProjCodes,MATCH(D244,ProjNames,0)),""))</f>
        <v/>
      </c>
      <c r="G244" s="32"/>
      <c r="H244" s="11"/>
      <c r="I244" s="33"/>
      <c r="J244" s="8" t="str">
        <f aca="false">IF(COUNTA(B244,D244,G244,H244,I244)=0,"",IF(B244="","Enter date",IF(OR(B244&lt;$AC$2,B244&gt;$AC$3),"Date not in December",IF(D244="","Pick project",IF(ISNA(MATCH(D244,ProjNames,0)),"Project not in list",IF(G244="","Add task description",IF(H244="","Pick NTIME or P6",IF(N(I244)&lt;=0,"Enter hours",IF(AND(AllowOT&lt;&gt;"Yes",SUMIF($B$7:$B$256,B244,$I$7:$I$256)&gt;INDEX($O$58:$O$88,DAY(B244))),"Day over "&amp;INDEX($O$58:$O$88,DAY(B244))&amp;" h","✓")))))))))</f>
        <v/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5" hidden="false" customHeight="false" outlineLevel="0" collapsed="false">
      <c r="A245" s="1"/>
      <c r="B245" s="10"/>
      <c r="C245" s="31" t="str">
        <f aca="false">IF(B245="","",TEXT(B245,"ddd"))</f>
        <v/>
      </c>
      <c r="D245" s="11"/>
      <c r="E245" s="8" t="str">
        <f aca="false">IF(D245="","",IFERROR(INDEX(ProjNumbers,MATCH(D245,ProjNames,0)),""))</f>
        <v/>
      </c>
      <c r="F245" s="8" t="str">
        <f aca="false">IF(D245="","",IFERROR(INDEX(ProjCodes,MATCH(D245,ProjNames,0)),""))</f>
        <v/>
      </c>
      <c r="G245" s="32"/>
      <c r="H245" s="11"/>
      <c r="I245" s="33"/>
      <c r="J245" s="8" t="str">
        <f aca="false">IF(COUNTA(B245,D245,G245,H245,I245)=0,"",IF(B245="","Enter date",IF(OR(B245&lt;$AC$2,B245&gt;$AC$3),"Date not in December",IF(D245="","Pick project",IF(ISNA(MATCH(D245,ProjNames,0)),"Project not in list",IF(G245="","Add task description",IF(H245="","Pick NTIME or P6",IF(N(I245)&lt;=0,"Enter hours",IF(AND(AllowOT&lt;&gt;"Yes",SUMIF($B$7:$B$256,B245,$I$7:$I$256)&gt;INDEX($O$58:$O$88,DAY(B245))),"Day over "&amp;INDEX($O$58:$O$88,DAY(B245))&amp;" h","✓")))))))))</f>
        <v/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5" hidden="false" customHeight="false" outlineLevel="0" collapsed="false">
      <c r="A246" s="1"/>
      <c r="B246" s="10"/>
      <c r="C246" s="31" t="str">
        <f aca="false">IF(B246="","",TEXT(B246,"ddd"))</f>
        <v/>
      </c>
      <c r="D246" s="11"/>
      <c r="E246" s="8" t="str">
        <f aca="false">IF(D246="","",IFERROR(INDEX(ProjNumbers,MATCH(D246,ProjNames,0)),""))</f>
        <v/>
      </c>
      <c r="F246" s="8" t="str">
        <f aca="false">IF(D246="","",IFERROR(INDEX(ProjCodes,MATCH(D246,ProjNames,0)),""))</f>
        <v/>
      </c>
      <c r="G246" s="32"/>
      <c r="H246" s="11"/>
      <c r="I246" s="33"/>
      <c r="J246" s="8" t="str">
        <f aca="false">IF(COUNTA(B246,D246,G246,H246,I246)=0,"",IF(B246="","Enter date",IF(OR(B246&lt;$AC$2,B246&gt;$AC$3),"Date not in December",IF(D246="","Pick project",IF(ISNA(MATCH(D246,ProjNames,0)),"Project not in list",IF(G246="","Add task description",IF(H246="","Pick NTIME or P6",IF(N(I246)&lt;=0,"Enter hours",IF(AND(AllowOT&lt;&gt;"Yes",SUMIF($B$7:$B$256,B246,$I$7:$I$256)&gt;INDEX($O$58:$O$88,DAY(B246))),"Day over "&amp;INDEX($O$58:$O$88,DAY(B246))&amp;" h","✓")))))))))</f>
        <v/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5" hidden="false" customHeight="false" outlineLevel="0" collapsed="false">
      <c r="A247" s="1"/>
      <c r="B247" s="10"/>
      <c r="C247" s="31" t="str">
        <f aca="false">IF(B247="","",TEXT(B247,"ddd"))</f>
        <v/>
      </c>
      <c r="D247" s="11"/>
      <c r="E247" s="8" t="str">
        <f aca="false">IF(D247="","",IFERROR(INDEX(ProjNumbers,MATCH(D247,ProjNames,0)),""))</f>
        <v/>
      </c>
      <c r="F247" s="8" t="str">
        <f aca="false">IF(D247="","",IFERROR(INDEX(ProjCodes,MATCH(D247,ProjNames,0)),""))</f>
        <v/>
      </c>
      <c r="G247" s="32"/>
      <c r="H247" s="11"/>
      <c r="I247" s="33"/>
      <c r="J247" s="8" t="str">
        <f aca="false">IF(COUNTA(B247,D247,G247,H247,I247)=0,"",IF(B247="","Enter date",IF(OR(B247&lt;$AC$2,B247&gt;$AC$3),"Date not in December",IF(D247="","Pick project",IF(ISNA(MATCH(D247,ProjNames,0)),"Project not in list",IF(G247="","Add task description",IF(H247="","Pick NTIME or P6",IF(N(I247)&lt;=0,"Enter hours",IF(AND(AllowOT&lt;&gt;"Yes",SUMIF($B$7:$B$256,B247,$I$7:$I$256)&gt;INDEX($O$58:$O$88,DAY(B247))),"Day over "&amp;INDEX($O$58:$O$88,DAY(B247))&amp;" h","✓")))))))))</f>
        <v/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5" hidden="false" customHeight="false" outlineLevel="0" collapsed="false">
      <c r="A248" s="1"/>
      <c r="B248" s="10"/>
      <c r="C248" s="31" t="str">
        <f aca="false">IF(B248="","",TEXT(B248,"ddd"))</f>
        <v/>
      </c>
      <c r="D248" s="11"/>
      <c r="E248" s="8" t="str">
        <f aca="false">IF(D248="","",IFERROR(INDEX(ProjNumbers,MATCH(D248,ProjNames,0)),""))</f>
        <v/>
      </c>
      <c r="F248" s="8" t="str">
        <f aca="false">IF(D248="","",IFERROR(INDEX(ProjCodes,MATCH(D248,ProjNames,0)),""))</f>
        <v/>
      </c>
      <c r="G248" s="32"/>
      <c r="H248" s="11"/>
      <c r="I248" s="33"/>
      <c r="J248" s="8" t="str">
        <f aca="false">IF(COUNTA(B248,D248,G248,H248,I248)=0,"",IF(B248="","Enter date",IF(OR(B248&lt;$AC$2,B248&gt;$AC$3),"Date not in December",IF(D248="","Pick project",IF(ISNA(MATCH(D248,ProjNames,0)),"Project not in list",IF(G248="","Add task description",IF(H248="","Pick NTIME or P6",IF(N(I248)&lt;=0,"Enter hours",IF(AND(AllowOT&lt;&gt;"Yes",SUMIF($B$7:$B$256,B248,$I$7:$I$256)&gt;INDEX($O$58:$O$88,DAY(B248))),"Day over "&amp;INDEX($O$58:$O$88,DAY(B248))&amp;" h","✓")))))))))</f>
        <v/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5" hidden="false" customHeight="false" outlineLevel="0" collapsed="false">
      <c r="A249" s="1"/>
      <c r="B249" s="10"/>
      <c r="C249" s="31" t="str">
        <f aca="false">IF(B249="","",TEXT(B249,"ddd"))</f>
        <v/>
      </c>
      <c r="D249" s="11"/>
      <c r="E249" s="8" t="str">
        <f aca="false">IF(D249="","",IFERROR(INDEX(ProjNumbers,MATCH(D249,ProjNames,0)),""))</f>
        <v/>
      </c>
      <c r="F249" s="8" t="str">
        <f aca="false">IF(D249="","",IFERROR(INDEX(ProjCodes,MATCH(D249,ProjNames,0)),""))</f>
        <v/>
      </c>
      <c r="G249" s="32"/>
      <c r="H249" s="11"/>
      <c r="I249" s="33"/>
      <c r="J249" s="8" t="str">
        <f aca="false">IF(COUNTA(B249,D249,G249,H249,I249)=0,"",IF(B249="","Enter date",IF(OR(B249&lt;$AC$2,B249&gt;$AC$3),"Date not in December",IF(D249="","Pick project",IF(ISNA(MATCH(D249,ProjNames,0)),"Project not in list",IF(G249="","Add task description",IF(H249="","Pick NTIME or P6",IF(N(I249)&lt;=0,"Enter hours",IF(AND(AllowOT&lt;&gt;"Yes",SUMIF($B$7:$B$256,B249,$I$7:$I$256)&gt;INDEX($O$58:$O$88,DAY(B249))),"Day over "&amp;INDEX($O$58:$O$88,DAY(B249))&amp;" h","✓")))))))))</f>
        <v/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5" hidden="false" customHeight="false" outlineLevel="0" collapsed="false">
      <c r="A250" s="1"/>
      <c r="B250" s="10"/>
      <c r="C250" s="31" t="str">
        <f aca="false">IF(B250="","",TEXT(B250,"ddd"))</f>
        <v/>
      </c>
      <c r="D250" s="11"/>
      <c r="E250" s="8" t="str">
        <f aca="false">IF(D250="","",IFERROR(INDEX(ProjNumbers,MATCH(D250,ProjNames,0)),""))</f>
        <v/>
      </c>
      <c r="F250" s="8" t="str">
        <f aca="false">IF(D250="","",IFERROR(INDEX(ProjCodes,MATCH(D250,ProjNames,0)),""))</f>
        <v/>
      </c>
      <c r="G250" s="32"/>
      <c r="H250" s="11"/>
      <c r="I250" s="33"/>
      <c r="J250" s="8" t="str">
        <f aca="false">IF(COUNTA(B250,D250,G250,H250,I250)=0,"",IF(B250="","Enter date",IF(OR(B250&lt;$AC$2,B250&gt;$AC$3),"Date not in December",IF(D250="","Pick project",IF(ISNA(MATCH(D250,ProjNames,0)),"Project not in list",IF(G250="","Add task description",IF(H250="","Pick NTIME or P6",IF(N(I250)&lt;=0,"Enter hours",IF(AND(AllowOT&lt;&gt;"Yes",SUMIF($B$7:$B$256,B250,$I$7:$I$256)&gt;INDEX($O$58:$O$88,DAY(B250))),"Day over "&amp;INDEX($O$58:$O$88,DAY(B250))&amp;" h","✓")))))))))</f>
        <v/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5" hidden="false" customHeight="false" outlineLevel="0" collapsed="false">
      <c r="A251" s="1"/>
      <c r="B251" s="10"/>
      <c r="C251" s="31" t="str">
        <f aca="false">IF(B251="","",TEXT(B251,"ddd"))</f>
        <v/>
      </c>
      <c r="D251" s="11"/>
      <c r="E251" s="8" t="str">
        <f aca="false">IF(D251="","",IFERROR(INDEX(ProjNumbers,MATCH(D251,ProjNames,0)),""))</f>
        <v/>
      </c>
      <c r="F251" s="8" t="str">
        <f aca="false">IF(D251="","",IFERROR(INDEX(ProjCodes,MATCH(D251,ProjNames,0)),""))</f>
        <v/>
      </c>
      <c r="G251" s="32"/>
      <c r="H251" s="11"/>
      <c r="I251" s="33"/>
      <c r="J251" s="8" t="str">
        <f aca="false">IF(COUNTA(B251,D251,G251,H251,I251)=0,"",IF(B251="","Enter date",IF(OR(B251&lt;$AC$2,B251&gt;$AC$3),"Date not in December",IF(D251="","Pick project",IF(ISNA(MATCH(D251,ProjNames,0)),"Project not in list",IF(G251="","Add task description",IF(H251="","Pick NTIME or P6",IF(N(I251)&lt;=0,"Enter hours",IF(AND(AllowOT&lt;&gt;"Yes",SUMIF($B$7:$B$256,B251,$I$7:$I$256)&gt;INDEX($O$58:$O$88,DAY(B251))),"Day over "&amp;INDEX($O$58:$O$88,DAY(B251))&amp;" h","✓")))))))))</f>
        <v/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5" hidden="false" customHeight="false" outlineLevel="0" collapsed="false">
      <c r="A252" s="1"/>
      <c r="B252" s="10"/>
      <c r="C252" s="31" t="str">
        <f aca="false">IF(B252="","",TEXT(B252,"ddd"))</f>
        <v/>
      </c>
      <c r="D252" s="11"/>
      <c r="E252" s="8" t="str">
        <f aca="false">IF(D252="","",IFERROR(INDEX(ProjNumbers,MATCH(D252,ProjNames,0)),""))</f>
        <v/>
      </c>
      <c r="F252" s="8" t="str">
        <f aca="false">IF(D252="","",IFERROR(INDEX(ProjCodes,MATCH(D252,ProjNames,0)),""))</f>
        <v/>
      </c>
      <c r="G252" s="32"/>
      <c r="H252" s="11"/>
      <c r="I252" s="33"/>
      <c r="J252" s="8" t="str">
        <f aca="false">IF(COUNTA(B252,D252,G252,H252,I252)=0,"",IF(B252="","Enter date",IF(OR(B252&lt;$AC$2,B252&gt;$AC$3),"Date not in December",IF(D252="","Pick project",IF(ISNA(MATCH(D252,ProjNames,0)),"Project not in list",IF(G252="","Add task description",IF(H252="","Pick NTIME or P6",IF(N(I252)&lt;=0,"Enter hours",IF(AND(AllowOT&lt;&gt;"Yes",SUMIF($B$7:$B$256,B252,$I$7:$I$256)&gt;INDEX($O$58:$O$88,DAY(B252))),"Day over "&amp;INDEX($O$58:$O$88,DAY(B252))&amp;" h","✓")))))))))</f>
        <v/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5" hidden="false" customHeight="false" outlineLevel="0" collapsed="false">
      <c r="A253" s="1"/>
      <c r="B253" s="10"/>
      <c r="C253" s="31" t="str">
        <f aca="false">IF(B253="","",TEXT(B253,"ddd"))</f>
        <v/>
      </c>
      <c r="D253" s="11"/>
      <c r="E253" s="8" t="str">
        <f aca="false">IF(D253="","",IFERROR(INDEX(ProjNumbers,MATCH(D253,ProjNames,0)),""))</f>
        <v/>
      </c>
      <c r="F253" s="8" t="str">
        <f aca="false">IF(D253="","",IFERROR(INDEX(ProjCodes,MATCH(D253,ProjNames,0)),""))</f>
        <v/>
      </c>
      <c r="G253" s="32"/>
      <c r="H253" s="11"/>
      <c r="I253" s="33"/>
      <c r="J253" s="8" t="str">
        <f aca="false">IF(COUNTA(B253,D253,G253,H253,I253)=0,"",IF(B253="","Enter date",IF(OR(B253&lt;$AC$2,B253&gt;$AC$3),"Date not in December",IF(D253="","Pick project",IF(ISNA(MATCH(D253,ProjNames,0)),"Project not in list",IF(G253="","Add task description",IF(H253="","Pick NTIME or P6",IF(N(I253)&lt;=0,"Enter hours",IF(AND(AllowOT&lt;&gt;"Yes",SUMIF($B$7:$B$256,B253,$I$7:$I$256)&gt;INDEX($O$58:$O$88,DAY(B253))),"Day over "&amp;INDEX($O$58:$O$88,DAY(B253))&amp;" h","✓")))))))))</f>
        <v/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5" hidden="false" customHeight="false" outlineLevel="0" collapsed="false">
      <c r="A254" s="1"/>
      <c r="B254" s="10"/>
      <c r="C254" s="31" t="str">
        <f aca="false">IF(B254="","",TEXT(B254,"ddd"))</f>
        <v/>
      </c>
      <c r="D254" s="11"/>
      <c r="E254" s="8" t="str">
        <f aca="false">IF(D254="","",IFERROR(INDEX(ProjNumbers,MATCH(D254,ProjNames,0)),""))</f>
        <v/>
      </c>
      <c r="F254" s="8" t="str">
        <f aca="false">IF(D254="","",IFERROR(INDEX(ProjCodes,MATCH(D254,ProjNames,0)),""))</f>
        <v/>
      </c>
      <c r="G254" s="32"/>
      <c r="H254" s="11"/>
      <c r="I254" s="33"/>
      <c r="J254" s="8" t="str">
        <f aca="false">IF(COUNTA(B254,D254,G254,H254,I254)=0,"",IF(B254="","Enter date",IF(OR(B254&lt;$AC$2,B254&gt;$AC$3),"Date not in December",IF(D254="","Pick project",IF(ISNA(MATCH(D254,ProjNames,0)),"Project not in list",IF(G254="","Add task description",IF(H254="","Pick NTIME or P6",IF(N(I254)&lt;=0,"Enter hours",IF(AND(AllowOT&lt;&gt;"Yes",SUMIF($B$7:$B$256,B254,$I$7:$I$256)&gt;INDEX($O$58:$O$88,DAY(B254))),"Day over "&amp;INDEX($O$58:$O$88,DAY(B254))&amp;" h","✓")))))))))</f>
        <v/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5" hidden="false" customHeight="false" outlineLevel="0" collapsed="false">
      <c r="A255" s="1"/>
      <c r="B255" s="10"/>
      <c r="C255" s="31" t="str">
        <f aca="false">IF(B255="","",TEXT(B255,"ddd"))</f>
        <v/>
      </c>
      <c r="D255" s="11"/>
      <c r="E255" s="8" t="str">
        <f aca="false">IF(D255="","",IFERROR(INDEX(ProjNumbers,MATCH(D255,ProjNames,0)),""))</f>
        <v/>
      </c>
      <c r="F255" s="8" t="str">
        <f aca="false">IF(D255="","",IFERROR(INDEX(ProjCodes,MATCH(D255,ProjNames,0)),""))</f>
        <v/>
      </c>
      <c r="G255" s="32"/>
      <c r="H255" s="11"/>
      <c r="I255" s="33"/>
      <c r="J255" s="8" t="str">
        <f aca="false">IF(COUNTA(B255,D255,G255,H255,I255)=0,"",IF(B255="","Enter date",IF(OR(B255&lt;$AC$2,B255&gt;$AC$3),"Date not in December",IF(D255="","Pick project",IF(ISNA(MATCH(D255,ProjNames,0)),"Project not in list",IF(G255="","Add task description",IF(H255="","Pick NTIME or P6",IF(N(I255)&lt;=0,"Enter hours",IF(AND(AllowOT&lt;&gt;"Yes",SUMIF($B$7:$B$256,B255,$I$7:$I$256)&gt;INDEX($O$58:$O$88,DAY(B255))),"Day over "&amp;INDEX($O$58:$O$88,DAY(B255))&amp;" h","✓")))))))))</f>
        <v/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5" hidden="false" customHeight="false" outlineLevel="0" collapsed="false">
      <c r="A256" s="1"/>
      <c r="B256" s="10"/>
      <c r="C256" s="31" t="str">
        <f aca="false">IF(B256="","",TEXT(B256,"ddd"))</f>
        <v/>
      </c>
      <c r="D256" s="11"/>
      <c r="E256" s="8" t="str">
        <f aca="false">IF(D256="","",IFERROR(INDEX(ProjNumbers,MATCH(D256,ProjNames,0)),""))</f>
        <v/>
      </c>
      <c r="F256" s="8" t="str">
        <f aca="false">IF(D256="","",IFERROR(INDEX(ProjCodes,MATCH(D256,ProjNames,0)),""))</f>
        <v/>
      </c>
      <c r="G256" s="32"/>
      <c r="H256" s="11"/>
      <c r="I256" s="33"/>
      <c r="J256" s="8" t="str">
        <f aca="false">IF(COUNTA(B256,D256,G256,H256,I256)=0,"",IF(B256="","Enter date",IF(OR(B256&lt;$AC$2,B256&gt;$AC$3),"Date not in December",IF(D256="","Pick project",IF(ISNA(MATCH(D256,ProjNames,0)),"Project not in list",IF(G256="","Add task description",IF(H256="","Pick NTIME or P6",IF(N(I256)&lt;=0,"Enter hours",IF(AND(AllowOT&lt;&gt;"Yes",SUMIF($B$7:$B$256,B256,$I$7:$I$256)&gt;INDEX($O$58:$O$88,DAY(B256))),"Day over "&amp;INDEX($O$58:$O$88,DAY(B256))&amp;" h","✓")))))))))</f>
        <v/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</sheetData>
  <conditionalFormatting sqref="J7:J256">
    <cfRule type="expression" priority="2" aboveAverage="0" equalAverage="0" bottom="0" percent="0" rank="0" text="" dxfId="0">
      <formula>AND(J7&lt;&gt;"",J7&lt;&gt;"✓")</formula>
    </cfRule>
  </conditionalFormatting>
  <conditionalFormatting sqref="H7:H256">
    <cfRule type="expression" priority="3" aboveAverage="0" equalAverage="0" bottom="0" percent="0" rank="0" text="" dxfId="1">
      <formula>H7="NTIME"</formula>
    </cfRule>
    <cfRule type="expression" priority="4" aboveAverage="0" equalAverage="0" bottom="0" percent="0" rank="0" text="" dxfId="2">
      <formula>H7="P6"</formula>
    </cfRule>
  </conditionalFormatting>
  <conditionalFormatting sqref="S5">
    <cfRule type="expression" priority="5" aboveAverage="0" equalAverage="0" bottom="0" percent="0" rank="0" text="" dxfId="3">
      <formula>S5&gt;0</formula>
    </cfRule>
  </conditionalFormatting>
  <conditionalFormatting sqref="L52:R52">
    <cfRule type="expression" priority="6" aboveAverage="0" equalAverage="0" bottom="0" percent="0" rank="0" text="" dxfId="4">
      <formula>$Q$52&gt;0</formula>
    </cfRule>
  </conditionalFormatting>
  <conditionalFormatting sqref="L58:U88">
    <cfRule type="expression" priority="7" aboveAverage="0" equalAverage="0" bottom="0" percent="0" rank="0" text="" dxfId="5">
      <formula>$L58=TODAY()</formula>
    </cfRule>
    <cfRule type="expression" priority="8" aboveAverage="0" equalAverage="0" bottom="0" percent="0" rank="0" text="" dxfId="6">
      <formula>OR($N58="Weekend",$N58="Leave",$N58="Public Holiday")</formula>
    </cfRule>
  </conditionalFormatting>
  <conditionalFormatting sqref="U58:U88">
    <cfRule type="expression" priority="9" aboveAverage="0" equalAverage="0" bottom="0" percent="0" rank="0" text="" dxfId="7">
      <formula>OR(U58="Not logged",LEFT(U58,5)="Over ",LEFT(U58,7)="Entries")</formula>
    </cfRule>
    <cfRule type="expression" priority="10" aboveAverage="0" equalAverage="0" bottom="0" percent="0" rank="0" text="" dxfId="8">
      <formula>LEFT(U58,1)="✓"</formula>
    </cfRule>
  </conditionalFormatting>
  <dataValidations count="7">
    <dataValidation allowBlank="false" error="Hours must be more than 0 and at most 24." errorStyle="stop" operator="between" showDropDown="false" showErrorMessage="true" showInputMessage="false" sqref="I7:I256" type="decimal">
      <formula1>0.01</formula1>
      <formula2>24</formula2>
    </dataValidation>
    <dataValidation allowBlank="false" error="Keep the task description to 200 characters." errorStyle="stop" operator="lessThanOrEqual" showDropDown="false" showErrorMessage="true" showInputMessage="false" sqref="G7:G256" type="textLength">
      <formula1>200</formula1>
      <formula2>0</formula2>
    </dataValidation>
    <dataValidation allowBlank="false" errorStyle="stop" operator="between" showDropDown="false" showErrorMessage="true" showInputMessage="false" sqref="O58:O88" type="decimal">
      <formula1>0</formula1>
      <formula2>24</formula2>
    </dataValidation>
    <dataValidation allowBlank="false" error="Enter a date in December 2026." errorStyle="stop" errorTitle="Date" operator="between" showDropDown="false" showErrorMessage="true" showInputMessage="false" sqref="B7:B256" type="date">
      <formula1>DATE(2026,12,1)</formula1>
      <formula2>DATE(2026,12,31)</formula2>
    </dataValidation>
    <dataValidation allowBlank="false" error="Pick a project from the list. Add new projects on the Projects sheet first." errorStyle="stop" errorTitle="Project" operator="between" showDropDown="false" showErrorMessage="true" showInputMessage="false" sqref="D7:D256" type="list">
      <formula1>ProjNames</formula1>
      <formula2>0</formula2>
    </dataValidation>
    <dataValidation allowBlank="false" errorStyle="stop" operator="between" showDropDown="false" showErrorMessage="true" showInputMessage="false" sqref="H7:H256" type="list">
      <formula1>"NTIME,P6"</formula1>
      <formula2>0</formula2>
    </dataValidation>
    <dataValidation allowBlank="false" errorStyle="stop" operator="between" showDropDown="false" showErrorMessage="true" showInputMessage="false" sqref="N58:N88" type="list">
      <formula1>"Working,Overhead only,Leave,Public Holiday,Weekend"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7" min="5" style="0" width="12"/>
    <col collapsed="false" customWidth="true" hidden="false" outlineLevel="0" max="8" min="8" style="0" width="24"/>
    <col collapsed="false" customWidth="true" hidden="true" outlineLevel="0" max="9" min="9" style="0" width="4"/>
  </cols>
  <sheetData>
    <row r="1" customFormat="false" ht="22.05" hidden="false" customHeight="false" outlineLevel="0" collapsed="false">
      <c r="A1" s="1"/>
      <c r="B1" s="2" t="s">
        <v>106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3" t="s">
        <v>107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"/>
      <c r="B4" s="9" t="s">
        <v>35</v>
      </c>
      <c r="C4" s="9" t="s">
        <v>36</v>
      </c>
      <c r="D4" s="9" t="s">
        <v>37</v>
      </c>
      <c r="E4" s="20" t="s">
        <v>108</v>
      </c>
      <c r="F4" s="21" t="s">
        <v>109</v>
      </c>
      <c r="G4" s="9" t="s">
        <v>110</v>
      </c>
      <c r="H4" s="9" t="s">
        <v>79</v>
      </c>
      <c r="I4" s="1"/>
    </row>
    <row r="5" customFormat="false" ht="15" hidden="false" customHeight="false" outlineLevel="0" collapsed="false">
      <c r="A5" s="1"/>
      <c r="B5" s="11" t="s">
        <v>42</v>
      </c>
      <c r="C5" s="11" t="s">
        <v>43</v>
      </c>
      <c r="D5" s="11" t="s">
        <v>44</v>
      </c>
      <c r="E5" s="24" t="n">
        <f aca="false">IF(B5="","",January!X7+February!X7+March!X7+April!X7+May!X7+June!X7+July!X7+August!X7+September!X7+October!X7+November!X7+December!X7)</f>
        <v>0</v>
      </c>
      <c r="F5" s="24" t="n">
        <f aca="false">IF(B5="","",January!Y7+February!Y7+March!Y7+April!Y7+May!Y7+June!Y7+July!Y7+August!Y7+September!Y7+October!Y7+November!Y7+December!Y7)</f>
        <v>0</v>
      </c>
      <c r="G5" s="24" t="n">
        <f aca="false">IF(B5="","",E5+F5)</f>
        <v>0</v>
      </c>
      <c r="H5" s="8" t="str">
        <f aca="false">IF(B5="","",IF(COUNTIF(ProjNames,B5)&gt;1,"Duplicate name!",IF(OR(C5="",D5=""),"Add number and code","✓")))</f>
        <v>✓</v>
      </c>
      <c r="I5" s="1" t="n">
        <f aca="false">IF(N(G5)&gt;0,G5+(205-ROW())/10^6,0)</f>
        <v>0</v>
      </c>
    </row>
    <row r="6" customFormat="false" ht="15" hidden="false" customHeight="false" outlineLevel="0" collapsed="false">
      <c r="A6" s="1"/>
      <c r="B6" s="11"/>
      <c r="C6" s="11"/>
      <c r="D6" s="11"/>
      <c r="E6" s="24" t="str">
        <f aca="false">IF(B6="","",January!X8+February!X8+March!X8+April!X8+May!X8+June!X8+July!X8+August!X8+September!X8+October!X8+November!X8+December!X8)</f>
        <v/>
      </c>
      <c r="F6" s="24" t="str">
        <f aca="false">IF(B6="","",January!Y8+February!Y8+March!Y8+April!Y8+May!Y8+June!Y8+July!Y8+August!Y8+September!Y8+October!Y8+November!Y8+December!Y8)</f>
        <v/>
      </c>
      <c r="G6" s="24" t="str">
        <f aca="false">IF(B6="","",E6+F6)</f>
        <v/>
      </c>
      <c r="H6" s="8" t="str">
        <f aca="false">IF(B6="","",IF(COUNTIF(ProjNames,B6)&gt;1,"Duplicate name!",IF(OR(C6="",D6=""),"Add number and code","✓")))</f>
        <v/>
      </c>
      <c r="I6" s="1" t="n">
        <f aca="false">IF(N(G6)&gt;0,G6+(205-ROW())/10^6,0)</f>
        <v>0</v>
      </c>
    </row>
    <row r="7" customFormat="false" ht="15" hidden="false" customHeight="false" outlineLevel="0" collapsed="false">
      <c r="A7" s="1"/>
      <c r="B7" s="11"/>
      <c r="C7" s="11"/>
      <c r="D7" s="11"/>
      <c r="E7" s="24" t="str">
        <f aca="false">IF(B7="","",January!X9+February!X9+March!X9+April!X9+May!X9+June!X9+July!X9+August!X9+September!X9+October!X9+November!X9+December!X9)</f>
        <v/>
      </c>
      <c r="F7" s="24" t="str">
        <f aca="false">IF(B7="","",January!Y9+February!Y9+March!Y9+April!Y9+May!Y9+June!Y9+July!Y9+August!Y9+September!Y9+October!Y9+November!Y9+December!Y9)</f>
        <v/>
      </c>
      <c r="G7" s="24" t="str">
        <f aca="false">IF(B7="","",E7+F7)</f>
        <v/>
      </c>
      <c r="H7" s="8" t="str">
        <f aca="false">IF(B7="","",IF(COUNTIF(ProjNames,B7)&gt;1,"Duplicate name!",IF(OR(C7="",D7=""),"Add number and code","✓")))</f>
        <v/>
      </c>
      <c r="I7" s="1" t="n">
        <f aca="false">IF(N(G7)&gt;0,G7+(205-ROW())/10^6,0)</f>
        <v>0</v>
      </c>
    </row>
    <row r="8" customFormat="false" ht="15" hidden="false" customHeight="false" outlineLevel="0" collapsed="false">
      <c r="A8" s="1"/>
      <c r="B8" s="11"/>
      <c r="C8" s="11"/>
      <c r="D8" s="11"/>
      <c r="E8" s="24" t="str">
        <f aca="false">IF(B8="","",January!X10+February!X10+March!X10+April!X10+May!X10+June!X10+July!X10+August!X10+September!X10+October!X10+November!X10+December!X10)</f>
        <v/>
      </c>
      <c r="F8" s="24" t="str">
        <f aca="false">IF(B8="","",January!Y10+February!Y10+March!Y10+April!Y10+May!Y10+June!Y10+July!Y10+August!Y10+September!Y10+October!Y10+November!Y10+December!Y10)</f>
        <v/>
      </c>
      <c r="G8" s="24" t="str">
        <f aca="false">IF(B8="","",E8+F8)</f>
        <v/>
      </c>
      <c r="H8" s="8" t="str">
        <f aca="false">IF(B8="","",IF(COUNTIF(ProjNames,B8)&gt;1,"Duplicate name!",IF(OR(C8="",D8=""),"Add number and code","✓")))</f>
        <v/>
      </c>
      <c r="I8" s="1" t="n">
        <f aca="false">IF(N(G8)&gt;0,G8+(205-ROW())/10^6,0)</f>
        <v>0</v>
      </c>
    </row>
    <row r="9" customFormat="false" ht="15" hidden="false" customHeight="false" outlineLevel="0" collapsed="false">
      <c r="A9" s="1"/>
      <c r="B9" s="11"/>
      <c r="C9" s="11"/>
      <c r="D9" s="11"/>
      <c r="E9" s="24" t="str">
        <f aca="false">IF(B9="","",January!X11+February!X11+March!X11+April!X11+May!X11+June!X11+July!X11+August!X11+September!X11+October!X11+November!X11+December!X11)</f>
        <v/>
      </c>
      <c r="F9" s="24" t="str">
        <f aca="false">IF(B9="","",January!Y11+February!Y11+March!Y11+April!Y11+May!Y11+June!Y11+July!Y11+August!Y11+September!Y11+October!Y11+November!Y11+December!Y11)</f>
        <v/>
      </c>
      <c r="G9" s="24" t="str">
        <f aca="false">IF(B9="","",E9+F9)</f>
        <v/>
      </c>
      <c r="H9" s="8" t="str">
        <f aca="false">IF(B9="","",IF(COUNTIF(ProjNames,B9)&gt;1,"Duplicate name!",IF(OR(C9="",D9=""),"Add number and code","✓")))</f>
        <v/>
      </c>
      <c r="I9" s="1" t="n">
        <f aca="false">IF(N(G9)&gt;0,G9+(205-ROW())/10^6,0)</f>
        <v>0</v>
      </c>
    </row>
    <row r="10" customFormat="false" ht="15" hidden="false" customHeight="false" outlineLevel="0" collapsed="false">
      <c r="A10" s="1"/>
      <c r="B10" s="11"/>
      <c r="C10" s="11"/>
      <c r="D10" s="11"/>
      <c r="E10" s="24" t="str">
        <f aca="false">IF(B10="","",January!X12+February!X12+March!X12+April!X12+May!X12+June!X12+July!X12+August!X12+September!X12+October!X12+November!X12+December!X12)</f>
        <v/>
      </c>
      <c r="F10" s="24" t="str">
        <f aca="false">IF(B10="","",January!Y12+February!Y12+March!Y12+April!Y12+May!Y12+June!Y12+July!Y12+August!Y12+September!Y12+October!Y12+November!Y12+December!Y12)</f>
        <v/>
      </c>
      <c r="G10" s="24" t="str">
        <f aca="false">IF(B10="","",E10+F10)</f>
        <v/>
      </c>
      <c r="H10" s="8" t="str">
        <f aca="false">IF(B10="","",IF(COUNTIF(ProjNames,B10)&gt;1,"Duplicate name!",IF(OR(C10="",D10=""),"Add number and code","✓")))</f>
        <v/>
      </c>
      <c r="I10" s="1" t="n">
        <f aca="false">IF(N(G10)&gt;0,G10+(205-ROW())/10^6,0)</f>
        <v>0</v>
      </c>
    </row>
    <row r="11" customFormat="false" ht="15" hidden="false" customHeight="false" outlineLevel="0" collapsed="false">
      <c r="A11" s="1"/>
      <c r="B11" s="11"/>
      <c r="C11" s="11"/>
      <c r="D11" s="11"/>
      <c r="E11" s="24" t="str">
        <f aca="false">IF(B11="","",January!X13+February!X13+March!X13+April!X13+May!X13+June!X13+July!X13+August!X13+September!X13+October!X13+November!X13+December!X13)</f>
        <v/>
      </c>
      <c r="F11" s="24" t="str">
        <f aca="false">IF(B11="","",January!Y13+February!Y13+March!Y13+April!Y13+May!Y13+June!Y13+July!Y13+August!Y13+September!Y13+October!Y13+November!Y13+December!Y13)</f>
        <v/>
      </c>
      <c r="G11" s="24" t="str">
        <f aca="false">IF(B11="","",E11+F11)</f>
        <v/>
      </c>
      <c r="H11" s="8" t="str">
        <f aca="false">IF(B11="","",IF(COUNTIF(ProjNames,B11)&gt;1,"Duplicate name!",IF(OR(C11="",D11=""),"Add number and code","✓")))</f>
        <v/>
      </c>
      <c r="I11" s="1" t="n">
        <f aca="false">IF(N(G11)&gt;0,G11+(205-ROW())/10^6,0)</f>
        <v>0</v>
      </c>
    </row>
    <row r="12" customFormat="false" ht="15" hidden="false" customHeight="false" outlineLevel="0" collapsed="false">
      <c r="A12" s="1"/>
      <c r="B12" s="11"/>
      <c r="C12" s="11"/>
      <c r="D12" s="11"/>
      <c r="E12" s="24" t="str">
        <f aca="false">IF(B12="","",January!X14+February!X14+March!X14+April!X14+May!X14+June!X14+July!X14+August!X14+September!X14+October!X14+November!X14+December!X14)</f>
        <v/>
      </c>
      <c r="F12" s="24" t="str">
        <f aca="false">IF(B12="","",January!Y14+February!Y14+March!Y14+April!Y14+May!Y14+June!Y14+July!Y14+August!Y14+September!Y14+October!Y14+November!Y14+December!Y14)</f>
        <v/>
      </c>
      <c r="G12" s="24" t="str">
        <f aca="false">IF(B12="","",E12+F12)</f>
        <v/>
      </c>
      <c r="H12" s="8" t="str">
        <f aca="false">IF(B12="","",IF(COUNTIF(ProjNames,B12)&gt;1,"Duplicate name!",IF(OR(C12="",D12=""),"Add number and code","✓")))</f>
        <v/>
      </c>
      <c r="I12" s="1" t="n">
        <f aca="false">IF(N(G12)&gt;0,G12+(205-ROW())/10^6,0)</f>
        <v>0</v>
      </c>
    </row>
    <row r="13" customFormat="false" ht="15" hidden="false" customHeight="false" outlineLevel="0" collapsed="false">
      <c r="A13" s="1"/>
      <c r="B13" s="11"/>
      <c r="C13" s="11"/>
      <c r="D13" s="11"/>
      <c r="E13" s="24" t="str">
        <f aca="false">IF(B13="","",January!X15+February!X15+March!X15+April!X15+May!X15+June!X15+July!X15+August!X15+September!X15+October!X15+November!X15+December!X15)</f>
        <v/>
      </c>
      <c r="F13" s="24" t="str">
        <f aca="false">IF(B13="","",January!Y15+February!Y15+March!Y15+April!Y15+May!Y15+June!Y15+July!Y15+August!Y15+September!Y15+October!Y15+November!Y15+December!Y15)</f>
        <v/>
      </c>
      <c r="G13" s="24" t="str">
        <f aca="false">IF(B13="","",E13+F13)</f>
        <v/>
      </c>
      <c r="H13" s="8" t="str">
        <f aca="false">IF(B13="","",IF(COUNTIF(ProjNames,B13)&gt;1,"Duplicate name!",IF(OR(C13="",D13=""),"Add number and code","✓")))</f>
        <v/>
      </c>
      <c r="I13" s="1" t="n">
        <f aca="false">IF(N(G13)&gt;0,G13+(205-ROW())/10^6,0)</f>
        <v>0</v>
      </c>
    </row>
    <row r="14" customFormat="false" ht="15" hidden="false" customHeight="false" outlineLevel="0" collapsed="false">
      <c r="A14" s="1"/>
      <c r="B14" s="11"/>
      <c r="C14" s="11"/>
      <c r="D14" s="11"/>
      <c r="E14" s="24" t="str">
        <f aca="false">IF(B14="","",January!X16+February!X16+March!X16+April!X16+May!X16+June!X16+July!X16+August!X16+September!X16+October!X16+November!X16+December!X16)</f>
        <v/>
      </c>
      <c r="F14" s="24" t="str">
        <f aca="false">IF(B14="","",January!Y16+February!Y16+March!Y16+April!Y16+May!Y16+June!Y16+July!Y16+August!Y16+September!Y16+October!Y16+November!Y16+December!Y16)</f>
        <v/>
      </c>
      <c r="G14" s="24" t="str">
        <f aca="false">IF(B14="","",E14+F14)</f>
        <v/>
      </c>
      <c r="H14" s="8" t="str">
        <f aca="false">IF(B14="","",IF(COUNTIF(ProjNames,B14)&gt;1,"Duplicate name!",IF(OR(C14="",D14=""),"Add number and code","✓")))</f>
        <v/>
      </c>
      <c r="I14" s="1" t="n">
        <f aca="false">IF(N(G14)&gt;0,G14+(205-ROW())/10^6,0)</f>
        <v>0</v>
      </c>
    </row>
    <row r="15" customFormat="false" ht="15" hidden="false" customHeight="false" outlineLevel="0" collapsed="false">
      <c r="A15" s="1"/>
      <c r="B15" s="11"/>
      <c r="C15" s="11"/>
      <c r="D15" s="11"/>
      <c r="E15" s="24" t="str">
        <f aca="false">IF(B15="","",January!X17+February!X17+March!X17+April!X17+May!X17+June!X17+July!X17+August!X17+September!X17+October!X17+November!X17+December!X17)</f>
        <v/>
      </c>
      <c r="F15" s="24" t="str">
        <f aca="false">IF(B15="","",January!Y17+February!Y17+March!Y17+April!Y17+May!Y17+June!Y17+July!Y17+August!Y17+September!Y17+October!Y17+November!Y17+December!Y17)</f>
        <v/>
      </c>
      <c r="G15" s="24" t="str">
        <f aca="false">IF(B15="","",E15+F15)</f>
        <v/>
      </c>
      <c r="H15" s="8" t="str">
        <f aca="false">IF(B15="","",IF(COUNTIF(ProjNames,B15)&gt;1,"Duplicate name!",IF(OR(C15="",D15=""),"Add number and code","✓")))</f>
        <v/>
      </c>
      <c r="I15" s="1" t="n">
        <f aca="false">IF(N(G15)&gt;0,G15+(205-ROW())/10^6,0)</f>
        <v>0</v>
      </c>
    </row>
    <row r="16" customFormat="false" ht="15" hidden="false" customHeight="false" outlineLevel="0" collapsed="false">
      <c r="A16" s="1"/>
      <c r="B16" s="11"/>
      <c r="C16" s="11"/>
      <c r="D16" s="11"/>
      <c r="E16" s="24" t="str">
        <f aca="false">IF(B16="","",January!X18+February!X18+March!X18+April!X18+May!X18+June!X18+July!X18+August!X18+September!X18+October!X18+November!X18+December!X18)</f>
        <v/>
      </c>
      <c r="F16" s="24" t="str">
        <f aca="false">IF(B16="","",January!Y18+February!Y18+March!Y18+April!Y18+May!Y18+June!Y18+July!Y18+August!Y18+September!Y18+October!Y18+November!Y18+December!Y18)</f>
        <v/>
      </c>
      <c r="G16" s="24" t="str">
        <f aca="false">IF(B16="","",E16+F16)</f>
        <v/>
      </c>
      <c r="H16" s="8" t="str">
        <f aca="false">IF(B16="","",IF(COUNTIF(ProjNames,B16)&gt;1,"Duplicate name!",IF(OR(C16="",D16=""),"Add number and code","✓")))</f>
        <v/>
      </c>
      <c r="I16" s="1" t="n">
        <f aca="false">IF(N(G16)&gt;0,G16+(205-ROW())/10^6,0)</f>
        <v>0</v>
      </c>
    </row>
    <row r="17" customFormat="false" ht="15" hidden="false" customHeight="false" outlineLevel="0" collapsed="false">
      <c r="A17" s="1"/>
      <c r="B17" s="11"/>
      <c r="C17" s="11"/>
      <c r="D17" s="11"/>
      <c r="E17" s="24" t="str">
        <f aca="false">IF(B17="","",January!X19+February!X19+March!X19+April!X19+May!X19+June!X19+July!X19+August!X19+September!X19+October!X19+November!X19+December!X19)</f>
        <v/>
      </c>
      <c r="F17" s="24" t="str">
        <f aca="false">IF(B17="","",January!Y19+February!Y19+March!Y19+April!Y19+May!Y19+June!Y19+July!Y19+August!Y19+September!Y19+October!Y19+November!Y19+December!Y19)</f>
        <v/>
      </c>
      <c r="G17" s="24" t="str">
        <f aca="false">IF(B17="","",E17+F17)</f>
        <v/>
      </c>
      <c r="H17" s="8" t="str">
        <f aca="false">IF(B17="","",IF(COUNTIF(ProjNames,B17)&gt;1,"Duplicate name!",IF(OR(C17="",D17=""),"Add number and code","✓")))</f>
        <v/>
      </c>
      <c r="I17" s="1" t="n">
        <f aca="false">IF(N(G17)&gt;0,G17+(205-ROW())/10^6,0)</f>
        <v>0</v>
      </c>
    </row>
    <row r="18" customFormat="false" ht="15" hidden="false" customHeight="false" outlineLevel="0" collapsed="false">
      <c r="A18" s="1"/>
      <c r="B18" s="11"/>
      <c r="C18" s="11"/>
      <c r="D18" s="11"/>
      <c r="E18" s="24" t="str">
        <f aca="false">IF(B18="","",January!X20+February!X20+March!X20+April!X20+May!X20+June!X20+July!X20+August!X20+September!X20+October!X20+November!X20+December!X20)</f>
        <v/>
      </c>
      <c r="F18" s="24" t="str">
        <f aca="false">IF(B18="","",January!Y20+February!Y20+March!Y20+April!Y20+May!Y20+June!Y20+July!Y20+August!Y20+September!Y20+October!Y20+November!Y20+December!Y20)</f>
        <v/>
      </c>
      <c r="G18" s="24" t="str">
        <f aca="false">IF(B18="","",E18+F18)</f>
        <v/>
      </c>
      <c r="H18" s="8" t="str">
        <f aca="false">IF(B18="","",IF(COUNTIF(ProjNames,B18)&gt;1,"Duplicate name!",IF(OR(C18="",D18=""),"Add number and code","✓")))</f>
        <v/>
      </c>
      <c r="I18" s="1" t="n">
        <f aca="false">IF(N(G18)&gt;0,G18+(205-ROW())/10^6,0)</f>
        <v>0</v>
      </c>
    </row>
    <row r="19" customFormat="false" ht="15" hidden="false" customHeight="false" outlineLevel="0" collapsed="false">
      <c r="A19" s="1"/>
      <c r="B19" s="11"/>
      <c r="C19" s="11"/>
      <c r="D19" s="11"/>
      <c r="E19" s="24" t="str">
        <f aca="false">IF(B19="","",January!X21+February!X21+March!X21+April!X21+May!X21+June!X21+July!X21+August!X21+September!X21+October!X21+November!X21+December!X21)</f>
        <v/>
      </c>
      <c r="F19" s="24" t="str">
        <f aca="false">IF(B19="","",January!Y21+February!Y21+March!Y21+April!Y21+May!Y21+June!Y21+July!Y21+August!Y21+September!Y21+October!Y21+November!Y21+December!Y21)</f>
        <v/>
      </c>
      <c r="G19" s="24" t="str">
        <f aca="false">IF(B19="","",E19+F19)</f>
        <v/>
      </c>
      <c r="H19" s="8" t="str">
        <f aca="false">IF(B19="","",IF(COUNTIF(ProjNames,B19)&gt;1,"Duplicate name!",IF(OR(C19="",D19=""),"Add number and code","✓")))</f>
        <v/>
      </c>
      <c r="I19" s="1" t="n">
        <f aca="false">IF(N(G19)&gt;0,G19+(205-ROW())/10^6,0)</f>
        <v>0</v>
      </c>
    </row>
    <row r="20" customFormat="false" ht="15" hidden="false" customHeight="false" outlineLevel="0" collapsed="false">
      <c r="A20" s="1"/>
      <c r="B20" s="11"/>
      <c r="C20" s="11"/>
      <c r="D20" s="11"/>
      <c r="E20" s="24" t="str">
        <f aca="false">IF(B20="","",January!X22+February!X22+March!X22+April!X22+May!X22+June!X22+July!X22+August!X22+September!X22+October!X22+November!X22+December!X22)</f>
        <v/>
      </c>
      <c r="F20" s="24" t="str">
        <f aca="false">IF(B20="","",January!Y22+February!Y22+March!Y22+April!Y22+May!Y22+June!Y22+July!Y22+August!Y22+September!Y22+October!Y22+November!Y22+December!Y22)</f>
        <v/>
      </c>
      <c r="G20" s="24" t="str">
        <f aca="false">IF(B20="","",E20+F20)</f>
        <v/>
      </c>
      <c r="H20" s="8" t="str">
        <f aca="false">IF(B20="","",IF(COUNTIF(ProjNames,B20)&gt;1,"Duplicate name!",IF(OR(C20="",D20=""),"Add number and code","✓")))</f>
        <v/>
      </c>
      <c r="I20" s="1" t="n">
        <f aca="false">IF(N(G20)&gt;0,G20+(205-ROW())/10^6,0)</f>
        <v>0</v>
      </c>
    </row>
    <row r="21" customFormat="false" ht="15" hidden="false" customHeight="false" outlineLevel="0" collapsed="false">
      <c r="A21" s="1"/>
      <c r="B21" s="11"/>
      <c r="C21" s="11"/>
      <c r="D21" s="11"/>
      <c r="E21" s="24" t="str">
        <f aca="false">IF(B21="","",January!X23+February!X23+March!X23+April!X23+May!X23+June!X23+July!X23+August!X23+September!X23+October!X23+November!X23+December!X23)</f>
        <v/>
      </c>
      <c r="F21" s="24" t="str">
        <f aca="false">IF(B21="","",January!Y23+February!Y23+March!Y23+April!Y23+May!Y23+June!Y23+July!Y23+August!Y23+September!Y23+October!Y23+November!Y23+December!Y23)</f>
        <v/>
      </c>
      <c r="G21" s="24" t="str">
        <f aca="false">IF(B21="","",E21+F21)</f>
        <v/>
      </c>
      <c r="H21" s="8" t="str">
        <f aca="false">IF(B21="","",IF(COUNTIF(ProjNames,B21)&gt;1,"Duplicate name!",IF(OR(C21="",D21=""),"Add number and code","✓")))</f>
        <v/>
      </c>
      <c r="I21" s="1" t="n">
        <f aca="false">IF(N(G21)&gt;0,G21+(205-ROW())/10^6,0)</f>
        <v>0</v>
      </c>
    </row>
    <row r="22" customFormat="false" ht="15" hidden="false" customHeight="false" outlineLevel="0" collapsed="false">
      <c r="A22" s="1"/>
      <c r="B22" s="11"/>
      <c r="C22" s="11"/>
      <c r="D22" s="11"/>
      <c r="E22" s="24" t="str">
        <f aca="false">IF(B22="","",January!X24+February!X24+March!X24+April!X24+May!X24+June!X24+July!X24+August!X24+September!X24+October!X24+November!X24+December!X24)</f>
        <v/>
      </c>
      <c r="F22" s="24" t="str">
        <f aca="false">IF(B22="","",January!Y24+February!Y24+March!Y24+April!Y24+May!Y24+June!Y24+July!Y24+August!Y24+September!Y24+October!Y24+November!Y24+December!Y24)</f>
        <v/>
      </c>
      <c r="G22" s="24" t="str">
        <f aca="false">IF(B22="","",E22+F22)</f>
        <v/>
      </c>
      <c r="H22" s="8" t="str">
        <f aca="false">IF(B22="","",IF(COUNTIF(ProjNames,B22)&gt;1,"Duplicate name!",IF(OR(C22="",D22=""),"Add number and code","✓")))</f>
        <v/>
      </c>
      <c r="I22" s="1" t="n">
        <f aca="false">IF(N(G22)&gt;0,G22+(205-ROW())/10^6,0)</f>
        <v>0</v>
      </c>
    </row>
    <row r="23" customFormat="false" ht="15" hidden="false" customHeight="false" outlineLevel="0" collapsed="false">
      <c r="A23" s="1"/>
      <c r="B23" s="11"/>
      <c r="C23" s="11"/>
      <c r="D23" s="11"/>
      <c r="E23" s="24" t="str">
        <f aca="false">IF(B23="","",January!X25+February!X25+March!X25+April!X25+May!X25+June!X25+July!X25+August!X25+September!X25+October!X25+November!X25+December!X25)</f>
        <v/>
      </c>
      <c r="F23" s="24" t="str">
        <f aca="false">IF(B23="","",January!Y25+February!Y25+March!Y25+April!Y25+May!Y25+June!Y25+July!Y25+August!Y25+September!Y25+October!Y25+November!Y25+December!Y25)</f>
        <v/>
      </c>
      <c r="G23" s="24" t="str">
        <f aca="false">IF(B23="","",E23+F23)</f>
        <v/>
      </c>
      <c r="H23" s="8" t="str">
        <f aca="false">IF(B23="","",IF(COUNTIF(ProjNames,B23)&gt;1,"Duplicate name!",IF(OR(C23="",D23=""),"Add number and code","✓")))</f>
        <v/>
      </c>
      <c r="I23" s="1" t="n">
        <f aca="false">IF(N(G23)&gt;0,G23+(205-ROW())/10^6,0)</f>
        <v>0</v>
      </c>
    </row>
    <row r="24" customFormat="false" ht="15" hidden="false" customHeight="false" outlineLevel="0" collapsed="false">
      <c r="A24" s="1"/>
      <c r="B24" s="11"/>
      <c r="C24" s="11"/>
      <c r="D24" s="11"/>
      <c r="E24" s="24" t="str">
        <f aca="false">IF(B24="","",January!X26+February!X26+March!X26+April!X26+May!X26+June!X26+July!X26+August!X26+September!X26+October!X26+November!X26+December!X26)</f>
        <v/>
      </c>
      <c r="F24" s="24" t="str">
        <f aca="false">IF(B24="","",January!Y26+February!Y26+March!Y26+April!Y26+May!Y26+June!Y26+July!Y26+August!Y26+September!Y26+October!Y26+November!Y26+December!Y26)</f>
        <v/>
      </c>
      <c r="G24" s="24" t="str">
        <f aca="false">IF(B24="","",E24+F24)</f>
        <v/>
      </c>
      <c r="H24" s="8" t="str">
        <f aca="false">IF(B24="","",IF(COUNTIF(ProjNames,B24)&gt;1,"Duplicate name!",IF(OR(C24="",D24=""),"Add number and code","✓")))</f>
        <v/>
      </c>
      <c r="I24" s="1" t="n">
        <f aca="false">IF(N(G24)&gt;0,G24+(205-ROW())/10^6,0)</f>
        <v>0</v>
      </c>
    </row>
    <row r="25" customFormat="false" ht="15" hidden="false" customHeight="false" outlineLevel="0" collapsed="false">
      <c r="A25" s="1"/>
      <c r="B25" s="11"/>
      <c r="C25" s="11"/>
      <c r="D25" s="11"/>
      <c r="E25" s="24" t="str">
        <f aca="false">IF(B25="","",January!X27+February!X27+March!X27+April!X27+May!X27+June!X27+July!X27+August!X27+September!X27+October!X27+November!X27+December!X27)</f>
        <v/>
      </c>
      <c r="F25" s="24" t="str">
        <f aca="false">IF(B25="","",January!Y27+February!Y27+March!Y27+April!Y27+May!Y27+June!Y27+July!Y27+August!Y27+September!Y27+October!Y27+November!Y27+December!Y27)</f>
        <v/>
      </c>
      <c r="G25" s="24" t="str">
        <f aca="false">IF(B25="","",E25+F25)</f>
        <v/>
      </c>
      <c r="H25" s="8" t="str">
        <f aca="false">IF(B25="","",IF(COUNTIF(ProjNames,B25)&gt;1,"Duplicate name!",IF(OR(C25="",D25=""),"Add number and code","✓")))</f>
        <v/>
      </c>
      <c r="I25" s="1" t="n">
        <f aca="false">IF(N(G25)&gt;0,G25+(205-ROW())/10^6,0)</f>
        <v>0</v>
      </c>
    </row>
    <row r="26" customFormat="false" ht="15" hidden="false" customHeight="false" outlineLevel="0" collapsed="false">
      <c r="A26" s="1"/>
      <c r="B26" s="11"/>
      <c r="C26" s="11"/>
      <c r="D26" s="11"/>
      <c r="E26" s="24" t="str">
        <f aca="false">IF(B26="","",January!X28+February!X28+March!X28+April!X28+May!X28+June!X28+July!X28+August!X28+September!X28+October!X28+November!X28+December!X28)</f>
        <v/>
      </c>
      <c r="F26" s="24" t="str">
        <f aca="false">IF(B26="","",January!Y28+February!Y28+March!Y28+April!Y28+May!Y28+June!Y28+July!Y28+August!Y28+September!Y28+October!Y28+November!Y28+December!Y28)</f>
        <v/>
      </c>
      <c r="G26" s="24" t="str">
        <f aca="false">IF(B26="","",E26+F26)</f>
        <v/>
      </c>
      <c r="H26" s="8" t="str">
        <f aca="false">IF(B26="","",IF(COUNTIF(ProjNames,B26)&gt;1,"Duplicate name!",IF(OR(C26="",D26=""),"Add number and code","✓")))</f>
        <v/>
      </c>
      <c r="I26" s="1" t="n">
        <f aca="false">IF(N(G26)&gt;0,G26+(205-ROW())/10^6,0)</f>
        <v>0</v>
      </c>
    </row>
    <row r="27" customFormat="false" ht="15" hidden="false" customHeight="false" outlineLevel="0" collapsed="false">
      <c r="A27" s="1"/>
      <c r="B27" s="11"/>
      <c r="C27" s="11"/>
      <c r="D27" s="11"/>
      <c r="E27" s="24" t="str">
        <f aca="false">IF(B27="","",January!X29+February!X29+March!X29+April!X29+May!X29+June!X29+July!X29+August!X29+September!X29+October!X29+November!X29+December!X29)</f>
        <v/>
      </c>
      <c r="F27" s="24" t="str">
        <f aca="false">IF(B27="","",January!Y29+February!Y29+March!Y29+April!Y29+May!Y29+June!Y29+July!Y29+August!Y29+September!Y29+October!Y29+November!Y29+December!Y29)</f>
        <v/>
      </c>
      <c r="G27" s="24" t="str">
        <f aca="false">IF(B27="","",E27+F27)</f>
        <v/>
      </c>
      <c r="H27" s="8" t="str">
        <f aca="false">IF(B27="","",IF(COUNTIF(ProjNames,B27)&gt;1,"Duplicate name!",IF(OR(C27="",D27=""),"Add number and code","✓")))</f>
        <v/>
      </c>
      <c r="I27" s="1" t="n">
        <f aca="false">IF(N(G27)&gt;0,G27+(205-ROW())/10^6,0)</f>
        <v>0</v>
      </c>
    </row>
    <row r="28" customFormat="false" ht="15" hidden="false" customHeight="false" outlineLevel="0" collapsed="false">
      <c r="A28" s="1"/>
      <c r="B28" s="11"/>
      <c r="C28" s="11"/>
      <c r="D28" s="11"/>
      <c r="E28" s="24" t="str">
        <f aca="false">IF(B28="","",January!X30+February!X30+March!X30+April!X30+May!X30+June!X30+July!X30+August!X30+September!X30+October!X30+November!X30+December!X30)</f>
        <v/>
      </c>
      <c r="F28" s="24" t="str">
        <f aca="false">IF(B28="","",January!Y30+February!Y30+March!Y30+April!Y30+May!Y30+June!Y30+July!Y30+August!Y30+September!Y30+October!Y30+November!Y30+December!Y30)</f>
        <v/>
      </c>
      <c r="G28" s="24" t="str">
        <f aca="false">IF(B28="","",E28+F28)</f>
        <v/>
      </c>
      <c r="H28" s="8" t="str">
        <f aca="false">IF(B28="","",IF(COUNTIF(ProjNames,B28)&gt;1,"Duplicate name!",IF(OR(C28="",D28=""),"Add number and code","✓")))</f>
        <v/>
      </c>
      <c r="I28" s="1" t="n">
        <f aca="false">IF(N(G28)&gt;0,G28+(205-ROW())/10^6,0)</f>
        <v>0</v>
      </c>
    </row>
    <row r="29" customFormat="false" ht="15" hidden="false" customHeight="false" outlineLevel="0" collapsed="false">
      <c r="A29" s="1"/>
      <c r="B29" s="11"/>
      <c r="C29" s="11"/>
      <c r="D29" s="11"/>
      <c r="E29" s="24" t="str">
        <f aca="false">IF(B29="","",January!X31+February!X31+March!X31+April!X31+May!X31+June!X31+July!X31+August!X31+September!X31+October!X31+November!X31+December!X31)</f>
        <v/>
      </c>
      <c r="F29" s="24" t="str">
        <f aca="false">IF(B29="","",January!Y31+February!Y31+March!Y31+April!Y31+May!Y31+June!Y31+July!Y31+August!Y31+September!Y31+October!Y31+November!Y31+December!Y31)</f>
        <v/>
      </c>
      <c r="G29" s="24" t="str">
        <f aca="false">IF(B29="","",E29+F29)</f>
        <v/>
      </c>
      <c r="H29" s="8" t="str">
        <f aca="false">IF(B29="","",IF(COUNTIF(ProjNames,B29)&gt;1,"Duplicate name!",IF(OR(C29="",D29=""),"Add number and code","✓")))</f>
        <v/>
      </c>
      <c r="I29" s="1" t="n">
        <f aca="false">IF(N(G29)&gt;0,G29+(205-ROW())/10^6,0)</f>
        <v>0</v>
      </c>
    </row>
    <row r="30" customFormat="false" ht="15" hidden="false" customHeight="false" outlineLevel="0" collapsed="false">
      <c r="A30" s="1"/>
      <c r="B30" s="11"/>
      <c r="C30" s="11"/>
      <c r="D30" s="11"/>
      <c r="E30" s="24" t="str">
        <f aca="false">IF(B30="","",January!X32+February!X32+March!X32+April!X32+May!X32+June!X32+July!X32+August!X32+September!X32+October!X32+November!X32+December!X32)</f>
        <v/>
      </c>
      <c r="F30" s="24" t="str">
        <f aca="false">IF(B30="","",January!Y32+February!Y32+March!Y32+April!Y32+May!Y32+June!Y32+July!Y32+August!Y32+September!Y32+October!Y32+November!Y32+December!Y32)</f>
        <v/>
      </c>
      <c r="G30" s="24" t="str">
        <f aca="false">IF(B30="","",E30+F30)</f>
        <v/>
      </c>
      <c r="H30" s="8" t="str">
        <f aca="false">IF(B30="","",IF(COUNTIF(ProjNames,B30)&gt;1,"Duplicate name!",IF(OR(C30="",D30=""),"Add number and code","✓")))</f>
        <v/>
      </c>
      <c r="I30" s="1" t="n">
        <f aca="false">IF(N(G30)&gt;0,G30+(205-ROW())/10^6,0)</f>
        <v>0</v>
      </c>
    </row>
    <row r="31" customFormat="false" ht="15" hidden="false" customHeight="false" outlineLevel="0" collapsed="false">
      <c r="A31" s="1"/>
      <c r="B31" s="11"/>
      <c r="C31" s="11"/>
      <c r="D31" s="11"/>
      <c r="E31" s="24" t="str">
        <f aca="false">IF(B31="","",January!X33+February!X33+March!X33+April!X33+May!X33+June!X33+July!X33+August!X33+September!X33+October!X33+November!X33+December!X33)</f>
        <v/>
      </c>
      <c r="F31" s="24" t="str">
        <f aca="false">IF(B31="","",January!Y33+February!Y33+March!Y33+April!Y33+May!Y33+June!Y33+July!Y33+August!Y33+September!Y33+October!Y33+November!Y33+December!Y33)</f>
        <v/>
      </c>
      <c r="G31" s="24" t="str">
        <f aca="false">IF(B31="","",E31+F31)</f>
        <v/>
      </c>
      <c r="H31" s="8" t="str">
        <f aca="false">IF(B31="","",IF(COUNTIF(ProjNames,B31)&gt;1,"Duplicate name!",IF(OR(C31="",D31=""),"Add number and code","✓")))</f>
        <v/>
      </c>
      <c r="I31" s="1" t="n">
        <f aca="false">IF(N(G31)&gt;0,G31+(205-ROW())/10^6,0)</f>
        <v>0</v>
      </c>
    </row>
    <row r="32" customFormat="false" ht="15" hidden="false" customHeight="false" outlineLevel="0" collapsed="false">
      <c r="A32" s="1"/>
      <c r="B32" s="11"/>
      <c r="C32" s="11"/>
      <c r="D32" s="11"/>
      <c r="E32" s="24" t="str">
        <f aca="false">IF(B32="","",January!X34+February!X34+March!X34+April!X34+May!X34+June!X34+July!X34+August!X34+September!X34+October!X34+November!X34+December!X34)</f>
        <v/>
      </c>
      <c r="F32" s="24" t="str">
        <f aca="false">IF(B32="","",January!Y34+February!Y34+March!Y34+April!Y34+May!Y34+June!Y34+July!Y34+August!Y34+September!Y34+October!Y34+November!Y34+December!Y34)</f>
        <v/>
      </c>
      <c r="G32" s="24" t="str">
        <f aca="false">IF(B32="","",E32+F32)</f>
        <v/>
      </c>
      <c r="H32" s="8" t="str">
        <f aca="false">IF(B32="","",IF(COUNTIF(ProjNames,B32)&gt;1,"Duplicate name!",IF(OR(C32="",D32=""),"Add number and code","✓")))</f>
        <v/>
      </c>
      <c r="I32" s="1" t="n">
        <f aca="false">IF(N(G32)&gt;0,G32+(205-ROW())/10^6,0)</f>
        <v>0</v>
      </c>
    </row>
    <row r="33" customFormat="false" ht="15" hidden="false" customHeight="false" outlineLevel="0" collapsed="false">
      <c r="A33" s="1"/>
      <c r="B33" s="11"/>
      <c r="C33" s="11"/>
      <c r="D33" s="11"/>
      <c r="E33" s="24" t="str">
        <f aca="false">IF(B33="","",January!X35+February!X35+March!X35+April!X35+May!X35+June!X35+July!X35+August!X35+September!X35+October!X35+November!X35+December!X35)</f>
        <v/>
      </c>
      <c r="F33" s="24" t="str">
        <f aca="false">IF(B33="","",January!Y35+February!Y35+March!Y35+April!Y35+May!Y35+June!Y35+July!Y35+August!Y35+September!Y35+October!Y35+November!Y35+December!Y35)</f>
        <v/>
      </c>
      <c r="G33" s="24" t="str">
        <f aca="false">IF(B33="","",E33+F33)</f>
        <v/>
      </c>
      <c r="H33" s="8" t="str">
        <f aca="false">IF(B33="","",IF(COUNTIF(ProjNames,B33)&gt;1,"Duplicate name!",IF(OR(C33="",D33=""),"Add number and code","✓")))</f>
        <v/>
      </c>
      <c r="I33" s="1" t="n">
        <f aca="false">IF(N(G33)&gt;0,G33+(205-ROW())/10^6,0)</f>
        <v>0</v>
      </c>
    </row>
    <row r="34" customFormat="false" ht="15" hidden="false" customHeight="false" outlineLevel="0" collapsed="false">
      <c r="A34" s="1"/>
      <c r="B34" s="11"/>
      <c r="C34" s="11"/>
      <c r="D34" s="11"/>
      <c r="E34" s="24" t="str">
        <f aca="false">IF(B34="","",January!X36+February!X36+March!X36+April!X36+May!X36+June!X36+July!X36+August!X36+September!X36+October!X36+November!X36+December!X36)</f>
        <v/>
      </c>
      <c r="F34" s="24" t="str">
        <f aca="false">IF(B34="","",January!Y36+February!Y36+March!Y36+April!Y36+May!Y36+June!Y36+July!Y36+August!Y36+September!Y36+October!Y36+November!Y36+December!Y36)</f>
        <v/>
      </c>
      <c r="G34" s="24" t="str">
        <f aca="false">IF(B34="","",E34+F34)</f>
        <v/>
      </c>
      <c r="H34" s="8" t="str">
        <f aca="false">IF(B34="","",IF(COUNTIF(ProjNames,B34)&gt;1,"Duplicate name!",IF(OR(C34="",D34=""),"Add number and code","✓")))</f>
        <v/>
      </c>
      <c r="I34" s="1" t="n">
        <f aca="false">IF(N(G34)&gt;0,G34+(205-ROW())/10^6,0)</f>
        <v>0</v>
      </c>
    </row>
    <row r="35" customFormat="false" ht="15" hidden="false" customHeight="false" outlineLevel="0" collapsed="false">
      <c r="A35" s="1"/>
      <c r="B35" s="11"/>
      <c r="C35" s="11"/>
      <c r="D35" s="11"/>
      <c r="E35" s="24" t="str">
        <f aca="false">IF(B35="","",January!X37+February!X37+March!X37+April!X37+May!X37+June!X37+July!X37+August!X37+September!X37+October!X37+November!X37+December!X37)</f>
        <v/>
      </c>
      <c r="F35" s="24" t="str">
        <f aca="false">IF(B35="","",January!Y37+February!Y37+March!Y37+April!Y37+May!Y37+June!Y37+July!Y37+August!Y37+September!Y37+October!Y37+November!Y37+December!Y37)</f>
        <v/>
      </c>
      <c r="G35" s="24" t="str">
        <f aca="false">IF(B35="","",E35+F35)</f>
        <v/>
      </c>
      <c r="H35" s="8" t="str">
        <f aca="false">IF(B35="","",IF(COUNTIF(ProjNames,B35)&gt;1,"Duplicate name!",IF(OR(C35="",D35=""),"Add number and code","✓")))</f>
        <v/>
      </c>
      <c r="I35" s="1" t="n">
        <f aca="false">IF(N(G35)&gt;0,G35+(205-ROW())/10^6,0)</f>
        <v>0</v>
      </c>
    </row>
    <row r="36" customFormat="false" ht="15" hidden="false" customHeight="false" outlineLevel="0" collapsed="false">
      <c r="A36" s="1"/>
      <c r="B36" s="11"/>
      <c r="C36" s="11"/>
      <c r="D36" s="11"/>
      <c r="E36" s="24" t="str">
        <f aca="false">IF(B36="","",January!X38+February!X38+March!X38+April!X38+May!X38+June!X38+July!X38+August!X38+September!X38+October!X38+November!X38+December!X38)</f>
        <v/>
      </c>
      <c r="F36" s="24" t="str">
        <f aca="false">IF(B36="","",January!Y38+February!Y38+March!Y38+April!Y38+May!Y38+June!Y38+July!Y38+August!Y38+September!Y38+October!Y38+November!Y38+December!Y38)</f>
        <v/>
      </c>
      <c r="G36" s="24" t="str">
        <f aca="false">IF(B36="","",E36+F36)</f>
        <v/>
      </c>
      <c r="H36" s="8" t="str">
        <f aca="false">IF(B36="","",IF(COUNTIF(ProjNames,B36)&gt;1,"Duplicate name!",IF(OR(C36="",D36=""),"Add number and code","✓")))</f>
        <v/>
      </c>
      <c r="I36" s="1" t="n">
        <f aca="false">IF(N(G36)&gt;0,G36+(205-ROW())/10^6,0)</f>
        <v>0</v>
      </c>
    </row>
    <row r="37" customFormat="false" ht="15" hidden="false" customHeight="false" outlineLevel="0" collapsed="false">
      <c r="A37" s="1"/>
      <c r="B37" s="11"/>
      <c r="C37" s="11"/>
      <c r="D37" s="11"/>
      <c r="E37" s="24" t="str">
        <f aca="false">IF(B37="","",January!X39+February!X39+March!X39+April!X39+May!X39+June!X39+July!X39+August!X39+September!X39+October!X39+November!X39+December!X39)</f>
        <v/>
      </c>
      <c r="F37" s="24" t="str">
        <f aca="false">IF(B37="","",January!Y39+February!Y39+March!Y39+April!Y39+May!Y39+June!Y39+July!Y39+August!Y39+September!Y39+October!Y39+November!Y39+December!Y39)</f>
        <v/>
      </c>
      <c r="G37" s="24" t="str">
        <f aca="false">IF(B37="","",E37+F37)</f>
        <v/>
      </c>
      <c r="H37" s="8" t="str">
        <f aca="false">IF(B37="","",IF(COUNTIF(ProjNames,B37)&gt;1,"Duplicate name!",IF(OR(C37="",D37=""),"Add number and code","✓")))</f>
        <v/>
      </c>
      <c r="I37" s="1" t="n">
        <f aca="false">IF(N(G37)&gt;0,G37+(205-ROW())/10^6,0)</f>
        <v>0</v>
      </c>
    </row>
    <row r="38" customFormat="false" ht="15" hidden="false" customHeight="false" outlineLevel="0" collapsed="false">
      <c r="A38" s="1"/>
      <c r="B38" s="11"/>
      <c r="C38" s="11"/>
      <c r="D38" s="11"/>
      <c r="E38" s="24" t="str">
        <f aca="false">IF(B38="","",January!X40+February!X40+March!X40+April!X40+May!X40+June!X40+July!X40+August!X40+September!X40+October!X40+November!X40+December!X40)</f>
        <v/>
      </c>
      <c r="F38" s="24" t="str">
        <f aca="false">IF(B38="","",January!Y40+February!Y40+March!Y40+April!Y40+May!Y40+June!Y40+July!Y40+August!Y40+September!Y40+October!Y40+November!Y40+December!Y40)</f>
        <v/>
      </c>
      <c r="G38" s="24" t="str">
        <f aca="false">IF(B38="","",E38+F38)</f>
        <v/>
      </c>
      <c r="H38" s="8" t="str">
        <f aca="false">IF(B38="","",IF(COUNTIF(ProjNames,B38)&gt;1,"Duplicate name!",IF(OR(C38="",D38=""),"Add number and code","✓")))</f>
        <v/>
      </c>
      <c r="I38" s="1" t="n">
        <f aca="false">IF(N(G38)&gt;0,G38+(205-ROW())/10^6,0)</f>
        <v>0</v>
      </c>
    </row>
    <row r="39" customFormat="false" ht="15" hidden="false" customHeight="false" outlineLevel="0" collapsed="false">
      <c r="A39" s="1"/>
      <c r="B39" s="11"/>
      <c r="C39" s="11"/>
      <c r="D39" s="11"/>
      <c r="E39" s="24" t="str">
        <f aca="false">IF(B39="","",January!X41+February!X41+March!X41+April!X41+May!X41+June!X41+July!X41+August!X41+September!X41+October!X41+November!X41+December!X41)</f>
        <v/>
      </c>
      <c r="F39" s="24" t="str">
        <f aca="false">IF(B39="","",January!Y41+February!Y41+March!Y41+April!Y41+May!Y41+June!Y41+July!Y41+August!Y41+September!Y41+October!Y41+November!Y41+December!Y41)</f>
        <v/>
      </c>
      <c r="G39" s="24" t="str">
        <f aca="false">IF(B39="","",E39+F39)</f>
        <v/>
      </c>
      <c r="H39" s="8" t="str">
        <f aca="false">IF(B39="","",IF(COUNTIF(ProjNames,B39)&gt;1,"Duplicate name!",IF(OR(C39="",D39=""),"Add number and code","✓")))</f>
        <v/>
      </c>
      <c r="I39" s="1" t="n">
        <f aca="false">IF(N(G39)&gt;0,G39+(205-ROW())/10^6,0)</f>
        <v>0</v>
      </c>
    </row>
    <row r="40" customFormat="false" ht="15" hidden="false" customHeight="false" outlineLevel="0" collapsed="false">
      <c r="A40" s="1"/>
      <c r="B40" s="11"/>
      <c r="C40" s="11"/>
      <c r="D40" s="11"/>
      <c r="E40" s="24" t="str">
        <f aca="false">IF(B40="","",January!X42+February!X42+March!X42+April!X42+May!X42+June!X42+July!X42+August!X42+September!X42+October!X42+November!X42+December!X42)</f>
        <v/>
      </c>
      <c r="F40" s="24" t="str">
        <f aca="false">IF(B40="","",January!Y42+February!Y42+March!Y42+April!Y42+May!Y42+June!Y42+July!Y42+August!Y42+September!Y42+October!Y42+November!Y42+December!Y42)</f>
        <v/>
      </c>
      <c r="G40" s="24" t="str">
        <f aca="false">IF(B40="","",E40+F40)</f>
        <v/>
      </c>
      <c r="H40" s="8" t="str">
        <f aca="false">IF(B40="","",IF(COUNTIF(ProjNames,B40)&gt;1,"Duplicate name!",IF(OR(C40="",D40=""),"Add number and code","✓")))</f>
        <v/>
      </c>
      <c r="I40" s="1" t="n">
        <f aca="false">IF(N(G40)&gt;0,G40+(205-ROW())/10^6,0)</f>
        <v>0</v>
      </c>
    </row>
    <row r="41" customFormat="false" ht="15" hidden="false" customHeight="false" outlineLevel="0" collapsed="false">
      <c r="A41" s="1"/>
      <c r="B41" s="11"/>
      <c r="C41" s="11"/>
      <c r="D41" s="11"/>
      <c r="E41" s="24" t="str">
        <f aca="false">IF(B41="","",January!X43+February!X43+March!X43+April!X43+May!X43+June!X43+July!X43+August!X43+September!X43+October!X43+November!X43+December!X43)</f>
        <v/>
      </c>
      <c r="F41" s="24" t="str">
        <f aca="false">IF(B41="","",January!Y43+February!Y43+March!Y43+April!Y43+May!Y43+June!Y43+July!Y43+August!Y43+September!Y43+October!Y43+November!Y43+December!Y43)</f>
        <v/>
      </c>
      <c r="G41" s="24" t="str">
        <f aca="false">IF(B41="","",E41+F41)</f>
        <v/>
      </c>
      <c r="H41" s="8" t="str">
        <f aca="false">IF(B41="","",IF(COUNTIF(ProjNames,B41)&gt;1,"Duplicate name!",IF(OR(C41="",D41=""),"Add number and code","✓")))</f>
        <v/>
      </c>
      <c r="I41" s="1" t="n">
        <f aca="false">IF(N(G41)&gt;0,G41+(205-ROW())/10^6,0)</f>
        <v>0</v>
      </c>
    </row>
    <row r="42" customFormat="false" ht="15" hidden="false" customHeight="false" outlineLevel="0" collapsed="false">
      <c r="A42" s="1"/>
      <c r="B42" s="11"/>
      <c r="C42" s="11"/>
      <c r="D42" s="11"/>
      <c r="E42" s="24" t="str">
        <f aca="false">IF(B42="","",January!X44+February!X44+March!X44+April!X44+May!X44+June!X44+July!X44+August!X44+September!X44+October!X44+November!X44+December!X44)</f>
        <v/>
      </c>
      <c r="F42" s="24" t="str">
        <f aca="false">IF(B42="","",January!Y44+February!Y44+March!Y44+April!Y44+May!Y44+June!Y44+July!Y44+August!Y44+September!Y44+October!Y44+November!Y44+December!Y44)</f>
        <v/>
      </c>
      <c r="G42" s="24" t="str">
        <f aca="false">IF(B42="","",E42+F42)</f>
        <v/>
      </c>
      <c r="H42" s="8" t="str">
        <f aca="false">IF(B42="","",IF(COUNTIF(ProjNames,B42)&gt;1,"Duplicate name!",IF(OR(C42="",D42=""),"Add number and code","✓")))</f>
        <v/>
      </c>
      <c r="I42" s="1" t="n">
        <f aca="false">IF(N(G42)&gt;0,G42+(205-ROW())/10^6,0)</f>
        <v>0</v>
      </c>
    </row>
    <row r="43" customFormat="false" ht="15" hidden="false" customHeight="false" outlineLevel="0" collapsed="false">
      <c r="A43" s="1"/>
      <c r="B43" s="11"/>
      <c r="C43" s="11"/>
      <c r="D43" s="11"/>
      <c r="E43" s="24" t="str">
        <f aca="false">IF(B43="","",January!X45+February!X45+March!X45+April!X45+May!X45+June!X45+July!X45+August!X45+September!X45+October!X45+November!X45+December!X45)</f>
        <v/>
      </c>
      <c r="F43" s="24" t="str">
        <f aca="false">IF(B43="","",January!Y45+February!Y45+March!Y45+April!Y45+May!Y45+June!Y45+July!Y45+August!Y45+September!Y45+October!Y45+November!Y45+December!Y45)</f>
        <v/>
      </c>
      <c r="G43" s="24" t="str">
        <f aca="false">IF(B43="","",E43+F43)</f>
        <v/>
      </c>
      <c r="H43" s="8" t="str">
        <f aca="false">IF(B43="","",IF(COUNTIF(ProjNames,B43)&gt;1,"Duplicate name!",IF(OR(C43="",D43=""),"Add number and code","✓")))</f>
        <v/>
      </c>
      <c r="I43" s="1" t="n">
        <f aca="false">IF(N(G43)&gt;0,G43+(205-ROW())/10^6,0)</f>
        <v>0</v>
      </c>
    </row>
    <row r="44" customFormat="false" ht="15" hidden="false" customHeight="false" outlineLevel="0" collapsed="false">
      <c r="A44" s="1"/>
      <c r="B44" s="11"/>
      <c r="C44" s="11"/>
      <c r="D44" s="11"/>
      <c r="E44" s="24" t="str">
        <f aca="false">IF(B44="","",January!X46+February!X46+March!X46+April!X46+May!X46+June!X46+July!X46+August!X46+September!X46+October!X46+November!X46+December!X46)</f>
        <v/>
      </c>
      <c r="F44" s="24" t="str">
        <f aca="false">IF(B44="","",January!Y46+February!Y46+March!Y46+April!Y46+May!Y46+June!Y46+July!Y46+August!Y46+September!Y46+October!Y46+November!Y46+December!Y46)</f>
        <v/>
      </c>
      <c r="G44" s="24" t="str">
        <f aca="false">IF(B44="","",E44+F44)</f>
        <v/>
      </c>
      <c r="H44" s="8" t="str">
        <f aca="false">IF(B44="","",IF(COUNTIF(ProjNames,B44)&gt;1,"Duplicate name!",IF(OR(C44="",D44=""),"Add number and code","✓")))</f>
        <v/>
      </c>
      <c r="I44" s="1" t="n">
        <f aca="false">IF(N(G44)&gt;0,G44+(205-ROW())/10^6,0)</f>
        <v>0</v>
      </c>
    </row>
    <row r="45" customFormat="false" ht="15" hidden="false" customHeight="false" outlineLevel="0" collapsed="false">
      <c r="A45" s="1"/>
      <c r="B45" s="11"/>
      <c r="C45" s="11"/>
      <c r="D45" s="11"/>
      <c r="E45" s="24" t="str">
        <f aca="false">IF(B45="","",January!X47+February!X47+March!X47+April!X47+May!X47+June!X47+July!X47+August!X47+September!X47+October!X47+November!X47+December!X47)</f>
        <v/>
      </c>
      <c r="F45" s="24" t="str">
        <f aca="false">IF(B45="","",January!Y47+February!Y47+March!Y47+April!Y47+May!Y47+June!Y47+July!Y47+August!Y47+September!Y47+October!Y47+November!Y47+December!Y47)</f>
        <v/>
      </c>
      <c r="G45" s="24" t="str">
        <f aca="false">IF(B45="","",E45+F45)</f>
        <v/>
      </c>
      <c r="H45" s="8" t="str">
        <f aca="false">IF(B45="","",IF(COUNTIF(ProjNames,B45)&gt;1,"Duplicate name!",IF(OR(C45="",D45=""),"Add number and code","✓")))</f>
        <v/>
      </c>
      <c r="I45" s="1" t="n">
        <f aca="false">IF(N(G45)&gt;0,G45+(205-ROW())/10^6,0)</f>
        <v>0</v>
      </c>
    </row>
    <row r="46" customFormat="false" ht="15" hidden="false" customHeight="false" outlineLevel="0" collapsed="false">
      <c r="A46" s="1"/>
      <c r="B46" s="11"/>
      <c r="C46" s="11"/>
      <c r="D46" s="11"/>
      <c r="E46" s="24" t="str">
        <f aca="false">IF(B46="","",January!X48+February!X48+March!X48+April!X48+May!X48+June!X48+July!X48+August!X48+September!X48+October!X48+November!X48+December!X48)</f>
        <v/>
      </c>
      <c r="F46" s="24" t="str">
        <f aca="false">IF(B46="","",January!Y48+February!Y48+March!Y48+April!Y48+May!Y48+June!Y48+July!Y48+August!Y48+September!Y48+October!Y48+November!Y48+December!Y48)</f>
        <v/>
      </c>
      <c r="G46" s="24" t="str">
        <f aca="false">IF(B46="","",E46+F46)</f>
        <v/>
      </c>
      <c r="H46" s="8" t="str">
        <f aca="false">IF(B46="","",IF(COUNTIF(ProjNames,B46)&gt;1,"Duplicate name!",IF(OR(C46="",D46=""),"Add number and code","✓")))</f>
        <v/>
      </c>
      <c r="I46" s="1" t="n">
        <f aca="false">IF(N(G46)&gt;0,G46+(205-ROW())/10^6,0)</f>
        <v>0</v>
      </c>
    </row>
    <row r="47" customFormat="false" ht="15" hidden="false" customHeight="false" outlineLevel="0" collapsed="false">
      <c r="A47" s="1"/>
      <c r="B47" s="11"/>
      <c r="C47" s="11"/>
      <c r="D47" s="11"/>
      <c r="E47" s="24" t="str">
        <f aca="false">IF(B47="","",January!X49+February!X49+March!X49+April!X49+May!X49+June!X49+July!X49+August!X49+September!X49+October!X49+November!X49+December!X49)</f>
        <v/>
      </c>
      <c r="F47" s="24" t="str">
        <f aca="false">IF(B47="","",January!Y49+February!Y49+March!Y49+April!Y49+May!Y49+June!Y49+July!Y49+August!Y49+September!Y49+October!Y49+November!Y49+December!Y49)</f>
        <v/>
      </c>
      <c r="G47" s="24" t="str">
        <f aca="false">IF(B47="","",E47+F47)</f>
        <v/>
      </c>
      <c r="H47" s="8" t="str">
        <f aca="false">IF(B47="","",IF(COUNTIF(ProjNames,B47)&gt;1,"Duplicate name!",IF(OR(C47="",D47=""),"Add number and code","✓")))</f>
        <v/>
      </c>
      <c r="I47" s="1" t="n">
        <f aca="false">IF(N(G47)&gt;0,G47+(205-ROW())/10^6,0)</f>
        <v>0</v>
      </c>
    </row>
    <row r="48" customFormat="false" ht="15" hidden="false" customHeight="false" outlineLevel="0" collapsed="false">
      <c r="A48" s="1"/>
      <c r="B48" s="11"/>
      <c r="C48" s="11"/>
      <c r="D48" s="11"/>
      <c r="E48" s="24" t="str">
        <f aca="false">IF(B48="","",January!X50+February!X50+March!X50+April!X50+May!X50+June!X50+July!X50+August!X50+September!X50+October!X50+November!X50+December!X50)</f>
        <v/>
      </c>
      <c r="F48" s="24" t="str">
        <f aca="false">IF(B48="","",January!Y50+February!Y50+March!Y50+April!Y50+May!Y50+June!Y50+July!Y50+August!Y50+September!Y50+October!Y50+November!Y50+December!Y50)</f>
        <v/>
      </c>
      <c r="G48" s="24" t="str">
        <f aca="false">IF(B48="","",E48+F48)</f>
        <v/>
      </c>
      <c r="H48" s="8" t="str">
        <f aca="false">IF(B48="","",IF(COUNTIF(ProjNames,B48)&gt;1,"Duplicate name!",IF(OR(C48="",D48=""),"Add number and code","✓")))</f>
        <v/>
      </c>
      <c r="I48" s="1" t="n">
        <f aca="false">IF(N(G48)&gt;0,G48+(205-ROW())/10^6,0)</f>
        <v>0</v>
      </c>
    </row>
    <row r="49" customFormat="false" ht="15" hidden="false" customHeight="false" outlineLevel="0" collapsed="false">
      <c r="A49" s="1"/>
      <c r="B49" s="11"/>
      <c r="C49" s="11"/>
      <c r="D49" s="11"/>
      <c r="E49" s="24" t="str">
        <f aca="false">IF(B49="","",January!X51+February!X51+March!X51+April!X51+May!X51+June!X51+July!X51+August!X51+September!X51+October!X51+November!X51+December!X51)</f>
        <v/>
      </c>
      <c r="F49" s="24" t="str">
        <f aca="false">IF(B49="","",January!Y51+February!Y51+March!Y51+April!Y51+May!Y51+June!Y51+July!Y51+August!Y51+September!Y51+October!Y51+November!Y51+December!Y51)</f>
        <v/>
      </c>
      <c r="G49" s="24" t="str">
        <f aca="false">IF(B49="","",E49+F49)</f>
        <v/>
      </c>
      <c r="H49" s="8" t="str">
        <f aca="false">IF(B49="","",IF(COUNTIF(ProjNames,B49)&gt;1,"Duplicate name!",IF(OR(C49="",D49=""),"Add number and code","✓")))</f>
        <v/>
      </c>
      <c r="I49" s="1" t="n">
        <f aca="false">IF(N(G49)&gt;0,G49+(205-ROW())/10^6,0)</f>
        <v>0</v>
      </c>
    </row>
    <row r="50" customFormat="false" ht="15" hidden="false" customHeight="false" outlineLevel="0" collapsed="false">
      <c r="A50" s="1"/>
      <c r="B50" s="11"/>
      <c r="C50" s="11"/>
      <c r="D50" s="11"/>
      <c r="E50" s="24" t="str">
        <f aca="false">IF(B50="","",January!X52+February!X52+March!X52+April!X52+May!X52+June!X52+July!X52+August!X52+September!X52+October!X52+November!X52+December!X52)</f>
        <v/>
      </c>
      <c r="F50" s="24" t="str">
        <f aca="false">IF(B50="","",January!Y52+February!Y52+March!Y52+April!Y52+May!Y52+June!Y52+July!Y52+August!Y52+September!Y52+October!Y52+November!Y52+December!Y52)</f>
        <v/>
      </c>
      <c r="G50" s="24" t="str">
        <f aca="false">IF(B50="","",E50+F50)</f>
        <v/>
      </c>
      <c r="H50" s="8" t="str">
        <f aca="false">IF(B50="","",IF(COUNTIF(ProjNames,B50)&gt;1,"Duplicate name!",IF(OR(C50="",D50=""),"Add number and code","✓")))</f>
        <v/>
      </c>
      <c r="I50" s="1" t="n">
        <f aca="false">IF(N(G50)&gt;0,G50+(205-ROW())/10^6,0)</f>
        <v>0</v>
      </c>
    </row>
    <row r="51" customFormat="false" ht="15" hidden="false" customHeight="false" outlineLevel="0" collapsed="false">
      <c r="A51" s="1"/>
      <c r="B51" s="11"/>
      <c r="C51" s="11"/>
      <c r="D51" s="11"/>
      <c r="E51" s="24" t="str">
        <f aca="false">IF(B51="","",January!X53+February!X53+March!X53+April!X53+May!X53+June!X53+July!X53+August!X53+September!X53+October!X53+November!X53+December!X53)</f>
        <v/>
      </c>
      <c r="F51" s="24" t="str">
        <f aca="false">IF(B51="","",January!Y53+February!Y53+March!Y53+April!Y53+May!Y53+June!Y53+July!Y53+August!Y53+September!Y53+October!Y53+November!Y53+December!Y53)</f>
        <v/>
      </c>
      <c r="G51" s="24" t="str">
        <f aca="false">IF(B51="","",E51+F51)</f>
        <v/>
      </c>
      <c r="H51" s="8" t="str">
        <f aca="false">IF(B51="","",IF(COUNTIF(ProjNames,B51)&gt;1,"Duplicate name!",IF(OR(C51="",D51=""),"Add number and code","✓")))</f>
        <v/>
      </c>
      <c r="I51" s="1" t="n">
        <f aca="false">IF(N(G51)&gt;0,G51+(205-ROW())/10^6,0)</f>
        <v>0</v>
      </c>
    </row>
    <row r="52" customFormat="false" ht="15" hidden="false" customHeight="false" outlineLevel="0" collapsed="false">
      <c r="A52" s="1"/>
      <c r="B52" s="11"/>
      <c r="C52" s="11"/>
      <c r="D52" s="11"/>
      <c r="E52" s="24" t="str">
        <f aca="false">IF(B52="","",January!X54+February!X54+March!X54+April!X54+May!X54+June!X54+July!X54+August!X54+September!X54+October!X54+November!X54+December!X54)</f>
        <v/>
      </c>
      <c r="F52" s="24" t="str">
        <f aca="false">IF(B52="","",January!Y54+February!Y54+March!Y54+April!Y54+May!Y54+June!Y54+July!Y54+August!Y54+September!Y54+October!Y54+November!Y54+December!Y54)</f>
        <v/>
      </c>
      <c r="G52" s="24" t="str">
        <f aca="false">IF(B52="","",E52+F52)</f>
        <v/>
      </c>
      <c r="H52" s="8" t="str">
        <f aca="false">IF(B52="","",IF(COUNTIF(ProjNames,B52)&gt;1,"Duplicate name!",IF(OR(C52="",D52=""),"Add number and code","✓")))</f>
        <v/>
      </c>
      <c r="I52" s="1" t="n">
        <f aca="false">IF(N(G52)&gt;0,G52+(205-ROW())/10^6,0)</f>
        <v>0</v>
      </c>
    </row>
    <row r="53" customFormat="false" ht="15" hidden="false" customHeight="false" outlineLevel="0" collapsed="false">
      <c r="A53" s="1"/>
      <c r="B53" s="11"/>
      <c r="C53" s="11"/>
      <c r="D53" s="11"/>
      <c r="E53" s="24" t="str">
        <f aca="false">IF(B53="","",January!X55+February!X55+March!X55+April!X55+May!X55+June!X55+July!X55+August!X55+September!X55+October!X55+November!X55+December!X55)</f>
        <v/>
      </c>
      <c r="F53" s="24" t="str">
        <f aca="false">IF(B53="","",January!Y55+February!Y55+March!Y55+April!Y55+May!Y55+June!Y55+July!Y55+August!Y55+September!Y55+October!Y55+November!Y55+December!Y55)</f>
        <v/>
      </c>
      <c r="G53" s="24" t="str">
        <f aca="false">IF(B53="","",E53+F53)</f>
        <v/>
      </c>
      <c r="H53" s="8" t="str">
        <f aca="false">IF(B53="","",IF(COUNTIF(ProjNames,B53)&gt;1,"Duplicate name!",IF(OR(C53="",D53=""),"Add number and code","✓")))</f>
        <v/>
      </c>
      <c r="I53" s="1" t="n">
        <f aca="false">IF(N(G53)&gt;0,G53+(205-ROW())/10^6,0)</f>
        <v>0</v>
      </c>
    </row>
    <row r="54" customFormat="false" ht="15" hidden="false" customHeight="false" outlineLevel="0" collapsed="false">
      <c r="A54" s="1"/>
      <c r="B54" s="11"/>
      <c r="C54" s="11"/>
      <c r="D54" s="11"/>
      <c r="E54" s="24" t="str">
        <f aca="false">IF(B54="","",January!X56+February!X56+March!X56+April!X56+May!X56+June!X56+July!X56+August!X56+September!X56+October!X56+November!X56+December!X56)</f>
        <v/>
      </c>
      <c r="F54" s="24" t="str">
        <f aca="false">IF(B54="","",January!Y56+February!Y56+March!Y56+April!Y56+May!Y56+June!Y56+July!Y56+August!Y56+September!Y56+October!Y56+November!Y56+December!Y56)</f>
        <v/>
      </c>
      <c r="G54" s="24" t="str">
        <f aca="false">IF(B54="","",E54+F54)</f>
        <v/>
      </c>
      <c r="H54" s="8" t="str">
        <f aca="false">IF(B54="","",IF(COUNTIF(ProjNames,B54)&gt;1,"Duplicate name!",IF(OR(C54="",D54=""),"Add number and code","✓")))</f>
        <v/>
      </c>
      <c r="I54" s="1" t="n">
        <f aca="false">IF(N(G54)&gt;0,G54+(205-ROW())/10^6,0)</f>
        <v>0</v>
      </c>
    </row>
    <row r="55" customFormat="false" ht="15" hidden="false" customHeight="false" outlineLevel="0" collapsed="false">
      <c r="A55" s="1"/>
      <c r="B55" s="11"/>
      <c r="C55" s="11"/>
      <c r="D55" s="11"/>
      <c r="E55" s="24" t="str">
        <f aca="false">IF(B55="","",January!X57+February!X57+March!X57+April!X57+May!X57+June!X57+July!X57+August!X57+September!X57+October!X57+November!X57+December!X57)</f>
        <v/>
      </c>
      <c r="F55" s="24" t="str">
        <f aca="false">IF(B55="","",January!Y57+February!Y57+March!Y57+April!Y57+May!Y57+June!Y57+July!Y57+August!Y57+September!Y57+October!Y57+November!Y57+December!Y57)</f>
        <v/>
      </c>
      <c r="G55" s="24" t="str">
        <f aca="false">IF(B55="","",E55+F55)</f>
        <v/>
      </c>
      <c r="H55" s="8" t="str">
        <f aca="false">IF(B55="","",IF(COUNTIF(ProjNames,B55)&gt;1,"Duplicate name!",IF(OR(C55="",D55=""),"Add number and code","✓")))</f>
        <v/>
      </c>
      <c r="I55" s="1" t="n">
        <f aca="false">IF(N(G55)&gt;0,G55+(205-ROW())/10^6,0)</f>
        <v>0</v>
      </c>
    </row>
    <row r="56" customFormat="false" ht="15" hidden="false" customHeight="false" outlineLevel="0" collapsed="false">
      <c r="A56" s="1"/>
      <c r="B56" s="11"/>
      <c r="C56" s="11"/>
      <c r="D56" s="11"/>
      <c r="E56" s="24" t="str">
        <f aca="false">IF(B56="","",January!X58+February!X58+March!X58+April!X58+May!X58+June!X58+July!X58+August!X58+September!X58+October!X58+November!X58+December!X58)</f>
        <v/>
      </c>
      <c r="F56" s="24" t="str">
        <f aca="false">IF(B56="","",January!Y58+February!Y58+March!Y58+April!Y58+May!Y58+June!Y58+July!Y58+August!Y58+September!Y58+October!Y58+November!Y58+December!Y58)</f>
        <v/>
      </c>
      <c r="G56" s="24" t="str">
        <f aca="false">IF(B56="","",E56+F56)</f>
        <v/>
      </c>
      <c r="H56" s="8" t="str">
        <f aca="false">IF(B56="","",IF(COUNTIF(ProjNames,B56)&gt;1,"Duplicate name!",IF(OR(C56="",D56=""),"Add number and code","✓")))</f>
        <v/>
      </c>
      <c r="I56" s="1" t="n">
        <f aca="false">IF(N(G56)&gt;0,G56+(205-ROW())/10^6,0)</f>
        <v>0</v>
      </c>
    </row>
    <row r="57" customFormat="false" ht="15" hidden="false" customHeight="false" outlineLevel="0" collapsed="false">
      <c r="A57" s="1"/>
      <c r="B57" s="11"/>
      <c r="C57" s="11"/>
      <c r="D57" s="11"/>
      <c r="E57" s="24" t="str">
        <f aca="false">IF(B57="","",January!X59+February!X59+March!X59+April!X59+May!X59+June!X59+July!X59+August!X59+September!X59+October!X59+November!X59+December!X59)</f>
        <v/>
      </c>
      <c r="F57" s="24" t="str">
        <f aca="false">IF(B57="","",January!Y59+February!Y59+March!Y59+April!Y59+May!Y59+June!Y59+July!Y59+August!Y59+September!Y59+October!Y59+November!Y59+December!Y59)</f>
        <v/>
      </c>
      <c r="G57" s="24" t="str">
        <f aca="false">IF(B57="","",E57+F57)</f>
        <v/>
      </c>
      <c r="H57" s="8" t="str">
        <f aca="false">IF(B57="","",IF(COUNTIF(ProjNames,B57)&gt;1,"Duplicate name!",IF(OR(C57="",D57=""),"Add number and code","✓")))</f>
        <v/>
      </c>
      <c r="I57" s="1" t="n">
        <f aca="false">IF(N(G57)&gt;0,G57+(205-ROW())/10^6,0)</f>
        <v>0</v>
      </c>
    </row>
    <row r="58" customFormat="false" ht="15" hidden="false" customHeight="false" outlineLevel="0" collapsed="false">
      <c r="A58" s="1"/>
      <c r="B58" s="11"/>
      <c r="C58" s="11"/>
      <c r="D58" s="11"/>
      <c r="E58" s="24" t="str">
        <f aca="false">IF(B58="","",January!X60+February!X60+March!X60+April!X60+May!X60+June!X60+July!X60+August!X60+September!X60+October!X60+November!X60+December!X60)</f>
        <v/>
      </c>
      <c r="F58" s="24" t="str">
        <f aca="false">IF(B58="","",January!Y60+February!Y60+March!Y60+April!Y60+May!Y60+June!Y60+July!Y60+August!Y60+September!Y60+October!Y60+November!Y60+December!Y60)</f>
        <v/>
      </c>
      <c r="G58" s="24" t="str">
        <f aca="false">IF(B58="","",E58+F58)</f>
        <v/>
      </c>
      <c r="H58" s="8" t="str">
        <f aca="false">IF(B58="","",IF(COUNTIF(ProjNames,B58)&gt;1,"Duplicate name!",IF(OR(C58="",D58=""),"Add number and code","✓")))</f>
        <v/>
      </c>
      <c r="I58" s="1" t="n">
        <f aca="false">IF(N(G58)&gt;0,G58+(205-ROW())/10^6,0)</f>
        <v>0</v>
      </c>
    </row>
    <row r="59" customFormat="false" ht="15" hidden="false" customHeight="false" outlineLevel="0" collapsed="false">
      <c r="A59" s="1"/>
      <c r="B59" s="11"/>
      <c r="C59" s="11"/>
      <c r="D59" s="11"/>
      <c r="E59" s="24" t="str">
        <f aca="false">IF(B59="","",January!X61+February!X61+March!X61+April!X61+May!X61+June!X61+July!X61+August!X61+September!X61+October!X61+November!X61+December!X61)</f>
        <v/>
      </c>
      <c r="F59" s="24" t="str">
        <f aca="false">IF(B59="","",January!Y61+February!Y61+March!Y61+April!Y61+May!Y61+June!Y61+July!Y61+August!Y61+September!Y61+October!Y61+November!Y61+December!Y61)</f>
        <v/>
      </c>
      <c r="G59" s="24" t="str">
        <f aca="false">IF(B59="","",E59+F59)</f>
        <v/>
      </c>
      <c r="H59" s="8" t="str">
        <f aca="false">IF(B59="","",IF(COUNTIF(ProjNames,B59)&gt;1,"Duplicate name!",IF(OR(C59="",D59=""),"Add number and code","✓")))</f>
        <v/>
      </c>
      <c r="I59" s="1" t="n">
        <f aca="false">IF(N(G59)&gt;0,G59+(205-ROW())/10^6,0)</f>
        <v>0</v>
      </c>
    </row>
    <row r="60" customFormat="false" ht="15" hidden="false" customHeight="false" outlineLevel="0" collapsed="false">
      <c r="A60" s="1"/>
      <c r="B60" s="11"/>
      <c r="C60" s="11"/>
      <c r="D60" s="11"/>
      <c r="E60" s="24" t="str">
        <f aca="false">IF(B60="","",January!X62+February!X62+March!X62+April!X62+May!X62+June!X62+July!X62+August!X62+September!X62+October!X62+November!X62+December!X62)</f>
        <v/>
      </c>
      <c r="F60" s="24" t="str">
        <f aca="false">IF(B60="","",January!Y62+February!Y62+March!Y62+April!Y62+May!Y62+June!Y62+July!Y62+August!Y62+September!Y62+October!Y62+November!Y62+December!Y62)</f>
        <v/>
      </c>
      <c r="G60" s="24" t="str">
        <f aca="false">IF(B60="","",E60+F60)</f>
        <v/>
      </c>
      <c r="H60" s="8" t="str">
        <f aca="false">IF(B60="","",IF(COUNTIF(ProjNames,B60)&gt;1,"Duplicate name!",IF(OR(C60="",D60=""),"Add number and code","✓")))</f>
        <v/>
      </c>
      <c r="I60" s="1" t="n">
        <f aca="false">IF(N(G60)&gt;0,G60+(205-ROW())/10^6,0)</f>
        <v>0</v>
      </c>
    </row>
    <row r="61" customFormat="false" ht="15" hidden="false" customHeight="false" outlineLevel="0" collapsed="false">
      <c r="A61" s="1"/>
      <c r="B61" s="11"/>
      <c r="C61" s="11"/>
      <c r="D61" s="11"/>
      <c r="E61" s="24" t="str">
        <f aca="false">IF(B61="","",January!X63+February!X63+March!X63+April!X63+May!X63+June!X63+July!X63+August!X63+September!X63+October!X63+November!X63+December!X63)</f>
        <v/>
      </c>
      <c r="F61" s="24" t="str">
        <f aca="false">IF(B61="","",January!Y63+February!Y63+March!Y63+April!Y63+May!Y63+June!Y63+July!Y63+August!Y63+September!Y63+October!Y63+November!Y63+December!Y63)</f>
        <v/>
      </c>
      <c r="G61" s="24" t="str">
        <f aca="false">IF(B61="","",E61+F61)</f>
        <v/>
      </c>
      <c r="H61" s="8" t="str">
        <f aca="false">IF(B61="","",IF(COUNTIF(ProjNames,B61)&gt;1,"Duplicate name!",IF(OR(C61="",D61=""),"Add number and code","✓")))</f>
        <v/>
      </c>
      <c r="I61" s="1" t="n">
        <f aca="false">IF(N(G61)&gt;0,G61+(205-ROW())/10^6,0)</f>
        <v>0</v>
      </c>
    </row>
    <row r="62" customFormat="false" ht="15" hidden="false" customHeight="false" outlineLevel="0" collapsed="false">
      <c r="A62" s="1"/>
      <c r="B62" s="11"/>
      <c r="C62" s="11"/>
      <c r="D62" s="11"/>
      <c r="E62" s="24" t="str">
        <f aca="false">IF(B62="","",January!X64+February!X64+March!X64+April!X64+May!X64+June!X64+July!X64+August!X64+September!X64+October!X64+November!X64+December!X64)</f>
        <v/>
      </c>
      <c r="F62" s="24" t="str">
        <f aca="false">IF(B62="","",January!Y64+February!Y64+March!Y64+April!Y64+May!Y64+June!Y64+July!Y64+August!Y64+September!Y64+October!Y64+November!Y64+December!Y64)</f>
        <v/>
      </c>
      <c r="G62" s="24" t="str">
        <f aca="false">IF(B62="","",E62+F62)</f>
        <v/>
      </c>
      <c r="H62" s="8" t="str">
        <f aca="false">IF(B62="","",IF(COUNTIF(ProjNames,B62)&gt;1,"Duplicate name!",IF(OR(C62="",D62=""),"Add number and code","✓")))</f>
        <v/>
      </c>
      <c r="I62" s="1" t="n">
        <f aca="false">IF(N(G62)&gt;0,G62+(205-ROW())/10^6,0)</f>
        <v>0</v>
      </c>
    </row>
    <row r="63" customFormat="false" ht="15" hidden="false" customHeight="false" outlineLevel="0" collapsed="false">
      <c r="A63" s="1"/>
      <c r="B63" s="11"/>
      <c r="C63" s="11"/>
      <c r="D63" s="11"/>
      <c r="E63" s="24" t="str">
        <f aca="false">IF(B63="","",January!X65+February!X65+March!X65+April!X65+May!X65+June!X65+July!X65+August!X65+September!X65+October!X65+November!X65+December!X65)</f>
        <v/>
      </c>
      <c r="F63" s="24" t="str">
        <f aca="false">IF(B63="","",January!Y65+February!Y65+March!Y65+April!Y65+May!Y65+June!Y65+July!Y65+August!Y65+September!Y65+October!Y65+November!Y65+December!Y65)</f>
        <v/>
      </c>
      <c r="G63" s="24" t="str">
        <f aca="false">IF(B63="","",E63+F63)</f>
        <v/>
      </c>
      <c r="H63" s="8" t="str">
        <f aca="false">IF(B63="","",IF(COUNTIF(ProjNames,B63)&gt;1,"Duplicate name!",IF(OR(C63="",D63=""),"Add number and code","✓")))</f>
        <v/>
      </c>
      <c r="I63" s="1" t="n">
        <f aca="false">IF(N(G63)&gt;0,G63+(205-ROW())/10^6,0)</f>
        <v>0</v>
      </c>
    </row>
    <row r="64" customFormat="false" ht="15" hidden="false" customHeight="false" outlineLevel="0" collapsed="false">
      <c r="A64" s="1"/>
      <c r="B64" s="11"/>
      <c r="C64" s="11"/>
      <c r="D64" s="11"/>
      <c r="E64" s="24" t="str">
        <f aca="false">IF(B64="","",January!X66+February!X66+March!X66+April!X66+May!X66+June!X66+July!X66+August!X66+September!X66+October!X66+November!X66+December!X66)</f>
        <v/>
      </c>
      <c r="F64" s="24" t="str">
        <f aca="false">IF(B64="","",January!Y66+February!Y66+March!Y66+April!Y66+May!Y66+June!Y66+July!Y66+August!Y66+September!Y66+October!Y66+November!Y66+December!Y66)</f>
        <v/>
      </c>
      <c r="G64" s="24" t="str">
        <f aca="false">IF(B64="","",E64+F64)</f>
        <v/>
      </c>
      <c r="H64" s="8" t="str">
        <f aca="false">IF(B64="","",IF(COUNTIF(ProjNames,B64)&gt;1,"Duplicate name!",IF(OR(C64="",D64=""),"Add number and code","✓")))</f>
        <v/>
      </c>
      <c r="I64" s="1" t="n">
        <f aca="false">IF(N(G64)&gt;0,G64+(205-ROW())/10^6,0)</f>
        <v>0</v>
      </c>
    </row>
    <row r="65" customFormat="false" ht="15" hidden="false" customHeight="false" outlineLevel="0" collapsed="false">
      <c r="A65" s="1"/>
      <c r="B65" s="11"/>
      <c r="C65" s="11"/>
      <c r="D65" s="11"/>
      <c r="E65" s="24" t="str">
        <f aca="false">IF(B65="","",January!X67+February!X67+March!X67+April!X67+May!X67+June!X67+July!X67+August!X67+September!X67+October!X67+November!X67+December!X67)</f>
        <v/>
      </c>
      <c r="F65" s="24" t="str">
        <f aca="false">IF(B65="","",January!Y67+February!Y67+March!Y67+April!Y67+May!Y67+June!Y67+July!Y67+August!Y67+September!Y67+October!Y67+November!Y67+December!Y67)</f>
        <v/>
      </c>
      <c r="G65" s="24" t="str">
        <f aca="false">IF(B65="","",E65+F65)</f>
        <v/>
      </c>
      <c r="H65" s="8" t="str">
        <f aca="false">IF(B65="","",IF(COUNTIF(ProjNames,B65)&gt;1,"Duplicate name!",IF(OR(C65="",D65=""),"Add number and code","✓")))</f>
        <v/>
      </c>
      <c r="I65" s="1" t="n">
        <f aca="false">IF(N(G65)&gt;0,G65+(205-ROW())/10^6,0)</f>
        <v>0</v>
      </c>
    </row>
    <row r="66" customFormat="false" ht="15" hidden="false" customHeight="false" outlineLevel="0" collapsed="false">
      <c r="A66" s="1"/>
      <c r="B66" s="11"/>
      <c r="C66" s="11"/>
      <c r="D66" s="11"/>
      <c r="E66" s="24" t="str">
        <f aca="false">IF(B66="","",January!X68+February!X68+March!X68+April!X68+May!X68+June!X68+July!X68+August!X68+September!X68+October!X68+November!X68+December!X68)</f>
        <v/>
      </c>
      <c r="F66" s="24" t="str">
        <f aca="false">IF(B66="","",January!Y68+February!Y68+March!Y68+April!Y68+May!Y68+June!Y68+July!Y68+August!Y68+September!Y68+October!Y68+November!Y68+December!Y68)</f>
        <v/>
      </c>
      <c r="G66" s="24" t="str">
        <f aca="false">IF(B66="","",E66+F66)</f>
        <v/>
      </c>
      <c r="H66" s="8" t="str">
        <f aca="false">IF(B66="","",IF(COUNTIF(ProjNames,B66)&gt;1,"Duplicate name!",IF(OR(C66="",D66=""),"Add number and code","✓")))</f>
        <v/>
      </c>
      <c r="I66" s="1" t="n">
        <f aca="false">IF(N(G66)&gt;0,G66+(205-ROW())/10^6,0)</f>
        <v>0</v>
      </c>
    </row>
    <row r="67" customFormat="false" ht="15" hidden="false" customHeight="false" outlineLevel="0" collapsed="false">
      <c r="A67" s="1"/>
      <c r="B67" s="11"/>
      <c r="C67" s="11"/>
      <c r="D67" s="11"/>
      <c r="E67" s="24" t="str">
        <f aca="false">IF(B67="","",January!X69+February!X69+March!X69+April!X69+May!X69+June!X69+July!X69+August!X69+September!X69+October!X69+November!X69+December!X69)</f>
        <v/>
      </c>
      <c r="F67" s="24" t="str">
        <f aca="false">IF(B67="","",January!Y69+February!Y69+March!Y69+April!Y69+May!Y69+June!Y69+July!Y69+August!Y69+September!Y69+October!Y69+November!Y69+December!Y69)</f>
        <v/>
      </c>
      <c r="G67" s="24" t="str">
        <f aca="false">IF(B67="","",E67+F67)</f>
        <v/>
      </c>
      <c r="H67" s="8" t="str">
        <f aca="false">IF(B67="","",IF(COUNTIF(ProjNames,B67)&gt;1,"Duplicate name!",IF(OR(C67="",D67=""),"Add number and code","✓")))</f>
        <v/>
      </c>
      <c r="I67" s="1" t="n">
        <f aca="false">IF(N(G67)&gt;0,G67+(205-ROW())/10^6,0)</f>
        <v>0</v>
      </c>
    </row>
    <row r="68" customFormat="false" ht="15" hidden="false" customHeight="false" outlineLevel="0" collapsed="false">
      <c r="A68" s="1"/>
      <c r="B68" s="11"/>
      <c r="C68" s="11"/>
      <c r="D68" s="11"/>
      <c r="E68" s="24" t="str">
        <f aca="false">IF(B68="","",January!X70+February!X70+March!X70+April!X70+May!X70+June!X70+July!X70+August!X70+September!X70+October!X70+November!X70+December!X70)</f>
        <v/>
      </c>
      <c r="F68" s="24" t="str">
        <f aca="false">IF(B68="","",January!Y70+February!Y70+March!Y70+April!Y70+May!Y70+June!Y70+July!Y70+August!Y70+September!Y70+October!Y70+November!Y70+December!Y70)</f>
        <v/>
      </c>
      <c r="G68" s="24" t="str">
        <f aca="false">IF(B68="","",E68+F68)</f>
        <v/>
      </c>
      <c r="H68" s="8" t="str">
        <f aca="false">IF(B68="","",IF(COUNTIF(ProjNames,B68)&gt;1,"Duplicate name!",IF(OR(C68="",D68=""),"Add number and code","✓")))</f>
        <v/>
      </c>
      <c r="I68" s="1" t="n">
        <f aca="false">IF(N(G68)&gt;0,G68+(205-ROW())/10^6,0)</f>
        <v>0</v>
      </c>
    </row>
    <row r="69" customFormat="false" ht="15" hidden="false" customHeight="false" outlineLevel="0" collapsed="false">
      <c r="A69" s="1"/>
      <c r="B69" s="11"/>
      <c r="C69" s="11"/>
      <c r="D69" s="11"/>
      <c r="E69" s="24" t="str">
        <f aca="false">IF(B69="","",January!X71+February!X71+March!X71+April!X71+May!X71+June!X71+July!X71+August!X71+September!X71+October!X71+November!X71+December!X71)</f>
        <v/>
      </c>
      <c r="F69" s="24" t="str">
        <f aca="false">IF(B69="","",January!Y71+February!Y71+March!Y71+April!Y71+May!Y71+June!Y71+July!Y71+August!Y71+September!Y71+October!Y71+November!Y71+December!Y71)</f>
        <v/>
      </c>
      <c r="G69" s="24" t="str">
        <f aca="false">IF(B69="","",E69+F69)</f>
        <v/>
      </c>
      <c r="H69" s="8" t="str">
        <f aca="false">IF(B69="","",IF(COUNTIF(ProjNames,B69)&gt;1,"Duplicate name!",IF(OR(C69="",D69=""),"Add number and code","✓")))</f>
        <v/>
      </c>
      <c r="I69" s="1" t="n">
        <f aca="false">IF(N(G69)&gt;0,G69+(205-ROW())/10^6,0)</f>
        <v>0</v>
      </c>
    </row>
    <row r="70" customFormat="false" ht="15" hidden="false" customHeight="false" outlineLevel="0" collapsed="false">
      <c r="A70" s="1"/>
      <c r="B70" s="11"/>
      <c r="C70" s="11"/>
      <c r="D70" s="11"/>
      <c r="E70" s="24" t="str">
        <f aca="false">IF(B70="","",January!X72+February!X72+March!X72+April!X72+May!X72+June!X72+July!X72+August!X72+September!X72+October!X72+November!X72+December!X72)</f>
        <v/>
      </c>
      <c r="F70" s="24" t="str">
        <f aca="false">IF(B70="","",January!Y72+February!Y72+March!Y72+April!Y72+May!Y72+June!Y72+July!Y72+August!Y72+September!Y72+October!Y72+November!Y72+December!Y72)</f>
        <v/>
      </c>
      <c r="G70" s="24" t="str">
        <f aca="false">IF(B70="","",E70+F70)</f>
        <v/>
      </c>
      <c r="H70" s="8" t="str">
        <f aca="false">IF(B70="","",IF(COUNTIF(ProjNames,B70)&gt;1,"Duplicate name!",IF(OR(C70="",D70=""),"Add number and code","✓")))</f>
        <v/>
      </c>
      <c r="I70" s="1" t="n">
        <f aca="false">IF(N(G70)&gt;0,G70+(205-ROW())/10^6,0)</f>
        <v>0</v>
      </c>
    </row>
    <row r="71" customFormat="false" ht="15" hidden="false" customHeight="false" outlineLevel="0" collapsed="false">
      <c r="A71" s="1"/>
      <c r="B71" s="11"/>
      <c r="C71" s="11"/>
      <c r="D71" s="11"/>
      <c r="E71" s="24" t="str">
        <f aca="false">IF(B71="","",January!X73+February!X73+March!X73+April!X73+May!X73+June!X73+July!X73+August!X73+September!X73+October!X73+November!X73+December!X73)</f>
        <v/>
      </c>
      <c r="F71" s="24" t="str">
        <f aca="false">IF(B71="","",January!Y73+February!Y73+March!Y73+April!Y73+May!Y73+June!Y73+July!Y73+August!Y73+September!Y73+October!Y73+November!Y73+December!Y73)</f>
        <v/>
      </c>
      <c r="G71" s="24" t="str">
        <f aca="false">IF(B71="","",E71+F71)</f>
        <v/>
      </c>
      <c r="H71" s="8" t="str">
        <f aca="false">IF(B71="","",IF(COUNTIF(ProjNames,B71)&gt;1,"Duplicate name!",IF(OR(C71="",D71=""),"Add number and code","✓")))</f>
        <v/>
      </c>
      <c r="I71" s="1" t="n">
        <f aca="false">IF(N(G71)&gt;0,G71+(205-ROW())/10^6,0)</f>
        <v>0</v>
      </c>
    </row>
    <row r="72" customFormat="false" ht="15" hidden="false" customHeight="false" outlineLevel="0" collapsed="false">
      <c r="A72" s="1"/>
      <c r="B72" s="11"/>
      <c r="C72" s="11"/>
      <c r="D72" s="11"/>
      <c r="E72" s="24" t="str">
        <f aca="false">IF(B72="","",January!X74+February!X74+March!X74+April!X74+May!X74+June!X74+July!X74+August!X74+September!X74+October!X74+November!X74+December!X74)</f>
        <v/>
      </c>
      <c r="F72" s="24" t="str">
        <f aca="false">IF(B72="","",January!Y74+February!Y74+March!Y74+April!Y74+May!Y74+June!Y74+July!Y74+August!Y74+September!Y74+October!Y74+November!Y74+December!Y74)</f>
        <v/>
      </c>
      <c r="G72" s="24" t="str">
        <f aca="false">IF(B72="","",E72+F72)</f>
        <v/>
      </c>
      <c r="H72" s="8" t="str">
        <f aca="false">IF(B72="","",IF(COUNTIF(ProjNames,B72)&gt;1,"Duplicate name!",IF(OR(C72="",D72=""),"Add number and code","✓")))</f>
        <v/>
      </c>
      <c r="I72" s="1" t="n">
        <f aca="false">IF(N(G72)&gt;0,G72+(205-ROW())/10^6,0)</f>
        <v>0</v>
      </c>
    </row>
    <row r="73" customFormat="false" ht="15" hidden="false" customHeight="false" outlineLevel="0" collapsed="false">
      <c r="A73" s="1"/>
      <c r="B73" s="11"/>
      <c r="C73" s="11"/>
      <c r="D73" s="11"/>
      <c r="E73" s="24" t="str">
        <f aca="false">IF(B73="","",January!X75+February!X75+March!X75+April!X75+May!X75+June!X75+July!X75+August!X75+September!X75+October!X75+November!X75+December!X75)</f>
        <v/>
      </c>
      <c r="F73" s="24" t="str">
        <f aca="false">IF(B73="","",January!Y75+February!Y75+March!Y75+April!Y75+May!Y75+June!Y75+July!Y75+August!Y75+September!Y75+October!Y75+November!Y75+December!Y75)</f>
        <v/>
      </c>
      <c r="G73" s="24" t="str">
        <f aca="false">IF(B73="","",E73+F73)</f>
        <v/>
      </c>
      <c r="H73" s="8" t="str">
        <f aca="false">IF(B73="","",IF(COUNTIF(ProjNames,B73)&gt;1,"Duplicate name!",IF(OR(C73="",D73=""),"Add number and code","✓")))</f>
        <v/>
      </c>
      <c r="I73" s="1" t="n">
        <f aca="false">IF(N(G73)&gt;0,G73+(205-ROW())/10^6,0)</f>
        <v>0</v>
      </c>
    </row>
    <row r="74" customFormat="false" ht="15" hidden="false" customHeight="false" outlineLevel="0" collapsed="false">
      <c r="A74" s="1"/>
      <c r="B74" s="11"/>
      <c r="C74" s="11"/>
      <c r="D74" s="11"/>
      <c r="E74" s="24" t="str">
        <f aca="false">IF(B74="","",January!X76+February!X76+March!X76+April!X76+May!X76+June!X76+July!X76+August!X76+September!X76+October!X76+November!X76+December!X76)</f>
        <v/>
      </c>
      <c r="F74" s="24" t="str">
        <f aca="false">IF(B74="","",January!Y76+February!Y76+March!Y76+April!Y76+May!Y76+June!Y76+July!Y76+August!Y76+September!Y76+October!Y76+November!Y76+December!Y76)</f>
        <v/>
      </c>
      <c r="G74" s="24" t="str">
        <f aca="false">IF(B74="","",E74+F74)</f>
        <v/>
      </c>
      <c r="H74" s="8" t="str">
        <f aca="false">IF(B74="","",IF(COUNTIF(ProjNames,B74)&gt;1,"Duplicate name!",IF(OR(C74="",D74=""),"Add number and code","✓")))</f>
        <v/>
      </c>
      <c r="I74" s="1" t="n">
        <f aca="false">IF(N(G74)&gt;0,G74+(205-ROW())/10^6,0)</f>
        <v>0</v>
      </c>
    </row>
    <row r="75" customFormat="false" ht="15" hidden="false" customHeight="false" outlineLevel="0" collapsed="false">
      <c r="A75" s="1"/>
      <c r="B75" s="11"/>
      <c r="C75" s="11"/>
      <c r="D75" s="11"/>
      <c r="E75" s="24" t="str">
        <f aca="false">IF(B75="","",January!X77+February!X77+March!X77+April!X77+May!X77+June!X77+July!X77+August!X77+September!X77+October!X77+November!X77+December!X77)</f>
        <v/>
      </c>
      <c r="F75" s="24" t="str">
        <f aca="false">IF(B75="","",January!Y77+February!Y77+March!Y77+April!Y77+May!Y77+June!Y77+July!Y77+August!Y77+September!Y77+October!Y77+November!Y77+December!Y77)</f>
        <v/>
      </c>
      <c r="G75" s="24" t="str">
        <f aca="false">IF(B75="","",E75+F75)</f>
        <v/>
      </c>
      <c r="H75" s="8" t="str">
        <f aca="false">IF(B75="","",IF(COUNTIF(ProjNames,B75)&gt;1,"Duplicate name!",IF(OR(C75="",D75=""),"Add number and code","✓")))</f>
        <v/>
      </c>
      <c r="I75" s="1" t="n">
        <f aca="false">IF(N(G75)&gt;0,G75+(205-ROW())/10^6,0)</f>
        <v>0</v>
      </c>
    </row>
    <row r="76" customFormat="false" ht="15" hidden="false" customHeight="false" outlineLevel="0" collapsed="false">
      <c r="A76" s="1"/>
      <c r="B76" s="11"/>
      <c r="C76" s="11"/>
      <c r="D76" s="11"/>
      <c r="E76" s="24" t="str">
        <f aca="false">IF(B76="","",January!X78+February!X78+March!X78+April!X78+May!X78+June!X78+July!X78+August!X78+September!X78+October!X78+November!X78+December!X78)</f>
        <v/>
      </c>
      <c r="F76" s="24" t="str">
        <f aca="false">IF(B76="","",January!Y78+February!Y78+March!Y78+April!Y78+May!Y78+June!Y78+July!Y78+August!Y78+September!Y78+October!Y78+November!Y78+December!Y78)</f>
        <v/>
      </c>
      <c r="G76" s="24" t="str">
        <f aca="false">IF(B76="","",E76+F76)</f>
        <v/>
      </c>
      <c r="H76" s="8" t="str">
        <f aca="false">IF(B76="","",IF(COUNTIF(ProjNames,B76)&gt;1,"Duplicate name!",IF(OR(C76="",D76=""),"Add number and code","✓")))</f>
        <v/>
      </c>
      <c r="I76" s="1" t="n">
        <f aca="false">IF(N(G76)&gt;0,G76+(205-ROW())/10^6,0)</f>
        <v>0</v>
      </c>
    </row>
    <row r="77" customFormat="false" ht="15" hidden="false" customHeight="false" outlineLevel="0" collapsed="false">
      <c r="A77" s="1"/>
      <c r="B77" s="11"/>
      <c r="C77" s="11"/>
      <c r="D77" s="11"/>
      <c r="E77" s="24" t="str">
        <f aca="false">IF(B77="","",January!X79+February!X79+March!X79+April!X79+May!X79+June!X79+July!X79+August!X79+September!X79+October!X79+November!X79+December!X79)</f>
        <v/>
      </c>
      <c r="F77" s="24" t="str">
        <f aca="false">IF(B77="","",January!Y79+February!Y79+March!Y79+April!Y79+May!Y79+June!Y79+July!Y79+August!Y79+September!Y79+October!Y79+November!Y79+December!Y79)</f>
        <v/>
      </c>
      <c r="G77" s="24" t="str">
        <f aca="false">IF(B77="","",E77+F77)</f>
        <v/>
      </c>
      <c r="H77" s="8" t="str">
        <f aca="false">IF(B77="","",IF(COUNTIF(ProjNames,B77)&gt;1,"Duplicate name!",IF(OR(C77="",D77=""),"Add number and code","✓")))</f>
        <v/>
      </c>
      <c r="I77" s="1" t="n">
        <f aca="false">IF(N(G77)&gt;0,G77+(205-ROW())/10^6,0)</f>
        <v>0</v>
      </c>
    </row>
    <row r="78" customFormat="false" ht="15" hidden="false" customHeight="false" outlineLevel="0" collapsed="false">
      <c r="A78" s="1"/>
      <c r="B78" s="11"/>
      <c r="C78" s="11"/>
      <c r="D78" s="11"/>
      <c r="E78" s="24" t="str">
        <f aca="false">IF(B78="","",January!X80+February!X80+March!X80+April!X80+May!X80+June!X80+July!X80+August!X80+September!X80+October!X80+November!X80+December!X80)</f>
        <v/>
      </c>
      <c r="F78" s="24" t="str">
        <f aca="false">IF(B78="","",January!Y80+February!Y80+March!Y80+April!Y80+May!Y80+June!Y80+July!Y80+August!Y80+September!Y80+October!Y80+November!Y80+December!Y80)</f>
        <v/>
      </c>
      <c r="G78" s="24" t="str">
        <f aca="false">IF(B78="","",E78+F78)</f>
        <v/>
      </c>
      <c r="H78" s="8" t="str">
        <f aca="false">IF(B78="","",IF(COUNTIF(ProjNames,B78)&gt;1,"Duplicate name!",IF(OR(C78="",D78=""),"Add number and code","✓")))</f>
        <v/>
      </c>
      <c r="I78" s="1" t="n">
        <f aca="false">IF(N(G78)&gt;0,G78+(205-ROW())/10^6,0)</f>
        <v>0</v>
      </c>
    </row>
    <row r="79" customFormat="false" ht="15" hidden="false" customHeight="false" outlineLevel="0" collapsed="false">
      <c r="A79" s="1"/>
      <c r="B79" s="11"/>
      <c r="C79" s="11"/>
      <c r="D79" s="11"/>
      <c r="E79" s="24" t="str">
        <f aca="false">IF(B79="","",January!X81+February!X81+March!X81+April!X81+May!X81+June!X81+July!X81+August!X81+September!X81+October!X81+November!X81+December!X81)</f>
        <v/>
      </c>
      <c r="F79" s="24" t="str">
        <f aca="false">IF(B79="","",January!Y81+February!Y81+March!Y81+April!Y81+May!Y81+June!Y81+July!Y81+August!Y81+September!Y81+October!Y81+November!Y81+December!Y81)</f>
        <v/>
      </c>
      <c r="G79" s="24" t="str">
        <f aca="false">IF(B79="","",E79+F79)</f>
        <v/>
      </c>
      <c r="H79" s="8" t="str">
        <f aca="false">IF(B79="","",IF(COUNTIF(ProjNames,B79)&gt;1,"Duplicate name!",IF(OR(C79="",D79=""),"Add number and code","✓")))</f>
        <v/>
      </c>
      <c r="I79" s="1" t="n">
        <f aca="false">IF(N(G79)&gt;0,G79+(205-ROW())/10^6,0)</f>
        <v>0</v>
      </c>
    </row>
    <row r="80" customFormat="false" ht="15" hidden="false" customHeight="false" outlineLevel="0" collapsed="false">
      <c r="A80" s="1"/>
      <c r="B80" s="11"/>
      <c r="C80" s="11"/>
      <c r="D80" s="11"/>
      <c r="E80" s="24" t="str">
        <f aca="false">IF(B80="","",January!X82+February!X82+March!X82+April!X82+May!X82+June!X82+July!X82+August!X82+September!X82+October!X82+November!X82+December!X82)</f>
        <v/>
      </c>
      <c r="F80" s="24" t="str">
        <f aca="false">IF(B80="","",January!Y82+February!Y82+March!Y82+April!Y82+May!Y82+June!Y82+July!Y82+August!Y82+September!Y82+October!Y82+November!Y82+December!Y82)</f>
        <v/>
      </c>
      <c r="G80" s="24" t="str">
        <f aca="false">IF(B80="","",E80+F80)</f>
        <v/>
      </c>
      <c r="H80" s="8" t="str">
        <f aca="false">IF(B80="","",IF(COUNTIF(ProjNames,B80)&gt;1,"Duplicate name!",IF(OR(C80="",D80=""),"Add number and code","✓")))</f>
        <v/>
      </c>
      <c r="I80" s="1" t="n">
        <f aca="false">IF(N(G80)&gt;0,G80+(205-ROW())/10^6,0)</f>
        <v>0</v>
      </c>
    </row>
    <row r="81" customFormat="false" ht="15" hidden="false" customHeight="false" outlineLevel="0" collapsed="false">
      <c r="A81" s="1"/>
      <c r="B81" s="11"/>
      <c r="C81" s="11"/>
      <c r="D81" s="11"/>
      <c r="E81" s="24" t="str">
        <f aca="false">IF(B81="","",January!X83+February!X83+March!X83+April!X83+May!X83+June!X83+July!X83+August!X83+September!X83+October!X83+November!X83+December!X83)</f>
        <v/>
      </c>
      <c r="F81" s="24" t="str">
        <f aca="false">IF(B81="","",January!Y83+February!Y83+March!Y83+April!Y83+May!Y83+June!Y83+July!Y83+August!Y83+September!Y83+October!Y83+November!Y83+December!Y83)</f>
        <v/>
      </c>
      <c r="G81" s="24" t="str">
        <f aca="false">IF(B81="","",E81+F81)</f>
        <v/>
      </c>
      <c r="H81" s="8" t="str">
        <f aca="false">IF(B81="","",IF(COUNTIF(ProjNames,B81)&gt;1,"Duplicate name!",IF(OR(C81="",D81=""),"Add number and code","✓")))</f>
        <v/>
      </c>
      <c r="I81" s="1" t="n">
        <f aca="false">IF(N(G81)&gt;0,G81+(205-ROW())/10^6,0)</f>
        <v>0</v>
      </c>
    </row>
    <row r="82" customFormat="false" ht="15" hidden="false" customHeight="false" outlineLevel="0" collapsed="false">
      <c r="A82" s="1"/>
      <c r="B82" s="11"/>
      <c r="C82" s="11"/>
      <c r="D82" s="11"/>
      <c r="E82" s="24" t="str">
        <f aca="false">IF(B82="","",January!X84+February!X84+March!X84+April!X84+May!X84+June!X84+July!X84+August!X84+September!X84+October!X84+November!X84+December!X84)</f>
        <v/>
      </c>
      <c r="F82" s="24" t="str">
        <f aca="false">IF(B82="","",January!Y84+February!Y84+March!Y84+April!Y84+May!Y84+June!Y84+July!Y84+August!Y84+September!Y84+October!Y84+November!Y84+December!Y84)</f>
        <v/>
      </c>
      <c r="G82" s="24" t="str">
        <f aca="false">IF(B82="","",E82+F82)</f>
        <v/>
      </c>
      <c r="H82" s="8" t="str">
        <f aca="false">IF(B82="","",IF(COUNTIF(ProjNames,B82)&gt;1,"Duplicate name!",IF(OR(C82="",D82=""),"Add number and code","✓")))</f>
        <v/>
      </c>
      <c r="I82" s="1" t="n">
        <f aca="false">IF(N(G82)&gt;0,G82+(205-ROW())/10^6,0)</f>
        <v>0</v>
      </c>
    </row>
    <row r="83" customFormat="false" ht="15" hidden="false" customHeight="false" outlineLevel="0" collapsed="false">
      <c r="A83" s="1"/>
      <c r="B83" s="11"/>
      <c r="C83" s="11"/>
      <c r="D83" s="11"/>
      <c r="E83" s="24" t="str">
        <f aca="false">IF(B83="","",January!X85+February!X85+March!X85+April!X85+May!X85+June!X85+July!X85+August!X85+September!X85+October!X85+November!X85+December!X85)</f>
        <v/>
      </c>
      <c r="F83" s="24" t="str">
        <f aca="false">IF(B83="","",January!Y85+February!Y85+March!Y85+April!Y85+May!Y85+June!Y85+July!Y85+August!Y85+September!Y85+October!Y85+November!Y85+December!Y85)</f>
        <v/>
      </c>
      <c r="G83" s="24" t="str">
        <f aca="false">IF(B83="","",E83+F83)</f>
        <v/>
      </c>
      <c r="H83" s="8" t="str">
        <f aca="false">IF(B83="","",IF(COUNTIF(ProjNames,B83)&gt;1,"Duplicate name!",IF(OR(C83="",D83=""),"Add number and code","✓")))</f>
        <v/>
      </c>
      <c r="I83" s="1" t="n">
        <f aca="false">IF(N(G83)&gt;0,G83+(205-ROW())/10^6,0)</f>
        <v>0</v>
      </c>
    </row>
    <row r="84" customFormat="false" ht="15" hidden="false" customHeight="false" outlineLevel="0" collapsed="false">
      <c r="A84" s="1"/>
      <c r="B84" s="11"/>
      <c r="C84" s="11"/>
      <c r="D84" s="11"/>
      <c r="E84" s="24" t="str">
        <f aca="false">IF(B84="","",January!X86+February!X86+March!X86+April!X86+May!X86+June!X86+July!X86+August!X86+September!X86+October!X86+November!X86+December!X86)</f>
        <v/>
      </c>
      <c r="F84" s="24" t="str">
        <f aca="false">IF(B84="","",January!Y86+February!Y86+March!Y86+April!Y86+May!Y86+June!Y86+July!Y86+August!Y86+September!Y86+October!Y86+November!Y86+December!Y86)</f>
        <v/>
      </c>
      <c r="G84" s="24" t="str">
        <f aca="false">IF(B84="","",E84+F84)</f>
        <v/>
      </c>
      <c r="H84" s="8" t="str">
        <f aca="false">IF(B84="","",IF(COUNTIF(ProjNames,B84)&gt;1,"Duplicate name!",IF(OR(C84="",D84=""),"Add number and code","✓")))</f>
        <v/>
      </c>
      <c r="I84" s="1" t="n">
        <f aca="false">IF(N(G84)&gt;0,G84+(205-ROW())/10^6,0)</f>
        <v>0</v>
      </c>
    </row>
    <row r="85" customFormat="false" ht="15" hidden="false" customHeight="false" outlineLevel="0" collapsed="false">
      <c r="A85" s="1"/>
      <c r="B85" s="11"/>
      <c r="C85" s="11"/>
      <c r="D85" s="11"/>
      <c r="E85" s="24" t="str">
        <f aca="false">IF(B85="","",January!X87+February!X87+March!X87+April!X87+May!X87+June!X87+July!X87+August!X87+September!X87+October!X87+November!X87+December!X87)</f>
        <v/>
      </c>
      <c r="F85" s="24" t="str">
        <f aca="false">IF(B85="","",January!Y87+February!Y87+March!Y87+April!Y87+May!Y87+June!Y87+July!Y87+August!Y87+September!Y87+October!Y87+November!Y87+December!Y87)</f>
        <v/>
      </c>
      <c r="G85" s="24" t="str">
        <f aca="false">IF(B85="","",E85+F85)</f>
        <v/>
      </c>
      <c r="H85" s="8" t="str">
        <f aca="false">IF(B85="","",IF(COUNTIF(ProjNames,B85)&gt;1,"Duplicate name!",IF(OR(C85="",D85=""),"Add number and code","✓")))</f>
        <v/>
      </c>
      <c r="I85" s="1" t="n">
        <f aca="false">IF(N(G85)&gt;0,G85+(205-ROW())/10^6,0)</f>
        <v>0</v>
      </c>
    </row>
    <row r="86" customFormat="false" ht="15" hidden="false" customHeight="false" outlineLevel="0" collapsed="false">
      <c r="A86" s="1"/>
      <c r="B86" s="11"/>
      <c r="C86" s="11"/>
      <c r="D86" s="11"/>
      <c r="E86" s="24" t="str">
        <f aca="false">IF(B86="","",January!X88+February!X88+March!X88+April!X88+May!X88+June!X88+July!X88+August!X88+September!X88+October!X88+November!X88+December!X88)</f>
        <v/>
      </c>
      <c r="F86" s="24" t="str">
        <f aca="false">IF(B86="","",January!Y88+February!Y88+March!Y88+April!Y88+May!Y88+June!Y88+July!Y88+August!Y88+September!Y88+October!Y88+November!Y88+December!Y88)</f>
        <v/>
      </c>
      <c r="G86" s="24" t="str">
        <f aca="false">IF(B86="","",E86+F86)</f>
        <v/>
      </c>
      <c r="H86" s="8" t="str">
        <f aca="false">IF(B86="","",IF(COUNTIF(ProjNames,B86)&gt;1,"Duplicate name!",IF(OR(C86="",D86=""),"Add number and code","✓")))</f>
        <v/>
      </c>
      <c r="I86" s="1" t="n">
        <f aca="false">IF(N(G86)&gt;0,G86+(205-ROW())/10^6,0)</f>
        <v>0</v>
      </c>
    </row>
    <row r="87" customFormat="false" ht="15" hidden="false" customHeight="false" outlineLevel="0" collapsed="false">
      <c r="A87" s="1"/>
      <c r="B87" s="11"/>
      <c r="C87" s="11"/>
      <c r="D87" s="11"/>
      <c r="E87" s="24" t="str">
        <f aca="false">IF(B87="","",January!X89+February!X89+March!X89+April!X89+May!X89+June!X89+July!X89+August!X89+September!X89+October!X89+November!X89+December!X89)</f>
        <v/>
      </c>
      <c r="F87" s="24" t="str">
        <f aca="false">IF(B87="","",January!Y89+February!Y89+March!Y89+April!Y89+May!Y89+June!Y89+July!Y89+August!Y89+September!Y89+October!Y89+November!Y89+December!Y89)</f>
        <v/>
      </c>
      <c r="G87" s="24" t="str">
        <f aca="false">IF(B87="","",E87+F87)</f>
        <v/>
      </c>
      <c r="H87" s="8" t="str">
        <f aca="false">IF(B87="","",IF(COUNTIF(ProjNames,B87)&gt;1,"Duplicate name!",IF(OR(C87="",D87=""),"Add number and code","✓")))</f>
        <v/>
      </c>
      <c r="I87" s="1" t="n">
        <f aca="false">IF(N(G87)&gt;0,G87+(205-ROW())/10^6,0)</f>
        <v>0</v>
      </c>
    </row>
    <row r="88" customFormat="false" ht="15" hidden="false" customHeight="false" outlineLevel="0" collapsed="false">
      <c r="A88" s="1"/>
      <c r="B88" s="11"/>
      <c r="C88" s="11"/>
      <c r="D88" s="11"/>
      <c r="E88" s="24" t="str">
        <f aca="false">IF(B88="","",January!X90+February!X90+March!X90+April!X90+May!X90+June!X90+July!X90+August!X90+September!X90+October!X90+November!X90+December!X90)</f>
        <v/>
      </c>
      <c r="F88" s="24" t="str">
        <f aca="false">IF(B88="","",January!Y90+February!Y90+March!Y90+April!Y90+May!Y90+June!Y90+July!Y90+August!Y90+September!Y90+October!Y90+November!Y90+December!Y90)</f>
        <v/>
      </c>
      <c r="G88" s="24" t="str">
        <f aca="false">IF(B88="","",E88+F88)</f>
        <v/>
      </c>
      <c r="H88" s="8" t="str">
        <f aca="false">IF(B88="","",IF(COUNTIF(ProjNames,B88)&gt;1,"Duplicate name!",IF(OR(C88="",D88=""),"Add number and code","✓")))</f>
        <v/>
      </c>
      <c r="I88" s="1" t="n">
        <f aca="false">IF(N(G88)&gt;0,G88+(205-ROW())/10^6,0)</f>
        <v>0</v>
      </c>
    </row>
    <row r="89" customFormat="false" ht="15" hidden="false" customHeight="false" outlineLevel="0" collapsed="false">
      <c r="A89" s="1"/>
      <c r="B89" s="11"/>
      <c r="C89" s="11"/>
      <c r="D89" s="11"/>
      <c r="E89" s="24" t="str">
        <f aca="false">IF(B89="","",January!X91+February!X91+March!X91+April!X91+May!X91+June!X91+July!X91+August!X91+September!X91+October!X91+November!X91+December!X91)</f>
        <v/>
      </c>
      <c r="F89" s="24" t="str">
        <f aca="false">IF(B89="","",January!Y91+February!Y91+March!Y91+April!Y91+May!Y91+June!Y91+July!Y91+August!Y91+September!Y91+October!Y91+November!Y91+December!Y91)</f>
        <v/>
      </c>
      <c r="G89" s="24" t="str">
        <f aca="false">IF(B89="","",E89+F89)</f>
        <v/>
      </c>
      <c r="H89" s="8" t="str">
        <f aca="false">IF(B89="","",IF(COUNTIF(ProjNames,B89)&gt;1,"Duplicate name!",IF(OR(C89="",D89=""),"Add number and code","✓")))</f>
        <v/>
      </c>
      <c r="I89" s="1" t="n">
        <f aca="false">IF(N(G89)&gt;0,G89+(205-ROW())/10^6,0)</f>
        <v>0</v>
      </c>
    </row>
    <row r="90" customFormat="false" ht="15" hidden="false" customHeight="false" outlineLevel="0" collapsed="false">
      <c r="A90" s="1"/>
      <c r="B90" s="11"/>
      <c r="C90" s="11"/>
      <c r="D90" s="11"/>
      <c r="E90" s="24" t="str">
        <f aca="false">IF(B90="","",January!X92+February!X92+March!X92+April!X92+May!X92+June!X92+July!X92+August!X92+September!X92+October!X92+November!X92+December!X92)</f>
        <v/>
      </c>
      <c r="F90" s="24" t="str">
        <f aca="false">IF(B90="","",January!Y92+February!Y92+March!Y92+April!Y92+May!Y92+June!Y92+July!Y92+August!Y92+September!Y92+October!Y92+November!Y92+December!Y92)</f>
        <v/>
      </c>
      <c r="G90" s="24" t="str">
        <f aca="false">IF(B90="","",E90+F90)</f>
        <v/>
      </c>
      <c r="H90" s="8" t="str">
        <f aca="false">IF(B90="","",IF(COUNTIF(ProjNames,B90)&gt;1,"Duplicate name!",IF(OR(C90="",D90=""),"Add number and code","✓")))</f>
        <v/>
      </c>
      <c r="I90" s="1" t="n">
        <f aca="false">IF(N(G90)&gt;0,G90+(205-ROW())/10^6,0)</f>
        <v>0</v>
      </c>
    </row>
    <row r="91" customFormat="false" ht="15" hidden="false" customHeight="false" outlineLevel="0" collapsed="false">
      <c r="A91" s="1"/>
      <c r="B91" s="11"/>
      <c r="C91" s="11"/>
      <c r="D91" s="11"/>
      <c r="E91" s="24" t="str">
        <f aca="false">IF(B91="","",January!X93+February!X93+March!X93+April!X93+May!X93+June!X93+July!X93+August!X93+September!X93+October!X93+November!X93+December!X93)</f>
        <v/>
      </c>
      <c r="F91" s="24" t="str">
        <f aca="false">IF(B91="","",January!Y93+February!Y93+March!Y93+April!Y93+May!Y93+June!Y93+July!Y93+August!Y93+September!Y93+October!Y93+November!Y93+December!Y93)</f>
        <v/>
      </c>
      <c r="G91" s="24" t="str">
        <f aca="false">IF(B91="","",E91+F91)</f>
        <v/>
      </c>
      <c r="H91" s="8" t="str">
        <f aca="false">IF(B91="","",IF(COUNTIF(ProjNames,B91)&gt;1,"Duplicate name!",IF(OR(C91="",D91=""),"Add number and code","✓")))</f>
        <v/>
      </c>
      <c r="I91" s="1" t="n">
        <f aca="false">IF(N(G91)&gt;0,G91+(205-ROW())/10^6,0)</f>
        <v>0</v>
      </c>
    </row>
    <row r="92" customFormat="false" ht="15" hidden="false" customHeight="false" outlineLevel="0" collapsed="false">
      <c r="A92" s="1"/>
      <c r="B92" s="11"/>
      <c r="C92" s="11"/>
      <c r="D92" s="11"/>
      <c r="E92" s="24" t="str">
        <f aca="false">IF(B92="","",January!X94+February!X94+March!X94+April!X94+May!X94+June!X94+July!X94+August!X94+September!X94+October!X94+November!X94+December!X94)</f>
        <v/>
      </c>
      <c r="F92" s="24" t="str">
        <f aca="false">IF(B92="","",January!Y94+February!Y94+March!Y94+April!Y94+May!Y94+June!Y94+July!Y94+August!Y94+September!Y94+October!Y94+November!Y94+December!Y94)</f>
        <v/>
      </c>
      <c r="G92" s="24" t="str">
        <f aca="false">IF(B92="","",E92+F92)</f>
        <v/>
      </c>
      <c r="H92" s="8" t="str">
        <f aca="false">IF(B92="","",IF(COUNTIF(ProjNames,B92)&gt;1,"Duplicate name!",IF(OR(C92="",D92=""),"Add number and code","✓")))</f>
        <v/>
      </c>
      <c r="I92" s="1" t="n">
        <f aca="false">IF(N(G92)&gt;0,G92+(205-ROW())/10^6,0)</f>
        <v>0</v>
      </c>
    </row>
    <row r="93" customFormat="false" ht="15" hidden="false" customHeight="false" outlineLevel="0" collapsed="false">
      <c r="A93" s="1"/>
      <c r="B93" s="11"/>
      <c r="C93" s="11"/>
      <c r="D93" s="11"/>
      <c r="E93" s="24" t="str">
        <f aca="false">IF(B93="","",January!X95+February!X95+March!X95+April!X95+May!X95+June!X95+July!X95+August!X95+September!X95+October!X95+November!X95+December!X95)</f>
        <v/>
      </c>
      <c r="F93" s="24" t="str">
        <f aca="false">IF(B93="","",January!Y95+February!Y95+March!Y95+April!Y95+May!Y95+June!Y95+July!Y95+August!Y95+September!Y95+October!Y95+November!Y95+December!Y95)</f>
        <v/>
      </c>
      <c r="G93" s="24" t="str">
        <f aca="false">IF(B93="","",E93+F93)</f>
        <v/>
      </c>
      <c r="H93" s="8" t="str">
        <f aca="false">IF(B93="","",IF(COUNTIF(ProjNames,B93)&gt;1,"Duplicate name!",IF(OR(C93="",D93=""),"Add number and code","✓")))</f>
        <v/>
      </c>
      <c r="I93" s="1" t="n">
        <f aca="false">IF(N(G93)&gt;0,G93+(205-ROW())/10^6,0)</f>
        <v>0</v>
      </c>
    </row>
    <row r="94" customFormat="false" ht="15" hidden="false" customHeight="false" outlineLevel="0" collapsed="false">
      <c r="A94" s="1"/>
      <c r="B94" s="11"/>
      <c r="C94" s="11"/>
      <c r="D94" s="11"/>
      <c r="E94" s="24" t="str">
        <f aca="false">IF(B94="","",January!X96+February!X96+March!X96+April!X96+May!X96+June!X96+July!X96+August!X96+September!X96+October!X96+November!X96+December!X96)</f>
        <v/>
      </c>
      <c r="F94" s="24" t="str">
        <f aca="false">IF(B94="","",January!Y96+February!Y96+March!Y96+April!Y96+May!Y96+June!Y96+July!Y96+August!Y96+September!Y96+October!Y96+November!Y96+December!Y96)</f>
        <v/>
      </c>
      <c r="G94" s="24" t="str">
        <f aca="false">IF(B94="","",E94+F94)</f>
        <v/>
      </c>
      <c r="H94" s="8" t="str">
        <f aca="false">IF(B94="","",IF(COUNTIF(ProjNames,B94)&gt;1,"Duplicate name!",IF(OR(C94="",D94=""),"Add number and code","✓")))</f>
        <v/>
      </c>
      <c r="I94" s="1" t="n">
        <f aca="false">IF(N(G94)&gt;0,G94+(205-ROW())/10^6,0)</f>
        <v>0</v>
      </c>
    </row>
    <row r="95" customFormat="false" ht="15" hidden="false" customHeight="false" outlineLevel="0" collapsed="false">
      <c r="A95" s="1"/>
      <c r="B95" s="11"/>
      <c r="C95" s="11"/>
      <c r="D95" s="11"/>
      <c r="E95" s="24" t="str">
        <f aca="false">IF(B95="","",January!X97+February!X97+March!X97+April!X97+May!X97+June!X97+July!X97+August!X97+September!X97+October!X97+November!X97+December!X97)</f>
        <v/>
      </c>
      <c r="F95" s="24" t="str">
        <f aca="false">IF(B95="","",January!Y97+February!Y97+March!Y97+April!Y97+May!Y97+June!Y97+July!Y97+August!Y97+September!Y97+October!Y97+November!Y97+December!Y97)</f>
        <v/>
      </c>
      <c r="G95" s="24" t="str">
        <f aca="false">IF(B95="","",E95+F95)</f>
        <v/>
      </c>
      <c r="H95" s="8" t="str">
        <f aca="false">IF(B95="","",IF(COUNTIF(ProjNames,B95)&gt;1,"Duplicate name!",IF(OR(C95="",D95=""),"Add number and code","✓")))</f>
        <v/>
      </c>
      <c r="I95" s="1" t="n">
        <f aca="false">IF(N(G95)&gt;0,G95+(205-ROW())/10^6,0)</f>
        <v>0</v>
      </c>
    </row>
    <row r="96" customFormat="false" ht="15" hidden="false" customHeight="false" outlineLevel="0" collapsed="false">
      <c r="A96" s="1"/>
      <c r="B96" s="11"/>
      <c r="C96" s="11"/>
      <c r="D96" s="11"/>
      <c r="E96" s="24" t="str">
        <f aca="false">IF(B96="","",January!X98+February!X98+March!X98+April!X98+May!X98+June!X98+July!X98+August!X98+September!X98+October!X98+November!X98+December!X98)</f>
        <v/>
      </c>
      <c r="F96" s="24" t="str">
        <f aca="false">IF(B96="","",January!Y98+February!Y98+March!Y98+April!Y98+May!Y98+June!Y98+July!Y98+August!Y98+September!Y98+October!Y98+November!Y98+December!Y98)</f>
        <v/>
      </c>
      <c r="G96" s="24" t="str">
        <f aca="false">IF(B96="","",E96+F96)</f>
        <v/>
      </c>
      <c r="H96" s="8" t="str">
        <f aca="false">IF(B96="","",IF(COUNTIF(ProjNames,B96)&gt;1,"Duplicate name!",IF(OR(C96="",D96=""),"Add number and code","✓")))</f>
        <v/>
      </c>
      <c r="I96" s="1" t="n">
        <f aca="false">IF(N(G96)&gt;0,G96+(205-ROW())/10^6,0)</f>
        <v>0</v>
      </c>
    </row>
    <row r="97" customFormat="false" ht="15" hidden="false" customHeight="false" outlineLevel="0" collapsed="false">
      <c r="A97" s="1"/>
      <c r="B97" s="11"/>
      <c r="C97" s="11"/>
      <c r="D97" s="11"/>
      <c r="E97" s="24" t="str">
        <f aca="false">IF(B97="","",January!X99+February!X99+March!X99+April!X99+May!X99+June!X99+July!X99+August!X99+September!X99+October!X99+November!X99+December!X99)</f>
        <v/>
      </c>
      <c r="F97" s="24" t="str">
        <f aca="false">IF(B97="","",January!Y99+February!Y99+March!Y99+April!Y99+May!Y99+June!Y99+July!Y99+August!Y99+September!Y99+October!Y99+November!Y99+December!Y99)</f>
        <v/>
      </c>
      <c r="G97" s="24" t="str">
        <f aca="false">IF(B97="","",E97+F97)</f>
        <v/>
      </c>
      <c r="H97" s="8" t="str">
        <f aca="false">IF(B97="","",IF(COUNTIF(ProjNames,B97)&gt;1,"Duplicate name!",IF(OR(C97="",D97=""),"Add number and code","✓")))</f>
        <v/>
      </c>
      <c r="I97" s="1" t="n">
        <f aca="false">IF(N(G97)&gt;0,G97+(205-ROW())/10^6,0)</f>
        <v>0</v>
      </c>
    </row>
    <row r="98" customFormat="false" ht="15" hidden="false" customHeight="false" outlineLevel="0" collapsed="false">
      <c r="A98" s="1"/>
      <c r="B98" s="11"/>
      <c r="C98" s="11"/>
      <c r="D98" s="11"/>
      <c r="E98" s="24" t="str">
        <f aca="false">IF(B98="","",January!X100+February!X100+March!X100+April!X100+May!X100+June!X100+July!X100+August!X100+September!X100+October!X100+November!X100+December!X100)</f>
        <v/>
      </c>
      <c r="F98" s="24" t="str">
        <f aca="false">IF(B98="","",January!Y100+February!Y100+March!Y100+April!Y100+May!Y100+June!Y100+July!Y100+August!Y100+September!Y100+October!Y100+November!Y100+December!Y100)</f>
        <v/>
      </c>
      <c r="G98" s="24" t="str">
        <f aca="false">IF(B98="","",E98+F98)</f>
        <v/>
      </c>
      <c r="H98" s="8" t="str">
        <f aca="false">IF(B98="","",IF(COUNTIF(ProjNames,B98)&gt;1,"Duplicate name!",IF(OR(C98="",D98=""),"Add number and code","✓")))</f>
        <v/>
      </c>
      <c r="I98" s="1" t="n">
        <f aca="false">IF(N(G98)&gt;0,G98+(205-ROW())/10^6,0)</f>
        <v>0</v>
      </c>
    </row>
    <row r="99" customFormat="false" ht="15" hidden="false" customHeight="false" outlineLevel="0" collapsed="false">
      <c r="A99" s="1"/>
      <c r="B99" s="11"/>
      <c r="C99" s="11"/>
      <c r="D99" s="11"/>
      <c r="E99" s="24" t="str">
        <f aca="false">IF(B99="","",January!X101+February!X101+March!X101+April!X101+May!X101+June!X101+July!X101+August!X101+September!X101+October!X101+November!X101+December!X101)</f>
        <v/>
      </c>
      <c r="F99" s="24" t="str">
        <f aca="false">IF(B99="","",January!Y101+February!Y101+March!Y101+April!Y101+May!Y101+June!Y101+July!Y101+August!Y101+September!Y101+October!Y101+November!Y101+December!Y101)</f>
        <v/>
      </c>
      <c r="G99" s="24" t="str">
        <f aca="false">IF(B99="","",E99+F99)</f>
        <v/>
      </c>
      <c r="H99" s="8" t="str">
        <f aca="false">IF(B99="","",IF(COUNTIF(ProjNames,B99)&gt;1,"Duplicate name!",IF(OR(C99="",D99=""),"Add number and code","✓")))</f>
        <v/>
      </c>
      <c r="I99" s="1" t="n">
        <f aca="false">IF(N(G99)&gt;0,G99+(205-ROW())/10^6,0)</f>
        <v>0</v>
      </c>
    </row>
    <row r="100" customFormat="false" ht="15" hidden="false" customHeight="false" outlineLevel="0" collapsed="false">
      <c r="A100" s="1"/>
      <c r="B100" s="11"/>
      <c r="C100" s="11"/>
      <c r="D100" s="11"/>
      <c r="E100" s="24" t="str">
        <f aca="false">IF(B100="","",January!X102+February!X102+March!X102+April!X102+May!X102+June!X102+July!X102+August!X102+September!X102+October!X102+November!X102+December!X102)</f>
        <v/>
      </c>
      <c r="F100" s="24" t="str">
        <f aca="false">IF(B100="","",January!Y102+February!Y102+March!Y102+April!Y102+May!Y102+June!Y102+July!Y102+August!Y102+September!Y102+October!Y102+November!Y102+December!Y102)</f>
        <v/>
      </c>
      <c r="G100" s="24" t="str">
        <f aca="false">IF(B100="","",E100+F100)</f>
        <v/>
      </c>
      <c r="H100" s="8" t="str">
        <f aca="false">IF(B100="","",IF(COUNTIF(ProjNames,B100)&gt;1,"Duplicate name!",IF(OR(C100="",D100=""),"Add number and code","✓")))</f>
        <v/>
      </c>
      <c r="I100" s="1" t="n">
        <f aca="false">IF(N(G100)&gt;0,G100+(205-ROW())/10^6,0)</f>
        <v>0</v>
      </c>
    </row>
    <row r="101" customFormat="false" ht="15" hidden="false" customHeight="false" outlineLevel="0" collapsed="false">
      <c r="A101" s="1"/>
      <c r="B101" s="11"/>
      <c r="C101" s="11"/>
      <c r="D101" s="11"/>
      <c r="E101" s="24" t="str">
        <f aca="false">IF(B101="","",January!X103+February!X103+March!X103+April!X103+May!X103+June!X103+July!X103+August!X103+September!X103+October!X103+November!X103+December!X103)</f>
        <v/>
      </c>
      <c r="F101" s="24" t="str">
        <f aca="false">IF(B101="","",January!Y103+February!Y103+March!Y103+April!Y103+May!Y103+June!Y103+July!Y103+August!Y103+September!Y103+October!Y103+November!Y103+December!Y103)</f>
        <v/>
      </c>
      <c r="G101" s="24" t="str">
        <f aca="false">IF(B101="","",E101+F101)</f>
        <v/>
      </c>
      <c r="H101" s="8" t="str">
        <f aca="false">IF(B101="","",IF(COUNTIF(ProjNames,B101)&gt;1,"Duplicate name!",IF(OR(C101="",D101=""),"Add number and code","✓")))</f>
        <v/>
      </c>
      <c r="I101" s="1" t="n">
        <f aca="false">IF(N(G101)&gt;0,G101+(205-ROW())/10^6,0)</f>
        <v>0</v>
      </c>
    </row>
    <row r="102" customFormat="false" ht="15" hidden="false" customHeight="false" outlineLevel="0" collapsed="false">
      <c r="A102" s="1"/>
      <c r="B102" s="11"/>
      <c r="C102" s="11"/>
      <c r="D102" s="11"/>
      <c r="E102" s="24" t="str">
        <f aca="false">IF(B102="","",January!X104+February!X104+March!X104+April!X104+May!X104+June!X104+July!X104+August!X104+September!X104+October!X104+November!X104+December!X104)</f>
        <v/>
      </c>
      <c r="F102" s="24" t="str">
        <f aca="false">IF(B102="","",January!Y104+February!Y104+March!Y104+April!Y104+May!Y104+June!Y104+July!Y104+August!Y104+September!Y104+October!Y104+November!Y104+December!Y104)</f>
        <v/>
      </c>
      <c r="G102" s="24" t="str">
        <f aca="false">IF(B102="","",E102+F102)</f>
        <v/>
      </c>
      <c r="H102" s="8" t="str">
        <f aca="false">IF(B102="","",IF(COUNTIF(ProjNames,B102)&gt;1,"Duplicate name!",IF(OR(C102="",D102=""),"Add number and code","✓")))</f>
        <v/>
      </c>
      <c r="I102" s="1" t="n">
        <f aca="false">IF(N(G102)&gt;0,G102+(205-ROW())/10^6,0)</f>
        <v>0</v>
      </c>
    </row>
    <row r="103" customFormat="false" ht="15" hidden="false" customHeight="false" outlineLevel="0" collapsed="false">
      <c r="A103" s="1"/>
      <c r="B103" s="11"/>
      <c r="C103" s="11"/>
      <c r="D103" s="11"/>
      <c r="E103" s="24" t="str">
        <f aca="false">IF(B103="","",January!X105+February!X105+March!X105+April!X105+May!X105+June!X105+July!X105+August!X105+September!X105+October!X105+November!X105+December!X105)</f>
        <v/>
      </c>
      <c r="F103" s="24" t="str">
        <f aca="false">IF(B103="","",January!Y105+February!Y105+March!Y105+April!Y105+May!Y105+June!Y105+July!Y105+August!Y105+September!Y105+October!Y105+November!Y105+December!Y105)</f>
        <v/>
      </c>
      <c r="G103" s="24" t="str">
        <f aca="false">IF(B103="","",E103+F103)</f>
        <v/>
      </c>
      <c r="H103" s="8" t="str">
        <f aca="false">IF(B103="","",IF(COUNTIF(ProjNames,B103)&gt;1,"Duplicate name!",IF(OR(C103="",D103=""),"Add number and code","✓")))</f>
        <v/>
      </c>
      <c r="I103" s="1" t="n">
        <f aca="false">IF(N(G103)&gt;0,G103+(205-ROW())/10^6,0)</f>
        <v>0</v>
      </c>
    </row>
    <row r="104" customFormat="false" ht="15" hidden="false" customHeight="false" outlineLevel="0" collapsed="false">
      <c r="A104" s="1"/>
      <c r="B104" s="11"/>
      <c r="C104" s="11"/>
      <c r="D104" s="11"/>
      <c r="E104" s="24" t="str">
        <f aca="false">IF(B104="","",January!X106+February!X106+March!X106+April!X106+May!X106+June!X106+July!X106+August!X106+September!X106+October!X106+November!X106+December!X106)</f>
        <v/>
      </c>
      <c r="F104" s="24" t="str">
        <f aca="false">IF(B104="","",January!Y106+February!Y106+March!Y106+April!Y106+May!Y106+June!Y106+July!Y106+August!Y106+September!Y106+October!Y106+November!Y106+December!Y106)</f>
        <v/>
      </c>
      <c r="G104" s="24" t="str">
        <f aca="false">IF(B104="","",E104+F104)</f>
        <v/>
      </c>
      <c r="H104" s="8" t="str">
        <f aca="false">IF(B104="","",IF(COUNTIF(ProjNames,B104)&gt;1,"Duplicate name!",IF(OR(C104="",D104=""),"Add number and code","✓")))</f>
        <v/>
      </c>
      <c r="I104" s="1" t="n">
        <f aca="false">IF(N(G104)&gt;0,G104+(205-ROW())/10^6,0)</f>
        <v>0</v>
      </c>
    </row>
    <row r="105" customFormat="false" ht="15" hidden="false" customHeight="false" outlineLevel="0" collapsed="false">
      <c r="A105" s="1"/>
      <c r="B105" s="11"/>
      <c r="C105" s="11"/>
      <c r="D105" s="11"/>
      <c r="E105" s="24" t="str">
        <f aca="false">IF(B105="","",January!X107+February!X107+March!X107+April!X107+May!X107+June!X107+July!X107+August!X107+September!X107+October!X107+November!X107+December!X107)</f>
        <v/>
      </c>
      <c r="F105" s="24" t="str">
        <f aca="false">IF(B105="","",January!Y107+February!Y107+March!Y107+April!Y107+May!Y107+June!Y107+July!Y107+August!Y107+September!Y107+October!Y107+November!Y107+December!Y107)</f>
        <v/>
      </c>
      <c r="G105" s="24" t="str">
        <f aca="false">IF(B105="","",E105+F105)</f>
        <v/>
      </c>
      <c r="H105" s="8" t="str">
        <f aca="false">IF(B105="","",IF(COUNTIF(ProjNames,B105)&gt;1,"Duplicate name!",IF(OR(C105="",D105=""),"Add number and code","✓")))</f>
        <v/>
      </c>
      <c r="I105" s="1" t="n">
        <f aca="false">IF(N(G105)&gt;0,G105+(205-ROW())/10^6,0)</f>
        <v>0</v>
      </c>
    </row>
    <row r="106" customFormat="false" ht="15" hidden="false" customHeight="false" outlineLevel="0" collapsed="false">
      <c r="A106" s="1"/>
      <c r="B106" s="11"/>
      <c r="C106" s="11"/>
      <c r="D106" s="11"/>
      <c r="E106" s="24" t="str">
        <f aca="false">IF(B106="","",January!X108+February!X108+March!X108+April!X108+May!X108+June!X108+July!X108+August!X108+September!X108+October!X108+November!X108+December!X108)</f>
        <v/>
      </c>
      <c r="F106" s="24" t="str">
        <f aca="false">IF(B106="","",January!Y108+February!Y108+March!Y108+April!Y108+May!Y108+June!Y108+July!Y108+August!Y108+September!Y108+October!Y108+November!Y108+December!Y108)</f>
        <v/>
      </c>
      <c r="G106" s="24" t="str">
        <f aca="false">IF(B106="","",E106+F106)</f>
        <v/>
      </c>
      <c r="H106" s="8" t="str">
        <f aca="false">IF(B106="","",IF(COUNTIF(ProjNames,B106)&gt;1,"Duplicate name!",IF(OR(C106="",D106=""),"Add number and code","✓")))</f>
        <v/>
      </c>
      <c r="I106" s="1" t="n">
        <f aca="false">IF(N(G106)&gt;0,G106+(205-ROW())/10^6,0)</f>
        <v>0</v>
      </c>
    </row>
    <row r="107" customFormat="false" ht="15" hidden="false" customHeight="false" outlineLevel="0" collapsed="false">
      <c r="A107" s="1"/>
      <c r="B107" s="11"/>
      <c r="C107" s="11"/>
      <c r="D107" s="11"/>
      <c r="E107" s="24" t="str">
        <f aca="false">IF(B107="","",January!X109+February!X109+March!X109+April!X109+May!X109+June!X109+July!X109+August!X109+September!X109+October!X109+November!X109+December!X109)</f>
        <v/>
      </c>
      <c r="F107" s="24" t="str">
        <f aca="false">IF(B107="","",January!Y109+February!Y109+March!Y109+April!Y109+May!Y109+June!Y109+July!Y109+August!Y109+September!Y109+October!Y109+November!Y109+December!Y109)</f>
        <v/>
      </c>
      <c r="G107" s="24" t="str">
        <f aca="false">IF(B107="","",E107+F107)</f>
        <v/>
      </c>
      <c r="H107" s="8" t="str">
        <f aca="false">IF(B107="","",IF(COUNTIF(ProjNames,B107)&gt;1,"Duplicate name!",IF(OR(C107="",D107=""),"Add number and code","✓")))</f>
        <v/>
      </c>
      <c r="I107" s="1" t="n">
        <f aca="false">IF(N(G107)&gt;0,G107+(205-ROW())/10^6,0)</f>
        <v>0</v>
      </c>
    </row>
    <row r="108" customFormat="false" ht="15" hidden="false" customHeight="false" outlineLevel="0" collapsed="false">
      <c r="A108" s="1"/>
      <c r="B108" s="11"/>
      <c r="C108" s="11"/>
      <c r="D108" s="11"/>
      <c r="E108" s="24" t="str">
        <f aca="false">IF(B108="","",January!X110+February!X110+March!X110+April!X110+May!X110+June!X110+July!X110+August!X110+September!X110+October!X110+November!X110+December!X110)</f>
        <v/>
      </c>
      <c r="F108" s="24" t="str">
        <f aca="false">IF(B108="","",January!Y110+February!Y110+March!Y110+April!Y110+May!Y110+June!Y110+July!Y110+August!Y110+September!Y110+October!Y110+November!Y110+December!Y110)</f>
        <v/>
      </c>
      <c r="G108" s="24" t="str">
        <f aca="false">IF(B108="","",E108+F108)</f>
        <v/>
      </c>
      <c r="H108" s="8" t="str">
        <f aca="false">IF(B108="","",IF(COUNTIF(ProjNames,B108)&gt;1,"Duplicate name!",IF(OR(C108="",D108=""),"Add number and code","✓")))</f>
        <v/>
      </c>
      <c r="I108" s="1" t="n">
        <f aca="false">IF(N(G108)&gt;0,G108+(205-ROW())/10^6,0)</f>
        <v>0</v>
      </c>
    </row>
    <row r="109" customFormat="false" ht="15" hidden="false" customHeight="false" outlineLevel="0" collapsed="false">
      <c r="A109" s="1"/>
      <c r="B109" s="11"/>
      <c r="C109" s="11"/>
      <c r="D109" s="11"/>
      <c r="E109" s="24" t="str">
        <f aca="false">IF(B109="","",January!X111+February!X111+March!X111+April!X111+May!X111+June!X111+July!X111+August!X111+September!X111+October!X111+November!X111+December!X111)</f>
        <v/>
      </c>
      <c r="F109" s="24" t="str">
        <f aca="false">IF(B109="","",January!Y111+February!Y111+March!Y111+April!Y111+May!Y111+June!Y111+July!Y111+August!Y111+September!Y111+October!Y111+November!Y111+December!Y111)</f>
        <v/>
      </c>
      <c r="G109" s="24" t="str">
        <f aca="false">IF(B109="","",E109+F109)</f>
        <v/>
      </c>
      <c r="H109" s="8" t="str">
        <f aca="false">IF(B109="","",IF(COUNTIF(ProjNames,B109)&gt;1,"Duplicate name!",IF(OR(C109="",D109=""),"Add number and code","✓")))</f>
        <v/>
      </c>
      <c r="I109" s="1" t="n">
        <f aca="false">IF(N(G109)&gt;0,G109+(205-ROW())/10^6,0)</f>
        <v>0</v>
      </c>
    </row>
    <row r="110" customFormat="false" ht="15" hidden="false" customHeight="false" outlineLevel="0" collapsed="false">
      <c r="A110" s="1"/>
      <c r="B110" s="11"/>
      <c r="C110" s="11"/>
      <c r="D110" s="11"/>
      <c r="E110" s="24" t="str">
        <f aca="false">IF(B110="","",January!X112+February!X112+March!X112+April!X112+May!X112+June!X112+July!X112+August!X112+September!X112+October!X112+November!X112+December!X112)</f>
        <v/>
      </c>
      <c r="F110" s="24" t="str">
        <f aca="false">IF(B110="","",January!Y112+February!Y112+March!Y112+April!Y112+May!Y112+June!Y112+July!Y112+August!Y112+September!Y112+October!Y112+November!Y112+December!Y112)</f>
        <v/>
      </c>
      <c r="G110" s="24" t="str">
        <f aca="false">IF(B110="","",E110+F110)</f>
        <v/>
      </c>
      <c r="H110" s="8" t="str">
        <f aca="false">IF(B110="","",IF(COUNTIF(ProjNames,B110)&gt;1,"Duplicate name!",IF(OR(C110="",D110=""),"Add number and code","✓")))</f>
        <v/>
      </c>
      <c r="I110" s="1" t="n">
        <f aca="false">IF(N(G110)&gt;0,G110+(205-ROW())/10^6,0)</f>
        <v>0</v>
      </c>
    </row>
    <row r="111" customFormat="false" ht="15" hidden="false" customHeight="false" outlineLevel="0" collapsed="false">
      <c r="A111" s="1"/>
      <c r="B111" s="11"/>
      <c r="C111" s="11"/>
      <c r="D111" s="11"/>
      <c r="E111" s="24" t="str">
        <f aca="false">IF(B111="","",January!X113+February!X113+March!X113+April!X113+May!X113+June!X113+July!X113+August!X113+September!X113+October!X113+November!X113+December!X113)</f>
        <v/>
      </c>
      <c r="F111" s="24" t="str">
        <f aca="false">IF(B111="","",January!Y113+February!Y113+March!Y113+April!Y113+May!Y113+June!Y113+July!Y113+August!Y113+September!Y113+October!Y113+November!Y113+December!Y113)</f>
        <v/>
      </c>
      <c r="G111" s="24" t="str">
        <f aca="false">IF(B111="","",E111+F111)</f>
        <v/>
      </c>
      <c r="H111" s="8" t="str">
        <f aca="false">IF(B111="","",IF(COUNTIF(ProjNames,B111)&gt;1,"Duplicate name!",IF(OR(C111="",D111=""),"Add number and code","✓")))</f>
        <v/>
      </c>
      <c r="I111" s="1" t="n">
        <f aca="false">IF(N(G111)&gt;0,G111+(205-ROW())/10^6,0)</f>
        <v>0</v>
      </c>
    </row>
    <row r="112" customFormat="false" ht="15" hidden="false" customHeight="false" outlineLevel="0" collapsed="false">
      <c r="A112" s="1"/>
      <c r="B112" s="11"/>
      <c r="C112" s="11"/>
      <c r="D112" s="11"/>
      <c r="E112" s="24" t="str">
        <f aca="false">IF(B112="","",January!X114+February!X114+March!X114+April!X114+May!X114+June!X114+July!X114+August!X114+September!X114+October!X114+November!X114+December!X114)</f>
        <v/>
      </c>
      <c r="F112" s="24" t="str">
        <f aca="false">IF(B112="","",January!Y114+February!Y114+March!Y114+April!Y114+May!Y114+June!Y114+July!Y114+August!Y114+September!Y114+October!Y114+November!Y114+December!Y114)</f>
        <v/>
      </c>
      <c r="G112" s="24" t="str">
        <f aca="false">IF(B112="","",E112+F112)</f>
        <v/>
      </c>
      <c r="H112" s="8" t="str">
        <f aca="false">IF(B112="","",IF(COUNTIF(ProjNames,B112)&gt;1,"Duplicate name!",IF(OR(C112="",D112=""),"Add number and code","✓")))</f>
        <v/>
      </c>
      <c r="I112" s="1" t="n">
        <f aca="false">IF(N(G112)&gt;0,G112+(205-ROW())/10^6,0)</f>
        <v>0</v>
      </c>
    </row>
    <row r="113" customFormat="false" ht="15" hidden="false" customHeight="false" outlineLevel="0" collapsed="false">
      <c r="A113" s="1"/>
      <c r="B113" s="11"/>
      <c r="C113" s="11"/>
      <c r="D113" s="11"/>
      <c r="E113" s="24" t="str">
        <f aca="false">IF(B113="","",January!X115+February!X115+March!X115+April!X115+May!X115+June!X115+July!X115+August!X115+September!X115+October!X115+November!X115+December!X115)</f>
        <v/>
      </c>
      <c r="F113" s="24" t="str">
        <f aca="false">IF(B113="","",January!Y115+February!Y115+March!Y115+April!Y115+May!Y115+June!Y115+July!Y115+August!Y115+September!Y115+October!Y115+November!Y115+December!Y115)</f>
        <v/>
      </c>
      <c r="G113" s="24" t="str">
        <f aca="false">IF(B113="","",E113+F113)</f>
        <v/>
      </c>
      <c r="H113" s="8" t="str">
        <f aca="false">IF(B113="","",IF(COUNTIF(ProjNames,B113)&gt;1,"Duplicate name!",IF(OR(C113="",D113=""),"Add number and code","✓")))</f>
        <v/>
      </c>
      <c r="I113" s="1" t="n">
        <f aca="false">IF(N(G113)&gt;0,G113+(205-ROW())/10^6,0)</f>
        <v>0</v>
      </c>
    </row>
    <row r="114" customFormat="false" ht="15" hidden="false" customHeight="false" outlineLevel="0" collapsed="false">
      <c r="A114" s="1"/>
      <c r="B114" s="11"/>
      <c r="C114" s="11"/>
      <c r="D114" s="11"/>
      <c r="E114" s="24" t="str">
        <f aca="false">IF(B114="","",January!X116+February!X116+March!X116+April!X116+May!X116+June!X116+July!X116+August!X116+September!X116+October!X116+November!X116+December!X116)</f>
        <v/>
      </c>
      <c r="F114" s="24" t="str">
        <f aca="false">IF(B114="","",January!Y116+February!Y116+March!Y116+April!Y116+May!Y116+June!Y116+July!Y116+August!Y116+September!Y116+October!Y116+November!Y116+December!Y116)</f>
        <v/>
      </c>
      <c r="G114" s="24" t="str">
        <f aca="false">IF(B114="","",E114+F114)</f>
        <v/>
      </c>
      <c r="H114" s="8" t="str">
        <f aca="false">IF(B114="","",IF(COUNTIF(ProjNames,B114)&gt;1,"Duplicate name!",IF(OR(C114="",D114=""),"Add number and code","✓")))</f>
        <v/>
      </c>
      <c r="I114" s="1" t="n">
        <f aca="false">IF(N(G114)&gt;0,G114+(205-ROW())/10^6,0)</f>
        <v>0</v>
      </c>
    </row>
    <row r="115" customFormat="false" ht="15" hidden="false" customHeight="false" outlineLevel="0" collapsed="false">
      <c r="A115" s="1"/>
      <c r="B115" s="11"/>
      <c r="C115" s="11"/>
      <c r="D115" s="11"/>
      <c r="E115" s="24" t="str">
        <f aca="false">IF(B115="","",January!X117+February!X117+March!X117+April!X117+May!X117+June!X117+July!X117+August!X117+September!X117+October!X117+November!X117+December!X117)</f>
        <v/>
      </c>
      <c r="F115" s="24" t="str">
        <f aca="false">IF(B115="","",January!Y117+February!Y117+March!Y117+April!Y117+May!Y117+June!Y117+July!Y117+August!Y117+September!Y117+October!Y117+November!Y117+December!Y117)</f>
        <v/>
      </c>
      <c r="G115" s="24" t="str">
        <f aca="false">IF(B115="","",E115+F115)</f>
        <v/>
      </c>
      <c r="H115" s="8" t="str">
        <f aca="false">IF(B115="","",IF(COUNTIF(ProjNames,B115)&gt;1,"Duplicate name!",IF(OR(C115="",D115=""),"Add number and code","✓")))</f>
        <v/>
      </c>
      <c r="I115" s="1" t="n">
        <f aca="false">IF(N(G115)&gt;0,G115+(205-ROW())/10^6,0)</f>
        <v>0</v>
      </c>
    </row>
    <row r="116" customFormat="false" ht="15" hidden="false" customHeight="false" outlineLevel="0" collapsed="false">
      <c r="A116" s="1"/>
      <c r="B116" s="11"/>
      <c r="C116" s="11"/>
      <c r="D116" s="11"/>
      <c r="E116" s="24" t="str">
        <f aca="false">IF(B116="","",January!X118+February!X118+March!X118+April!X118+May!X118+June!X118+July!X118+August!X118+September!X118+October!X118+November!X118+December!X118)</f>
        <v/>
      </c>
      <c r="F116" s="24" t="str">
        <f aca="false">IF(B116="","",January!Y118+February!Y118+March!Y118+April!Y118+May!Y118+June!Y118+July!Y118+August!Y118+September!Y118+October!Y118+November!Y118+December!Y118)</f>
        <v/>
      </c>
      <c r="G116" s="24" t="str">
        <f aca="false">IF(B116="","",E116+F116)</f>
        <v/>
      </c>
      <c r="H116" s="8" t="str">
        <f aca="false">IF(B116="","",IF(COUNTIF(ProjNames,B116)&gt;1,"Duplicate name!",IF(OR(C116="",D116=""),"Add number and code","✓")))</f>
        <v/>
      </c>
      <c r="I116" s="1" t="n">
        <f aca="false">IF(N(G116)&gt;0,G116+(205-ROW())/10^6,0)</f>
        <v>0</v>
      </c>
    </row>
    <row r="117" customFormat="false" ht="15" hidden="false" customHeight="false" outlineLevel="0" collapsed="false">
      <c r="A117" s="1"/>
      <c r="B117" s="11"/>
      <c r="C117" s="11"/>
      <c r="D117" s="11"/>
      <c r="E117" s="24" t="str">
        <f aca="false">IF(B117="","",January!X119+February!X119+March!X119+April!X119+May!X119+June!X119+July!X119+August!X119+September!X119+October!X119+November!X119+December!X119)</f>
        <v/>
      </c>
      <c r="F117" s="24" t="str">
        <f aca="false">IF(B117="","",January!Y119+February!Y119+March!Y119+April!Y119+May!Y119+June!Y119+July!Y119+August!Y119+September!Y119+October!Y119+November!Y119+December!Y119)</f>
        <v/>
      </c>
      <c r="G117" s="24" t="str">
        <f aca="false">IF(B117="","",E117+F117)</f>
        <v/>
      </c>
      <c r="H117" s="8" t="str">
        <f aca="false">IF(B117="","",IF(COUNTIF(ProjNames,B117)&gt;1,"Duplicate name!",IF(OR(C117="",D117=""),"Add number and code","✓")))</f>
        <v/>
      </c>
      <c r="I117" s="1" t="n">
        <f aca="false">IF(N(G117)&gt;0,G117+(205-ROW())/10^6,0)</f>
        <v>0</v>
      </c>
    </row>
    <row r="118" customFormat="false" ht="15" hidden="false" customHeight="false" outlineLevel="0" collapsed="false">
      <c r="A118" s="1"/>
      <c r="B118" s="11"/>
      <c r="C118" s="11"/>
      <c r="D118" s="11"/>
      <c r="E118" s="24" t="str">
        <f aca="false">IF(B118="","",January!X120+February!X120+March!X120+April!X120+May!X120+June!X120+July!X120+August!X120+September!X120+October!X120+November!X120+December!X120)</f>
        <v/>
      </c>
      <c r="F118" s="24" t="str">
        <f aca="false">IF(B118="","",January!Y120+February!Y120+March!Y120+April!Y120+May!Y120+June!Y120+July!Y120+August!Y120+September!Y120+October!Y120+November!Y120+December!Y120)</f>
        <v/>
      </c>
      <c r="G118" s="24" t="str">
        <f aca="false">IF(B118="","",E118+F118)</f>
        <v/>
      </c>
      <c r="H118" s="8" t="str">
        <f aca="false">IF(B118="","",IF(COUNTIF(ProjNames,B118)&gt;1,"Duplicate name!",IF(OR(C118="",D118=""),"Add number and code","✓")))</f>
        <v/>
      </c>
      <c r="I118" s="1" t="n">
        <f aca="false">IF(N(G118)&gt;0,G118+(205-ROW())/10^6,0)</f>
        <v>0</v>
      </c>
    </row>
    <row r="119" customFormat="false" ht="15" hidden="false" customHeight="false" outlineLevel="0" collapsed="false">
      <c r="A119" s="1"/>
      <c r="B119" s="11"/>
      <c r="C119" s="11"/>
      <c r="D119" s="11"/>
      <c r="E119" s="24" t="str">
        <f aca="false">IF(B119="","",January!X121+February!X121+March!X121+April!X121+May!X121+June!X121+July!X121+August!X121+September!X121+October!X121+November!X121+December!X121)</f>
        <v/>
      </c>
      <c r="F119" s="24" t="str">
        <f aca="false">IF(B119="","",January!Y121+February!Y121+March!Y121+April!Y121+May!Y121+June!Y121+July!Y121+August!Y121+September!Y121+October!Y121+November!Y121+December!Y121)</f>
        <v/>
      </c>
      <c r="G119" s="24" t="str">
        <f aca="false">IF(B119="","",E119+F119)</f>
        <v/>
      </c>
      <c r="H119" s="8" t="str">
        <f aca="false">IF(B119="","",IF(COUNTIF(ProjNames,B119)&gt;1,"Duplicate name!",IF(OR(C119="",D119=""),"Add number and code","✓")))</f>
        <v/>
      </c>
      <c r="I119" s="1" t="n">
        <f aca="false">IF(N(G119)&gt;0,G119+(205-ROW())/10^6,0)</f>
        <v>0</v>
      </c>
    </row>
    <row r="120" customFormat="false" ht="15" hidden="false" customHeight="false" outlineLevel="0" collapsed="false">
      <c r="A120" s="1"/>
      <c r="B120" s="11"/>
      <c r="C120" s="11"/>
      <c r="D120" s="11"/>
      <c r="E120" s="24" t="str">
        <f aca="false">IF(B120="","",January!X122+February!X122+March!X122+April!X122+May!X122+June!X122+July!X122+August!X122+September!X122+October!X122+November!X122+December!X122)</f>
        <v/>
      </c>
      <c r="F120" s="24" t="str">
        <f aca="false">IF(B120="","",January!Y122+February!Y122+March!Y122+April!Y122+May!Y122+June!Y122+July!Y122+August!Y122+September!Y122+October!Y122+November!Y122+December!Y122)</f>
        <v/>
      </c>
      <c r="G120" s="24" t="str">
        <f aca="false">IF(B120="","",E120+F120)</f>
        <v/>
      </c>
      <c r="H120" s="8" t="str">
        <f aca="false">IF(B120="","",IF(COUNTIF(ProjNames,B120)&gt;1,"Duplicate name!",IF(OR(C120="",D120=""),"Add number and code","✓")))</f>
        <v/>
      </c>
      <c r="I120" s="1" t="n">
        <f aca="false">IF(N(G120)&gt;0,G120+(205-ROW())/10^6,0)</f>
        <v>0</v>
      </c>
    </row>
    <row r="121" customFormat="false" ht="15" hidden="false" customHeight="false" outlineLevel="0" collapsed="false">
      <c r="A121" s="1"/>
      <c r="B121" s="11"/>
      <c r="C121" s="11"/>
      <c r="D121" s="11"/>
      <c r="E121" s="24" t="str">
        <f aca="false">IF(B121="","",January!X123+February!X123+March!X123+April!X123+May!X123+June!X123+July!X123+August!X123+September!X123+October!X123+November!X123+December!X123)</f>
        <v/>
      </c>
      <c r="F121" s="24" t="str">
        <f aca="false">IF(B121="","",January!Y123+February!Y123+March!Y123+April!Y123+May!Y123+June!Y123+July!Y123+August!Y123+September!Y123+October!Y123+November!Y123+December!Y123)</f>
        <v/>
      </c>
      <c r="G121" s="24" t="str">
        <f aca="false">IF(B121="","",E121+F121)</f>
        <v/>
      </c>
      <c r="H121" s="8" t="str">
        <f aca="false">IF(B121="","",IF(COUNTIF(ProjNames,B121)&gt;1,"Duplicate name!",IF(OR(C121="",D121=""),"Add number and code","✓")))</f>
        <v/>
      </c>
      <c r="I121" s="1" t="n">
        <f aca="false">IF(N(G121)&gt;0,G121+(205-ROW())/10^6,0)</f>
        <v>0</v>
      </c>
    </row>
    <row r="122" customFormat="false" ht="15" hidden="false" customHeight="false" outlineLevel="0" collapsed="false">
      <c r="A122" s="1"/>
      <c r="B122" s="11"/>
      <c r="C122" s="11"/>
      <c r="D122" s="11"/>
      <c r="E122" s="24" t="str">
        <f aca="false">IF(B122="","",January!X124+February!X124+March!X124+April!X124+May!X124+June!X124+July!X124+August!X124+September!X124+October!X124+November!X124+December!X124)</f>
        <v/>
      </c>
      <c r="F122" s="24" t="str">
        <f aca="false">IF(B122="","",January!Y124+February!Y124+March!Y124+April!Y124+May!Y124+June!Y124+July!Y124+August!Y124+September!Y124+October!Y124+November!Y124+December!Y124)</f>
        <v/>
      </c>
      <c r="G122" s="24" t="str">
        <f aca="false">IF(B122="","",E122+F122)</f>
        <v/>
      </c>
      <c r="H122" s="8" t="str">
        <f aca="false">IF(B122="","",IF(COUNTIF(ProjNames,B122)&gt;1,"Duplicate name!",IF(OR(C122="",D122=""),"Add number and code","✓")))</f>
        <v/>
      </c>
      <c r="I122" s="1" t="n">
        <f aca="false">IF(N(G122)&gt;0,G122+(205-ROW())/10^6,0)</f>
        <v>0</v>
      </c>
    </row>
    <row r="123" customFormat="false" ht="15" hidden="false" customHeight="false" outlineLevel="0" collapsed="false">
      <c r="A123" s="1"/>
      <c r="B123" s="11"/>
      <c r="C123" s="11"/>
      <c r="D123" s="11"/>
      <c r="E123" s="24" t="str">
        <f aca="false">IF(B123="","",January!X125+February!X125+March!X125+April!X125+May!X125+June!X125+July!X125+August!X125+September!X125+October!X125+November!X125+December!X125)</f>
        <v/>
      </c>
      <c r="F123" s="24" t="str">
        <f aca="false">IF(B123="","",January!Y125+February!Y125+March!Y125+April!Y125+May!Y125+June!Y125+July!Y125+August!Y125+September!Y125+October!Y125+November!Y125+December!Y125)</f>
        <v/>
      </c>
      <c r="G123" s="24" t="str">
        <f aca="false">IF(B123="","",E123+F123)</f>
        <v/>
      </c>
      <c r="H123" s="8" t="str">
        <f aca="false">IF(B123="","",IF(COUNTIF(ProjNames,B123)&gt;1,"Duplicate name!",IF(OR(C123="",D123=""),"Add number and code","✓")))</f>
        <v/>
      </c>
      <c r="I123" s="1" t="n">
        <f aca="false">IF(N(G123)&gt;0,G123+(205-ROW())/10^6,0)</f>
        <v>0</v>
      </c>
    </row>
    <row r="124" customFormat="false" ht="15" hidden="false" customHeight="false" outlineLevel="0" collapsed="false">
      <c r="A124" s="1"/>
      <c r="B124" s="11"/>
      <c r="C124" s="11"/>
      <c r="D124" s="11"/>
      <c r="E124" s="24" t="str">
        <f aca="false">IF(B124="","",January!X126+February!X126+March!X126+April!X126+May!X126+June!X126+July!X126+August!X126+September!X126+October!X126+November!X126+December!X126)</f>
        <v/>
      </c>
      <c r="F124" s="24" t="str">
        <f aca="false">IF(B124="","",January!Y126+February!Y126+March!Y126+April!Y126+May!Y126+June!Y126+July!Y126+August!Y126+September!Y126+October!Y126+November!Y126+December!Y126)</f>
        <v/>
      </c>
      <c r="G124" s="24" t="str">
        <f aca="false">IF(B124="","",E124+F124)</f>
        <v/>
      </c>
      <c r="H124" s="8" t="str">
        <f aca="false">IF(B124="","",IF(COUNTIF(ProjNames,B124)&gt;1,"Duplicate name!",IF(OR(C124="",D124=""),"Add number and code","✓")))</f>
        <v/>
      </c>
      <c r="I124" s="1" t="n">
        <f aca="false">IF(N(G124)&gt;0,G124+(205-ROW())/10^6,0)</f>
        <v>0</v>
      </c>
    </row>
    <row r="125" customFormat="false" ht="15" hidden="false" customHeight="false" outlineLevel="0" collapsed="false">
      <c r="A125" s="1"/>
      <c r="B125" s="11"/>
      <c r="C125" s="11"/>
      <c r="D125" s="11"/>
      <c r="E125" s="24" t="str">
        <f aca="false">IF(B125="","",January!X127+February!X127+March!X127+April!X127+May!X127+June!X127+July!X127+August!X127+September!X127+October!X127+November!X127+December!X127)</f>
        <v/>
      </c>
      <c r="F125" s="24" t="str">
        <f aca="false">IF(B125="","",January!Y127+February!Y127+March!Y127+April!Y127+May!Y127+June!Y127+July!Y127+August!Y127+September!Y127+October!Y127+November!Y127+December!Y127)</f>
        <v/>
      </c>
      <c r="G125" s="24" t="str">
        <f aca="false">IF(B125="","",E125+F125)</f>
        <v/>
      </c>
      <c r="H125" s="8" t="str">
        <f aca="false">IF(B125="","",IF(COUNTIF(ProjNames,B125)&gt;1,"Duplicate name!",IF(OR(C125="",D125=""),"Add number and code","✓")))</f>
        <v/>
      </c>
      <c r="I125" s="1" t="n">
        <f aca="false">IF(N(G125)&gt;0,G125+(205-ROW())/10^6,0)</f>
        <v>0</v>
      </c>
    </row>
    <row r="126" customFormat="false" ht="15" hidden="false" customHeight="false" outlineLevel="0" collapsed="false">
      <c r="A126" s="1"/>
      <c r="B126" s="11"/>
      <c r="C126" s="11"/>
      <c r="D126" s="11"/>
      <c r="E126" s="24" t="str">
        <f aca="false">IF(B126="","",January!X128+February!X128+March!X128+April!X128+May!X128+June!X128+July!X128+August!X128+September!X128+October!X128+November!X128+December!X128)</f>
        <v/>
      </c>
      <c r="F126" s="24" t="str">
        <f aca="false">IF(B126="","",January!Y128+February!Y128+March!Y128+April!Y128+May!Y128+June!Y128+July!Y128+August!Y128+September!Y128+October!Y128+November!Y128+December!Y128)</f>
        <v/>
      </c>
      <c r="G126" s="24" t="str">
        <f aca="false">IF(B126="","",E126+F126)</f>
        <v/>
      </c>
      <c r="H126" s="8" t="str">
        <f aca="false">IF(B126="","",IF(COUNTIF(ProjNames,B126)&gt;1,"Duplicate name!",IF(OR(C126="",D126=""),"Add number and code","✓")))</f>
        <v/>
      </c>
      <c r="I126" s="1" t="n">
        <f aca="false">IF(N(G126)&gt;0,G126+(205-ROW())/10^6,0)</f>
        <v>0</v>
      </c>
    </row>
    <row r="127" customFormat="false" ht="15" hidden="false" customHeight="false" outlineLevel="0" collapsed="false">
      <c r="A127" s="1"/>
      <c r="B127" s="11"/>
      <c r="C127" s="11"/>
      <c r="D127" s="11"/>
      <c r="E127" s="24" t="str">
        <f aca="false">IF(B127="","",January!X129+February!X129+March!X129+April!X129+May!X129+June!X129+July!X129+August!X129+September!X129+October!X129+November!X129+December!X129)</f>
        <v/>
      </c>
      <c r="F127" s="24" t="str">
        <f aca="false">IF(B127="","",January!Y129+February!Y129+March!Y129+April!Y129+May!Y129+June!Y129+July!Y129+August!Y129+September!Y129+October!Y129+November!Y129+December!Y129)</f>
        <v/>
      </c>
      <c r="G127" s="24" t="str">
        <f aca="false">IF(B127="","",E127+F127)</f>
        <v/>
      </c>
      <c r="H127" s="8" t="str">
        <f aca="false">IF(B127="","",IF(COUNTIF(ProjNames,B127)&gt;1,"Duplicate name!",IF(OR(C127="",D127=""),"Add number and code","✓")))</f>
        <v/>
      </c>
      <c r="I127" s="1" t="n">
        <f aca="false">IF(N(G127)&gt;0,G127+(205-ROW())/10^6,0)</f>
        <v>0</v>
      </c>
    </row>
    <row r="128" customFormat="false" ht="15" hidden="false" customHeight="false" outlineLevel="0" collapsed="false">
      <c r="A128" s="1"/>
      <c r="B128" s="11"/>
      <c r="C128" s="11"/>
      <c r="D128" s="11"/>
      <c r="E128" s="24" t="str">
        <f aca="false">IF(B128="","",January!X130+February!X130+March!X130+April!X130+May!X130+June!X130+July!X130+August!X130+September!X130+October!X130+November!X130+December!X130)</f>
        <v/>
      </c>
      <c r="F128" s="24" t="str">
        <f aca="false">IF(B128="","",January!Y130+February!Y130+March!Y130+April!Y130+May!Y130+June!Y130+July!Y130+August!Y130+September!Y130+October!Y130+November!Y130+December!Y130)</f>
        <v/>
      </c>
      <c r="G128" s="24" t="str">
        <f aca="false">IF(B128="","",E128+F128)</f>
        <v/>
      </c>
      <c r="H128" s="8" t="str">
        <f aca="false">IF(B128="","",IF(COUNTIF(ProjNames,B128)&gt;1,"Duplicate name!",IF(OR(C128="",D128=""),"Add number and code","✓")))</f>
        <v/>
      </c>
      <c r="I128" s="1" t="n">
        <f aca="false">IF(N(G128)&gt;0,G128+(205-ROW())/10^6,0)</f>
        <v>0</v>
      </c>
    </row>
    <row r="129" customFormat="false" ht="15" hidden="false" customHeight="false" outlineLevel="0" collapsed="false">
      <c r="A129" s="1"/>
      <c r="B129" s="11"/>
      <c r="C129" s="11"/>
      <c r="D129" s="11"/>
      <c r="E129" s="24" t="str">
        <f aca="false">IF(B129="","",January!X131+February!X131+March!X131+April!X131+May!X131+June!X131+July!X131+August!X131+September!X131+October!X131+November!X131+December!X131)</f>
        <v/>
      </c>
      <c r="F129" s="24" t="str">
        <f aca="false">IF(B129="","",January!Y131+February!Y131+March!Y131+April!Y131+May!Y131+June!Y131+July!Y131+August!Y131+September!Y131+October!Y131+November!Y131+December!Y131)</f>
        <v/>
      </c>
      <c r="G129" s="24" t="str">
        <f aca="false">IF(B129="","",E129+F129)</f>
        <v/>
      </c>
      <c r="H129" s="8" t="str">
        <f aca="false">IF(B129="","",IF(COUNTIF(ProjNames,B129)&gt;1,"Duplicate name!",IF(OR(C129="",D129=""),"Add number and code","✓")))</f>
        <v/>
      </c>
      <c r="I129" s="1" t="n">
        <f aca="false">IF(N(G129)&gt;0,G129+(205-ROW())/10^6,0)</f>
        <v>0</v>
      </c>
    </row>
    <row r="130" customFormat="false" ht="15" hidden="false" customHeight="false" outlineLevel="0" collapsed="false">
      <c r="A130" s="1"/>
      <c r="B130" s="11"/>
      <c r="C130" s="11"/>
      <c r="D130" s="11"/>
      <c r="E130" s="24" t="str">
        <f aca="false">IF(B130="","",January!X132+February!X132+March!X132+April!X132+May!X132+June!X132+July!X132+August!X132+September!X132+October!X132+November!X132+December!X132)</f>
        <v/>
      </c>
      <c r="F130" s="24" t="str">
        <f aca="false">IF(B130="","",January!Y132+February!Y132+March!Y132+April!Y132+May!Y132+June!Y132+July!Y132+August!Y132+September!Y132+October!Y132+November!Y132+December!Y132)</f>
        <v/>
      </c>
      <c r="G130" s="24" t="str">
        <f aca="false">IF(B130="","",E130+F130)</f>
        <v/>
      </c>
      <c r="H130" s="8" t="str">
        <f aca="false">IF(B130="","",IF(COUNTIF(ProjNames,B130)&gt;1,"Duplicate name!",IF(OR(C130="",D130=""),"Add number and code","✓")))</f>
        <v/>
      </c>
      <c r="I130" s="1" t="n">
        <f aca="false">IF(N(G130)&gt;0,G130+(205-ROW())/10^6,0)</f>
        <v>0</v>
      </c>
    </row>
    <row r="131" customFormat="false" ht="15" hidden="false" customHeight="false" outlineLevel="0" collapsed="false">
      <c r="A131" s="1"/>
      <c r="B131" s="11"/>
      <c r="C131" s="11"/>
      <c r="D131" s="11"/>
      <c r="E131" s="24" t="str">
        <f aca="false">IF(B131="","",January!X133+February!X133+March!X133+April!X133+May!X133+June!X133+July!X133+August!X133+September!X133+October!X133+November!X133+December!X133)</f>
        <v/>
      </c>
      <c r="F131" s="24" t="str">
        <f aca="false">IF(B131="","",January!Y133+February!Y133+March!Y133+April!Y133+May!Y133+June!Y133+July!Y133+August!Y133+September!Y133+October!Y133+November!Y133+December!Y133)</f>
        <v/>
      </c>
      <c r="G131" s="24" t="str">
        <f aca="false">IF(B131="","",E131+F131)</f>
        <v/>
      </c>
      <c r="H131" s="8" t="str">
        <f aca="false">IF(B131="","",IF(COUNTIF(ProjNames,B131)&gt;1,"Duplicate name!",IF(OR(C131="",D131=""),"Add number and code","✓")))</f>
        <v/>
      </c>
      <c r="I131" s="1" t="n">
        <f aca="false">IF(N(G131)&gt;0,G131+(205-ROW())/10^6,0)</f>
        <v>0</v>
      </c>
    </row>
    <row r="132" customFormat="false" ht="15" hidden="false" customHeight="false" outlineLevel="0" collapsed="false">
      <c r="A132" s="1"/>
      <c r="B132" s="11"/>
      <c r="C132" s="11"/>
      <c r="D132" s="11"/>
      <c r="E132" s="24" t="str">
        <f aca="false">IF(B132="","",January!X134+February!X134+March!X134+April!X134+May!X134+June!X134+July!X134+August!X134+September!X134+October!X134+November!X134+December!X134)</f>
        <v/>
      </c>
      <c r="F132" s="24" t="str">
        <f aca="false">IF(B132="","",January!Y134+February!Y134+March!Y134+April!Y134+May!Y134+June!Y134+July!Y134+August!Y134+September!Y134+October!Y134+November!Y134+December!Y134)</f>
        <v/>
      </c>
      <c r="G132" s="24" t="str">
        <f aca="false">IF(B132="","",E132+F132)</f>
        <v/>
      </c>
      <c r="H132" s="8" t="str">
        <f aca="false">IF(B132="","",IF(COUNTIF(ProjNames,B132)&gt;1,"Duplicate name!",IF(OR(C132="",D132=""),"Add number and code","✓")))</f>
        <v/>
      </c>
      <c r="I132" s="1" t="n">
        <f aca="false">IF(N(G132)&gt;0,G132+(205-ROW())/10^6,0)</f>
        <v>0</v>
      </c>
    </row>
    <row r="133" customFormat="false" ht="15" hidden="false" customHeight="false" outlineLevel="0" collapsed="false">
      <c r="A133" s="1"/>
      <c r="B133" s="11"/>
      <c r="C133" s="11"/>
      <c r="D133" s="11"/>
      <c r="E133" s="24" t="str">
        <f aca="false">IF(B133="","",January!X135+February!X135+March!X135+April!X135+May!X135+June!X135+July!X135+August!X135+September!X135+October!X135+November!X135+December!X135)</f>
        <v/>
      </c>
      <c r="F133" s="24" t="str">
        <f aca="false">IF(B133="","",January!Y135+February!Y135+March!Y135+April!Y135+May!Y135+June!Y135+July!Y135+August!Y135+September!Y135+October!Y135+November!Y135+December!Y135)</f>
        <v/>
      </c>
      <c r="G133" s="24" t="str">
        <f aca="false">IF(B133="","",E133+F133)</f>
        <v/>
      </c>
      <c r="H133" s="8" t="str">
        <f aca="false">IF(B133="","",IF(COUNTIF(ProjNames,B133)&gt;1,"Duplicate name!",IF(OR(C133="",D133=""),"Add number and code","✓")))</f>
        <v/>
      </c>
      <c r="I133" s="1" t="n">
        <f aca="false">IF(N(G133)&gt;0,G133+(205-ROW())/10^6,0)</f>
        <v>0</v>
      </c>
    </row>
    <row r="134" customFormat="false" ht="15" hidden="false" customHeight="false" outlineLevel="0" collapsed="false">
      <c r="A134" s="1"/>
      <c r="B134" s="11"/>
      <c r="C134" s="11"/>
      <c r="D134" s="11"/>
      <c r="E134" s="24" t="str">
        <f aca="false">IF(B134="","",January!X136+February!X136+March!X136+April!X136+May!X136+June!X136+July!X136+August!X136+September!X136+October!X136+November!X136+December!X136)</f>
        <v/>
      </c>
      <c r="F134" s="24" t="str">
        <f aca="false">IF(B134="","",January!Y136+February!Y136+March!Y136+April!Y136+May!Y136+June!Y136+July!Y136+August!Y136+September!Y136+October!Y136+November!Y136+December!Y136)</f>
        <v/>
      </c>
      <c r="G134" s="24" t="str">
        <f aca="false">IF(B134="","",E134+F134)</f>
        <v/>
      </c>
      <c r="H134" s="8" t="str">
        <f aca="false">IF(B134="","",IF(COUNTIF(ProjNames,B134)&gt;1,"Duplicate name!",IF(OR(C134="",D134=""),"Add number and code","✓")))</f>
        <v/>
      </c>
      <c r="I134" s="1" t="n">
        <f aca="false">IF(N(G134)&gt;0,G134+(205-ROW())/10^6,0)</f>
        <v>0</v>
      </c>
    </row>
    <row r="135" customFormat="false" ht="15" hidden="false" customHeight="false" outlineLevel="0" collapsed="false">
      <c r="A135" s="1"/>
      <c r="B135" s="11"/>
      <c r="C135" s="11"/>
      <c r="D135" s="11"/>
      <c r="E135" s="24" t="str">
        <f aca="false">IF(B135="","",January!X137+February!X137+March!X137+April!X137+May!X137+June!X137+July!X137+August!X137+September!X137+October!X137+November!X137+December!X137)</f>
        <v/>
      </c>
      <c r="F135" s="24" t="str">
        <f aca="false">IF(B135="","",January!Y137+February!Y137+March!Y137+April!Y137+May!Y137+June!Y137+July!Y137+August!Y137+September!Y137+October!Y137+November!Y137+December!Y137)</f>
        <v/>
      </c>
      <c r="G135" s="24" t="str">
        <f aca="false">IF(B135="","",E135+F135)</f>
        <v/>
      </c>
      <c r="H135" s="8" t="str">
        <f aca="false">IF(B135="","",IF(COUNTIF(ProjNames,B135)&gt;1,"Duplicate name!",IF(OR(C135="",D135=""),"Add number and code","✓")))</f>
        <v/>
      </c>
      <c r="I135" s="1" t="n">
        <f aca="false">IF(N(G135)&gt;0,G135+(205-ROW())/10^6,0)</f>
        <v>0</v>
      </c>
    </row>
    <row r="136" customFormat="false" ht="15" hidden="false" customHeight="false" outlineLevel="0" collapsed="false">
      <c r="A136" s="1"/>
      <c r="B136" s="11"/>
      <c r="C136" s="11"/>
      <c r="D136" s="11"/>
      <c r="E136" s="24" t="str">
        <f aca="false">IF(B136="","",January!X138+February!X138+March!X138+April!X138+May!X138+June!X138+July!X138+August!X138+September!X138+October!X138+November!X138+December!X138)</f>
        <v/>
      </c>
      <c r="F136" s="24" t="str">
        <f aca="false">IF(B136="","",January!Y138+February!Y138+March!Y138+April!Y138+May!Y138+June!Y138+July!Y138+August!Y138+September!Y138+October!Y138+November!Y138+December!Y138)</f>
        <v/>
      </c>
      <c r="G136" s="24" t="str">
        <f aca="false">IF(B136="","",E136+F136)</f>
        <v/>
      </c>
      <c r="H136" s="8" t="str">
        <f aca="false">IF(B136="","",IF(COUNTIF(ProjNames,B136)&gt;1,"Duplicate name!",IF(OR(C136="",D136=""),"Add number and code","✓")))</f>
        <v/>
      </c>
      <c r="I136" s="1" t="n">
        <f aca="false">IF(N(G136)&gt;0,G136+(205-ROW())/10^6,0)</f>
        <v>0</v>
      </c>
    </row>
    <row r="137" customFormat="false" ht="15" hidden="false" customHeight="false" outlineLevel="0" collapsed="false">
      <c r="A137" s="1"/>
      <c r="B137" s="11"/>
      <c r="C137" s="11"/>
      <c r="D137" s="11"/>
      <c r="E137" s="24" t="str">
        <f aca="false">IF(B137="","",January!X139+February!X139+March!X139+April!X139+May!X139+June!X139+July!X139+August!X139+September!X139+October!X139+November!X139+December!X139)</f>
        <v/>
      </c>
      <c r="F137" s="24" t="str">
        <f aca="false">IF(B137="","",January!Y139+February!Y139+March!Y139+April!Y139+May!Y139+June!Y139+July!Y139+August!Y139+September!Y139+October!Y139+November!Y139+December!Y139)</f>
        <v/>
      </c>
      <c r="G137" s="24" t="str">
        <f aca="false">IF(B137="","",E137+F137)</f>
        <v/>
      </c>
      <c r="H137" s="8" t="str">
        <f aca="false">IF(B137="","",IF(COUNTIF(ProjNames,B137)&gt;1,"Duplicate name!",IF(OR(C137="",D137=""),"Add number and code","✓")))</f>
        <v/>
      </c>
      <c r="I137" s="1" t="n">
        <f aca="false">IF(N(G137)&gt;0,G137+(205-ROW())/10^6,0)</f>
        <v>0</v>
      </c>
    </row>
    <row r="138" customFormat="false" ht="15" hidden="false" customHeight="false" outlineLevel="0" collapsed="false">
      <c r="A138" s="1"/>
      <c r="B138" s="11"/>
      <c r="C138" s="11"/>
      <c r="D138" s="11"/>
      <c r="E138" s="24" t="str">
        <f aca="false">IF(B138="","",January!X140+February!X140+March!X140+April!X140+May!X140+June!X140+July!X140+August!X140+September!X140+October!X140+November!X140+December!X140)</f>
        <v/>
      </c>
      <c r="F138" s="24" t="str">
        <f aca="false">IF(B138="","",January!Y140+February!Y140+March!Y140+April!Y140+May!Y140+June!Y140+July!Y140+August!Y140+September!Y140+October!Y140+November!Y140+December!Y140)</f>
        <v/>
      </c>
      <c r="G138" s="24" t="str">
        <f aca="false">IF(B138="","",E138+F138)</f>
        <v/>
      </c>
      <c r="H138" s="8" t="str">
        <f aca="false">IF(B138="","",IF(COUNTIF(ProjNames,B138)&gt;1,"Duplicate name!",IF(OR(C138="",D138=""),"Add number and code","✓")))</f>
        <v/>
      </c>
      <c r="I138" s="1" t="n">
        <f aca="false">IF(N(G138)&gt;0,G138+(205-ROW())/10^6,0)</f>
        <v>0</v>
      </c>
    </row>
    <row r="139" customFormat="false" ht="15" hidden="false" customHeight="false" outlineLevel="0" collapsed="false">
      <c r="A139" s="1"/>
      <c r="B139" s="11"/>
      <c r="C139" s="11"/>
      <c r="D139" s="11"/>
      <c r="E139" s="24" t="str">
        <f aca="false">IF(B139="","",January!X141+February!X141+March!X141+April!X141+May!X141+June!X141+July!X141+August!X141+September!X141+October!X141+November!X141+December!X141)</f>
        <v/>
      </c>
      <c r="F139" s="24" t="str">
        <f aca="false">IF(B139="","",January!Y141+February!Y141+March!Y141+April!Y141+May!Y141+June!Y141+July!Y141+August!Y141+September!Y141+October!Y141+November!Y141+December!Y141)</f>
        <v/>
      </c>
      <c r="G139" s="24" t="str">
        <f aca="false">IF(B139="","",E139+F139)</f>
        <v/>
      </c>
      <c r="H139" s="8" t="str">
        <f aca="false">IF(B139="","",IF(COUNTIF(ProjNames,B139)&gt;1,"Duplicate name!",IF(OR(C139="",D139=""),"Add number and code","✓")))</f>
        <v/>
      </c>
      <c r="I139" s="1" t="n">
        <f aca="false">IF(N(G139)&gt;0,G139+(205-ROW())/10^6,0)</f>
        <v>0</v>
      </c>
    </row>
    <row r="140" customFormat="false" ht="15" hidden="false" customHeight="false" outlineLevel="0" collapsed="false">
      <c r="A140" s="1"/>
      <c r="B140" s="11"/>
      <c r="C140" s="11"/>
      <c r="D140" s="11"/>
      <c r="E140" s="24" t="str">
        <f aca="false">IF(B140="","",January!X142+February!X142+March!X142+April!X142+May!X142+June!X142+July!X142+August!X142+September!X142+October!X142+November!X142+December!X142)</f>
        <v/>
      </c>
      <c r="F140" s="24" t="str">
        <f aca="false">IF(B140="","",January!Y142+February!Y142+March!Y142+April!Y142+May!Y142+June!Y142+July!Y142+August!Y142+September!Y142+October!Y142+November!Y142+December!Y142)</f>
        <v/>
      </c>
      <c r="G140" s="24" t="str">
        <f aca="false">IF(B140="","",E140+F140)</f>
        <v/>
      </c>
      <c r="H140" s="8" t="str">
        <f aca="false">IF(B140="","",IF(COUNTIF(ProjNames,B140)&gt;1,"Duplicate name!",IF(OR(C140="",D140=""),"Add number and code","✓")))</f>
        <v/>
      </c>
      <c r="I140" s="1" t="n">
        <f aca="false">IF(N(G140)&gt;0,G140+(205-ROW())/10^6,0)</f>
        <v>0</v>
      </c>
    </row>
    <row r="141" customFormat="false" ht="15" hidden="false" customHeight="false" outlineLevel="0" collapsed="false">
      <c r="A141" s="1"/>
      <c r="B141" s="11"/>
      <c r="C141" s="11"/>
      <c r="D141" s="11"/>
      <c r="E141" s="24" t="str">
        <f aca="false">IF(B141="","",January!X143+February!X143+March!X143+April!X143+May!X143+June!X143+July!X143+August!X143+September!X143+October!X143+November!X143+December!X143)</f>
        <v/>
      </c>
      <c r="F141" s="24" t="str">
        <f aca="false">IF(B141="","",January!Y143+February!Y143+March!Y143+April!Y143+May!Y143+June!Y143+July!Y143+August!Y143+September!Y143+October!Y143+November!Y143+December!Y143)</f>
        <v/>
      </c>
      <c r="G141" s="24" t="str">
        <f aca="false">IF(B141="","",E141+F141)</f>
        <v/>
      </c>
      <c r="H141" s="8" t="str">
        <f aca="false">IF(B141="","",IF(COUNTIF(ProjNames,B141)&gt;1,"Duplicate name!",IF(OR(C141="",D141=""),"Add number and code","✓")))</f>
        <v/>
      </c>
      <c r="I141" s="1" t="n">
        <f aca="false">IF(N(G141)&gt;0,G141+(205-ROW())/10^6,0)</f>
        <v>0</v>
      </c>
    </row>
    <row r="142" customFormat="false" ht="15" hidden="false" customHeight="false" outlineLevel="0" collapsed="false">
      <c r="A142" s="1"/>
      <c r="B142" s="11"/>
      <c r="C142" s="11"/>
      <c r="D142" s="11"/>
      <c r="E142" s="24" t="str">
        <f aca="false">IF(B142="","",January!X144+February!X144+March!X144+April!X144+May!X144+June!X144+July!X144+August!X144+September!X144+October!X144+November!X144+December!X144)</f>
        <v/>
      </c>
      <c r="F142" s="24" t="str">
        <f aca="false">IF(B142="","",January!Y144+February!Y144+March!Y144+April!Y144+May!Y144+June!Y144+July!Y144+August!Y144+September!Y144+October!Y144+November!Y144+December!Y144)</f>
        <v/>
      </c>
      <c r="G142" s="24" t="str">
        <f aca="false">IF(B142="","",E142+F142)</f>
        <v/>
      </c>
      <c r="H142" s="8" t="str">
        <f aca="false">IF(B142="","",IF(COUNTIF(ProjNames,B142)&gt;1,"Duplicate name!",IF(OR(C142="",D142=""),"Add number and code","✓")))</f>
        <v/>
      </c>
      <c r="I142" s="1" t="n">
        <f aca="false">IF(N(G142)&gt;0,G142+(205-ROW())/10^6,0)</f>
        <v>0</v>
      </c>
    </row>
    <row r="143" customFormat="false" ht="15" hidden="false" customHeight="false" outlineLevel="0" collapsed="false">
      <c r="A143" s="1"/>
      <c r="B143" s="11"/>
      <c r="C143" s="11"/>
      <c r="D143" s="11"/>
      <c r="E143" s="24" t="str">
        <f aca="false">IF(B143="","",January!X145+February!X145+March!X145+April!X145+May!X145+June!X145+July!X145+August!X145+September!X145+October!X145+November!X145+December!X145)</f>
        <v/>
      </c>
      <c r="F143" s="24" t="str">
        <f aca="false">IF(B143="","",January!Y145+February!Y145+March!Y145+April!Y145+May!Y145+June!Y145+July!Y145+August!Y145+September!Y145+October!Y145+November!Y145+December!Y145)</f>
        <v/>
      </c>
      <c r="G143" s="24" t="str">
        <f aca="false">IF(B143="","",E143+F143)</f>
        <v/>
      </c>
      <c r="H143" s="8" t="str">
        <f aca="false">IF(B143="","",IF(COUNTIF(ProjNames,B143)&gt;1,"Duplicate name!",IF(OR(C143="",D143=""),"Add number and code","✓")))</f>
        <v/>
      </c>
      <c r="I143" s="1" t="n">
        <f aca="false">IF(N(G143)&gt;0,G143+(205-ROW())/10^6,0)</f>
        <v>0</v>
      </c>
    </row>
    <row r="144" customFormat="false" ht="15" hidden="false" customHeight="false" outlineLevel="0" collapsed="false">
      <c r="A144" s="1"/>
      <c r="B144" s="11"/>
      <c r="C144" s="11"/>
      <c r="D144" s="11"/>
      <c r="E144" s="24" t="str">
        <f aca="false">IF(B144="","",January!X146+February!X146+March!X146+April!X146+May!X146+June!X146+July!X146+August!X146+September!X146+October!X146+November!X146+December!X146)</f>
        <v/>
      </c>
      <c r="F144" s="24" t="str">
        <f aca="false">IF(B144="","",January!Y146+February!Y146+March!Y146+April!Y146+May!Y146+June!Y146+July!Y146+August!Y146+September!Y146+October!Y146+November!Y146+December!Y146)</f>
        <v/>
      </c>
      <c r="G144" s="24" t="str">
        <f aca="false">IF(B144="","",E144+F144)</f>
        <v/>
      </c>
      <c r="H144" s="8" t="str">
        <f aca="false">IF(B144="","",IF(COUNTIF(ProjNames,B144)&gt;1,"Duplicate name!",IF(OR(C144="",D144=""),"Add number and code","✓")))</f>
        <v/>
      </c>
      <c r="I144" s="1" t="n">
        <f aca="false">IF(N(G144)&gt;0,G144+(205-ROW())/10^6,0)</f>
        <v>0</v>
      </c>
    </row>
    <row r="145" customFormat="false" ht="15" hidden="false" customHeight="false" outlineLevel="0" collapsed="false">
      <c r="A145" s="1"/>
      <c r="B145" s="11"/>
      <c r="C145" s="11"/>
      <c r="D145" s="11"/>
      <c r="E145" s="24" t="str">
        <f aca="false">IF(B145="","",January!X147+February!X147+March!X147+April!X147+May!X147+June!X147+July!X147+August!X147+September!X147+October!X147+November!X147+December!X147)</f>
        <v/>
      </c>
      <c r="F145" s="24" t="str">
        <f aca="false">IF(B145="","",January!Y147+February!Y147+March!Y147+April!Y147+May!Y147+June!Y147+July!Y147+August!Y147+September!Y147+October!Y147+November!Y147+December!Y147)</f>
        <v/>
      </c>
      <c r="G145" s="24" t="str">
        <f aca="false">IF(B145="","",E145+F145)</f>
        <v/>
      </c>
      <c r="H145" s="8" t="str">
        <f aca="false">IF(B145="","",IF(COUNTIF(ProjNames,B145)&gt;1,"Duplicate name!",IF(OR(C145="",D145=""),"Add number and code","✓")))</f>
        <v/>
      </c>
      <c r="I145" s="1" t="n">
        <f aca="false">IF(N(G145)&gt;0,G145+(205-ROW())/10^6,0)</f>
        <v>0</v>
      </c>
    </row>
    <row r="146" customFormat="false" ht="15" hidden="false" customHeight="false" outlineLevel="0" collapsed="false">
      <c r="A146" s="1"/>
      <c r="B146" s="11"/>
      <c r="C146" s="11"/>
      <c r="D146" s="11"/>
      <c r="E146" s="24" t="str">
        <f aca="false">IF(B146="","",January!X148+February!X148+March!X148+April!X148+May!X148+June!X148+July!X148+August!X148+September!X148+October!X148+November!X148+December!X148)</f>
        <v/>
      </c>
      <c r="F146" s="24" t="str">
        <f aca="false">IF(B146="","",January!Y148+February!Y148+March!Y148+April!Y148+May!Y148+June!Y148+July!Y148+August!Y148+September!Y148+October!Y148+November!Y148+December!Y148)</f>
        <v/>
      </c>
      <c r="G146" s="24" t="str">
        <f aca="false">IF(B146="","",E146+F146)</f>
        <v/>
      </c>
      <c r="H146" s="8" t="str">
        <f aca="false">IF(B146="","",IF(COUNTIF(ProjNames,B146)&gt;1,"Duplicate name!",IF(OR(C146="",D146=""),"Add number and code","✓")))</f>
        <v/>
      </c>
      <c r="I146" s="1" t="n">
        <f aca="false">IF(N(G146)&gt;0,G146+(205-ROW())/10^6,0)</f>
        <v>0</v>
      </c>
    </row>
    <row r="147" customFormat="false" ht="15" hidden="false" customHeight="false" outlineLevel="0" collapsed="false">
      <c r="A147" s="1"/>
      <c r="B147" s="11"/>
      <c r="C147" s="11"/>
      <c r="D147" s="11"/>
      <c r="E147" s="24" t="str">
        <f aca="false">IF(B147="","",January!X149+February!X149+March!X149+April!X149+May!X149+June!X149+July!X149+August!X149+September!X149+October!X149+November!X149+December!X149)</f>
        <v/>
      </c>
      <c r="F147" s="24" t="str">
        <f aca="false">IF(B147="","",January!Y149+February!Y149+March!Y149+April!Y149+May!Y149+June!Y149+July!Y149+August!Y149+September!Y149+October!Y149+November!Y149+December!Y149)</f>
        <v/>
      </c>
      <c r="G147" s="24" t="str">
        <f aca="false">IF(B147="","",E147+F147)</f>
        <v/>
      </c>
      <c r="H147" s="8" t="str">
        <f aca="false">IF(B147="","",IF(COUNTIF(ProjNames,B147)&gt;1,"Duplicate name!",IF(OR(C147="",D147=""),"Add number and code","✓")))</f>
        <v/>
      </c>
      <c r="I147" s="1" t="n">
        <f aca="false">IF(N(G147)&gt;0,G147+(205-ROW())/10^6,0)</f>
        <v>0</v>
      </c>
    </row>
    <row r="148" customFormat="false" ht="15" hidden="false" customHeight="false" outlineLevel="0" collapsed="false">
      <c r="A148" s="1"/>
      <c r="B148" s="11"/>
      <c r="C148" s="11"/>
      <c r="D148" s="11"/>
      <c r="E148" s="24" t="str">
        <f aca="false">IF(B148="","",January!X150+February!X150+March!X150+April!X150+May!X150+June!X150+July!X150+August!X150+September!X150+October!X150+November!X150+December!X150)</f>
        <v/>
      </c>
      <c r="F148" s="24" t="str">
        <f aca="false">IF(B148="","",January!Y150+February!Y150+March!Y150+April!Y150+May!Y150+June!Y150+July!Y150+August!Y150+September!Y150+October!Y150+November!Y150+December!Y150)</f>
        <v/>
      </c>
      <c r="G148" s="24" t="str">
        <f aca="false">IF(B148="","",E148+F148)</f>
        <v/>
      </c>
      <c r="H148" s="8" t="str">
        <f aca="false">IF(B148="","",IF(COUNTIF(ProjNames,B148)&gt;1,"Duplicate name!",IF(OR(C148="",D148=""),"Add number and code","✓")))</f>
        <v/>
      </c>
      <c r="I148" s="1" t="n">
        <f aca="false">IF(N(G148)&gt;0,G148+(205-ROW())/10^6,0)</f>
        <v>0</v>
      </c>
    </row>
    <row r="149" customFormat="false" ht="15" hidden="false" customHeight="false" outlineLevel="0" collapsed="false">
      <c r="A149" s="1"/>
      <c r="B149" s="11"/>
      <c r="C149" s="11"/>
      <c r="D149" s="11"/>
      <c r="E149" s="24" t="str">
        <f aca="false">IF(B149="","",January!X151+February!X151+March!X151+April!X151+May!X151+June!X151+July!X151+August!X151+September!X151+October!X151+November!X151+December!X151)</f>
        <v/>
      </c>
      <c r="F149" s="24" t="str">
        <f aca="false">IF(B149="","",January!Y151+February!Y151+March!Y151+April!Y151+May!Y151+June!Y151+July!Y151+August!Y151+September!Y151+October!Y151+November!Y151+December!Y151)</f>
        <v/>
      </c>
      <c r="G149" s="24" t="str">
        <f aca="false">IF(B149="","",E149+F149)</f>
        <v/>
      </c>
      <c r="H149" s="8" t="str">
        <f aca="false">IF(B149="","",IF(COUNTIF(ProjNames,B149)&gt;1,"Duplicate name!",IF(OR(C149="",D149=""),"Add number and code","✓")))</f>
        <v/>
      </c>
      <c r="I149" s="1" t="n">
        <f aca="false">IF(N(G149)&gt;0,G149+(205-ROW())/10^6,0)</f>
        <v>0</v>
      </c>
    </row>
    <row r="150" customFormat="false" ht="15" hidden="false" customHeight="false" outlineLevel="0" collapsed="false">
      <c r="A150" s="1"/>
      <c r="B150" s="11"/>
      <c r="C150" s="11"/>
      <c r="D150" s="11"/>
      <c r="E150" s="24" t="str">
        <f aca="false">IF(B150="","",January!X152+February!X152+March!X152+April!X152+May!X152+June!X152+July!X152+August!X152+September!X152+October!X152+November!X152+December!X152)</f>
        <v/>
      </c>
      <c r="F150" s="24" t="str">
        <f aca="false">IF(B150="","",January!Y152+February!Y152+March!Y152+April!Y152+May!Y152+June!Y152+July!Y152+August!Y152+September!Y152+October!Y152+November!Y152+December!Y152)</f>
        <v/>
      </c>
      <c r="G150" s="24" t="str">
        <f aca="false">IF(B150="","",E150+F150)</f>
        <v/>
      </c>
      <c r="H150" s="8" t="str">
        <f aca="false">IF(B150="","",IF(COUNTIF(ProjNames,B150)&gt;1,"Duplicate name!",IF(OR(C150="",D150=""),"Add number and code","✓")))</f>
        <v/>
      </c>
      <c r="I150" s="1" t="n">
        <f aca="false">IF(N(G150)&gt;0,G150+(205-ROW())/10^6,0)</f>
        <v>0</v>
      </c>
    </row>
    <row r="151" customFormat="false" ht="15" hidden="false" customHeight="false" outlineLevel="0" collapsed="false">
      <c r="A151" s="1"/>
      <c r="B151" s="11"/>
      <c r="C151" s="11"/>
      <c r="D151" s="11"/>
      <c r="E151" s="24" t="str">
        <f aca="false">IF(B151="","",January!X153+February!X153+March!X153+April!X153+May!X153+June!X153+July!X153+August!X153+September!X153+October!X153+November!X153+December!X153)</f>
        <v/>
      </c>
      <c r="F151" s="24" t="str">
        <f aca="false">IF(B151="","",January!Y153+February!Y153+March!Y153+April!Y153+May!Y153+June!Y153+July!Y153+August!Y153+September!Y153+October!Y153+November!Y153+December!Y153)</f>
        <v/>
      </c>
      <c r="G151" s="24" t="str">
        <f aca="false">IF(B151="","",E151+F151)</f>
        <v/>
      </c>
      <c r="H151" s="8" t="str">
        <f aca="false">IF(B151="","",IF(COUNTIF(ProjNames,B151)&gt;1,"Duplicate name!",IF(OR(C151="",D151=""),"Add number and code","✓")))</f>
        <v/>
      </c>
      <c r="I151" s="1" t="n">
        <f aca="false">IF(N(G151)&gt;0,G151+(205-ROW())/10^6,0)</f>
        <v>0</v>
      </c>
    </row>
    <row r="152" customFormat="false" ht="15" hidden="false" customHeight="false" outlineLevel="0" collapsed="false">
      <c r="A152" s="1"/>
      <c r="B152" s="11"/>
      <c r="C152" s="11"/>
      <c r="D152" s="11"/>
      <c r="E152" s="24" t="str">
        <f aca="false">IF(B152="","",January!X154+February!X154+March!X154+April!X154+May!X154+June!X154+July!X154+August!X154+September!X154+October!X154+November!X154+December!X154)</f>
        <v/>
      </c>
      <c r="F152" s="24" t="str">
        <f aca="false">IF(B152="","",January!Y154+February!Y154+March!Y154+April!Y154+May!Y154+June!Y154+July!Y154+August!Y154+September!Y154+October!Y154+November!Y154+December!Y154)</f>
        <v/>
      </c>
      <c r="G152" s="24" t="str">
        <f aca="false">IF(B152="","",E152+F152)</f>
        <v/>
      </c>
      <c r="H152" s="8" t="str">
        <f aca="false">IF(B152="","",IF(COUNTIF(ProjNames,B152)&gt;1,"Duplicate name!",IF(OR(C152="",D152=""),"Add number and code","✓")))</f>
        <v/>
      </c>
      <c r="I152" s="1" t="n">
        <f aca="false">IF(N(G152)&gt;0,G152+(205-ROW())/10^6,0)</f>
        <v>0</v>
      </c>
    </row>
    <row r="153" customFormat="false" ht="15" hidden="false" customHeight="false" outlineLevel="0" collapsed="false">
      <c r="A153" s="1"/>
      <c r="B153" s="11"/>
      <c r="C153" s="11"/>
      <c r="D153" s="11"/>
      <c r="E153" s="24" t="str">
        <f aca="false">IF(B153="","",January!X155+February!X155+March!X155+April!X155+May!X155+June!X155+July!X155+August!X155+September!X155+October!X155+November!X155+December!X155)</f>
        <v/>
      </c>
      <c r="F153" s="24" t="str">
        <f aca="false">IF(B153="","",January!Y155+February!Y155+March!Y155+April!Y155+May!Y155+June!Y155+July!Y155+August!Y155+September!Y155+October!Y155+November!Y155+December!Y155)</f>
        <v/>
      </c>
      <c r="G153" s="24" t="str">
        <f aca="false">IF(B153="","",E153+F153)</f>
        <v/>
      </c>
      <c r="H153" s="8" t="str">
        <f aca="false">IF(B153="","",IF(COUNTIF(ProjNames,B153)&gt;1,"Duplicate name!",IF(OR(C153="",D153=""),"Add number and code","✓")))</f>
        <v/>
      </c>
      <c r="I153" s="1" t="n">
        <f aca="false">IF(N(G153)&gt;0,G153+(205-ROW())/10^6,0)</f>
        <v>0</v>
      </c>
    </row>
    <row r="154" customFormat="false" ht="15" hidden="false" customHeight="false" outlineLevel="0" collapsed="false">
      <c r="A154" s="1"/>
      <c r="B154" s="11"/>
      <c r="C154" s="11"/>
      <c r="D154" s="11"/>
      <c r="E154" s="24" t="str">
        <f aca="false">IF(B154="","",January!X156+February!X156+March!X156+April!X156+May!X156+June!X156+July!X156+August!X156+September!X156+October!X156+November!X156+December!X156)</f>
        <v/>
      </c>
      <c r="F154" s="24" t="str">
        <f aca="false">IF(B154="","",January!Y156+February!Y156+March!Y156+April!Y156+May!Y156+June!Y156+July!Y156+August!Y156+September!Y156+October!Y156+November!Y156+December!Y156)</f>
        <v/>
      </c>
      <c r="G154" s="24" t="str">
        <f aca="false">IF(B154="","",E154+F154)</f>
        <v/>
      </c>
      <c r="H154" s="8" t="str">
        <f aca="false">IF(B154="","",IF(COUNTIF(ProjNames,B154)&gt;1,"Duplicate name!",IF(OR(C154="",D154=""),"Add number and code","✓")))</f>
        <v/>
      </c>
      <c r="I154" s="1" t="n">
        <f aca="false">IF(N(G154)&gt;0,G154+(205-ROW())/10^6,0)</f>
        <v>0</v>
      </c>
    </row>
    <row r="155" customFormat="false" ht="15" hidden="false" customHeight="false" outlineLevel="0" collapsed="false">
      <c r="A155" s="1"/>
      <c r="B155" s="11"/>
      <c r="C155" s="11"/>
      <c r="D155" s="11"/>
      <c r="E155" s="24" t="str">
        <f aca="false">IF(B155="","",January!X157+February!X157+March!X157+April!X157+May!X157+June!X157+July!X157+August!X157+September!X157+October!X157+November!X157+December!X157)</f>
        <v/>
      </c>
      <c r="F155" s="24" t="str">
        <f aca="false">IF(B155="","",January!Y157+February!Y157+March!Y157+April!Y157+May!Y157+June!Y157+July!Y157+August!Y157+September!Y157+October!Y157+November!Y157+December!Y157)</f>
        <v/>
      </c>
      <c r="G155" s="24" t="str">
        <f aca="false">IF(B155="","",E155+F155)</f>
        <v/>
      </c>
      <c r="H155" s="8" t="str">
        <f aca="false">IF(B155="","",IF(COUNTIF(ProjNames,B155)&gt;1,"Duplicate name!",IF(OR(C155="",D155=""),"Add number and code","✓")))</f>
        <v/>
      </c>
      <c r="I155" s="1" t="n">
        <f aca="false">IF(N(G155)&gt;0,G155+(205-ROW())/10^6,0)</f>
        <v>0</v>
      </c>
    </row>
    <row r="156" customFormat="false" ht="15" hidden="false" customHeight="false" outlineLevel="0" collapsed="false">
      <c r="A156" s="1"/>
      <c r="B156" s="11"/>
      <c r="C156" s="11"/>
      <c r="D156" s="11"/>
      <c r="E156" s="24" t="str">
        <f aca="false">IF(B156="","",January!X158+February!X158+March!X158+April!X158+May!X158+June!X158+July!X158+August!X158+September!X158+October!X158+November!X158+December!X158)</f>
        <v/>
      </c>
      <c r="F156" s="24" t="str">
        <f aca="false">IF(B156="","",January!Y158+February!Y158+March!Y158+April!Y158+May!Y158+June!Y158+July!Y158+August!Y158+September!Y158+October!Y158+November!Y158+December!Y158)</f>
        <v/>
      </c>
      <c r="G156" s="24" t="str">
        <f aca="false">IF(B156="","",E156+F156)</f>
        <v/>
      </c>
      <c r="H156" s="8" t="str">
        <f aca="false">IF(B156="","",IF(COUNTIF(ProjNames,B156)&gt;1,"Duplicate name!",IF(OR(C156="",D156=""),"Add number and code","✓")))</f>
        <v/>
      </c>
      <c r="I156" s="1" t="n">
        <f aca="false">IF(N(G156)&gt;0,G156+(205-ROW())/10^6,0)</f>
        <v>0</v>
      </c>
    </row>
    <row r="157" customFormat="false" ht="15" hidden="false" customHeight="false" outlineLevel="0" collapsed="false">
      <c r="A157" s="1"/>
      <c r="B157" s="11"/>
      <c r="C157" s="11"/>
      <c r="D157" s="11"/>
      <c r="E157" s="24" t="str">
        <f aca="false">IF(B157="","",January!X159+February!X159+March!X159+April!X159+May!X159+June!X159+July!X159+August!X159+September!X159+October!X159+November!X159+December!X159)</f>
        <v/>
      </c>
      <c r="F157" s="24" t="str">
        <f aca="false">IF(B157="","",January!Y159+February!Y159+March!Y159+April!Y159+May!Y159+June!Y159+July!Y159+August!Y159+September!Y159+October!Y159+November!Y159+December!Y159)</f>
        <v/>
      </c>
      <c r="G157" s="24" t="str">
        <f aca="false">IF(B157="","",E157+F157)</f>
        <v/>
      </c>
      <c r="H157" s="8" t="str">
        <f aca="false">IF(B157="","",IF(COUNTIF(ProjNames,B157)&gt;1,"Duplicate name!",IF(OR(C157="",D157=""),"Add number and code","✓")))</f>
        <v/>
      </c>
      <c r="I157" s="1" t="n">
        <f aca="false">IF(N(G157)&gt;0,G157+(205-ROW())/10^6,0)</f>
        <v>0</v>
      </c>
    </row>
    <row r="158" customFormat="false" ht="15" hidden="false" customHeight="false" outlineLevel="0" collapsed="false">
      <c r="A158" s="1"/>
      <c r="B158" s="11"/>
      <c r="C158" s="11"/>
      <c r="D158" s="11"/>
      <c r="E158" s="24" t="str">
        <f aca="false">IF(B158="","",January!X160+February!X160+March!X160+April!X160+May!X160+June!X160+July!X160+August!X160+September!X160+October!X160+November!X160+December!X160)</f>
        <v/>
      </c>
      <c r="F158" s="24" t="str">
        <f aca="false">IF(B158="","",January!Y160+February!Y160+March!Y160+April!Y160+May!Y160+June!Y160+July!Y160+August!Y160+September!Y160+October!Y160+November!Y160+December!Y160)</f>
        <v/>
      </c>
      <c r="G158" s="24" t="str">
        <f aca="false">IF(B158="","",E158+F158)</f>
        <v/>
      </c>
      <c r="H158" s="8" t="str">
        <f aca="false">IF(B158="","",IF(COUNTIF(ProjNames,B158)&gt;1,"Duplicate name!",IF(OR(C158="",D158=""),"Add number and code","✓")))</f>
        <v/>
      </c>
      <c r="I158" s="1" t="n">
        <f aca="false">IF(N(G158)&gt;0,G158+(205-ROW())/10^6,0)</f>
        <v>0</v>
      </c>
    </row>
    <row r="159" customFormat="false" ht="15" hidden="false" customHeight="false" outlineLevel="0" collapsed="false">
      <c r="A159" s="1"/>
      <c r="B159" s="11"/>
      <c r="C159" s="11"/>
      <c r="D159" s="11"/>
      <c r="E159" s="24" t="str">
        <f aca="false">IF(B159="","",January!X161+February!X161+March!X161+April!X161+May!X161+June!X161+July!X161+August!X161+September!X161+October!X161+November!X161+December!X161)</f>
        <v/>
      </c>
      <c r="F159" s="24" t="str">
        <f aca="false">IF(B159="","",January!Y161+February!Y161+March!Y161+April!Y161+May!Y161+June!Y161+July!Y161+August!Y161+September!Y161+October!Y161+November!Y161+December!Y161)</f>
        <v/>
      </c>
      <c r="G159" s="24" t="str">
        <f aca="false">IF(B159="","",E159+F159)</f>
        <v/>
      </c>
      <c r="H159" s="8" t="str">
        <f aca="false">IF(B159="","",IF(COUNTIF(ProjNames,B159)&gt;1,"Duplicate name!",IF(OR(C159="",D159=""),"Add number and code","✓")))</f>
        <v/>
      </c>
      <c r="I159" s="1" t="n">
        <f aca="false">IF(N(G159)&gt;0,G159+(205-ROW())/10^6,0)</f>
        <v>0</v>
      </c>
    </row>
    <row r="160" customFormat="false" ht="15" hidden="false" customHeight="false" outlineLevel="0" collapsed="false">
      <c r="A160" s="1"/>
      <c r="B160" s="11"/>
      <c r="C160" s="11"/>
      <c r="D160" s="11"/>
      <c r="E160" s="24" t="str">
        <f aca="false">IF(B160="","",January!X162+February!X162+March!X162+April!X162+May!X162+June!X162+July!X162+August!X162+September!X162+October!X162+November!X162+December!X162)</f>
        <v/>
      </c>
      <c r="F160" s="24" t="str">
        <f aca="false">IF(B160="","",January!Y162+February!Y162+March!Y162+April!Y162+May!Y162+June!Y162+July!Y162+August!Y162+September!Y162+October!Y162+November!Y162+December!Y162)</f>
        <v/>
      </c>
      <c r="G160" s="24" t="str">
        <f aca="false">IF(B160="","",E160+F160)</f>
        <v/>
      </c>
      <c r="H160" s="8" t="str">
        <f aca="false">IF(B160="","",IF(COUNTIF(ProjNames,B160)&gt;1,"Duplicate name!",IF(OR(C160="",D160=""),"Add number and code","✓")))</f>
        <v/>
      </c>
      <c r="I160" s="1" t="n">
        <f aca="false">IF(N(G160)&gt;0,G160+(205-ROW())/10^6,0)</f>
        <v>0</v>
      </c>
    </row>
    <row r="161" customFormat="false" ht="15" hidden="false" customHeight="false" outlineLevel="0" collapsed="false">
      <c r="A161" s="1"/>
      <c r="B161" s="11"/>
      <c r="C161" s="11"/>
      <c r="D161" s="11"/>
      <c r="E161" s="24" t="str">
        <f aca="false">IF(B161="","",January!X163+February!X163+March!X163+April!X163+May!X163+June!X163+July!X163+August!X163+September!X163+October!X163+November!X163+December!X163)</f>
        <v/>
      </c>
      <c r="F161" s="24" t="str">
        <f aca="false">IF(B161="","",January!Y163+February!Y163+March!Y163+April!Y163+May!Y163+June!Y163+July!Y163+August!Y163+September!Y163+October!Y163+November!Y163+December!Y163)</f>
        <v/>
      </c>
      <c r="G161" s="24" t="str">
        <f aca="false">IF(B161="","",E161+F161)</f>
        <v/>
      </c>
      <c r="H161" s="8" t="str">
        <f aca="false">IF(B161="","",IF(COUNTIF(ProjNames,B161)&gt;1,"Duplicate name!",IF(OR(C161="",D161=""),"Add number and code","✓")))</f>
        <v/>
      </c>
      <c r="I161" s="1" t="n">
        <f aca="false">IF(N(G161)&gt;0,G161+(205-ROW())/10^6,0)</f>
        <v>0</v>
      </c>
    </row>
    <row r="162" customFormat="false" ht="15" hidden="false" customHeight="false" outlineLevel="0" collapsed="false">
      <c r="A162" s="1"/>
      <c r="B162" s="11"/>
      <c r="C162" s="11"/>
      <c r="D162" s="11"/>
      <c r="E162" s="24" t="str">
        <f aca="false">IF(B162="","",January!X164+February!X164+March!X164+April!X164+May!X164+June!X164+July!X164+August!X164+September!X164+October!X164+November!X164+December!X164)</f>
        <v/>
      </c>
      <c r="F162" s="24" t="str">
        <f aca="false">IF(B162="","",January!Y164+February!Y164+March!Y164+April!Y164+May!Y164+June!Y164+July!Y164+August!Y164+September!Y164+October!Y164+November!Y164+December!Y164)</f>
        <v/>
      </c>
      <c r="G162" s="24" t="str">
        <f aca="false">IF(B162="","",E162+F162)</f>
        <v/>
      </c>
      <c r="H162" s="8" t="str">
        <f aca="false">IF(B162="","",IF(COUNTIF(ProjNames,B162)&gt;1,"Duplicate name!",IF(OR(C162="",D162=""),"Add number and code","✓")))</f>
        <v/>
      </c>
      <c r="I162" s="1" t="n">
        <f aca="false">IF(N(G162)&gt;0,G162+(205-ROW())/10^6,0)</f>
        <v>0</v>
      </c>
    </row>
    <row r="163" customFormat="false" ht="15" hidden="false" customHeight="false" outlineLevel="0" collapsed="false">
      <c r="A163" s="1"/>
      <c r="B163" s="11"/>
      <c r="C163" s="11"/>
      <c r="D163" s="11"/>
      <c r="E163" s="24" t="str">
        <f aca="false">IF(B163="","",January!X165+February!X165+March!X165+April!X165+May!X165+June!X165+July!X165+August!X165+September!X165+October!X165+November!X165+December!X165)</f>
        <v/>
      </c>
      <c r="F163" s="24" t="str">
        <f aca="false">IF(B163="","",January!Y165+February!Y165+March!Y165+April!Y165+May!Y165+June!Y165+July!Y165+August!Y165+September!Y165+October!Y165+November!Y165+December!Y165)</f>
        <v/>
      </c>
      <c r="G163" s="24" t="str">
        <f aca="false">IF(B163="","",E163+F163)</f>
        <v/>
      </c>
      <c r="H163" s="8" t="str">
        <f aca="false">IF(B163="","",IF(COUNTIF(ProjNames,B163)&gt;1,"Duplicate name!",IF(OR(C163="",D163=""),"Add number and code","✓")))</f>
        <v/>
      </c>
      <c r="I163" s="1" t="n">
        <f aca="false">IF(N(G163)&gt;0,G163+(205-ROW())/10^6,0)</f>
        <v>0</v>
      </c>
    </row>
    <row r="164" customFormat="false" ht="15" hidden="false" customHeight="false" outlineLevel="0" collapsed="false">
      <c r="A164" s="1"/>
      <c r="B164" s="11"/>
      <c r="C164" s="11"/>
      <c r="D164" s="11"/>
      <c r="E164" s="24" t="str">
        <f aca="false">IF(B164="","",January!X166+February!X166+March!X166+April!X166+May!X166+June!X166+July!X166+August!X166+September!X166+October!X166+November!X166+December!X166)</f>
        <v/>
      </c>
      <c r="F164" s="24" t="str">
        <f aca="false">IF(B164="","",January!Y166+February!Y166+March!Y166+April!Y166+May!Y166+June!Y166+July!Y166+August!Y166+September!Y166+October!Y166+November!Y166+December!Y166)</f>
        <v/>
      </c>
      <c r="G164" s="24" t="str">
        <f aca="false">IF(B164="","",E164+F164)</f>
        <v/>
      </c>
      <c r="H164" s="8" t="str">
        <f aca="false">IF(B164="","",IF(COUNTIF(ProjNames,B164)&gt;1,"Duplicate name!",IF(OR(C164="",D164=""),"Add number and code","✓")))</f>
        <v/>
      </c>
      <c r="I164" s="1" t="n">
        <f aca="false">IF(N(G164)&gt;0,G164+(205-ROW())/10^6,0)</f>
        <v>0</v>
      </c>
    </row>
    <row r="165" customFormat="false" ht="15" hidden="false" customHeight="false" outlineLevel="0" collapsed="false">
      <c r="A165" s="1"/>
      <c r="B165" s="11"/>
      <c r="C165" s="11"/>
      <c r="D165" s="11"/>
      <c r="E165" s="24" t="str">
        <f aca="false">IF(B165="","",January!X167+February!X167+March!X167+April!X167+May!X167+June!X167+July!X167+August!X167+September!X167+October!X167+November!X167+December!X167)</f>
        <v/>
      </c>
      <c r="F165" s="24" t="str">
        <f aca="false">IF(B165="","",January!Y167+February!Y167+March!Y167+April!Y167+May!Y167+June!Y167+July!Y167+August!Y167+September!Y167+October!Y167+November!Y167+December!Y167)</f>
        <v/>
      </c>
      <c r="G165" s="24" t="str">
        <f aca="false">IF(B165="","",E165+F165)</f>
        <v/>
      </c>
      <c r="H165" s="8" t="str">
        <f aca="false">IF(B165="","",IF(COUNTIF(ProjNames,B165)&gt;1,"Duplicate name!",IF(OR(C165="",D165=""),"Add number and code","✓")))</f>
        <v/>
      </c>
      <c r="I165" s="1" t="n">
        <f aca="false">IF(N(G165)&gt;0,G165+(205-ROW())/10^6,0)</f>
        <v>0</v>
      </c>
    </row>
    <row r="166" customFormat="false" ht="15" hidden="false" customHeight="false" outlineLevel="0" collapsed="false">
      <c r="A166" s="1"/>
      <c r="B166" s="11"/>
      <c r="C166" s="11"/>
      <c r="D166" s="11"/>
      <c r="E166" s="24" t="str">
        <f aca="false">IF(B166="","",January!X168+February!X168+March!X168+April!X168+May!X168+June!X168+July!X168+August!X168+September!X168+October!X168+November!X168+December!X168)</f>
        <v/>
      </c>
      <c r="F166" s="24" t="str">
        <f aca="false">IF(B166="","",January!Y168+February!Y168+March!Y168+April!Y168+May!Y168+June!Y168+July!Y168+August!Y168+September!Y168+October!Y168+November!Y168+December!Y168)</f>
        <v/>
      </c>
      <c r="G166" s="24" t="str">
        <f aca="false">IF(B166="","",E166+F166)</f>
        <v/>
      </c>
      <c r="H166" s="8" t="str">
        <f aca="false">IF(B166="","",IF(COUNTIF(ProjNames,B166)&gt;1,"Duplicate name!",IF(OR(C166="",D166=""),"Add number and code","✓")))</f>
        <v/>
      </c>
      <c r="I166" s="1" t="n">
        <f aca="false">IF(N(G166)&gt;0,G166+(205-ROW())/10^6,0)</f>
        <v>0</v>
      </c>
    </row>
    <row r="167" customFormat="false" ht="15" hidden="false" customHeight="false" outlineLevel="0" collapsed="false">
      <c r="A167" s="1"/>
      <c r="B167" s="11"/>
      <c r="C167" s="11"/>
      <c r="D167" s="11"/>
      <c r="E167" s="24" t="str">
        <f aca="false">IF(B167="","",January!X169+February!X169+March!X169+April!X169+May!X169+June!X169+July!X169+August!X169+September!X169+October!X169+November!X169+December!X169)</f>
        <v/>
      </c>
      <c r="F167" s="24" t="str">
        <f aca="false">IF(B167="","",January!Y169+February!Y169+March!Y169+April!Y169+May!Y169+June!Y169+July!Y169+August!Y169+September!Y169+October!Y169+November!Y169+December!Y169)</f>
        <v/>
      </c>
      <c r="G167" s="24" t="str">
        <f aca="false">IF(B167="","",E167+F167)</f>
        <v/>
      </c>
      <c r="H167" s="8" t="str">
        <f aca="false">IF(B167="","",IF(COUNTIF(ProjNames,B167)&gt;1,"Duplicate name!",IF(OR(C167="",D167=""),"Add number and code","✓")))</f>
        <v/>
      </c>
      <c r="I167" s="1" t="n">
        <f aca="false">IF(N(G167)&gt;0,G167+(205-ROW())/10^6,0)</f>
        <v>0</v>
      </c>
    </row>
    <row r="168" customFormat="false" ht="15" hidden="false" customHeight="false" outlineLevel="0" collapsed="false">
      <c r="A168" s="1"/>
      <c r="B168" s="11"/>
      <c r="C168" s="11"/>
      <c r="D168" s="11"/>
      <c r="E168" s="24" t="str">
        <f aca="false">IF(B168="","",January!X170+February!X170+March!X170+April!X170+May!X170+June!X170+July!X170+August!X170+September!X170+October!X170+November!X170+December!X170)</f>
        <v/>
      </c>
      <c r="F168" s="24" t="str">
        <f aca="false">IF(B168="","",January!Y170+February!Y170+March!Y170+April!Y170+May!Y170+June!Y170+July!Y170+August!Y170+September!Y170+October!Y170+November!Y170+December!Y170)</f>
        <v/>
      </c>
      <c r="G168" s="24" t="str">
        <f aca="false">IF(B168="","",E168+F168)</f>
        <v/>
      </c>
      <c r="H168" s="8" t="str">
        <f aca="false">IF(B168="","",IF(COUNTIF(ProjNames,B168)&gt;1,"Duplicate name!",IF(OR(C168="",D168=""),"Add number and code","✓")))</f>
        <v/>
      </c>
      <c r="I168" s="1" t="n">
        <f aca="false">IF(N(G168)&gt;0,G168+(205-ROW())/10^6,0)</f>
        <v>0</v>
      </c>
    </row>
    <row r="169" customFormat="false" ht="15" hidden="false" customHeight="false" outlineLevel="0" collapsed="false">
      <c r="A169" s="1"/>
      <c r="B169" s="11"/>
      <c r="C169" s="11"/>
      <c r="D169" s="11"/>
      <c r="E169" s="24" t="str">
        <f aca="false">IF(B169="","",January!X171+February!X171+March!X171+April!X171+May!X171+June!X171+July!X171+August!X171+September!X171+October!X171+November!X171+December!X171)</f>
        <v/>
      </c>
      <c r="F169" s="24" t="str">
        <f aca="false">IF(B169="","",January!Y171+February!Y171+March!Y171+April!Y171+May!Y171+June!Y171+July!Y171+August!Y171+September!Y171+October!Y171+November!Y171+December!Y171)</f>
        <v/>
      </c>
      <c r="G169" s="24" t="str">
        <f aca="false">IF(B169="","",E169+F169)</f>
        <v/>
      </c>
      <c r="H169" s="8" t="str">
        <f aca="false">IF(B169="","",IF(COUNTIF(ProjNames,B169)&gt;1,"Duplicate name!",IF(OR(C169="",D169=""),"Add number and code","✓")))</f>
        <v/>
      </c>
      <c r="I169" s="1" t="n">
        <f aca="false">IF(N(G169)&gt;0,G169+(205-ROW())/10^6,0)</f>
        <v>0</v>
      </c>
    </row>
    <row r="170" customFormat="false" ht="15" hidden="false" customHeight="false" outlineLevel="0" collapsed="false">
      <c r="A170" s="1"/>
      <c r="B170" s="11"/>
      <c r="C170" s="11"/>
      <c r="D170" s="11"/>
      <c r="E170" s="24" t="str">
        <f aca="false">IF(B170="","",January!X172+February!X172+March!X172+April!X172+May!X172+June!X172+July!X172+August!X172+September!X172+October!X172+November!X172+December!X172)</f>
        <v/>
      </c>
      <c r="F170" s="24" t="str">
        <f aca="false">IF(B170="","",January!Y172+February!Y172+March!Y172+April!Y172+May!Y172+June!Y172+July!Y172+August!Y172+September!Y172+October!Y172+November!Y172+December!Y172)</f>
        <v/>
      </c>
      <c r="G170" s="24" t="str">
        <f aca="false">IF(B170="","",E170+F170)</f>
        <v/>
      </c>
      <c r="H170" s="8" t="str">
        <f aca="false">IF(B170="","",IF(COUNTIF(ProjNames,B170)&gt;1,"Duplicate name!",IF(OR(C170="",D170=""),"Add number and code","✓")))</f>
        <v/>
      </c>
      <c r="I170" s="1" t="n">
        <f aca="false">IF(N(G170)&gt;0,G170+(205-ROW())/10^6,0)</f>
        <v>0</v>
      </c>
    </row>
    <row r="171" customFormat="false" ht="15" hidden="false" customHeight="false" outlineLevel="0" collapsed="false">
      <c r="A171" s="1"/>
      <c r="B171" s="11"/>
      <c r="C171" s="11"/>
      <c r="D171" s="11"/>
      <c r="E171" s="24" t="str">
        <f aca="false">IF(B171="","",January!X173+February!X173+March!X173+April!X173+May!X173+June!X173+July!X173+August!X173+September!X173+October!X173+November!X173+December!X173)</f>
        <v/>
      </c>
      <c r="F171" s="24" t="str">
        <f aca="false">IF(B171="","",January!Y173+February!Y173+March!Y173+April!Y173+May!Y173+June!Y173+July!Y173+August!Y173+September!Y173+October!Y173+November!Y173+December!Y173)</f>
        <v/>
      </c>
      <c r="G171" s="24" t="str">
        <f aca="false">IF(B171="","",E171+F171)</f>
        <v/>
      </c>
      <c r="H171" s="8" t="str">
        <f aca="false">IF(B171="","",IF(COUNTIF(ProjNames,B171)&gt;1,"Duplicate name!",IF(OR(C171="",D171=""),"Add number and code","✓")))</f>
        <v/>
      </c>
      <c r="I171" s="1" t="n">
        <f aca="false">IF(N(G171)&gt;0,G171+(205-ROW())/10^6,0)</f>
        <v>0</v>
      </c>
    </row>
    <row r="172" customFormat="false" ht="15" hidden="false" customHeight="false" outlineLevel="0" collapsed="false">
      <c r="A172" s="1"/>
      <c r="B172" s="11"/>
      <c r="C172" s="11"/>
      <c r="D172" s="11"/>
      <c r="E172" s="24" t="str">
        <f aca="false">IF(B172="","",January!X174+February!X174+March!X174+April!X174+May!X174+June!X174+July!X174+August!X174+September!X174+October!X174+November!X174+December!X174)</f>
        <v/>
      </c>
      <c r="F172" s="24" t="str">
        <f aca="false">IF(B172="","",January!Y174+February!Y174+March!Y174+April!Y174+May!Y174+June!Y174+July!Y174+August!Y174+September!Y174+October!Y174+November!Y174+December!Y174)</f>
        <v/>
      </c>
      <c r="G172" s="24" t="str">
        <f aca="false">IF(B172="","",E172+F172)</f>
        <v/>
      </c>
      <c r="H172" s="8" t="str">
        <f aca="false">IF(B172="","",IF(COUNTIF(ProjNames,B172)&gt;1,"Duplicate name!",IF(OR(C172="",D172=""),"Add number and code","✓")))</f>
        <v/>
      </c>
      <c r="I172" s="1" t="n">
        <f aca="false">IF(N(G172)&gt;0,G172+(205-ROW())/10^6,0)</f>
        <v>0</v>
      </c>
    </row>
    <row r="173" customFormat="false" ht="15" hidden="false" customHeight="false" outlineLevel="0" collapsed="false">
      <c r="A173" s="1"/>
      <c r="B173" s="11"/>
      <c r="C173" s="11"/>
      <c r="D173" s="11"/>
      <c r="E173" s="24" t="str">
        <f aca="false">IF(B173="","",January!X175+February!X175+March!X175+April!X175+May!X175+June!X175+July!X175+August!X175+September!X175+October!X175+November!X175+December!X175)</f>
        <v/>
      </c>
      <c r="F173" s="24" t="str">
        <f aca="false">IF(B173="","",January!Y175+February!Y175+March!Y175+April!Y175+May!Y175+June!Y175+July!Y175+August!Y175+September!Y175+October!Y175+November!Y175+December!Y175)</f>
        <v/>
      </c>
      <c r="G173" s="24" t="str">
        <f aca="false">IF(B173="","",E173+F173)</f>
        <v/>
      </c>
      <c r="H173" s="8" t="str">
        <f aca="false">IF(B173="","",IF(COUNTIF(ProjNames,B173)&gt;1,"Duplicate name!",IF(OR(C173="",D173=""),"Add number and code","✓")))</f>
        <v/>
      </c>
      <c r="I173" s="1" t="n">
        <f aca="false">IF(N(G173)&gt;0,G173+(205-ROW())/10^6,0)</f>
        <v>0</v>
      </c>
    </row>
    <row r="174" customFormat="false" ht="15" hidden="false" customHeight="false" outlineLevel="0" collapsed="false">
      <c r="A174" s="1"/>
      <c r="B174" s="11"/>
      <c r="C174" s="11"/>
      <c r="D174" s="11"/>
      <c r="E174" s="24" t="str">
        <f aca="false">IF(B174="","",January!X176+February!X176+March!X176+April!X176+May!X176+June!X176+July!X176+August!X176+September!X176+October!X176+November!X176+December!X176)</f>
        <v/>
      </c>
      <c r="F174" s="24" t="str">
        <f aca="false">IF(B174="","",January!Y176+February!Y176+March!Y176+April!Y176+May!Y176+June!Y176+July!Y176+August!Y176+September!Y176+October!Y176+November!Y176+December!Y176)</f>
        <v/>
      </c>
      <c r="G174" s="24" t="str">
        <f aca="false">IF(B174="","",E174+F174)</f>
        <v/>
      </c>
      <c r="H174" s="8" t="str">
        <f aca="false">IF(B174="","",IF(COUNTIF(ProjNames,B174)&gt;1,"Duplicate name!",IF(OR(C174="",D174=""),"Add number and code","✓")))</f>
        <v/>
      </c>
      <c r="I174" s="1" t="n">
        <f aca="false">IF(N(G174)&gt;0,G174+(205-ROW())/10^6,0)</f>
        <v>0</v>
      </c>
    </row>
    <row r="175" customFormat="false" ht="15" hidden="false" customHeight="false" outlineLevel="0" collapsed="false">
      <c r="A175" s="1"/>
      <c r="B175" s="11"/>
      <c r="C175" s="11"/>
      <c r="D175" s="11"/>
      <c r="E175" s="24" t="str">
        <f aca="false">IF(B175="","",January!X177+February!X177+March!X177+April!X177+May!X177+June!X177+July!X177+August!X177+September!X177+October!X177+November!X177+December!X177)</f>
        <v/>
      </c>
      <c r="F175" s="24" t="str">
        <f aca="false">IF(B175="","",January!Y177+February!Y177+March!Y177+April!Y177+May!Y177+June!Y177+July!Y177+August!Y177+September!Y177+October!Y177+November!Y177+December!Y177)</f>
        <v/>
      </c>
      <c r="G175" s="24" t="str">
        <f aca="false">IF(B175="","",E175+F175)</f>
        <v/>
      </c>
      <c r="H175" s="8" t="str">
        <f aca="false">IF(B175="","",IF(COUNTIF(ProjNames,B175)&gt;1,"Duplicate name!",IF(OR(C175="",D175=""),"Add number and code","✓")))</f>
        <v/>
      </c>
      <c r="I175" s="1" t="n">
        <f aca="false">IF(N(G175)&gt;0,G175+(205-ROW())/10^6,0)</f>
        <v>0</v>
      </c>
    </row>
    <row r="176" customFormat="false" ht="15" hidden="false" customHeight="false" outlineLevel="0" collapsed="false">
      <c r="A176" s="1"/>
      <c r="B176" s="11"/>
      <c r="C176" s="11"/>
      <c r="D176" s="11"/>
      <c r="E176" s="24" t="str">
        <f aca="false">IF(B176="","",January!X178+February!X178+March!X178+April!X178+May!X178+June!X178+July!X178+August!X178+September!X178+October!X178+November!X178+December!X178)</f>
        <v/>
      </c>
      <c r="F176" s="24" t="str">
        <f aca="false">IF(B176="","",January!Y178+February!Y178+March!Y178+April!Y178+May!Y178+June!Y178+July!Y178+August!Y178+September!Y178+October!Y178+November!Y178+December!Y178)</f>
        <v/>
      </c>
      <c r="G176" s="24" t="str">
        <f aca="false">IF(B176="","",E176+F176)</f>
        <v/>
      </c>
      <c r="H176" s="8" t="str">
        <f aca="false">IF(B176="","",IF(COUNTIF(ProjNames,B176)&gt;1,"Duplicate name!",IF(OR(C176="",D176=""),"Add number and code","✓")))</f>
        <v/>
      </c>
      <c r="I176" s="1" t="n">
        <f aca="false">IF(N(G176)&gt;0,G176+(205-ROW())/10^6,0)</f>
        <v>0</v>
      </c>
    </row>
    <row r="177" customFormat="false" ht="15" hidden="false" customHeight="false" outlineLevel="0" collapsed="false">
      <c r="A177" s="1"/>
      <c r="B177" s="11"/>
      <c r="C177" s="11"/>
      <c r="D177" s="11"/>
      <c r="E177" s="24" t="str">
        <f aca="false">IF(B177="","",January!X179+February!X179+March!X179+April!X179+May!X179+June!X179+July!X179+August!X179+September!X179+October!X179+November!X179+December!X179)</f>
        <v/>
      </c>
      <c r="F177" s="24" t="str">
        <f aca="false">IF(B177="","",January!Y179+February!Y179+March!Y179+April!Y179+May!Y179+June!Y179+July!Y179+August!Y179+September!Y179+October!Y179+November!Y179+December!Y179)</f>
        <v/>
      </c>
      <c r="G177" s="24" t="str">
        <f aca="false">IF(B177="","",E177+F177)</f>
        <v/>
      </c>
      <c r="H177" s="8" t="str">
        <f aca="false">IF(B177="","",IF(COUNTIF(ProjNames,B177)&gt;1,"Duplicate name!",IF(OR(C177="",D177=""),"Add number and code","✓")))</f>
        <v/>
      </c>
      <c r="I177" s="1" t="n">
        <f aca="false">IF(N(G177)&gt;0,G177+(205-ROW())/10^6,0)</f>
        <v>0</v>
      </c>
    </row>
    <row r="178" customFormat="false" ht="15" hidden="false" customHeight="false" outlineLevel="0" collapsed="false">
      <c r="A178" s="1"/>
      <c r="B178" s="11"/>
      <c r="C178" s="11"/>
      <c r="D178" s="11"/>
      <c r="E178" s="24" t="str">
        <f aca="false">IF(B178="","",January!X180+February!X180+March!X180+April!X180+May!X180+June!X180+July!X180+August!X180+September!X180+October!X180+November!X180+December!X180)</f>
        <v/>
      </c>
      <c r="F178" s="24" t="str">
        <f aca="false">IF(B178="","",January!Y180+February!Y180+March!Y180+April!Y180+May!Y180+June!Y180+July!Y180+August!Y180+September!Y180+October!Y180+November!Y180+December!Y180)</f>
        <v/>
      </c>
      <c r="G178" s="24" t="str">
        <f aca="false">IF(B178="","",E178+F178)</f>
        <v/>
      </c>
      <c r="H178" s="8" t="str">
        <f aca="false">IF(B178="","",IF(COUNTIF(ProjNames,B178)&gt;1,"Duplicate name!",IF(OR(C178="",D178=""),"Add number and code","✓")))</f>
        <v/>
      </c>
      <c r="I178" s="1" t="n">
        <f aca="false">IF(N(G178)&gt;0,G178+(205-ROW())/10^6,0)</f>
        <v>0</v>
      </c>
    </row>
    <row r="179" customFormat="false" ht="15" hidden="false" customHeight="false" outlineLevel="0" collapsed="false">
      <c r="A179" s="1"/>
      <c r="B179" s="11"/>
      <c r="C179" s="11"/>
      <c r="D179" s="11"/>
      <c r="E179" s="24" t="str">
        <f aca="false">IF(B179="","",January!X181+February!X181+March!X181+April!X181+May!X181+June!X181+July!X181+August!X181+September!X181+October!X181+November!X181+December!X181)</f>
        <v/>
      </c>
      <c r="F179" s="24" t="str">
        <f aca="false">IF(B179="","",January!Y181+February!Y181+March!Y181+April!Y181+May!Y181+June!Y181+July!Y181+August!Y181+September!Y181+October!Y181+November!Y181+December!Y181)</f>
        <v/>
      </c>
      <c r="G179" s="24" t="str">
        <f aca="false">IF(B179="","",E179+F179)</f>
        <v/>
      </c>
      <c r="H179" s="8" t="str">
        <f aca="false">IF(B179="","",IF(COUNTIF(ProjNames,B179)&gt;1,"Duplicate name!",IF(OR(C179="",D179=""),"Add number and code","✓")))</f>
        <v/>
      </c>
      <c r="I179" s="1" t="n">
        <f aca="false">IF(N(G179)&gt;0,G179+(205-ROW())/10^6,0)</f>
        <v>0</v>
      </c>
    </row>
    <row r="180" customFormat="false" ht="15" hidden="false" customHeight="false" outlineLevel="0" collapsed="false">
      <c r="A180" s="1"/>
      <c r="B180" s="11"/>
      <c r="C180" s="11"/>
      <c r="D180" s="11"/>
      <c r="E180" s="24" t="str">
        <f aca="false">IF(B180="","",January!X182+February!X182+March!X182+April!X182+May!X182+June!X182+July!X182+August!X182+September!X182+October!X182+November!X182+December!X182)</f>
        <v/>
      </c>
      <c r="F180" s="24" t="str">
        <f aca="false">IF(B180="","",January!Y182+February!Y182+March!Y182+April!Y182+May!Y182+June!Y182+July!Y182+August!Y182+September!Y182+October!Y182+November!Y182+December!Y182)</f>
        <v/>
      </c>
      <c r="G180" s="24" t="str">
        <f aca="false">IF(B180="","",E180+F180)</f>
        <v/>
      </c>
      <c r="H180" s="8" t="str">
        <f aca="false">IF(B180="","",IF(COUNTIF(ProjNames,B180)&gt;1,"Duplicate name!",IF(OR(C180="",D180=""),"Add number and code","✓")))</f>
        <v/>
      </c>
      <c r="I180" s="1" t="n">
        <f aca="false">IF(N(G180)&gt;0,G180+(205-ROW())/10^6,0)</f>
        <v>0</v>
      </c>
    </row>
    <row r="181" customFormat="false" ht="15" hidden="false" customHeight="false" outlineLevel="0" collapsed="false">
      <c r="A181" s="1"/>
      <c r="B181" s="11"/>
      <c r="C181" s="11"/>
      <c r="D181" s="11"/>
      <c r="E181" s="24" t="str">
        <f aca="false">IF(B181="","",January!X183+February!X183+March!X183+April!X183+May!X183+June!X183+July!X183+August!X183+September!X183+October!X183+November!X183+December!X183)</f>
        <v/>
      </c>
      <c r="F181" s="24" t="str">
        <f aca="false">IF(B181="","",January!Y183+February!Y183+March!Y183+April!Y183+May!Y183+June!Y183+July!Y183+August!Y183+September!Y183+October!Y183+November!Y183+December!Y183)</f>
        <v/>
      </c>
      <c r="G181" s="24" t="str">
        <f aca="false">IF(B181="","",E181+F181)</f>
        <v/>
      </c>
      <c r="H181" s="8" t="str">
        <f aca="false">IF(B181="","",IF(COUNTIF(ProjNames,B181)&gt;1,"Duplicate name!",IF(OR(C181="",D181=""),"Add number and code","✓")))</f>
        <v/>
      </c>
      <c r="I181" s="1" t="n">
        <f aca="false">IF(N(G181)&gt;0,G181+(205-ROW())/10^6,0)</f>
        <v>0</v>
      </c>
    </row>
    <row r="182" customFormat="false" ht="15" hidden="false" customHeight="false" outlineLevel="0" collapsed="false">
      <c r="A182" s="1"/>
      <c r="B182" s="11"/>
      <c r="C182" s="11"/>
      <c r="D182" s="11"/>
      <c r="E182" s="24" t="str">
        <f aca="false">IF(B182="","",January!X184+February!X184+March!X184+April!X184+May!X184+June!X184+July!X184+August!X184+September!X184+October!X184+November!X184+December!X184)</f>
        <v/>
      </c>
      <c r="F182" s="24" t="str">
        <f aca="false">IF(B182="","",January!Y184+February!Y184+March!Y184+April!Y184+May!Y184+June!Y184+July!Y184+August!Y184+September!Y184+October!Y184+November!Y184+December!Y184)</f>
        <v/>
      </c>
      <c r="G182" s="24" t="str">
        <f aca="false">IF(B182="","",E182+F182)</f>
        <v/>
      </c>
      <c r="H182" s="8" t="str">
        <f aca="false">IF(B182="","",IF(COUNTIF(ProjNames,B182)&gt;1,"Duplicate name!",IF(OR(C182="",D182=""),"Add number and code","✓")))</f>
        <v/>
      </c>
      <c r="I182" s="1" t="n">
        <f aca="false">IF(N(G182)&gt;0,G182+(205-ROW())/10^6,0)</f>
        <v>0</v>
      </c>
    </row>
    <row r="183" customFormat="false" ht="15" hidden="false" customHeight="false" outlineLevel="0" collapsed="false">
      <c r="A183" s="1"/>
      <c r="B183" s="11"/>
      <c r="C183" s="11"/>
      <c r="D183" s="11"/>
      <c r="E183" s="24" t="str">
        <f aca="false">IF(B183="","",January!X185+February!X185+March!X185+April!X185+May!X185+June!X185+July!X185+August!X185+September!X185+October!X185+November!X185+December!X185)</f>
        <v/>
      </c>
      <c r="F183" s="24" t="str">
        <f aca="false">IF(B183="","",January!Y185+February!Y185+March!Y185+April!Y185+May!Y185+June!Y185+July!Y185+August!Y185+September!Y185+October!Y185+November!Y185+December!Y185)</f>
        <v/>
      </c>
      <c r="G183" s="24" t="str">
        <f aca="false">IF(B183="","",E183+F183)</f>
        <v/>
      </c>
      <c r="H183" s="8" t="str">
        <f aca="false">IF(B183="","",IF(COUNTIF(ProjNames,B183)&gt;1,"Duplicate name!",IF(OR(C183="",D183=""),"Add number and code","✓")))</f>
        <v/>
      </c>
      <c r="I183" s="1" t="n">
        <f aca="false">IF(N(G183)&gt;0,G183+(205-ROW())/10^6,0)</f>
        <v>0</v>
      </c>
    </row>
    <row r="184" customFormat="false" ht="15" hidden="false" customHeight="false" outlineLevel="0" collapsed="false">
      <c r="A184" s="1"/>
      <c r="B184" s="11"/>
      <c r="C184" s="11"/>
      <c r="D184" s="11"/>
      <c r="E184" s="24" t="str">
        <f aca="false">IF(B184="","",January!X186+February!X186+March!X186+April!X186+May!X186+June!X186+July!X186+August!X186+September!X186+October!X186+November!X186+December!X186)</f>
        <v/>
      </c>
      <c r="F184" s="24" t="str">
        <f aca="false">IF(B184="","",January!Y186+February!Y186+March!Y186+April!Y186+May!Y186+June!Y186+July!Y186+August!Y186+September!Y186+October!Y186+November!Y186+December!Y186)</f>
        <v/>
      </c>
      <c r="G184" s="24" t="str">
        <f aca="false">IF(B184="","",E184+F184)</f>
        <v/>
      </c>
      <c r="H184" s="8" t="str">
        <f aca="false">IF(B184="","",IF(COUNTIF(ProjNames,B184)&gt;1,"Duplicate name!",IF(OR(C184="",D184=""),"Add number and code","✓")))</f>
        <v/>
      </c>
      <c r="I184" s="1" t="n">
        <f aca="false">IF(N(G184)&gt;0,G184+(205-ROW())/10^6,0)</f>
        <v>0</v>
      </c>
    </row>
    <row r="185" customFormat="false" ht="15" hidden="false" customHeight="false" outlineLevel="0" collapsed="false">
      <c r="A185" s="1"/>
      <c r="B185" s="11"/>
      <c r="C185" s="11"/>
      <c r="D185" s="11"/>
      <c r="E185" s="24" t="str">
        <f aca="false">IF(B185="","",January!X187+February!X187+March!X187+April!X187+May!X187+June!X187+July!X187+August!X187+September!X187+October!X187+November!X187+December!X187)</f>
        <v/>
      </c>
      <c r="F185" s="24" t="str">
        <f aca="false">IF(B185="","",January!Y187+February!Y187+March!Y187+April!Y187+May!Y187+June!Y187+July!Y187+August!Y187+September!Y187+October!Y187+November!Y187+December!Y187)</f>
        <v/>
      </c>
      <c r="G185" s="24" t="str">
        <f aca="false">IF(B185="","",E185+F185)</f>
        <v/>
      </c>
      <c r="H185" s="8" t="str">
        <f aca="false">IF(B185="","",IF(COUNTIF(ProjNames,B185)&gt;1,"Duplicate name!",IF(OR(C185="",D185=""),"Add number and code","✓")))</f>
        <v/>
      </c>
      <c r="I185" s="1" t="n">
        <f aca="false">IF(N(G185)&gt;0,G185+(205-ROW())/10^6,0)</f>
        <v>0</v>
      </c>
    </row>
    <row r="186" customFormat="false" ht="15" hidden="false" customHeight="false" outlineLevel="0" collapsed="false">
      <c r="A186" s="1"/>
      <c r="B186" s="11"/>
      <c r="C186" s="11"/>
      <c r="D186" s="11"/>
      <c r="E186" s="24" t="str">
        <f aca="false">IF(B186="","",January!X188+February!X188+March!X188+April!X188+May!X188+June!X188+July!X188+August!X188+September!X188+October!X188+November!X188+December!X188)</f>
        <v/>
      </c>
      <c r="F186" s="24" t="str">
        <f aca="false">IF(B186="","",January!Y188+February!Y188+March!Y188+April!Y188+May!Y188+June!Y188+July!Y188+August!Y188+September!Y188+October!Y188+November!Y188+December!Y188)</f>
        <v/>
      </c>
      <c r="G186" s="24" t="str">
        <f aca="false">IF(B186="","",E186+F186)</f>
        <v/>
      </c>
      <c r="H186" s="8" t="str">
        <f aca="false">IF(B186="","",IF(COUNTIF(ProjNames,B186)&gt;1,"Duplicate name!",IF(OR(C186="",D186=""),"Add number and code","✓")))</f>
        <v/>
      </c>
      <c r="I186" s="1" t="n">
        <f aca="false">IF(N(G186)&gt;0,G186+(205-ROW())/10^6,0)</f>
        <v>0</v>
      </c>
    </row>
    <row r="187" customFormat="false" ht="15" hidden="false" customHeight="false" outlineLevel="0" collapsed="false">
      <c r="A187" s="1"/>
      <c r="B187" s="11"/>
      <c r="C187" s="11"/>
      <c r="D187" s="11"/>
      <c r="E187" s="24" t="str">
        <f aca="false">IF(B187="","",January!X189+February!X189+March!X189+April!X189+May!X189+June!X189+July!X189+August!X189+September!X189+October!X189+November!X189+December!X189)</f>
        <v/>
      </c>
      <c r="F187" s="24" t="str">
        <f aca="false">IF(B187="","",January!Y189+February!Y189+March!Y189+April!Y189+May!Y189+June!Y189+July!Y189+August!Y189+September!Y189+October!Y189+November!Y189+December!Y189)</f>
        <v/>
      </c>
      <c r="G187" s="24" t="str">
        <f aca="false">IF(B187="","",E187+F187)</f>
        <v/>
      </c>
      <c r="H187" s="8" t="str">
        <f aca="false">IF(B187="","",IF(COUNTIF(ProjNames,B187)&gt;1,"Duplicate name!",IF(OR(C187="",D187=""),"Add number and code","✓")))</f>
        <v/>
      </c>
      <c r="I187" s="1" t="n">
        <f aca="false">IF(N(G187)&gt;0,G187+(205-ROW())/10^6,0)</f>
        <v>0</v>
      </c>
    </row>
    <row r="188" customFormat="false" ht="15" hidden="false" customHeight="false" outlineLevel="0" collapsed="false">
      <c r="A188" s="1"/>
      <c r="B188" s="11"/>
      <c r="C188" s="11"/>
      <c r="D188" s="11"/>
      <c r="E188" s="24" t="str">
        <f aca="false">IF(B188="","",January!X190+February!X190+March!X190+April!X190+May!X190+June!X190+July!X190+August!X190+September!X190+October!X190+November!X190+December!X190)</f>
        <v/>
      </c>
      <c r="F188" s="24" t="str">
        <f aca="false">IF(B188="","",January!Y190+February!Y190+March!Y190+April!Y190+May!Y190+June!Y190+July!Y190+August!Y190+September!Y190+October!Y190+November!Y190+December!Y190)</f>
        <v/>
      </c>
      <c r="G188" s="24" t="str">
        <f aca="false">IF(B188="","",E188+F188)</f>
        <v/>
      </c>
      <c r="H188" s="8" t="str">
        <f aca="false">IF(B188="","",IF(COUNTIF(ProjNames,B188)&gt;1,"Duplicate name!",IF(OR(C188="",D188=""),"Add number and code","✓")))</f>
        <v/>
      </c>
      <c r="I188" s="1" t="n">
        <f aca="false">IF(N(G188)&gt;0,G188+(205-ROW())/10^6,0)</f>
        <v>0</v>
      </c>
    </row>
    <row r="189" customFormat="false" ht="15" hidden="false" customHeight="false" outlineLevel="0" collapsed="false">
      <c r="A189" s="1"/>
      <c r="B189" s="11"/>
      <c r="C189" s="11"/>
      <c r="D189" s="11"/>
      <c r="E189" s="24" t="str">
        <f aca="false">IF(B189="","",January!X191+February!X191+March!X191+April!X191+May!X191+June!X191+July!X191+August!X191+September!X191+October!X191+November!X191+December!X191)</f>
        <v/>
      </c>
      <c r="F189" s="24" t="str">
        <f aca="false">IF(B189="","",January!Y191+February!Y191+March!Y191+April!Y191+May!Y191+June!Y191+July!Y191+August!Y191+September!Y191+October!Y191+November!Y191+December!Y191)</f>
        <v/>
      </c>
      <c r="G189" s="24" t="str">
        <f aca="false">IF(B189="","",E189+F189)</f>
        <v/>
      </c>
      <c r="H189" s="8" t="str">
        <f aca="false">IF(B189="","",IF(COUNTIF(ProjNames,B189)&gt;1,"Duplicate name!",IF(OR(C189="",D189=""),"Add number and code","✓")))</f>
        <v/>
      </c>
      <c r="I189" s="1" t="n">
        <f aca="false">IF(N(G189)&gt;0,G189+(205-ROW())/10^6,0)</f>
        <v>0</v>
      </c>
    </row>
    <row r="190" customFormat="false" ht="15" hidden="false" customHeight="false" outlineLevel="0" collapsed="false">
      <c r="A190" s="1"/>
      <c r="B190" s="11"/>
      <c r="C190" s="11"/>
      <c r="D190" s="11"/>
      <c r="E190" s="24" t="str">
        <f aca="false">IF(B190="","",January!X192+February!X192+March!X192+April!X192+May!X192+June!X192+July!X192+August!X192+September!X192+October!X192+November!X192+December!X192)</f>
        <v/>
      </c>
      <c r="F190" s="24" t="str">
        <f aca="false">IF(B190="","",January!Y192+February!Y192+March!Y192+April!Y192+May!Y192+June!Y192+July!Y192+August!Y192+September!Y192+October!Y192+November!Y192+December!Y192)</f>
        <v/>
      </c>
      <c r="G190" s="24" t="str">
        <f aca="false">IF(B190="","",E190+F190)</f>
        <v/>
      </c>
      <c r="H190" s="8" t="str">
        <f aca="false">IF(B190="","",IF(COUNTIF(ProjNames,B190)&gt;1,"Duplicate name!",IF(OR(C190="",D190=""),"Add number and code","✓")))</f>
        <v/>
      </c>
      <c r="I190" s="1" t="n">
        <f aca="false">IF(N(G190)&gt;0,G190+(205-ROW())/10^6,0)</f>
        <v>0</v>
      </c>
    </row>
    <row r="191" customFormat="false" ht="15" hidden="false" customHeight="false" outlineLevel="0" collapsed="false">
      <c r="A191" s="1"/>
      <c r="B191" s="11"/>
      <c r="C191" s="11"/>
      <c r="D191" s="11"/>
      <c r="E191" s="24" t="str">
        <f aca="false">IF(B191="","",January!X193+February!X193+March!X193+April!X193+May!X193+June!X193+July!X193+August!X193+September!X193+October!X193+November!X193+December!X193)</f>
        <v/>
      </c>
      <c r="F191" s="24" t="str">
        <f aca="false">IF(B191="","",January!Y193+February!Y193+March!Y193+April!Y193+May!Y193+June!Y193+July!Y193+August!Y193+September!Y193+October!Y193+November!Y193+December!Y193)</f>
        <v/>
      </c>
      <c r="G191" s="24" t="str">
        <f aca="false">IF(B191="","",E191+F191)</f>
        <v/>
      </c>
      <c r="H191" s="8" t="str">
        <f aca="false">IF(B191="","",IF(COUNTIF(ProjNames,B191)&gt;1,"Duplicate name!",IF(OR(C191="",D191=""),"Add number and code","✓")))</f>
        <v/>
      </c>
      <c r="I191" s="1" t="n">
        <f aca="false">IF(N(G191)&gt;0,G191+(205-ROW())/10^6,0)</f>
        <v>0</v>
      </c>
    </row>
    <row r="192" customFormat="false" ht="15" hidden="false" customHeight="false" outlineLevel="0" collapsed="false">
      <c r="A192" s="1"/>
      <c r="B192" s="11"/>
      <c r="C192" s="11"/>
      <c r="D192" s="11"/>
      <c r="E192" s="24" t="str">
        <f aca="false">IF(B192="","",January!X194+February!X194+March!X194+April!X194+May!X194+June!X194+July!X194+August!X194+September!X194+October!X194+November!X194+December!X194)</f>
        <v/>
      </c>
      <c r="F192" s="24" t="str">
        <f aca="false">IF(B192="","",January!Y194+February!Y194+March!Y194+April!Y194+May!Y194+June!Y194+July!Y194+August!Y194+September!Y194+October!Y194+November!Y194+December!Y194)</f>
        <v/>
      </c>
      <c r="G192" s="24" t="str">
        <f aca="false">IF(B192="","",E192+F192)</f>
        <v/>
      </c>
      <c r="H192" s="8" t="str">
        <f aca="false">IF(B192="","",IF(COUNTIF(ProjNames,B192)&gt;1,"Duplicate name!",IF(OR(C192="",D192=""),"Add number and code","✓")))</f>
        <v/>
      </c>
      <c r="I192" s="1" t="n">
        <f aca="false">IF(N(G192)&gt;0,G192+(205-ROW())/10^6,0)</f>
        <v>0</v>
      </c>
    </row>
    <row r="193" customFormat="false" ht="15" hidden="false" customHeight="false" outlineLevel="0" collapsed="false">
      <c r="A193" s="1"/>
      <c r="B193" s="11"/>
      <c r="C193" s="11"/>
      <c r="D193" s="11"/>
      <c r="E193" s="24" t="str">
        <f aca="false">IF(B193="","",January!X195+February!X195+March!X195+April!X195+May!X195+June!X195+July!X195+August!X195+September!X195+October!X195+November!X195+December!X195)</f>
        <v/>
      </c>
      <c r="F193" s="24" t="str">
        <f aca="false">IF(B193="","",January!Y195+February!Y195+March!Y195+April!Y195+May!Y195+June!Y195+July!Y195+August!Y195+September!Y195+October!Y195+November!Y195+December!Y195)</f>
        <v/>
      </c>
      <c r="G193" s="24" t="str">
        <f aca="false">IF(B193="","",E193+F193)</f>
        <v/>
      </c>
      <c r="H193" s="8" t="str">
        <f aca="false">IF(B193="","",IF(COUNTIF(ProjNames,B193)&gt;1,"Duplicate name!",IF(OR(C193="",D193=""),"Add number and code","✓")))</f>
        <v/>
      </c>
      <c r="I193" s="1" t="n">
        <f aca="false">IF(N(G193)&gt;0,G193+(205-ROW())/10^6,0)</f>
        <v>0</v>
      </c>
    </row>
    <row r="194" customFormat="false" ht="15" hidden="false" customHeight="false" outlineLevel="0" collapsed="false">
      <c r="A194" s="1"/>
      <c r="B194" s="11"/>
      <c r="C194" s="11"/>
      <c r="D194" s="11"/>
      <c r="E194" s="24" t="str">
        <f aca="false">IF(B194="","",January!X196+February!X196+March!X196+April!X196+May!X196+June!X196+July!X196+August!X196+September!X196+October!X196+November!X196+December!X196)</f>
        <v/>
      </c>
      <c r="F194" s="24" t="str">
        <f aca="false">IF(B194="","",January!Y196+February!Y196+March!Y196+April!Y196+May!Y196+June!Y196+July!Y196+August!Y196+September!Y196+October!Y196+November!Y196+December!Y196)</f>
        <v/>
      </c>
      <c r="G194" s="24" t="str">
        <f aca="false">IF(B194="","",E194+F194)</f>
        <v/>
      </c>
      <c r="H194" s="8" t="str">
        <f aca="false">IF(B194="","",IF(COUNTIF(ProjNames,B194)&gt;1,"Duplicate name!",IF(OR(C194="",D194=""),"Add number and code","✓")))</f>
        <v/>
      </c>
      <c r="I194" s="1" t="n">
        <f aca="false">IF(N(G194)&gt;0,G194+(205-ROW())/10^6,0)</f>
        <v>0</v>
      </c>
    </row>
    <row r="195" customFormat="false" ht="15" hidden="false" customHeight="false" outlineLevel="0" collapsed="false">
      <c r="A195" s="1"/>
      <c r="B195" s="11"/>
      <c r="C195" s="11"/>
      <c r="D195" s="11"/>
      <c r="E195" s="24" t="str">
        <f aca="false">IF(B195="","",January!X197+February!X197+March!X197+April!X197+May!X197+June!X197+July!X197+August!X197+September!X197+October!X197+November!X197+December!X197)</f>
        <v/>
      </c>
      <c r="F195" s="24" t="str">
        <f aca="false">IF(B195="","",January!Y197+February!Y197+March!Y197+April!Y197+May!Y197+June!Y197+July!Y197+August!Y197+September!Y197+October!Y197+November!Y197+December!Y197)</f>
        <v/>
      </c>
      <c r="G195" s="24" t="str">
        <f aca="false">IF(B195="","",E195+F195)</f>
        <v/>
      </c>
      <c r="H195" s="8" t="str">
        <f aca="false">IF(B195="","",IF(COUNTIF(ProjNames,B195)&gt;1,"Duplicate name!",IF(OR(C195="",D195=""),"Add number and code","✓")))</f>
        <v/>
      </c>
      <c r="I195" s="1" t="n">
        <f aca="false">IF(N(G195)&gt;0,G195+(205-ROW())/10^6,0)</f>
        <v>0</v>
      </c>
    </row>
    <row r="196" customFormat="false" ht="15" hidden="false" customHeight="false" outlineLevel="0" collapsed="false">
      <c r="A196" s="1"/>
      <c r="B196" s="11"/>
      <c r="C196" s="11"/>
      <c r="D196" s="11"/>
      <c r="E196" s="24" t="str">
        <f aca="false">IF(B196="","",January!X198+February!X198+March!X198+April!X198+May!X198+June!X198+July!X198+August!X198+September!X198+October!X198+November!X198+December!X198)</f>
        <v/>
      </c>
      <c r="F196" s="24" t="str">
        <f aca="false">IF(B196="","",January!Y198+February!Y198+March!Y198+April!Y198+May!Y198+June!Y198+July!Y198+August!Y198+September!Y198+October!Y198+November!Y198+December!Y198)</f>
        <v/>
      </c>
      <c r="G196" s="24" t="str">
        <f aca="false">IF(B196="","",E196+F196)</f>
        <v/>
      </c>
      <c r="H196" s="8" t="str">
        <f aca="false">IF(B196="","",IF(COUNTIF(ProjNames,B196)&gt;1,"Duplicate name!",IF(OR(C196="",D196=""),"Add number and code","✓")))</f>
        <v/>
      </c>
      <c r="I196" s="1" t="n">
        <f aca="false">IF(N(G196)&gt;0,G196+(205-ROW())/10^6,0)</f>
        <v>0</v>
      </c>
    </row>
    <row r="197" customFormat="false" ht="15" hidden="false" customHeight="false" outlineLevel="0" collapsed="false">
      <c r="A197" s="1"/>
      <c r="B197" s="11"/>
      <c r="C197" s="11"/>
      <c r="D197" s="11"/>
      <c r="E197" s="24" t="str">
        <f aca="false">IF(B197="","",January!X199+February!X199+March!X199+April!X199+May!X199+June!X199+July!X199+August!X199+September!X199+October!X199+November!X199+December!X199)</f>
        <v/>
      </c>
      <c r="F197" s="24" t="str">
        <f aca="false">IF(B197="","",January!Y199+February!Y199+March!Y199+April!Y199+May!Y199+June!Y199+July!Y199+August!Y199+September!Y199+October!Y199+November!Y199+December!Y199)</f>
        <v/>
      </c>
      <c r="G197" s="24" t="str">
        <f aca="false">IF(B197="","",E197+F197)</f>
        <v/>
      </c>
      <c r="H197" s="8" t="str">
        <f aca="false">IF(B197="","",IF(COUNTIF(ProjNames,B197)&gt;1,"Duplicate name!",IF(OR(C197="",D197=""),"Add number and code","✓")))</f>
        <v/>
      </c>
      <c r="I197" s="1" t="n">
        <f aca="false">IF(N(G197)&gt;0,G197+(205-ROW())/10^6,0)</f>
        <v>0</v>
      </c>
    </row>
    <row r="198" customFormat="false" ht="15" hidden="false" customHeight="false" outlineLevel="0" collapsed="false">
      <c r="A198" s="1"/>
      <c r="B198" s="11"/>
      <c r="C198" s="11"/>
      <c r="D198" s="11"/>
      <c r="E198" s="24" t="str">
        <f aca="false">IF(B198="","",January!X200+February!X200+March!X200+April!X200+May!X200+June!X200+July!X200+August!X200+September!X200+October!X200+November!X200+December!X200)</f>
        <v/>
      </c>
      <c r="F198" s="24" t="str">
        <f aca="false">IF(B198="","",January!Y200+February!Y200+March!Y200+April!Y200+May!Y200+June!Y200+July!Y200+August!Y200+September!Y200+October!Y200+November!Y200+December!Y200)</f>
        <v/>
      </c>
      <c r="G198" s="24" t="str">
        <f aca="false">IF(B198="","",E198+F198)</f>
        <v/>
      </c>
      <c r="H198" s="8" t="str">
        <f aca="false">IF(B198="","",IF(COUNTIF(ProjNames,B198)&gt;1,"Duplicate name!",IF(OR(C198="",D198=""),"Add number and code","✓")))</f>
        <v/>
      </c>
      <c r="I198" s="1" t="n">
        <f aca="false">IF(N(G198)&gt;0,G198+(205-ROW())/10^6,0)</f>
        <v>0</v>
      </c>
    </row>
    <row r="199" customFormat="false" ht="15" hidden="false" customHeight="false" outlineLevel="0" collapsed="false">
      <c r="A199" s="1"/>
      <c r="B199" s="11"/>
      <c r="C199" s="11"/>
      <c r="D199" s="11"/>
      <c r="E199" s="24" t="str">
        <f aca="false">IF(B199="","",January!X201+February!X201+March!X201+April!X201+May!X201+June!X201+July!X201+August!X201+September!X201+October!X201+November!X201+December!X201)</f>
        <v/>
      </c>
      <c r="F199" s="24" t="str">
        <f aca="false">IF(B199="","",January!Y201+February!Y201+March!Y201+April!Y201+May!Y201+June!Y201+July!Y201+August!Y201+September!Y201+October!Y201+November!Y201+December!Y201)</f>
        <v/>
      </c>
      <c r="G199" s="24" t="str">
        <f aca="false">IF(B199="","",E199+F199)</f>
        <v/>
      </c>
      <c r="H199" s="8" t="str">
        <f aca="false">IF(B199="","",IF(COUNTIF(ProjNames,B199)&gt;1,"Duplicate name!",IF(OR(C199="",D199=""),"Add number and code","✓")))</f>
        <v/>
      </c>
      <c r="I199" s="1" t="n">
        <f aca="false">IF(N(G199)&gt;0,G199+(205-ROW())/10^6,0)</f>
        <v>0</v>
      </c>
    </row>
    <row r="200" customFormat="false" ht="15" hidden="false" customHeight="false" outlineLevel="0" collapsed="false">
      <c r="A200" s="1"/>
      <c r="B200" s="11"/>
      <c r="C200" s="11"/>
      <c r="D200" s="11"/>
      <c r="E200" s="24" t="str">
        <f aca="false">IF(B200="","",January!X202+February!X202+March!X202+April!X202+May!X202+June!X202+July!X202+August!X202+September!X202+October!X202+November!X202+December!X202)</f>
        <v/>
      </c>
      <c r="F200" s="24" t="str">
        <f aca="false">IF(B200="","",January!Y202+February!Y202+March!Y202+April!Y202+May!Y202+June!Y202+July!Y202+August!Y202+September!Y202+October!Y202+November!Y202+December!Y202)</f>
        <v/>
      </c>
      <c r="G200" s="24" t="str">
        <f aca="false">IF(B200="","",E200+F200)</f>
        <v/>
      </c>
      <c r="H200" s="8" t="str">
        <f aca="false">IF(B200="","",IF(COUNTIF(ProjNames,B200)&gt;1,"Duplicate name!",IF(OR(C200="",D200=""),"Add number and code","✓")))</f>
        <v/>
      </c>
      <c r="I200" s="1" t="n">
        <f aca="false">IF(N(G200)&gt;0,G200+(205-ROW())/10^6,0)</f>
        <v>0</v>
      </c>
    </row>
    <row r="201" customFormat="false" ht="15" hidden="false" customHeight="false" outlineLevel="0" collapsed="false">
      <c r="A201" s="1"/>
      <c r="B201" s="11"/>
      <c r="C201" s="11"/>
      <c r="D201" s="11"/>
      <c r="E201" s="24" t="str">
        <f aca="false">IF(B201="","",January!X203+February!X203+March!X203+April!X203+May!X203+June!X203+July!X203+August!X203+September!X203+October!X203+November!X203+December!X203)</f>
        <v/>
      </c>
      <c r="F201" s="24" t="str">
        <f aca="false">IF(B201="","",January!Y203+February!Y203+March!Y203+April!Y203+May!Y203+June!Y203+July!Y203+August!Y203+September!Y203+October!Y203+November!Y203+December!Y203)</f>
        <v/>
      </c>
      <c r="G201" s="24" t="str">
        <f aca="false">IF(B201="","",E201+F201)</f>
        <v/>
      </c>
      <c r="H201" s="8" t="str">
        <f aca="false">IF(B201="","",IF(COUNTIF(ProjNames,B201)&gt;1,"Duplicate name!",IF(OR(C201="",D201=""),"Add number and code","✓")))</f>
        <v/>
      </c>
      <c r="I201" s="1" t="n">
        <f aca="false">IF(N(G201)&gt;0,G201+(205-ROW())/10^6,0)</f>
        <v>0</v>
      </c>
    </row>
    <row r="202" customFormat="false" ht="15" hidden="false" customHeight="false" outlineLevel="0" collapsed="false">
      <c r="A202" s="1"/>
      <c r="B202" s="11"/>
      <c r="C202" s="11"/>
      <c r="D202" s="11"/>
      <c r="E202" s="24" t="str">
        <f aca="false">IF(B202="","",January!X204+February!X204+March!X204+April!X204+May!X204+June!X204+July!X204+August!X204+September!X204+October!X204+November!X204+December!X204)</f>
        <v/>
      </c>
      <c r="F202" s="24" t="str">
        <f aca="false">IF(B202="","",January!Y204+February!Y204+March!Y204+April!Y204+May!Y204+June!Y204+July!Y204+August!Y204+September!Y204+October!Y204+November!Y204+December!Y204)</f>
        <v/>
      </c>
      <c r="G202" s="24" t="str">
        <f aca="false">IF(B202="","",E202+F202)</f>
        <v/>
      </c>
      <c r="H202" s="8" t="str">
        <f aca="false">IF(B202="","",IF(COUNTIF(ProjNames,B202)&gt;1,"Duplicate name!",IF(OR(C202="",D202=""),"Add number and code","✓")))</f>
        <v/>
      </c>
      <c r="I202" s="1" t="n">
        <f aca="false">IF(N(G202)&gt;0,G202+(205-ROW())/10^6,0)</f>
        <v>0</v>
      </c>
    </row>
    <row r="203" customFormat="false" ht="15" hidden="false" customHeight="false" outlineLevel="0" collapsed="false">
      <c r="A203" s="1"/>
      <c r="B203" s="11"/>
      <c r="C203" s="11"/>
      <c r="D203" s="11"/>
      <c r="E203" s="24" t="str">
        <f aca="false">IF(B203="","",January!X205+February!X205+March!X205+April!X205+May!X205+June!X205+July!X205+August!X205+September!X205+October!X205+November!X205+December!X205)</f>
        <v/>
      </c>
      <c r="F203" s="24" t="str">
        <f aca="false">IF(B203="","",January!Y205+February!Y205+March!Y205+April!Y205+May!Y205+June!Y205+July!Y205+August!Y205+September!Y205+October!Y205+November!Y205+December!Y205)</f>
        <v/>
      </c>
      <c r="G203" s="24" t="str">
        <f aca="false">IF(B203="","",E203+F203)</f>
        <v/>
      </c>
      <c r="H203" s="8" t="str">
        <f aca="false">IF(B203="","",IF(COUNTIF(ProjNames,B203)&gt;1,"Duplicate name!",IF(OR(C203="",D203=""),"Add number and code","✓")))</f>
        <v/>
      </c>
      <c r="I203" s="1" t="n">
        <f aca="false">IF(N(G203)&gt;0,G203+(205-ROW())/10^6,0)</f>
        <v>0</v>
      </c>
    </row>
    <row r="204" customFormat="false" ht="15" hidden="false" customHeight="false" outlineLevel="0" collapsed="false">
      <c r="A204" s="1"/>
      <c r="B204" s="11"/>
      <c r="C204" s="11"/>
      <c r="D204" s="11"/>
      <c r="E204" s="24" t="str">
        <f aca="false">IF(B204="","",January!X206+February!X206+March!X206+April!X206+May!X206+June!X206+July!X206+August!X206+September!X206+October!X206+November!X206+December!X206)</f>
        <v/>
      </c>
      <c r="F204" s="24" t="str">
        <f aca="false">IF(B204="","",January!Y206+February!Y206+March!Y206+April!Y206+May!Y206+June!Y206+July!Y206+August!Y206+September!Y206+October!Y206+November!Y206+December!Y206)</f>
        <v/>
      </c>
      <c r="G204" s="24" t="str">
        <f aca="false">IF(B204="","",E204+F204)</f>
        <v/>
      </c>
      <c r="H204" s="8" t="str">
        <f aca="false">IF(B204="","",IF(COUNTIF(ProjNames,B204)&gt;1,"Duplicate name!",IF(OR(C204="",D204=""),"Add number and code","✓")))</f>
        <v/>
      </c>
      <c r="I204" s="1" t="n">
        <f aca="false">IF(N(G204)&gt;0,G204+(205-ROW())/10^6,0)</f>
        <v>0</v>
      </c>
    </row>
  </sheetData>
  <conditionalFormatting sqref="H5:H204">
    <cfRule type="expression" priority="2" aboveAverage="0" equalAverage="0" bottom="0" percent="0" rank="0" text="" dxfId="4">
      <formula>AND(H5&lt;&gt;"",H5&lt;&gt;"✓")</formula>
    </cfRule>
  </conditionalFormatting>
  <conditionalFormatting sqref="B5:B204">
    <cfRule type="expression" priority="3" aboveAverage="0" equalAverage="0" bottom="0" percent="0" rank="0" text="" dxfId="9">
      <formula>COUNTIF(ProjNames,B5)&gt;1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22.05" hidden="false" customHeight="false" outlineLevel="0" collapsed="false">
      <c r="A1" s="1"/>
      <c r="B1" s="2" t="s">
        <v>111</v>
      </c>
      <c r="C1" s="1"/>
      <c r="D1" s="1"/>
    </row>
    <row r="2" customFormat="false" ht="15" hidden="false" customHeight="false" outlineLevel="0" collapsed="false">
      <c r="A2" s="1"/>
      <c r="B2" s="1"/>
      <c r="C2" s="1"/>
      <c r="D2" s="1"/>
    </row>
    <row r="3" customFormat="false" ht="15" hidden="false" customHeight="false" outlineLevel="0" collapsed="false">
      <c r="A3" s="1"/>
      <c r="B3" s="1"/>
      <c r="C3" s="1"/>
      <c r="D3" s="1"/>
    </row>
    <row r="4" customFormat="false" ht="15" hidden="false" customHeight="false" outlineLevel="0" collapsed="false">
      <c r="A4" s="1"/>
      <c r="B4" s="9" t="s">
        <v>112</v>
      </c>
      <c r="C4" s="9" t="s">
        <v>113</v>
      </c>
      <c r="D4" s="9" t="s">
        <v>114</v>
      </c>
    </row>
    <row r="5" customFormat="false" ht="15" hidden="false" customHeight="false" outlineLevel="0" collapsed="false">
      <c r="A5" s="1"/>
      <c r="B5" s="38" t="s">
        <v>115</v>
      </c>
      <c r="C5" s="31" t="n">
        <v>2026</v>
      </c>
      <c r="D5" s="8" t="s">
        <v>116</v>
      </c>
    </row>
    <row r="6" customFormat="false" ht="15" hidden="false" customHeight="false" outlineLevel="0" collapsed="false">
      <c r="A6" s="1"/>
      <c r="B6" s="38" t="s">
        <v>117</v>
      </c>
      <c r="C6" s="39" t="n">
        <v>8</v>
      </c>
      <c r="D6" s="8" t="s">
        <v>118</v>
      </c>
    </row>
    <row r="7" customFormat="false" ht="15" hidden="false" customHeight="false" outlineLevel="0" collapsed="false">
      <c r="A7" s="1"/>
      <c r="B7" s="38" t="s">
        <v>119</v>
      </c>
      <c r="C7" s="39" t="s">
        <v>120</v>
      </c>
      <c r="D7" s="8" t="s">
        <v>121</v>
      </c>
    </row>
    <row r="8" customFormat="false" ht="15" hidden="false" customHeight="false" outlineLevel="0" collapsed="false">
      <c r="A8" s="1"/>
      <c r="B8" s="38" t="s">
        <v>122</v>
      </c>
      <c r="C8" s="39" t="s">
        <v>123</v>
      </c>
      <c r="D8" s="8" t="s">
        <v>124</v>
      </c>
    </row>
    <row r="9" customFormat="false" ht="15" hidden="false" customHeight="false" outlineLevel="0" collapsed="false">
      <c r="A9" s="1"/>
      <c r="B9" s="38" t="s">
        <v>125</v>
      </c>
      <c r="C9" s="39" t="s">
        <v>126</v>
      </c>
      <c r="D9" s="8" t="s">
        <v>127</v>
      </c>
    </row>
    <row r="10" customFormat="false" ht="15" hidden="false" customHeight="false" outlineLevel="0" collapsed="false">
      <c r="A10" s="1"/>
      <c r="B10" s="38" t="s">
        <v>128</v>
      </c>
      <c r="C10" s="31" t="n">
        <f aca="false">MATCH(C7,{"Monday","Tuesday","Wednesday","Thursday","Friday","Saturday","Sunday"},0)</f>
        <v>1</v>
      </c>
      <c r="D10" s="8" t="s">
        <v>129</v>
      </c>
    </row>
  </sheetData>
  <dataValidations count="4">
    <dataValidation allowBlank="false" error="Enter hours between 1 and 24." errorStyle="stop" operator="between" showDropDown="false" showErrorMessage="true" showInputMessage="false" sqref="C6" type="decimal">
      <formula1>1</formula1>
      <formula2>24</formula2>
    </dataValidation>
    <dataValidation allowBlank="false" errorStyle="stop" operator="between" showDropDown="false" showErrorMessage="false" showInputMessage="false" sqref="C7" type="list">
      <formula1>"Monday,Sunday,Saturday"</formula1>
      <formula2>0</formula2>
    </dataValidation>
    <dataValidation allowBlank="false" errorStyle="stop" operator="between" showDropDown="false" showErrorMessage="false" showInputMessage="false" sqref="C8" type="list">
      <formula1>"None,NTIME,P6"</formula1>
      <formula2>0</formula2>
    </dataValidation>
    <dataValidation allowBlank="false" errorStyle="stop" operator="between" showDropDown="false" showErrorMessage="false" showInputMessage="false" sqref="C9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2026-10-16T12:51:03Z</dcterms:created>
  <dc:creator>openpyxl</dc:creator>
  <dc:description/>
  <dc:language>en-US</dc:language>
  <cp:lastModifiedBy/>
  <dcterms:modified xsi:type="dcterms:W3CDTF">2026-10-16T12:51:11Z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